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30720" windowHeight="13380" tabRatio="723" firstSheet="0" activeTab="1" autoFilterDateGrouping="1"/>
  </bookViews>
  <sheets>
    <sheet xmlns:r="http://schemas.openxmlformats.org/officeDocument/2006/relationships" name="填写说明" sheetId="1" state="visible" r:id="rId1"/>
    <sheet xmlns:r="http://schemas.openxmlformats.org/officeDocument/2006/relationships" name="功能点估算" sheetId="2" state="visible" r:id="rId2"/>
    <sheet xmlns:r="http://schemas.openxmlformats.org/officeDocument/2006/relationships" name="调整因子" sheetId="3" state="visible" r:id="rId3"/>
    <sheet xmlns:r="http://schemas.openxmlformats.org/officeDocument/2006/relationships" name="25年交付功能（不含废弃）" sheetId="4" state="hidden" r:id="rId4"/>
  </sheets>
  <externalReferences>
    <externalReference xmlns:r="http://schemas.openxmlformats.org/officeDocument/2006/relationships" r:id="rId5"/>
  </externalReferences>
  <definedNames>
    <definedName name="MmExcelLinker_906C69A3_41FD_4973_9FB2_54559DEDE127">业务卡全生命周期管理项目功能点估算-[1]大展!$B$3:$E$288</definedName>
    <definedName name="_xlnm.Print_Area" localSheetId="0">'填写说明'!$A$1:$M$9</definedName>
    <definedName name="_xlnm._FilterDatabase" localSheetId="1" hidden="1">'功能点估算'!$A$1:$AD$1729</definedName>
  </definedNames>
  <calcPr calcId="191029" fullCalcOnLoad="1" concurrentCalc="0"/>
</workbook>
</file>

<file path=xl/styles.xml><?xml version="1.0" encoding="utf-8"?>
<styleSheet xmlns="http://schemas.openxmlformats.org/spreadsheetml/2006/main">
  <numFmts count="4">
    <numFmt numFmtId="164" formatCode="0.0000_ "/>
    <numFmt numFmtId="165" formatCode="#\ ?/?"/>
    <numFmt numFmtId="166" formatCode="0.000_ "/>
    <numFmt numFmtId="167" formatCode="0.00_ "/>
  </numFmts>
  <fonts count="42">
    <font>
      <name val="宋体"/>
      <charset val="134"/>
      <sz val="12"/>
    </font>
    <font>
      <name val="宋体"/>
      <charset val="134"/>
      <b val="1"/>
      <color rgb="FF33CCCC"/>
      <sz val="12"/>
    </font>
    <font>
      <name val="Arial"/>
      <charset val="134"/>
      <color rgb="FF000000"/>
      <sz val="9"/>
    </font>
    <font>
      <name val="宋体"/>
      <charset val="134"/>
      <color rgb="FF000000"/>
      <sz val="9"/>
    </font>
    <font>
      <name val="宋体"/>
      <charset val="134"/>
      <color rgb="FF000000"/>
      <sz val="10"/>
    </font>
    <font>
      <name val="宋体"/>
      <charset val="134"/>
      <sz val="10"/>
    </font>
    <font>
      <name val="宋体"/>
      <charset val="134"/>
      <b val="1"/>
      <sz val="10"/>
    </font>
    <font>
      <name val="宋体"/>
      <charset val="134"/>
      <color indexed="8"/>
      <sz val="10"/>
    </font>
    <font>
      <name val="宋体"/>
      <charset val="134"/>
      <b val="1"/>
      <color indexed="8"/>
      <sz val="10"/>
    </font>
    <font>
      <name val="宋体"/>
      <charset val="134"/>
      <sz val="9"/>
    </font>
    <font>
      <name val="宋体"/>
      <charset val="0"/>
      <sz val="9"/>
    </font>
    <font>
      <name val="宋体"/>
      <charset val="134"/>
      <color theme="1"/>
      <sz val="9"/>
    </font>
    <font>
      <name val="宋体"/>
      <charset val="0"/>
      <b val="1"/>
      <sz val="9"/>
    </font>
    <font>
      <name val="宋体"/>
      <charset val="0"/>
      <color indexed="8"/>
      <sz val="9"/>
    </font>
    <font>
      <name val="宋体"/>
      <charset val="134"/>
      <color rgb="FFFF0000"/>
      <sz val="9"/>
    </font>
    <font>
      <name val="宋体"/>
      <charset val="134"/>
      <sz val="8"/>
    </font>
    <font>
      <name val="宋体"/>
      <charset val="134"/>
      <sz val="11"/>
    </font>
    <font>
      <name val="华文细黑"/>
      <charset val="134"/>
      <b val="1"/>
      <sz val="14"/>
    </font>
    <font>
      <name val="Times New Roman"/>
      <charset val="0"/>
      <sz val="12"/>
    </font>
    <font>
      <name val="宋体"/>
      <charset val="134"/>
      <color rgb="FF0000FF"/>
      <sz val="11"/>
      <u val="single"/>
      <scheme val="minor"/>
    </font>
    <font>
      <name val="宋体"/>
      <charset val="134"/>
      <color rgb="FF800080"/>
      <sz val="11"/>
      <u val="single"/>
      <scheme val="minor"/>
    </font>
    <font>
      <name val="宋体"/>
      <charset val="134"/>
      <color rgb="FFFF0000"/>
      <sz val="11"/>
      <scheme val="minor"/>
    </font>
    <font>
      <name val="宋体"/>
      <charset val="134"/>
      <b val="1"/>
      <color theme="3"/>
      <sz val="18"/>
      <scheme val="major"/>
    </font>
    <font>
      <name val="宋体"/>
      <charset val="134"/>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134"/>
      <color rgb="FF3F3F76"/>
      <sz val="11"/>
      <scheme val="minor"/>
    </font>
    <font>
      <name val="宋体"/>
      <charset val="134"/>
      <b val="1"/>
      <color rgb="FF3F3F3F"/>
      <sz val="11"/>
      <scheme val="minor"/>
    </font>
    <font>
      <name val="宋体"/>
      <charset val="134"/>
      <b val="1"/>
      <color rgb="FFFA7D00"/>
      <sz val="11"/>
      <scheme val="minor"/>
    </font>
    <font>
      <name val="宋体"/>
      <charset val="134"/>
      <b val="1"/>
      <color theme="0"/>
      <sz val="11"/>
      <scheme val="minor"/>
    </font>
    <font>
      <name val="宋体"/>
      <charset val="134"/>
      <color rgb="FFFA7D00"/>
      <sz val="11"/>
      <scheme val="minor"/>
    </font>
    <font>
      <name val="宋体"/>
      <charset val="134"/>
      <b val="1"/>
      <color theme="1"/>
      <sz val="11"/>
      <scheme val="minor"/>
    </font>
    <font>
      <name val="宋体"/>
      <charset val="134"/>
      <color rgb="FF006100"/>
      <sz val="11"/>
      <scheme val="minor"/>
    </font>
    <font>
      <name val="宋体"/>
      <charset val="134"/>
      <color rgb="FF9C0006"/>
      <sz val="11"/>
      <scheme val="minor"/>
    </font>
    <font>
      <name val="宋体"/>
      <charset val="134"/>
      <color rgb="FF9C6500"/>
      <sz val="11"/>
      <scheme val="minor"/>
    </font>
    <font>
      <name val="宋体"/>
      <charset val="134"/>
      <color theme="0"/>
      <sz val="11"/>
      <scheme val="minor"/>
    </font>
    <font>
      <name val="宋体"/>
      <charset val="134"/>
      <color theme="1"/>
      <sz val="11"/>
      <scheme val="minor"/>
    </font>
    <font>
      <name val="宋体"/>
      <charset val="134"/>
      <color indexed="8"/>
      <sz val="11"/>
    </font>
    <font>
      <name val="Arial"/>
      <charset val="0"/>
      <sz val="10"/>
    </font>
    <font>
      <name val="돋움"/>
      <charset val="134"/>
      <sz val="11"/>
    </font>
    <font>
      <name val="宋体"/>
      <charset val="134"/>
      <sz val="10"/>
    </font>
  </fonts>
  <fills count="41">
    <fill>
      <patternFill/>
    </fill>
    <fill>
      <patternFill patternType="gray125"/>
    </fill>
    <fill>
      <patternFill patternType="solid">
        <fgColor indexed="65"/>
        <bgColor indexed="64"/>
      </patternFill>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style="thin">
        <color auto="1"/>
      </left>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style="thin">
        <color auto="1"/>
      </right>
      <top style="thin">
        <color auto="1"/>
      </top>
      <bottom style="thin">
        <color indexed="8"/>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9" fillId="0" borderId="0" applyAlignment="1">
      <alignment vertical="center"/>
    </xf>
    <xf numFmtId="0" fontId="20" fillId="0" borderId="0" applyAlignment="1">
      <alignment vertical="center"/>
    </xf>
    <xf numFmtId="0" fontId="0" fillId="10" borderId="18" applyAlignment="1">
      <alignment vertical="center"/>
    </xf>
    <xf numFmtId="0" fontId="21" fillId="0" borderId="0" applyAlignment="1">
      <alignment vertical="center"/>
    </xf>
    <xf numFmtId="0" fontId="22" fillId="0" borderId="0" applyAlignment="1">
      <alignment vertical="center"/>
    </xf>
    <xf numFmtId="0" fontId="23" fillId="0" borderId="0" applyAlignment="1">
      <alignment vertical="center"/>
    </xf>
    <xf numFmtId="0" fontId="24" fillId="0" borderId="19" applyAlignment="1">
      <alignment vertical="center"/>
    </xf>
    <xf numFmtId="0" fontId="25" fillId="0" borderId="20" applyAlignment="1">
      <alignment vertical="center"/>
    </xf>
    <xf numFmtId="0" fontId="26" fillId="0" borderId="21" applyAlignment="1">
      <alignment vertical="center"/>
    </xf>
    <xf numFmtId="0" fontId="26" fillId="0" borderId="0" applyAlignment="1">
      <alignment vertical="center"/>
    </xf>
    <xf numFmtId="0" fontId="27" fillId="11" borderId="22" applyAlignment="1">
      <alignment vertical="center"/>
    </xf>
    <xf numFmtId="0" fontId="28" fillId="12" borderId="23" applyAlignment="1">
      <alignment vertical="center"/>
    </xf>
    <xf numFmtId="0" fontId="29" fillId="12" borderId="22" applyAlignment="1">
      <alignment vertical="center"/>
    </xf>
    <xf numFmtId="0" fontId="30" fillId="13" borderId="24" applyAlignment="1">
      <alignment vertical="center"/>
    </xf>
    <xf numFmtId="0" fontId="31" fillId="0" borderId="25" applyAlignment="1">
      <alignment vertical="center"/>
    </xf>
    <xf numFmtId="0" fontId="32" fillId="0" borderId="26"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7" fillId="18" borderId="0" applyAlignment="1">
      <alignment vertical="center"/>
    </xf>
    <xf numFmtId="0" fontId="37" fillId="19" borderId="0" applyAlignment="1">
      <alignment vertical="center"/>
    </xf>
    <xf numFmtId="0" fontId="36" fillId="20" borderId="0" applyAlignment="1">
      <alignment vertical="center"/>
    </xf>
    <xf numFmtId="0" fontId="36" fillId="21" borderId="0" applyAlignment="1">
      <alignment vertical="center"/>
    </xf>
    <xf numFmtId="0" fontId="37" fillId="22" borderId="0" applyAlignment="1">
      <alignment vertical="center"/>
    </xf>
    <xf numFmtId="0" fontId="37" fillId="23" borderId="0" applyAlignment="1">
      <alignment vertical="center"/>
    </xf>
    <xf numFmtId="0" fontId="36" fillId="24" borderId="0" applyAlignment="1">
      <alignment vertical="center"/>
    </xf>
    <xf numFmtId="0" fontId="36" fillId="25" borderId="0" applyAlignment="1">
      <alignment vertical="center"/>
    </xf>
    <xf numFmtId="0" fontId="37" fillId="26" borderId="0" applyAlignment="1">
      <alignment vertical="center"/>
    </xf>
    <xf numFmtId="0" fontId="37" fillId="27" borderId="0" applyAlignment="1">
      <alignment vertical="center"/>
    </xf>
    <xf numFmtId="0" fontId="36" fillId="28" borderId="0" applyAlignment="1">
      <alignment vertical="center"/>
    </xf>
    <xf numFmtId="0" fontId="36" fillId="29" borderId="0" applyAlignment="1">
      <alignment vertical="center"/>
    </xf>
    <xf numFmtId="0" fontId="37" fillId="30" borderId="0" applyAlignment="1">
      <alignment vertical="center"/>
    </xf>
    <xf numFmtId="0" fontId="37" fillId="31" borderId="0" applyAlignment="1">
      <alignment vertical="center"/>
    </xf>
    <xf numFmtId="0" fontId="36" fillId="32" borderId="0" applyAlignment="1">
      <alignment vertical="center"/>
    </xf>
    <xf numFmtId="0" fontId="36" fillId="33" borderId="0" applyAlignment="1">
      <alignment vertical="center"/>
    </xf>
    <xf numFmtId="0" fontId="37" fillId="34" borderId="0" applyAlignment="1">
      <alignment vertical="center"/>
    </xf>
    <xf numFmtId="0" fontId="37" fillId="35" borderId="0" applyAlignment="1">
      <alignment vertical="center"/>
    </xf>
    <xf numFmtId="0" fontId="36" fillId="36" borderId="0" applyAlignment="1">
      <alignment vertical="center"/>
    </xf>
    <xf numFmtId="0" fontId="36" fillId="37" borderId="0" applyAlignment="1">
      <alignment vertical="center"/>
    </xf>
    <xf numFmtId="0" fontId="37" fillId="38" borderId="0" applyAlignment="1">
      <alignment vertical="center"/>
    </xf>
    <xf numFmtId="0" fontId="37" fillId="39" borderId="0" applyAlignment="1">
      <alignment vertical="center"/>
    </xf>
    <xf numFmtId="0" fontId="36" fillId="40" borderId="0" applyAlignment="1">
      <alignment vertical="center"/>
    </xf>
    <xf numFmtId="0" fontId="0" fillId="0" borderId="0"/>
    <xf numFmtId="0" fontId="0" fillId="0" borderId="0"/>
    <xf numFmtId="0" fontId="0" fillId="0" borderId="0"/>
    <xf numFmtId="0" fontId="0" fillId="0" borderId="0"/>
    <xf numFmtId="0" fontId="38" fillId="0" borderId="0" applyAlignment="1">
      <alignment vertical="center"/>
    </xf>
    <xf numFmtId="0" fontId="37" fillId="0" borderId="0" applyAlignment="1">
      <alignment vertical="center"/>
    </xf>
    <xf numFmtId="0" fontId="39" fillId="0" borderId="0"/>
    <xf numFmtId="0" fontId="0" fillId="0" borderId="0" applyAlignment="1">
      <alignment vertical="center"/>
    </xf>
    <xf numFmtId="0" fontId="18" fillId="0" borderId="0"/>
    <xf numFmtId="0" fontId="40" fillId="0" borderId="0" applyAlignment="1">
      <alignment vertical="center"/>
    </xf>
  </cellStyleXfs>
  <cellXfs count="147">
    <xf numFmtId="0" fontId="0" fillId="0" borderId="0" pivotButton="0" quotePrefix="0" xfId="0"/>
    <xf numFmtId="0" fontId="1" fillId="0" borderId="1" applyAlignment="1" pivotButton="0" quotePrefix="0" xfId="0">
      <alignment horizontal="center" vertical="center" wrapText="1"/>
    </xf>
    <xf numFmtId="0" fontId="2" fillId="0" borderId="1" applyAlignment="1" pivotButton="0" quotePrefix="0" xfId="0">
      <alignment horizontal="left" vertical="center"/>
    </xf>
    <xf numFmtId="0" fontId="3" fillId="0" borderId="1" applyAlignment="1" pivotButton="0" quotePrefix="0" xfId="0">
      <alignment horizontal="left" vertical="center"/>
    </xf>
    <xf numFmtId="0" fontId="2" fillId="2" borderId="1" applyAlignment="1" pivotButton="0" quotePrefix="0" xfId="0">
      <alignment horizontal="left" vertical="center"/>
    </xf>
    <xf numFmtId="0" fontId="2" fillId="3" borderId="1" applyAlignment="1" pivotButton="0" quotePrefix="0" xfId="0">
      <alignment horizontal="left" vertical="center"/>
    </xf>
    <xf numFmtId="0" fontId="4" fillId="0" borderId="1" applyAlignment="1" pivotButton="0" quotePrefix="0" xfId="0">
      <alignment horizontal="left" vertical="center"/>
    </xf>
    <xf numFmtId="0" fontId="2" fillId="4" borderId="1" applyAlignment="1" pivotButton="0" quotePrefix="0" xfId="0">
      <alignment horizontal="left" vertical="center"/>
    </xf>
    <xf numFmtId="0" fontId="3" fillId="2" borderId="1" applyAlignment="1" pivotButton="0" quotePrefix="0" xfId="0">
      <alignment horizontal="left"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0" fontId="3" fillId="3" borderId="1" applyAlignment="1" pivotButton="0" quotePrefix="0" xfId="0">
      <alignment horizontal="left" vertical="center"/>
    </xf>
    <xf numFmtId="0" fontId="5" fillId="0" borderId="0" applyAlignment="1" pivotButton="0" quotePrefix="0" xfId="49">
      <alignment vertical="center"/>
    </xf>
    <xf numFmtId="0" fontId="6" fillId="0" borderId="0" applyAlignment="1" pivotButton="0" quotePrefix="0" xfId="49">
      <alignment vertical="center"/>
    </xf>
    <xf numFmtId="0" fontId="6" fillId="0" borderId="2" applyAlignment="1" pivotButton="0" quotePrefix="0" xfId="49">
      <alignment horizontal="center" vertical="center"/>
    </xf>
    <xf numFmtId="0" fontId="0" fillId="0" borderId="3" pivotButton="0" quotePrefix="0" xfId="0"/>
    <xf numFmtId="0" fontId="0" fillId="0" borderId="4" pivotButton="0" quotePrefix="0" xfId="0"/>
    <xf numFmtId="0" fontId="6" fillId="0" borderId="5" applyAlignment="1" pivotButton="0" quotePrefix="0" xfId="49">
      <alignment horizontal="center" vertical="center" wrapText="1"/>
    </xf>
    <xf numFmtId="0" fontId="0" fillId="0" borderId="6" pivotButton="0" quotePrefix="0" xfId="0"/>
    <xf numFmtId="0" fontId="5" fillId="0" borderId="2" applyAlignment="1" pivotButton="0" quotePrefix="0" xfId="0">
      <alignment horizontal="justify" vertical="center" wrapText="1"/>
    </xf>
    <xf numFmtId="0" fontId="4" fillId="0" borderId="2" applyAlignment="1" pivotButton="0" quotePrefix="0" xfId="0">
      <alignment horizontal="left" vertical="center" wrapText="1" indent="1"/>
    </xf>
    <xf numFmtId="0" fontId="7" fillId="0" borderId="2" applyAlignment="1" pivotButton="0" quotePrefix="0" xfId="49">
      <alignment vertical="center" wrapText="1"/>
    </xf>
    <xf numFmtId="0" fontId="4" fillId="0" borderId="2" applyAlignment="1" pivotButton="0" quotePrefix="0" xfId="0">
      <alignment horizontal="center" vertical="center" wrapText="1"/>
    </xf>
    <xf numFmtId="0" fontId="5" fillId="0" borderId="2" applyAlignment="1" pivotButton="0" quotePrefix="0" xfId="49">
      <alignment horizontal="center" vertical="center" wrapText="1"/>
    </xf>
    <xf numFmtId="0" fontId="5" fillId="0" borderId="2" applyAlignment="1" pivotButton="0" quotePrefix="0" xfId="0">
      <alignment horizontal="left" vertical="center" wrapText="1"/>
    </xf>
    <xf numFmtId="0" fontId="7" fillId="0" borderId="2" applyAlignment="1" pivotButton="0" quotePrefix="0" xfId="49">
      <alignment horizontal="center" vertical="center" wrapText="1"/>
    </xf>
    <xf numFmtId="0" fontId="5" fillId="0" borderId="2" applyAlignment="1" pivotButton="0" quotePrefix="0" xfId="0">
      <alignment horizontal="left" vertical="center" wrapText="1" indent="1"/>
    </xf>
    <xf numFmtId="0" fontId="6" fillId="0" borderId="7" applyAlignment="1" pivotButton="0" quotePrefix="0" xfId="49">
      <alignment horizontal="center" vertical="center" wrapText="1"/>
    </xf>
    <xf numFmtId="0" fontId="0" fillId="0" borderId="8" pivotButton="0" quotePrefix="0" xfId="0"/>
    <xf numFmtId="0" fontId="0" fillId="0" borderId="9" pivotButton="0" quotePrefix="0" xfId="0"/>
    <xf numFmtId="164" fontId="6" fillId="0" borderId="7" applyAlignment="1" pivotButton="0" quotePrefix="0" xfId="49">
      <alignment horizontal="left" vertical="center" wrapText="1"/>
    </xf>
    <xf numFmtId="0" fontId="6" fillId="0" borderId="0" applyAlignment="1" pivotButton="0" quotePrefix="0" xfId="49">
      <alignment horizontal="right" vertical="center" wrapText="1"/>
    </xf>
    <xf numFmtId="0" fontId="6" fillId="0" borderId="0" applyAlignment="1" pivotButton="0" quotePrefix="0" xfId="49">
      <alignment horizontal="left" vertical="center" wrapText="1"/>
    </xf>
    <xf numFmtId="0" fontId="6" fillId="0" borderId="10" applyAlignment="1" pivotButton="0" quotePrefix="0" xfId="49">
      <alignment horizontal="right" vertical="center" wrapText="1"/>
    </xf>
    <xf numFmtId="0" fontId="6" fillId="0" borderId="11" applyAlignment="1" pivotButton="0" quotePrefix="0" xfId="49">
      <alignment horizontal="center" vertical="center"/>
    </xf>
    <xf numFmtId="0" fontId="6" fillId="0" borderId="12" applyAlignment="1" pivotButton="0" quotePrefix="0" xfId="49">
      <alignment horizontal="center" vertical="center" wrapText="1"/>
    </xf>
    <xf numFmtId="0" fontId="6" fillId="0" borderId="2" applyAlignment="1" pivotButton="0" quotePrefix="0" xfId="49">
      <alignment vertical="center"/>
    </xf>
    <xf numFmtId="0" fontId="4" fillId="0" borderId="0" applyAlignment="1" pivotButton="0" quotePrefix="0" xfId="0">
      <alignment horizontal="center" vertical="center"/>
    </xf>
    <xf numFmtId="0" fontId="5" fillId="0" borderId="12" applyAlignment="1" pivotButton="0" quotePrefix="0" xfId="49">
      <alignment horizontal="center" vertical="center"/>
    </xf>
    <xf numFmtId="0" fontId="6" fillId="0" borderId="3" applyAlignment="1" pivotButton="0" quotePrefix="0" xfId="49">
      <alignment horizontal="center" vertical="center" wrapText="1"/>
    </xf>
    <xf numFmtId="0" fontId="6" fillId="0" borderId="11" applyAlignment="1" pivotButton="0" quotePrefix="0" xfId="49">
      <alignment vertical="center" wrapText="1"/>
    </xf>
    <xf numFmtId="0" fontId="5" fillId="0" borderId="4" applyAlignment="1" pivotButton="0" quotePrefix="0" xfId="49">
      <alignment horizontal="center" vertical="center"/>
    </xf>
    <xf numFmtId="0" fontId="4" fillId="0" borderId="0" applyAlignment="1" pivotButton="0" quotePrefix="0" xfId="0">
      <alignment horizontal="justify" vertical="center"/>
    </xf>
    <xf numFmtId="0" fontId="0" fillId="0" borderId="13" pivotButton="0" quotePrefix="0" xfId="0"/>
    <xf numFmtId="0" fontId="6" fillId="0" borderId="0" applyAlignment="1" pivotButton="0" quotePrefix="0" xfId="49">
      <alignment vertical="center" wrapText="1"/>
    </xf>
    <xf numFmtId="0" fontId="0" fillId="0" borderId="14" pivotButton="0" quotePrefix="0" xfId="0"/>
    <xf numFmtId="0" fontId="4" fillId="0" borderId="0" applyAlignment="1" pivotButton="0" quotePrefix="0" xfId="0">
      <alignment horizontal="right" vertical="center"/>
    </xf>
    <xf numFmtId="0" fontId="0" fillId="0" borderId="15" pivotButton="0" quotePrefix="0" xfId="0"/>
    <xf numFmtId="0" fontId="6" fillId="0" borderId="8" applyAlignment="1" pivotButton="0" quotePrefix="0" xfId="49">
      <alignment vertical="center" wrapText="1"/>
    </xf>
    <xf numFmtId="0" fontId="6" fillId="0" borderId="2" applyAlignment="1" pivotButton="0" quotePrefix="0" xfId="49">
      <alignment horizontal="center" vertical="center" wrapText="1"/>
    </xf>
    <xf numFmtId="0" fontId="8" fillId="0" borderId="2" applyAlignment="1" pivotButton="0" quotePrefix="0" xfId="49">
      <alignment horizontal="center" vertical="center" wrapText="1"/>
    </xf>
    <xf numFmtId="0" fontId="5" fillId="0" borderId="2" applyAlignment="1" pivotButton="0" quotePrefix="0" xfId="49">
      <alignment horizontal="center" vertical="center"/>
    </xf>
    <xf numFmtId="0" fontId="5" fillId="0" borderId="2" applyAlignment="1" pivotButton="0" quotePrefix="0" xfId="49">
      <alignment vertical="center"/>
    </xf>
    <xf numFmtId="0" fontId="0" fillId="0" borderId="16" pivotButton="0" quotePrefix="0" xfId="0"/>
    <xf numFmtId="0" fontId="0" fillId="0" borderId="7" pivotButton="0" quotePrefix="0" xfId="0"/>
    <xf numFmtId="0" fontId="5" fillId="0" borderId="4" applyAlignment="1" pivotButton="0" quotePrefix="0" xfId="49">
      <alignment horizontal="left" vertical="center"/>
    </xf>
    <xf numFmtId="0" fontId="6" fillId="0" borderId="4" applyAlignment="1" pivotButton="0" quotePrefix="0" xfId="49">
      <alignment horizontal="center" vertical="center" wrapText="1"/>
    </xf>
    <xf numFmtId="0" fontId="5" fillId="0" borderId="4" applyAlignment="1" pivotButton="0" quotePrefix="0" xfId="49">
      <alignment horizontal="center" vertical="center" wrapText="1"/>
    </xf>
    <xf numFmtId="0" fontId="5" fillId="0" borderId="0" applyAlignment="1" pivotButton="0" quotePrefix="0" xfId="49">
      <alignment horizontal="center" vertical="center"/>
    </xf>
    <xf numFmtId="0" fontId="5" fillId="0" borderId="0" applyAlignment="1" pivotButton="0" quotePrefix="0" xfId="49">
      <alignment horizontal="center" vertical="center" wrapText="1"/>
    </xf>
    <xf numFmtId="0" fontId="5" fillId="0" borderId="0" applyAlignment="1" pivotButton="0" quotePrefix="0" xfId="49">
      <alignment vertical="center" wrapText="1"/>
    </xf>
    <xf numFmtId="0" fontId="5" fillId="0" borderId="2" applyAlignment="1" pivotButton="0" quotePrefix="0" xfId="49">
      <alignment vertical="center" wrapText="1"/>
    </xf>
    <xf numFmtId="0" fontId="6" fillId="0" borderId="0" applyAlignment="1" pivotButton="0" quotePrefix="0" xfId="49">
      <alignment horizontal="center" vertical="center" wrapText="1"/>
    </xf>
    <xf numFmtId="0" fontId="9" fillId="0" borderId="0" applyAlignment="1" pivotButton="0" quotePrefix="0" xfId="49">
      <alignment horizontal="center" vertical="center" wrapText="1"/>
    </xf>
    <xf numFmtId="0" fontId="9" fillId="0" borderId="0" applyAlignment="1" pivotButton="0" quotePrefix="0" xfId="49">
      <alignment vertical="center" wrapText="1"/>
    </xf>
    <xf numFmtId="0" fontId="9" fillId="0" borderId="2" applyAlignment="1" pivotButton="0" quotePrefix="0" xfId="49">
      <alignment vertical="center" wrapText="1"/>
    </xf>
    <xf numFmtId="165" fontId="9" fillId="0" borderId="0" applyAlignment="1" pivotButton="0" quotePrefix="0" xfId="49">
      <alignment horizontal="center" vertical="center" wrapText="1"/>
    </xf>
    <xf numFmtId="166" fontId="9" fillId="0" borderId="0" applyAlignment="1" pivotButton="0" quotePrefix="0" xfId="49">
      <alignment horizontal="center" vertical="center" wrapText="1"/>
    </xf>
    <xf numFmtId="167" fontId="9" fillId="0" borderId="0" applyAlignment="1" pivotButton="0" quotePrefix="0" xfId="49">
      <alignment horizontal="center" vertical="center" wrapText="1"/>
    </xf>
    <xf numFmtId="0" fontId="9" fillId="0" borderId="12" applyAlignment="1" pivotButton="0" quotePrefix="0" xfId="49">
      <alignment horizontal="center" vertical="center" wrapText="1"/>
    </xf>
    <xf numFmtId="0" fontId="9" fillId="0" borderId="2" applyAlignment="1" pivotButton="0" quotePrefix="0" xfId="49">
      <alignment horizontal="center" vertical="center" wrapText="1"/>
    </xf>
    <xf numFmtId="0" fontId="9" fillId="6" borderId="2" applyAlignment="1" pivotButton="0" quotePrefix="0" xfId="49">
      <alignment horizontal="center" vertical="center" wrapText="1"/>
    </xf>
    <xf numFmtId="165" fontId="9" fillId="0" borderId="2" applyAlignment="1" pivotButton="0" quotePrefix="0" xfId="49">
      <alignment horizontal="center" vertical="center" wrapText="1"/>
    </xf>
    <xf numFmtId="166" fontId="9" fillId="0" borderId="2" applyAlignment="1" pivotButton="0" quotePrefix="0" xfId="49">
      <alignment horizontal="center" vertical="center" wrapText="1"/>
    </xf>
    <xf numFmtId="167" fontId="9" fillId="0" borderId="2" applyAlignment="1" pivotButton="0" quotePrefix="0" xfId="49">
      <alignment horizontal="center" vertical="center" wrapText="1"/>
    </xf>
    <xf numFmtId="0" fontId="9" fillId="0" borderId="4" applyAlignment="1" pivotButton="0" quotePrefix="0" xfId="49">
      <alignment horizontal="center" vertical="center" wrapText="1"/>
    </xf>
    <xf numFmtId="0" fontId="9" fillId="0" borderId="2"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16" applyAlignment="1" pivotButton="0" quotePrefix="0" xfId="0">
      <alignment horizontal="center" vertical="center" wrapText="1"/>
    </xf>
    <xf numFmtId="0" fontId="10" fillId="0" borderId="2" applyAlignment="1" pivotButton="0" quotePrefix="0" xfId="0">
      <alignment horizontal="center" vertical="center" wrapText="1"/>
    </xf>
    <xf numFmtId="0" fontId="10" fillId="0" borderId="2" applyAlignment="1" pivotButton="0" quotePrefix="0" xfId="0">
      <alignment horizontal="center" vertical="center"/>
    </xf>
    <xf numFmtId="0" fontId="9" fillId="0" borderId="2" applyAlignment="1" pivotButton="0" quotePrefix="0" xfId="0">
      <alignment horizontal="center" vertical="center"/>
    </xf>
    <xf numFmtId="0" fontId="11" fillId="0" borderId="2" applyAlignment="1" pivotButton="0" quotePrefix="0" xfId="50">
      <alignment horizontal="center" vertical="center"/>
    </xf>
    <xf numFmtId="0" fontId="9" fillId="0" borderId="2" applyAlignment="1" pivotButton="0" quotePrefix="0" xfId="52">
      <alignment horizontal="center" vertical="center" wrapText="1"/>
    </xf>
    <xf numFmtId="0" fontId="9" fillId="0" borderId="2" applyAlignment="1" pivotButton="0" quotePrefix="0" xfId="56">
      <alignment horizontal="center" vertical="center" wrapText="1"/>
    </xf>
    <xf numFmtId="165" fontId="9" fillId="0" borderId="2" applyAlignment="1" pivotButton="0" quotePrefix="0" xfId="0">
      <alignment horizontal="center" vertical="center" wrapText="1"/>
    </xf>
    <xf numFmtId="166" fontId="9" fillId="0" borderId="2" applyAlignment="1" pivotButton="0" quotePrefix="0" xfId="0">
      <alignment horizontal="center" vertical="center" wrapText="1"/>
    </xf>
    <xf numFmtId="167" fontId="9" fillId="0" borderId="2" applyAlignment="1" pivotButton="0" quotePrefix="0" xfId="51">
      <alignment horizontal="center" vertical="center" wrapText="1"/>
    </xf>
    <xf numFmtId="0" fontId="3" fillId="0" borderId="2" applyAlignment="1" pivotButton="0" quotePrefix="0" xfId="0">
      <alignment horizontal="center" vertical="center" wrapText="1"/>
    </xf>
    <xf numFmtId="0" fontId="3" fillId="0" borderId="2" applyAlignment="1" pivotButton="0" quotePrefix="0" xfId="0">
      <alignment horizontal="center" vertical="center"/>
    </xf>
    <xf numFmtId="0" fontId="12" fillId="0" borderId="2" applyAlignment="1" pivotButton="0" quotePrefix="0" xfId="0">
      <alignment horizontal="center" vertical="center"/>
    </xf>
    <xf numFmtId="0" fontId="13" fillId="0" borderId="2" applyAlignment="1" pivotButton="0" quotePrefix="0" xfId="0">
      <alignment horizontal="center" vertical="center" wrapText="1"/>
    </xf>
    <xf numFmtId="0" fontId="9" fillId="5" borderId="2" applyAlignment="1" pivotButton="0" quotePrefix="0" xfId="0">
      <alignment horizontal="center" vertical="center"/>
    </xf>
    <xf numFmtId="0" fontId="9" fillId="4" borderId="2" applyAlignment="1" pivotButton="0" quotePrefix="0" xfId="0">
      <alignment horizontal="center" vertical="center"/>
    </xf>
    <xf numFmtId="0" fontId="9" fillId="6" borderId="2" applyAlignment="1" pivotButton="0" quotePrefix="0" xfId="0">
      <alignment horizontal="center" vertical="center"/>
    </xf>
    <xf numFmtId="0" fontId="11" fillId="0" borderId="2" applyAlignment="1" pivotButton="0" quotePrefix="0" xfId="50">
      <alignment horizontal="center" vertical="center" wrapText="1"/>
    </xf>
    <xf numFmtId="0" fontId="11" fillId="0" borderId="2" applyAlignment="1" pivotButton="0" quotePrefix="0" xfId="0">
      <alignment horizontal="center" vertical="center"/>
    </xf>
    <xf numFmtId="0" fontId="9" fillId="0" borderId="4" applyAlignment="1" pivotButton="0" quotePrefix="0" xfId="0">
      <alignment horizontal="center" vertical="center"/>
    </xf>
    <xf numFmtId="0" fontId="11" fillId="4" borderId="2" applyAlignment="1" pivotButton="0" quotePrefix="0" xfId="50">
      <alignment horizontal="center" vertical="center"/>
    </xf>
    <xf numFmtId="0" fontId="11" fillId="6" borderId="2" applyAlignment="1" pivotButton="0" quotePrefix="0" xfId="50">
      <alignment horizontal="center" vertical="center"/>
    </xf>
    <xf numFmtId="0" fontId="9" fillId="0" borderId="2" applyAlignment="1" pivotButton="0" quotePrefix="0" xfId="49">
      <alignment horizontal="center" vertical="center"/>
    </xf>
    <xf numFmtId="0" fontId="9" fillId="0" borderId="17" applyAlignment="1" pivotButton="0" quotePrefix="0" xfId="49">
      <alignment horizontal="center" vertical="center" wrapText="1"/>
    </xf>
    <xf numFmtId="0" fontId="10" fillId="7" borderId="2" applyAlignment="1" pivotButton="0" quotePrefix="0" xfId="0">
      <alignment horizontal="center" vertical="center"/>
    </xf>
    <xf numFmtId="0" fontId="9" fillId="7" borderId="2" applyAlignment="1" pivotButton="0" quotePrefix="0" xfId="0">
      <alignment horizontal="center" vertical="center"/>
    </xf>
    <xf numFmtId="0" fontId="9" fillId="0" borderId="5" applyAlignment="1" pivotButton="0" quotePrefix="0" xfId="0">
      <alignment horizontal="center" vertical="center" wrapText="1"/>
    </xf>
    <xf numFmtId="0" fontId="9" fillId="0" borderId="5" applyAlignment="1" pivotButton="0" quotePrefix="0" xfId="0">
      <alignment horizontal="center" vertical="center"/>
    </xf>
    <xf numFmtId="0" fontId="9" fillId="0" borderId="16" applyAlignment="1" pivotButton="0" quotePrefix="0" xfId="0">
      <alignment horizontal="center" vertical="center" wrapText="1"/>
    </xf>
    <xf numFmtId="0" fontId="9" fillId="0" borderId="16" applyAlignment="1" pivotButton="0" quotePrefix="0" xfId="0">
      <alignment horizontal="center" vertical="center"/>
    </xf>
    <xf numFmtId="0" fontId="11" fillId="0" borderId="2" applyAlignment="1" pivotButton="0" quotePrefix="0" xfId="50">
      <alignment horizontal="center" vertical="center"/>
    </xf>
    <xf numFmtId="0" fontId="9" fillId="0" borderId="7" applyAlignment="1" pivotButton="0" quotePrefix="0" xfId="0">
      <alignment horizontal="center" vertical="center"/>
    </xf>
    <xf numFmtId="0" fontId="14" fillId="0" borderId="2" applyAlignment="1" pivotButton="0" quotePrefix="0" xfId="50">
      <alignment horizontal="center" vertical="center"/>
    </xf>
    <xf numFmtId="0" fontId="11" fillId="0" borderId="2" applyAlignment="1" pivotButton="0" quotePrefix="0" xfId="0">
      <alignment horizontal="center" vertical="center" wrapText="1"/>
    </xf>
    <xf numFmtId="0" fontId="9" fillId="0" borderId="7" applyAlignment="1" pivotButton="0" quotePrefix="0" xfId="0">
      <alignment horizontal="center" vertical="center" wrapText="1"/>
    </xf>
    <xf numFmtId="0" fontId="10" fillId="0" borderId="17" applyAlignment="1" pivotButton="0" quotePrefix="0" xfId="0">
      <alignment horizontal="center" vertical="center"/>
    </xf>
    <xf numFmtId="0" fontId="9" fillId="0" borderId="17" applyAlignment="1" pivotButton="0" quotePrefix="0" xfId="0">
      <alignment horizontal="center" vertical="center"/>
    </xf>
    <xf numFmtId="0" fontId="10" fillId="0" borderId="17" applyAlignment="1" pivotButton="0" quotePrefix="0" xfId="0">
      <alignment horizontal="center" vertical="center" wrapText="1"/>
    </xf>
    <xf numFmtId="0" fontId="9" fillId="0" borderId="17" applyAlignment="1" pivotButton="0" quotePrefix="0" xfId="0">
      <alignment horizontal="center" vertical="center" wrapText="1"/>
    </xf>
    <xf numFmtId="0" fontId="3" fillId="0" borderId="0" applyAlignment="1" pivotButton="0" quotePrefix="0" xfId="0">
      <alignment horizontal="center" vertical="center" wrapText="1"/>
    </xf>
    <xf numFmtId="167" fontId="15" fillId="0" borderId="2" applyAlignment="1" pivotButton="0" quotePrefix="0" xfId="51">
      <alignment horizontal="center" vertical="center" wrapText="1"/>
    </xf>
    <xf numFmtId="0" fontId="9" fillId="0" borderId="7" applyAlignment="1" pivotButton="0" quotePrefix="0" xfId="49">
      <alignment vertical="center" wrapText="1"/>
    </xf>
    <xf numFmtId="0" fontId="9" fillId="0" borderId="5" applyAlignment="1" pivotButton="0" quotePrefix="0" xfId="49">
      <alignment vertical="center" wrapText="1"/>
    </xf>
    <xf numFmtId="0" fontId="16" fillId="8" borderId="0" applyAlignment="1" pivotButton="0" quotePrefix="0" xfId="49">
      <alignment horizontal="center" vertical="center" wrapText="1"/>
    </xf>
    <xf numFmtId="0" fontId="16" fillId="8" borderId="8" applyAlignment="1" pivotButton="0" quotePrefix="0" xfId="49">
      <alignment horizontal="center" vertical="top" wrapText="1"/>
    </xf>
    <xf numFmtId="0" fontId="16" fillId="8" borderId="0" applyAlignment="1" pivotButton="0" quotePrefix="0" xfId="49">
      <alignment vertical="top" wrapText="1"/>
    </xf>
    <xf numFmtId="0" fontId="17" fillId="9" borderId="2" applyAlignment="1" pivotButton="0" quotePrefix="0" xfId="49">
      <alignment horizontal="left" vertical="center"/>
    </xf>
    <xf numFmtId="0" fontId="16" fillId="8" borderId="0" applyAlignment="1" pivotButton="0" quotePrefix="0" xfId="49">
      <alignment horizontal="left" vertical="top" wrapText="1"/>
    </xf>
    <xf numFmtId="0" fontId="16" fillId="8" borderId="2" applyAlignment="1" pivotButton="0" quotePrefix="0" xfId="49">
      <alignment horizontal="center" vertical="center" wrapText="1"/>
    </xf>
    <xf numFmtId="0" fontId="18" fillId="0" borderId="0" pivotButton="0" quotePrefix="0" xfId="49"/>
    <xf numFmtId="0" fontId="16" fillId="8" borderId="2" applyAlignment="1" pivotButton="0" quotePrefix="0" xfId="49">
      <alignment horizontal="left" vertical="center" wrapText="1"/>
    </xf>
    <xf numFmtId="0" fontId="16" fillId="8" borderId="5" applyAlignment="1" pivotButton="0" quotePrefix="0" xfId="49">
      <alignment horizontal="left" vertical="center" wrapText="1"/>
    </xf>
    <xf numFmtId="0" fontId="0" fillId="0" borderId="11" pivotButton="0" quotePrefix="0" xfId="0"/>
    <xf numFmtId="0" fontId="18" fillId="0" borderId="0" applyAlignment="1" pivotButton="0" quotePrefix="0" xfId="49">
      <alignment vertical="center"/>
    </xf>
    <xf numFmtId="0" fontId="16" fillId="8" borderId="15" applyAlignment="1" pivotButton="0" quotePrefix="0" xfId="49">
      <alignment horizontal="center" vertical="center" wrapText="1"/>
    </xf>
    <xf numFmtId="0" fontId="16" fillId="8" borderId="8" applyAlignment="1" pivotButton="0" quotePrefix="0" xfId="49">
      <alignment horizontal="center" vertical="center" wrapText="1"/>
    </xf>
    <xf numFmtId="0" fontId="16" fillId="8" borderId="9" applyAlignment="1" pivotButton="0" quotePrefix="0" xfId="49">
      <alignment horizontal="center" vertical="center" wrapText="1"/>
    </xf>
    <xf numFmtId="0" fontId="16" fillId="8" borderId="0" applyAlignment="1" pivotButton="0" quotePrefix="0" xfId="49">
      <alignment horizontal="left" vertical="center" wrapText="1"/>
    </xf>
    <xf numFmtId="165" fontId="9" fillId="0" borderId="0" applyAlignment="1" pivotButton="0" quotePrefix="0" xfId="49">
      <alignment horizontal="center" vertical="center" wrapText="1"/>
    </xf>
    <xf numFmtId="166" fontId="9" fillId="0" borderId="0" applyAlignment="1" pivotButton="0" quotePrefix="0" xfId="49">
      <alignment horizontal="center" vertical="center" wrapText="1"/>
    </xf>
    <xf numFmtId="167" fontId="9" fillId="0" borderId="0" applyAlignment="1" pivotButton="0" quotePrefix="0" xfId="49">
      <alignment horizontal="center" vertical="center" wrapText="1"/>
    </xf>
    <xf numFmtId="165" fontId="9" fillId="0" borderId="2" applyAlignment="1" pivotButton="0" quotePrefix="0" xfId="49">
      <alignment horizontal="center" vertical="center" wrapText="1"/>
    </xf>
    <xf numFmtId="166" fontId="9" fillId="0" borderId="2" applyAlignment="1" pivotButton="0" quotePrefix="0" xfId="49">
      <alignment horizontal="center" vertical="center" wrapText="1"/>
    </xf>
    <xf numFmtId="167" fontId="9" fillId="0" borderId="2" applyAlignment="1" pivotButton="0" quotePrefix="0" xfId="49">
      <alignment horizontal="center" vertical="center" wrapText="1"/>
    </xf>
    <xf numFmtId="165" fontId="9" fillId="0" borderId="2" applyAlignment="1" pivotButton="0" quotePrefix="0" xfId="0">
      <alignment horizontal="center" vertical="center" wrapText="1"/>
    </xf>
    <xf numFmtId="166" fontId="9" fillId="0" borderId="2" applyAlignment="1" pivotButton="0" quotePrefix="0" xfId="0">
      <alignment horizontal="center" vertical="center" wrapText="1"/>
    </xf>
    <xf numFmtId="167" fontId="9" fillId="0" borderId="2" applyAlignment="1" pivotButton="0" quotePrefix="0" xfId="51">
      <alignment horizontal="center" vertical="center" wrapText="1"/>
    </xf>
    <xf numFmtId="167" fontId="15" fillId="0" borderId="2" applyAlignment="1" pivotButton="0" quotePrefix="0" xfId="51">
      <alignment horizontal="center" vertical="center" wrapText="1"/>
    </xf>
    <xf numFmtId="164" fontId="6" fillId="0" borderId="7" applyAlignment="1" pivotButton="0" quotePrefix="0" xfId="49">
      <alignment horizontal="left" vertical="center" wrapText="1"/>
    </xf>
  </cellXfs>
  <cellStyles count="5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13;&#10;NA_x0008__x0004_" xfId="49"/>
    <cellStyle name="0,0&#13;&#10;NA_x0008__x0004_ 2" xfId="50"/>
    <cellStyle name="0,0_x000d__x000a_NA_x0008__x0004_" xfId="51"/>
    <cellStyle name="0,0_x000d__x000a_NA_x0008__x0004_ 2" xfId="52"/>
    <cellStyle name="常规 10 2 2 2 2 2 2" xfId="53"/>
    <cellStyle name="常规 3" xfId="54"/>
    <cellStyle name="常规 5" xfId="55"/>
    <cellStyle name="常规_Fast Funtion Point Estimation Form 4" xfId="56"/>
    <cellStyle name="样式 1" xfId="57"/>
    <cellStyle name="표준_Table_List" xfId="58"/>
  </cellStyles>
  <dxfs count="2">
    <dxf>
      <fill>
        <patternFill patternType="solid">
          <bgColor rgb="FFFF0000"/>
        </patternFill>
      </fill>
    </dxf>
    <dxf>
      <fill>
        <patternFill patternType="solid">
          <bgColor rgb="FFFF99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dell</author>
  </authors>
  <commentList>
    <comment ref="Q1" authorId="0" shapeId="0">
      <text>
        <t xml:space="preserve">dell:
输入1，2/3，1/3，0.2,0.1
</t>
      </text>
    </comment>
  </commentList>
</comments>
</file>

<file path=xl/externalLinks/_rels/externalLink1.xml.rels><Relationships xmlns="http://schemas.openxmlformats.org/package/2006/relationships"><Relationship Type="http://schemas.openxmlformats.org/officeDocument/2006/relationships/externalLinkPath" Target="file:///F:\Users\wuling\Documents\WeChat%20Files\wxid_7izxqiqwl7o722\FileStorage\File\2020-09\&#22823;&#23637;"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 val="sheet"/>
      <sheetName val="Sheet1"/>
      <sheetName val="调整因子（汇总）"/>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9525" cap="flat" cmpd="sng">
          <a:solidFill>
            <a:srgbClr val="000000"/>
          </a:solidFill>
          <a:prstDash val="solid"/>
          <a:headEnd type="none" w="med" len="med"/>
          <a:tailEnd type="none" w="med" len="med"/>
        </a:ln>
      </a:spPr>
      <a:bodyPr/>
      <a:lstStyle/>
    </a:spDef>
  </a:objectDefaul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1">
    <outlinePr summaryBelow="1" summaryRight="1"/>
    <pageSetUpPr/>
  </sheetPr>
  <dimension ref="A1:J9"/>
  <sheetViews>
    <sheetView topLeftCell="A5" workbookViewId="0">
      <selection activeCell="E4" sqref="E4:G7"/>
    </sheetView>
  </sheetViews>
  <sheetFormatPr baseColWidth="8" defaultColWidth="8.58333333333333" defaultRowHeight="19.5" customHeight="1"/>
  <cols>
    <col width="7.08333333333333" customWidth="1" style="121" min="1" max="1"/>
    <col width="17" customWidth="1" style="121" min="2" max="2"/>
    <col width="23.5" customWidth="1" style="121" min="3" max="3"/>
    <col width="29" customWidth="1" style="121" min="4" max="4"/>
    <col width="14.0833333333333" customWidth="1" style="121" min="5" max="7"/>
    <col width="9" customWidth="1" style="121" min="8" max="32"/>
    <col width="8.58333333333333" customWidth="1" style="121" min="33" max="16384"/>
  </cols>
  <sheetData>
    <row r="1" ht="205.4" customHeight="1">
      <c r="A1" s="122" t="inlineStr">
        <is>
          <t xml:space="preserve">一个软件都被看作是由外部输入处理、外部输出处理、外部查询处理、内部逻辑文件和外部参照文件五种要素组成。
</t>
        </is>
      </c>
      <c r="B1" s="28" t="n"/>
      <c r="C1" s="28" t="n"/>
      <c r="D1" s="28" t="n"/>
      <c r="E1" s="28" t="n"/>
      <c r="F1" s="28" t="n"/>
      <c r="G1" s="28" t="n"/>
      <c r="H1" s="123" t="n"/>
      <c r="I1" s="123" t="n"/>
      <c r="J1" s="123" t="n"/>
    </row>
    <row r="2" ht="21.75" customHeight="1">
      <c r="A2" s="124" t="inlineStr">
        <is>
          <t>一、填写项目说明</t>
        </is>
      </c>
      <c r="B2" s="15" t="n"/>
      <c r="C2" s="15" t="n"/>
      <c r="D2" s="15" t="n"/>
      <c r="E2" s="15" t="n"/>
      <c r="F2" s="15" t="n"/>
      <c r="G2" s="16" t="n"/>
      <c r="H2" s="125" t="n"/>
      <c r="I2" s="125" t="n"/>
      <c r="J2" s="125" t="n"/>
    </row>
    <row r="3" ht="15.6" customHeight="1">
      <c r="A3" s="126" t="inlineStr">
        <is>
          <t>序号</t>
        </is>
      </c>
      <c r="B3" s="126" t="inlineStr">
        <is>
          <t>项目</t>
        </is>
      </c>
      <c r="C3" s="126" t="inlineStr">
        <is>
          <t>说明</t>
        </is>
      </c>
      <c r="D3" s="126" t="inlineStr">
        <is>
          <t>判定标准</t>
        </is>
      </c>
      <c r="E3" s="126" t="inlineStr">
        <is>
          <t>复杂度判断标准</t>
        </is>
      </c>
      <c r="F3" s="15" t="n"/>
      <c r="G3" s="16" t="n"/>
      <c r="I3" s="127" t="inlineStr">
        <is>
          <t>EI的复杂度</t>
        </is>
      </c>
    </row>
    <row r="4" ht="54" customHeight="1">
      <c r="A4" s="126" t="n">
        <v>1</v>
      </c>
      <c r="B4" s="128" t="inlineStr">
        <is>
          <t>EI(ExternalInput)
数据维护</t>
        </is>
      </c>
      <c r="C4" s="128" t="inlineStr">
        <is>
          <t>获得数据的过程，对终端用户的输入进行相关的处理</t>
        </is>
      </c>
      <c r="D4" s="128" t="inlineStr">
        <is>
          <t>1)数据是从系统边界外部获取的
2)事务处理是对ILF的插入、修改、删除操作</t>
        </is>
      </c>
      <c r="E4" s="129" t="inlineStr">
        <is>
          <t>1.如使用估算法，则默认ILF和EIF的复杂度取低，EI,EO,EQ的复杂度取中，按照复杂度参数表，则ILF、EIF、EI、EO、EQ分别取7、5、4、5、4。
2.如使用详细估算法，则文件ILF、EIF的复杂程度通常是用该文件的纪录种类数和项目数来度量的，记录种类越多，项目数越多，复杂程度就越高；三种处理EI、EQ、EO的复杂程度通常是用该处理中使用文件个数（通常对应为数据库表数）以及用到的文件中的项目数（通常对应为数据库表的字段数）来度量的，复杂程度与文件数和项目数成正比。即用到的文件数约多，项目数越多，复杂程度就越高；具体取值如下表所示；</t>
        </is>
      </c>
      <c r="F4" s="130" t="n"/>
      <c r="G4" s="18" t="n"/>
    </row>
    <row r="5" ht="130.5" customHeight="1">
      <c r="A5" s="126" t="n">
        <v>2</v>
      </c>
      <c r="B5" s="128" t="inlineStr">
        <is>
          <t>EO(ExternalOutput)
数据编辑</t>
        </is>
      </c>
      <c r="C5" s="128" t="inlineStr">
        <is>
          <t>反馈数据的过程，完成对票据、报表等的输出</t>
        </is>
      </c>
      <c r="D5" s="128" t="inlineStr">
        <is>
          <t>1)向系统边界的外部输出数据
2)一般可以包含下列业务处理逻辑：
一个以上的数学运算处理
由基础数据生成新的数据
对一个以上的ILF进行插入、修改、删除操作
执行系统动作的变更</t>
        </is>
      </c>
      <c r="E5" s="43" t="n"/>
      <c r="G5" s="45" t="n"/>
      <c r="I5" s="127" t="inlineStr">
        <is>
          <t>EO、EQ的复杂度</t>
        </is>
      </c>
    </row>
    <row r="6" ht="129.6" customHeight="1">
      <c r="A6" s="126" t="n">
        <v>3</v>
      </c>
      <c r="B6" s="128" t="inlineStr">
        <is>
          <t>EQ(ExternalInquiry)
数据展现。</t>
        </is>
      </c>
      <c r="C6" s="128" t="inlineStr">
        <is>
          <t>针对终端用户的查询请求，输出相应的检索结果</t>
        </is>
      </c>
      <c r="D6" s="128" t="inlineStr">
        <is>
          <t>1)从系统边界外部获取数据
2)向系统边界外部输出数据
3)如果包含下列处理逻辑，则不是EQ：
一个以上的数学运算处理
由基础数据生成新的数据
对一个以上的ILF进行插入、修改、删除操作
执行系统动作的变更</t>
        </is>
      </c>
      <c r="E6" s="43" t="n"/>
      <c r="G6" s="45" t="n"/>
    </row>
    <row r="7" ht="58.5" customHeight="1">
      <c r="A7" s="126" t="n">
        <v>4</v>
      </c>
      <c r="B7" s="128" t="inlineStr">
        <is>
          <t>ILF(InternalLogicalFile)
类表</t>
        </is>
      </c>
      <c r="C7" s="128" t="inlineStr">
        <is>
          <t>是在信息系统内部，为了完成相关功能使用的逻辑文件，包括顺序文件、数据库表、临时文件等</t>
        </is>
      </c>
      <c r="D7" s="128" t="inlineStr">
        <is>
          <t>在计测系统范围内，有检索操作，同时也有插入、更新、删除操作的数据</t>
        </is>
      </c>
      <c r="E7" s="43" t="n"/>
      <c r="G7" s="45" t="n"/>
      <c r="I7" s="131" t="inlineStr">
        <is>
          <t>ILF、EIF的复杂程度</t>
        </is>
      </c>
    </row>
    <row r="8" ht="111" customHeight="1">
      <c r="A8" s="126" t="n">
        <v>5</v>
      </c>
      <c r="B8" s="128" t="inlineStr">
        <is>
          <t>EIF(ExternalInterfaceFile)
接口类表</t>
        </is>
      </c>
      <c r="C8" s="128" t="inlineStr">
        <is>
          <t>该系统和外部其他信息系统为了交换数据而使用的接口文件</t>
        </is>
      </c>
      <c r="D8" s="128" t="inlineStr">
        <is>
          <t xml:space="preserve">1)在计测范围内的系统检索，在计测范围外的系统保存的数据
2)在计测系统范围内，没有插入、更新、删除等操作的数据
3)是计测范围外系统的ILF
</t>
        </is>
      </c>
      <c r="E8" s="132" t="n"/>
      <c r="F8" s="133" t="n"/>
      <c r="G8" s="134" t="n"/>
    </row>
    <row r="9" ht="111" customHeight="1">
      <c r="B9" s="135" t="n"/>
      <c r="C9" s="135" t="n"/>
      <c r="D9" s="135" t="n"/>
      <c r="E9" s="135" t="n"/>
      <c r="F9" s="135" t="n"/>
      <c r="G9" s="135" t="n"/>
    </row>
  </sheetData>
  <mergeCells count="4">
    <mergeCell ref="A1:G1"/>
    <mergeCell ref="A2:G2"/>
    <mergeCell ref="E4:G7"/>
    <mergeCell ref="E3:G3"/>
  </mergeCells>
  <pageMargins left="0.75" right="0.75" top="1" bottom="1" header="0.5" footer="0.5"/>
  <pageSetup orientation="portrait" paperSize="9" scale="26" horizontalDpi="600" verticalDpi="600"/>
  <headerFooter alignWithMargins="0">
    <oddHeader>&amp;L&amp;G&amp;C超级邮箱应用软件功能点调查表(0422)&amp;R内部公开</oddHeader>
    <oddFooter>&amp;L&amp;D&amp;C华为机密，未经许可不得扩散&amp;R第&amp;P页，共&amp;N页</oddFooter>
    <evenHeader/>
    <evenFooter/>
    <firstHeader/>
    <firstFooter/>
  </headerFooter>
</worksheet>
</file>

<file path=xl/worksheets/sheet2.xml><?xml version="1.0" encoding="utf-8"?>
<worksheet xmlns="http://schemas.openxmlformats.org/spreadsheetml/2006/main">
  <sheetPr codeName="Sheet2" filterMode="1">
    <outlinePr summaryBelow="1" summaryRight="1"/>
    <pageSetUpPr/>
  </sheetPr>
  <dimension ref="A1:AD1933"/>
  <sheetViews>
    <sheetView tabSelected="1" workbookViewId="0">
      <pane ySplit="1" topLeftCell="A781" activePane="bottomLeft" state="frozen"/>
      <selection activeCell="A1" sqref="A1"/>
      <selection pane="bottomLeft" activeCell="J747" sqref="J747"/>
    </sheetView>
  </sheetViews>
  <sheetFormatPr baseColWidth="8" defaultColWidth="8.58333333333333" defaultRowHeight="20" customHeight="1"/>
  <cols>
    <col width="7.5" customWidth="1" style="64" min="1" max="1"/>
    <col width="16.7" customWidth="1" style="65" min="2" max="2"/>
    <col width="4.375" customWidth="1" style="65" min="3" max="3"/>
    <col width="8.15" customWidth="1" style="65" min="4" max="4"/>
    <col width="17.1" customWidth="1" style="65" min="5" max="5"/>
    <col width="22.8" customWidth="1" style="65" min="6" max="6"/>
    <col width="32.9" customWidth="1" style="65" min="7" max="7"/>
    <col width="37.125" customWidth="1" style="65" min="8" max="8"/>
    <col width="7.06666666666667" customWidth="1" style="63" min="9" max="9"/>
    <col width="32.4" customWidth="1" style="63" min="10" max="10"/>
    <col width="27" customWidth="1" style="63" min="11" max="11"/>
    <col width="5.08333333333333" customWidth="1" style="63" min="12" max="13"/>
    <col width="7" customWidth="1" style="63" min="14" max="14"/>
    <col width="5.08333333333333" customWidth="1" style="63" min="15" max="15"/>
    <col width="6.58333333333333" customWidth="1" style="63" min="16" max="16"/>
    <col width="5.3" customWidth="1" style="136" min="17" max="17"/>
    <col width="6.15833333333333" customWidth="1" style="137" min="18" max="19"/>
    <col width="5.875" customWidth="1" style="138" min="20" max="21"/>
    <col width="23.0083333333333" customWidth="1" style="63" min="22" max="22"/>
    <col width="20.7" customWidth="1" style="63" min="23" max="23"/>
    <col width="57.7" customWidth="1" style="63" min="24" max="24"/>
    <col width="9" customWidth="1" style="63" min="25" max="26"/>
    <col width="22" customWidth="1" style="63" min="27" max="27"/>
    <col width="4.99166666666667" customWidth="1" style="63" min="28" max="28"/>
    <col width="9" customWidth="1" style="63" min="29" max="30"/>
  </cols>
  <sheetData>
    <row r="1" ht="19" customHeight="1">
      <c r="A1" s="69" t="inlineStr">
        <is>
          <t>序号</t>
        </is>
      </c>
      <c r="B1" s="70" t="inlineStr">
        <is>
          <t>系统</t>
        </is>
      </c>
      <c r="C1" s="70" t="inlineStr">
        <is>
          <t>25/26</t>
        </is>
      </c>
      <c r="D1" s="71" t="inlineStr">
        <is>
          <t>责任人</t>
        </is>
      </c>
      <c r="E1" s="70" t="inlineStr">
        <is>
          <t>一级功能</t>
        </is>
      </c>
      <c r="F1" s="70" t="inlineStr">
        <is>
          <t>二级功能</t>
        </is>
      </c>
      <c r="G1" s="70" t="inlineStr">
        <is>
          <t>三级功能</t>
        </is>
      </c>
      <c r="H1" s="70" t="inlineStr">
        <is>
          <t>四级功能</t>
        </is>
      </c>
      <c r="I1" s="70" t="inlineStr">
        <is>
          <t>类型</t>
        </is>
      </c>
      <c r="J1" s="70" t="inlineStr">
        <is>
          <t>修改说明</t>
        </is>
      </c>
      <c r="K1" s="70" t="inlineStr">
        <is>
          <t>评估说明</t>
        </is>
      </c>
      <c r="L1" s="70" t="inlineStr">
        <is>
          <t>FTR</t>
        </is>
      </c>
      <c r="M1" s="70" t="inlineStr">
        <is>
          <t>RET</t>
        </is>
      </c>
      <c r="N1" s="70" t="inlineStr">
        <is>
          <t>DET</t>
        </is>
      </c>
      <c r="O1" s="70" t="inlineStr">
        <is>
          <t>复杂度</t>
        </is>
      </c>
      <c r="P1" s="70" t="inlineStr">
        <is>
          <t>UFP</t>
        </is>
      </c>
      <c r="Q1" s="139" t="inlineStr">
        <is>
          <t>复用度</t>
        </is>
      </c>
      <c r="R1" s="140" t="inlineStr">
        <is>
          <t>调整因子</t>
        </is>
      </c>
      <c r="S1" s="140" t="inlineStr">
        <is>
          <t>应用系数</t>
        </is>
      </c>
      <c r="T1" s="141" t="inlineStr">
        <is>
          <t>FP</t>
        </is>
      </c>
      <c r="U1" s="141" t="inlineStr">
        <is>
          <t>FP*应用系数</t>
        </is>
      </c>
      <c r="V1" s="70" t="inlineStr">
        <is>
          <t>FTR明细</t>
        </is>
      </c>
      <c r="W1" s="70" t="inlineStr">
        <is>
          <t>RET明细</t>
        </is>
      </c>
      <c r="X1" s="70" t="inlineStr">
        <is>
          <t>DET明细（除启动触发器）</t>
        </is>
      </c>
      <c r="Y1" s="70" t="inlineStr">
        <is>
          <t>备注</t>
        </is>
      </c>
      <c r="Z1" s="70" t="n"/>
      <c r="AA1" s="70" t="inlineStr">
        <is>
          <t>备注</t>
        </is>
      </c>
      <c r="AB1" s="63" t="inlineStr">
        <is>
          <t>说明：
一、对于EI、EO、EQ
1、FTR如有多个，用中文顿号隔开
2、DET每行对应一个FTR，有多少个FTR则有多少行DET。对于每一行DET，用竖线|分割输入DET和输出DET，用顿号隔开多个DET。不同FTR用回车分开。
逻辑文件1{输入1、输入2|输出1、输出2}
逻辑文件2{|输出3、输出4}
逻辑文件3{输入3|}
例如：用户角色查询
FTR明细：
用户信息、角色信息
DET明细：
用户信息{用户名|用户名、密码、姓名、电话号码}
角色信息{|角色名称、角色权限}
二、如使用估算法，在DET列填写“估算法”
三、后评估如缺少FTR或DET信息导致无法据实评估的，复杂度均为低，在DET列填写“估算”</t>
        </is>
      </c>
      <c r="AC1" s="75" t="inlineStr">
        <is>
          <t>评估方法：</t>
        </is>
      </c>
      <c r="AD1" s="76" t="inlineStr">
        <is>
          <t>NESMA</t>
        </is>
      </c>
    </row>
    <row r="2" hidden="1" ht="32.4" customFormat="1" customHeight="1" s="63">
      <c r="A2" s="69">
        <f>ROW()-1</f>
        <v/>
      </c>
      <c r="B2" s="77" t="inlineStr">
        <is>
          <t>新漏洞检测分析平台</t>
        </is>
      </c>
      <c r="C2" s="78" t="n">
        <v>2025</v>
      </c>
      <c r="D2" s="78" t="inlineStr">
        <is>
          <t>蔡云飞</t>
        </is>
      </c>
      <c r="E2" s="70" t="inlineStr">
        <is>
          <t>安全风险识别与利用分析</t>
        </is>
      </c>
      <c r="F2" s="79" t="inlineStr">
        <is>
          <t>CPE库管理</t>
        </is>
      </c>
      <c r="G2" s="79" t="inlineStr">
        <is>
          <t>CPE文档基础管理</t>
        </is>
      </c>
      <c r="H2" s="80" t="inlineStr">
        <is>
          <t>CPE文档查询</t>
        </is>
      </c>
      <c r="I2" s="81" t="inlineStr">
        <is>
          <t>EO</t>
        </is>
      </c>
      <c r="J2" s="108" t="n"/>
      <c r="K2" s="108" t="n"/>
      <c r="L2" s="83">
        <f>IF(OR(X2="估算法",X2="算法类",X2="无法识别"),"",IF(V2="",IF(OR(I2="EI",I2="EO",I2="EQ"),0,""),LEN(V2)-LEN(SUBSTITUTE(V2,"、",""))+1))</f>
        <v/>
      </c>
      <c r="M2" s="83">
        <f>IF(OR(X2="估算法",X2="算法类",X2="无法识别"),"",IF(W2="",IF(OR(I2="ILF",I2="EIF"),0,""),LEN(W2)-LEN(SUBSTITUTE(W2,"、",""))+1))</f>
        <v/>
      </c>
      <c r="N2" s="83">
        <f>IF(OR(X2="估算法",X2="算法类",X2="无法识别"),"",IF(X2="",IF(OR(I2="ILF",I2="EIF",I2="EI",I2="EO",I2="EQ"),0,""),LEN(X2)-LEN(SUBSTITUTE(SUBSTITUTE(SUBSTITUTE(SUBSTITUTE(SUBSTITUTE(X2,"|}","--"),"{|","--"),CHAR(10),""),"、",""),"|",""))+IF(AND(OR(I2="EI",I2="EO",I2="EQ"),$AD$1="NESMA"),2,1)))</f>
        <v/>
      </c>
      <c r="O2" s="84">
        <f>IF(I2="EI",IF(OR(X2="估算法",X2="算法类"),"中",IF(X2="无法识别","低",IF(L2&lt;2,IF(N2&lt;16,"低","中"),IF(L2&lt;3,IF(N2&lt;5,"低",IF(N2&lt;16,"中","高")),IF(N2&lt;5,"中","高"))))),IF(OR(I2="EO",I2="EQ"),IF(OR(X2="估算法",X2="算法类"),"中",IF(X2="无法识别","低",IF(L2&lt;2,IF(N2&lt;20,"低","中"),IF(L2&lt;4,IF(N2&lt;6,"低",IF(N2&lt;20,"中","高")),IF(N2&lt;6,"中","高"))))),IF(OR(I2="ILF",I2="EIF"),IF(OR(X2="估算法",X2="算法类",X2="无法识别"),"低",IF(M2&lt;2,IF(N2&lt;51,"低","中"),IF(M2&lt;6,IF(N2&lt;20,"低",IF(N2&lt;51,"中","高")),IF(N2&lt;20,"中","高")))),"不计算")))</f>
        <v/>
      </c>
      <c r="P2" s="142">
        <f>IFERROR(IF(I2="EI",IF(O2="低",3,IF(O2="中",4,6)),IF(I2="EO",IF(O2="低",4,IF(O2="中",5,7)),IF(I2="EQ",IF(O2="低",3,IF(O2="中",4,6)),IF(I2="ILF",IF(O2="低",7,IF(O2="中",10,15)),IF(I2="EIF",IF(O2="低",5,IF(O2="中",7,10)),"不计算")))))*Q2,"不计算")</f>
        <v/>
      </c>
      <c r="Q2" s="142" t="n">
        <v>1</v>
      </c>
      <c r="R2" s="143">
        <f>调整因子!$F$13</f>
        <v/>
      </c>
      <c r="S2" s="76" t="n">
        <v>1</v>
      </c>
      <c r="T2" s="144">
        <f>IFERROR(P2*R2,0)</f>
        <v/>
      </c>
      <c r="U2" s="144">
        <f>T2*S2</f>
        <v/>
      </c>
      <c r="V2" s="88" t="inlineStr">
        <is>
          <t>CPE文档信息表</t>
        </is>
      </c>
      <c r="W2" s="89" t="n"/>
      <c r="X2" s="88" t="inlineStr">
        <is>
          <t>CPE文档信息表 {文档ID、CPE名称、CPE URI、厂商、产品名称、版本、支持平台、语言、CPE类型、文档摘要、文档来源、文档链接、文档文件路径、关联漏洞、是否为官方数据、审核状态、创建人、创建时间、最近更新时间、收录时间、状态}</t>
        </is>
      </c>
      <c r="Y2" s="70" t="inlineStr">
        <is>
          <t>是否被引用</t>
        </is>
      </c>
      <c r="Z2" s="70" t="inlineStr">
        <is>
          <t>是否被维护</t>
        </is>
      </c>
      <c r="AA2" s="70" t="inlineStr">
        <is>
          <t>EI类型数据库表</t>
        </is>
      </c>
    </row>
    <row r="3" hidden="1" ht="32.4" customFormat="1" customHeight="1" s="63">
      <c r="A3" s="69">
        <f>ROW()-1</f>
        <v/>
      </c>
      <c r="B3" s="53" t="n"/>
      <c r="C3" s="78" t="n">
        <v>2025</v>
      </c>
      <c r="D3" s="78" t="inlineStr">
        <is>
          <t>蔡云飞</t>
        </is>
      </c>
      <c r="E3" s="53" t="n"/>
      <c r="F3" s="53" t="n"/>
      <c r="G3" s="53" t="n"/>
      <c r="H3" s="80" t="inlineStr">
        <is>
          <t>CPE文档创建</t>
        </is>
      </c>
      <c r="I3" s="81" t="inlineStr">
        <is>
          <t>EI</t>
        </is>
      </c>
      <c r="J3" s="108" t="n"/>
      <c r="K3" s="108" t="n"/>
      <c r="L3" s="83">
        <f>IF(OR(X3="估算法",X3="算法类",X3="无法识别"),"",IF(V3="",IF(OR(I3="EI",I3="EO",I3="EQ"),0,""),LEN(V3)-LEN(SUBSTITUTE(V3,"、",""))+1))</f>
        <v/>
      </c>
      <c r="M3" s="83">
        <f>IF(OR(X3="估算法",X3="算法类",X3="无法识别"),"",IF(W3="",IF(OR(I3="ILF",I3="EIF"),0,""),LEN(W3)-LEN(SUBSTITUTE(W3,"、",""))+1))</f>
        <v/>
      </c>
      <c r="N3" s="83">
        <f>IF(OR(X3="估算法",X3="算法类",X3="无法识别"),"",IF(X3="",IF(OR(I3="ILF",I3="EIF",I3="EI",I3="EO",I3="EQ"),0,""),LEN(X3)-LEN(SUBSTITUTE(SUBSTITUTE(SUBSTITUTE(SUBSTITUTE(SUBSTITUTE(X3,"|}","--"),"{|","--"),CHAR(10),""),"、",""),"|",""))+IF(AND(OR(I3="EI",I3="EO",I3="EQ"),$AD$1="NESMA"),2,1)))</f>
        <v/>
      </c>
      <c r="O3" s="84">
        <f>IF(I3="EI",IF(OR(X3="估算法",X3="算法类"),"中",IF(X3="无法识别","低",IF(L3&lt;2,IF(N3&lt;16,"低","中"),IF(L3&lt;3,IF(N3&lt;5,"低",IF(N3&lt;16,"中","高")),IF(N3&lt;5,"中","高"))))),IF(OR(I3="EO",I3="EQ"),IF(OR(X3="估算法",X3="算法类"),"中",IF(X3="无法识别","低",IF(L3&lt;2,IF(N3&lt;20,"低","中"),IF(L3&lt;4,IF(N3&lt;6,"低",IF(N3&lt;20,"中","高")),IF(N3&lt;6,"中","高"))))),IF(OR(I3="ILF",I3="EIF"),IF(OR(X3="估算法",X3="算法类",X3="无法识别"),"低",IF(M3&lt;2,IF(N3&lt;51,"低","中"),IF(M3&lt;6,IF(N3&lt;20,"低",IF(N3&lt;51,"中","高")),IF(N3&lt;20,"中","高")))),"不计算")))</f>
        <v/>
      </c>
      <c r="P3" s="142">
        <f>IFERROR(IF(I3="EI",IF(O3="低",3,IF(O3="中",4,6)),IF(I3="EO",IF(O3="低",4,IF(O3="中",5,7)),IF(I3="EQ",IF(O3="低",3,IF(O3="中",4,6)),IF(I3="ILF",IF(O3="低",7,IF(O3="中",10,15)),IF(I3="EIF",IF(O3="低",5,IF(O3="中",7,10)),"不计算")))))*Q3,"不计算")</f>
        <v/>
      </c>
      <c r="Q3" s="142" t="n">
        <v>1</v>
      </c>
      <c r="R3" s="143">
        <f>调整因子!$F$13</f>
        <v/>
      </c>
      <c r="S3" s="70" t="n">
        <v>1</v>
      </c>
      <c r="T3" s="144">
        <f>IFERROR(P3*R3,0)</f>
        <v/>
      </c>
      <c r="U3" s="144">
        <f>T3*S3</f>
        <v/>
      </c>
      <c r="V3" s="88" t="inlineStr">
        <is>
          <t>CPE文档信息表</t>
        </is>
      </c>
      <c r="W3" s="89" t="n"/>
      <c r="X3" s="88" t="inlineStr">
        <is>
          <t>CPE文档信息表 {文档ID、CPE名称、CPE URI、厂商、产品名称、版本、支持平台、语言、CPE类型、文档摘要、文档来源、文档链接、文档文件路径、关联漏洞、是否为官方数据、审核状态、创建人、创建时间、最近更新时间、收录时间、状态}</t>
        </is>
      </c>
      <c r="Y3" s="88" t="n"/>
      <c r="Z3" s="88" t="n"/>
      <c r="AA3" s="88" t="inlineStr">
        <is>
          <t>CPE文档信息表</t>
        </is>
      </c>
    </row>
    <row r="4" hidden="1" ht="32.4" customFormat="1" customHeight="1" s="63">
      <c r="A4" s="69">
        <f>ROW()-1</f>
        <v/>
      </c>
      <c r="B4" s="53" t="n"/>
      <c r="C4" s="78" t="n">
        <v>2025</v>
      </c>
      <c r="D4" s="78" t="inlineStr">
        <is>
          <t>蔡云飞</t>
        </is>
      </c>
      <c r="E4" s="53" t="n"/>
      <c r="F4" s="53" t="n"/>
      <c r="G4" s="53" t="n"/>
      <c r="H4" s="80" t="inlineStr">
        <is>
          <t>CPE文档编辑</t>
        </is>
      </c>
      <c r="I4" s="81" t="inlineStr">
        <is>
          <t>EI</t>
        </is>
      </c>
      <c r="J4" s="108" t="n"/>
      <c r="K4" s="108" t="n"/>
      <c r="L4" s="83">
        <f>IF(OR(X4="估算法",X4="算法类",X4="无法识别"),"",IF(V4="",IF(OR(I4="EI",I4="EO",I4="EQ"),0,""),LEN(V4)-LEN(SUBSTITUTE(V4,"、",""))+1))</f>
        <v/>
      </c>
      <c r="M4" s="83">
        <f>IF(OR(X4="估算法",X4="算法类",X4="无法识别"),"",IF(W4="",IF(OR(I4="ILF",I4="EIF"),0,""),LEN(W4)-LEN(SUBSTITUTE(W4,"、",""))+1))</f>
        <v/>
      </c>
      <c r="N4" s="83">
        <f>IF(OR(X4="估算法",X4="算法类",X4="无法识别"),"",IF(X4="",IF(OR(I4="ILF",I4="EIF",I4="EI",I4="EO",I4="EQ"),0,""),LEN(X4)-LEN(SUBSTITUTE(SUBSTITUTE(SUBSTITUTE(SUBSTITUTE(SUBSTITUTE(X4,"|}","--"),"{|","--"),CHAR(10),""),"、",""),"|",""))+IF(AND(OR(I4="EI",I4="EO",I4="EQ"),$AD$1="NESMA"),2,1)))</f>
        <v/>
      </c>
      <c r="O4" s="84">
        <f>IF(I4="EI",IF(OR(X4="估算法",X4="算法类"),"中",IF(X4="无法识别","低",IF(L4&lt;2,IF(N4&lt;16,"低","中"),IF(L4&lt;3,IF(N4&lt;5,"低",IF(N4&lt;16,"中","高")),IF(N4&lt;5,"中","高"))))),IF(OR(I4="EO",I4="EQ"),IF(OR(X4="估算法",X4="算法类"),"中",IF(X4="无法识别","低",IF(L4&lt;2,IF(N4&lt;20,"低","中"),IF(L4&lt;4,IF(N4&lt;6,"低",IF(N4&lt;20,"中","高")),IF(N4&lt;6,"中","高"))))),IF(OR(I4="ILF",I4="EIF"),IF(OR(X4="估算法",X4="算法类",X4="无法识别"),"低",IF(M4&lt;2,IF(N4&lt;51,"低","中"),IF(M4&lt;6,IF(N4&lt;20,"低",IF(N4&lt;51,"中","高")),IF(N4&lt;20,"中","高")))),"不计算")))</f>
        <v/>
      </c>
      <c r="P4" s="142">
        <f>IFERROR(IF(I4="EI",IF(O4="低",3,IF(O4="中",4,6)),IF(I4="EO",IF(O4="低",4,IF(O4="中",5,7)),IF(I4="EQ",IF(O4="低",3,IF(O4="中",4,6)),IF(I4="ILF",IF(O4="低",7,IF(O4="中",10,15)),IF(I4="EIF",IF(O4="低",5,IF(O4="中",7,10)),"不计算")))))*Q4,"不计算")</f>
        <v/>
      </c>
      <c r="Q4" s="142" t="n">
        <v>0.333333333333333</v>
      </c>
      <c r="R4" s="143">
        <f>调整因子!$F$13</f>
        <v/>
      </c>
      <c r="S4" s="70" t="n">
        <v>1</v>
      </c>
      <c r="T4" s="144">
        <f>IFERROR(P4*R4,0)</f>
        <v/>
      </c>
      <c r="U4" s="144">
        <f>T4*S4</f>
        <v/>
      </c>
      <c r="V4" s="88" t="inlineStr">
        <is>
          <t>CPE文档信息表</t>
        </is>
      </c>
      <c r="W4" s="89" t="n"/>
      <c r="X4" s="88" t="inlineStr">
        <is>
          <t>CPE文档信息表 {文档ID、CPE名称、CPE URI、厂商、产品名称、版本、支持平台、语言、CPE类型、文档摘要、文档来源、文档链接、文档文件路径、关联漏洞、是否为官方数据、审核状态、创建人、创建时间、最近更新时间、收录时间、状态}</t>
        </is>
      </c>
      <c r="Y4" s="88" t="n"/>
      <c r="Z4" s="88" t="n"/>
      <c r="AA4" s="88" t="inlineStr">
        <is>
          <t>CPE文档信息表</t>
        </is>
      </c>
    </row>
    <row r="5" hidden="1" ht="32.4" customFormat="1" customHeight="1" s="63">
      <c r="A5" s="69">
        <f>ROW()-1</f>
        <v/>
      </c>
      <c r="B5" s="53" t="n"/>
      <c r="C5" s="78" t="n">
        <v>2025</v>
      </c>
      <c r="D5" s="78" t="inlineStr">
        <is>
          <t>蔡云飞</t>
        </is>
      </c>
      <c r="E5" s="53" t="n"/>
      <c r="F5" s="53" t="n"/>
      <c r="G5" s="53" t="n"/>
      <c r="H5" s="80" t="inlineStr">
        <is>
          <t>CPE文档删除</t>
        </is>
      </c>
      <c r="I5" s="81" t="inlineStr">
        <is>
          <t>EI</t>
        </is>
      </c>
      <c r="J5" s="108" t="n"/>
      <c r="K5" s="108" t="n"/>
      <c r="L5" s="83">
        <f>IF(OR(X5="估算法",X5="算法类",X5="无法识别"),"",IF(V5="",IF(OR(I5="EI",I5="EO",I5="EQ"),0,""),LEN(V5)-LEN(SUBSTITUTE(V5,"、",""))+1))</f>
        <v/>
      </c>
      <c r="M5" s="83">
        <f>IF(OR(X5="估算法",X5="算法类",X5="无法识别"),"",IF(W5="",IF(OR(I5="ILF",I5="EIF"),0,""),LEN(W5)-LEN(SUBSTITUTE(W5,"、",""))+1))</f>
        <v/>
      </c>
      <c r="N5" s="83">
        <f>IF(OR(X5="估算法",X5="算法类",X5="无法识别"),"",IF(X5="",IF(OR(I5="ILF",I5="EIF",I5="EI",I5="EO",I5="EQ"),0,""),LEN(X5)-LEN(SUBSTITUTE(SUBSTITUTE(SUBSTITUTE(SUBSTITUTE(SUBSTITUTE(X5,"|}","--"),"{|","--"),CHAR(10),""),"、",""),"|",""))+IF(AND(OR(I5="EI",I5="EO",I5="EQ"),$AD$1="NESMA"),2,1)))</f>
        <v/>
      </c>
      <c r="O5" s="84">
        <f>IF(I5="EI",IF(OR(X5="估算法",X5="算法类"),"中",IF(X5="无法识别","低",IF(L5&lt;2,IF(N5&lt;16,"低","中"),IF(L5&lt;3,IF(N5&lt;5,"低",IF(N5&lt;16,"中","高")),IF(N5&lt;5,"中","高"))))),IF(OR(I5="EO",I5="EQ"),IF(OR(X5="估算法",X5="算法类"),"中",IF(X5="无法识别","低",IF(L5&lt;2,IF(N5&lt;20,"低","中"),IF(L5&lt;4,IF(N5&lt;6,"低",IF(N5&lt;20,"中","高")),IF(N5&lt;6,"中","高"))))),IF(OR(I5="ILF",I5="EIF"),IF(OR(X5="估算法",X5="算法类",X5="无法识别"),"低",IF(M5&lt;2,IF(N5&lt;51,"低","中"),IF(M5&lt;6,IF(N5&lt;20,"低",IF(N5&lt;51,"中","高")),IF(N5&lt;20,"中","高")))),"不计算")))</f>
        <v/>
      </c>
      <c r="P5" s="142">
        <f>IFERROR(IF(I5="EI",IF(O5="低",3,IF(O5="中",4,6)),IF(I5="EO",IF(O5="低",4,IF(O5="中",5,7)),IF(I5="EQ",IF(O5="低",3,IF(O5="中",4,6)),IF(I5="ILF",IF(O5="低",7,IF(O5="中",10,15)),IF(I5="EIF",IF(O5="低",5,IF(O5="中",7,10)),"不计算")))))*Q5,"不计算")</f>
        <v/>
      </c>
      <c r="Q5" s="142" t="n">
        <v>0.333333333333333</v>
      </c>
      <c r="R5" s="143">
        <f>调整因子!$F$13</f>
        <v/>
      </c>
      <c r="S5" s="76" t="n">
        <v>1</v>
      </c>
      <c r="T5" s="144">
        <f>IFERROR(P5*R5,0)</f>
        <v/>
      </c>
      <c r="U5" s="144">
        <f>T5*S5</f>
        <v/>
      </c>
      <c r="V5" s="88" t="inlineStr">
        <is>
          <t>CPE文档信息表</t>
        </is>
      </c>
      <c r="W5" s="89" t="n"/>
      <c r="X5" s="88" t="inlineStr">
        <is>
          <t>CPE文档信息表 {文档ID、CPE名称、CPE URI、厂商、产品名称、版本、支持平台、语言、CPE类型、文档摘要、文档来源、文档链接、文档文件路径、关联漏洞、是否为官方数据、审核状态、创建人、创建时间、最近更新时间、收录时间、状态}</t>
        </is>
      </c>
      <c r="Y5" s="88" t="n"/>
      <c r="Z5" s="88" t="n"/>
      <c r="AA5" s="88" t="inlineStr">
        <is>
          <t>CPE文档信息表</t>
        </is>
      </c>
    </row>
    <row r="6" hidden="1" ht="32.4" customFormat="1" customHeight="1" s="63">
      <c r="A6" s="69">
        <f>ROW()-1</f>
        <v/>
      </c>
      <c r="B6" s="53" t="n"/>
      <c r="C6" s="78" t="n">
        <v>2025</v>
      </c>
      <c r="D6" s="78" t="inlineStr">
        <is>
          <t>蔡云飞</t>
        </is>
      </c>
      <c r="E6" s="53" t="n"/>
      <c r="F6" s="53" t="n"/>
      <c r="G6" s="53" t="n"/>
      <c r="H6" s="80" t="inlineStr">
        <is>
          <t>CPE文档导入</t>
        </is>
      </c>
      <c r="I6" s="81" t="inlineStr">
        <is>
          <t>EI</t>
        </is>
      </c>
      <c r="J6" s="108" t="n"/>
      <c r="K6" s="108" t="n"/>
      <c r="L6" s="83">
        <f>IF(OR(X6="估算法",X6="算法类",X6="无法识别"),"",IF(V6="",IF(OR(I6="EI",I6="EO",I6="EQ"),0,""),LEN(V6)-LEN(SUBSTITUTE(V6,"、",""))+1))</f>
        <v/>
      </c>
      <c r="M6" s="83">
        <f>IF(OR(X6="估算法",X6="算法类",X6="无法识别"),"",IF(W6="",IF(OR(I6="ILF",I6="EIF"),0,""),LEN(W6)-LEN(SUBSTITUTE(W6,"、",""))+1))</f>
        <v/>
      </c>
      <c r="N6" s="83">
        <f>IF(OR(X6="估算法",X6="算法类",X6="无法识别"),"",IF(X6="",IF(OR(I6="ILF",I6="EIF",I6="EI",I6="EO",I6="EQ"),0,""),LEN(X6)-LEN(SUBSTITUTE(SUBSTITUTE(SUBSTITUTE(SUBSTITUTE(SUBSTITUTE(X6,"|}","--"),"{|","--"),CHAR(10),""),"、",""),"|",""))+IF(AND(OR(I6="EI",I6="EO",I6="EQ"),$AD$1="NESMA"),2,1)))</f>
        <v/>
      </c>
      <c r="O6" s="84">
        <f>IF(I6="EI",IF(OR(X6="估算法",X6="算法类"),"中",IF(X6="无法识别","低",IF(L6&lt;2,IF(N6&lt;16,"低","中"),IF(L6&lt;3,IF(N6&lt;5,"低",IF(N6&lt;16,"中","高")),IF(N6&lt;5,"中","高"))))),IF(OR(I6="EO",I6="EQ"),IF(OR(X6="估算法",X6="算法类"),"中",IF(X6="无法识别","低",IF(L6&lt;2,IF(N6&lt;20,"低","中"),IF(L6&lt;4,IF(N6&lt;6,"低",IF(N6&lt;20,"中","高")),IF(N6&lt;6,"中","高"))))),IF(OR(I6="ILF",I6="EIF"),IF(OR(X6="估算法",X6="算法类",X6="无法识别"),"低",IF(M6&lt;2,IF(N6&lt;51,"低","中"),IF(M6&lt;6,IF(N6&lt;20,"低",IF(N6&lt;51,"中","高")),IF(N6&lt;20,"中","高")))),"不计算")))</f>
        <v/>
      </c>
      <c r="P6" s="142">
        <f>IFERROR(IF(I6="EI",IF(O6="低",3,IF(O6="中",4,6)),IF(I6="EO",IF(O6="低",4,IF(O6="中",5,7)),IF(I6="EQ",IF(O6="低",3,IF(O6="中",4,6)),IF(I6="ILF",IF(O6="低",7,IF(O6="中",10,15)),IF(I6="EIF",IF(O6="低",5,IF(O6="中",7,10)),"不计算")))))*Q6,"不计算")</f>
        <v/>
      </c>
      <c r="Q6" s="142" t="n">
        <v>1</v>
      </c>
      <c r="R6" s="143">
        <f>调整因子!$F$13</f>
        <v/>
      </c>
      <c r="S6" s="70" t="n">
        <v>1</v>
      </c>
      <c r="T6" s="144">
        <f>IFERROR(P6*R6,0)</f>
        <v/>
      </c>
      <c r="U6" s="144">
        <f>T6*S6</f>
        <v/>
      </c>
      <c r="V6" s="88" t="inlineStr">
        <is>
          <t>CPE文档信息表</t>
        </is>
      </c>
      <c r="W6" s="89" t="n"/>
      <c r="X6" s="88" t="inlineStr">
        <is>
          <t>CPE文档信息表 {文档ID、CPE名称、CPE URI、厂商、产品名称、版本、支持平台、语言、CPE类型、文档摘要、文档来源、文档链接、文档文件路径、关联漏洞、是否为官方数据、审核状态、创建人、创建时间、最近更新时间、收录时间、状态}</t>
        </is>
      </c>
      <c r="Y6" s="88" t="n"/>
      <c r="Z6" s="88" t="n"/>
      <c r="AA6" s="88" t="inlineStr">
        <is>
          <t>CPE文档信息表</t>
        </is>
      </c>
    </row>
    <row r="7" hidden="1" ht="32.4" customFormat="1" customHeight="1" s="63">
      <c r="A7" s="69">
        <f>ROW()-1</f>
        <v/>
      </c>
      <c r="B7" s="53" t="n"/>
      <c r="C7" s="78" t="n">
        <v>2025</v>
      </c>
      <c r="D7" s="78" t="inlineStr">
        <is>
          <t>蔡云飞</t>
        </is>
      </c>
      <c r="E7" s="53" t="n"/>
      <c r="F7" s="53" t="n"/>
      <c r="G7" s="53" t="n"/>
      <c r="H7" s="80" t="inlineStr">
        <is>
          <t>CPE文档导出</t>
        </is>
      </c>
      <c r="I7" s="81" t="inlineStr">
        <is>
          <t>EO</t>
        </is>
      </c>
      <c r="J7" s="108" t="n"/>
      <c r="K7" s="108" t="n"/>
      <c r="L7" s="83">
        <f>IF(OR(X7="估算法",X7="算法类",X7="无法识别"),"",IF(V7="",IF(OR(I7="EI",I7="EO",I7="EQ"),0,""),LEN(V7)-LEN(SUBSTITUTE(V7,"、",""))+1))</f>
        <v/>
      </c>
      <c r="M7" s="83">
        <f>IF(OR(X7="估算法",X7="算法类",X7="无法识别"),"",IF(W7="",IF(OR(I7="ILF",I7="EIF"),0,""),LEN(W7)-LEN(SUBSTITUTE(W7,"、",""))+1))</f>
        <v/>
      </c>
      <c r="N7" s="83">
        <f>IF(OR(X7="估算法",X7="算法类",X7="无法识别"),"",IF(X7="",IF(OR(I7="ILF",I7="EIF",I7="EI",I7="EO",I7="EQ"),0,""),LEN(X7)-LEN(SUBSTITUTE(SUBSTITUTE(SUBSTITUTE(SUBSTITUTE(SUBSTITUTE(X7,"|}","--"),"{|","--"),CHAR(10),""),"、",""),"|",""))+IF(AND(OR(I7="EI",I7="EO",I7="EQ"),$AD$1="NESMA"),2,1)))</f>
        <v/>
      </c>
      <c r="O7" s="84">
        <f>IF(I7="EI",IF(OR(X7="估算法",X7="算法类"),"中",IF(X7="无法识别","低",IF(L7&lt;2,IF(N7&lt;16,"低","中"),IF(L7&lt;3,IF(N7&lt;5,"低",IF(N7&lt;16,"中","高")),IF(N7&lt;5,"中","高"))))),IF(OR(I7="EO",I7="EQ"),IF(OR(X7="估算法",X7="算法类"),"中",IF(X7="无法识别","低",IF(L7&lt;2,IF(N7&lt;20,"低","中"),IF(L7&lt;4,IF(N7&lt;6,"低",IF(N7&lt;20,"中","高")),IF(N7&lt;6,"中","高"))))),IF(OR(I7="ILF",I7="EIF"),IF(OR(X7="估算法",X7="算法类",X7="无法识别"),"低",IF(M7&lt;2,IF(N7&lt;51,"低","中"),IF(M7&lt;6,IF(N7&lt;20,"低",IF(N7&lt;51,"中","高")),IF(N7&lt;20,"中","高")))),"不计算")))</f>
        <v/>
      </c>
      <c r="P7" s="142">
        <f>IFERROR(IF(I7="EI",IF(O7="低",3,IF(O7="中",4,6)),IF(I7="EO",IF(O7="低",4,IF(O7="中",5,7)),IF(I7="EQ",IF(O7="低",3,IF(O7="中",4,6)),IF(I7="ILF",IF(O7="低",7,IF(O7="中",10,15)),IF(I7="EIF",IF(O7="低",5,IF(O7="中",7,10)),"不计算")))))*Q7,"不计算")</f>
        <v/>
      </c>
      <c r="Q7" s="142" t="n">
        <v>1</v>
      </c>
      <c r="R7" s="143">
        <f>调整因子!$F$13</f>
        <v/>
      </c>
      <c r="S7" s="70" t="n">
        <v>1</v>
      </c>
      <c r="T7" s="144">
        <f>IFERROR(P7*R7,0)</f>
        <v/>
      </c>
      <c r="U7" s="144">
        <f>T7*S7</f>
        <v/>
      </c>
      <c r="V7" s="88" t="inlineStr">
        <is>
          <t>CPE文档信息表</t>
        </is>
      </c>
      <c r="W7" s="89" t="n"/>
      <c r="X7" s="88" t="inlineStr">
        <is>
          <t>CPE文档信息表 {文档ID、CPE名称、CPE URI、厂商、产品名称、版本、支持平台、语言、CPE类型、文档摘要、文档来源、文档链接、文档文件路径、关联漏洞、是否为官方数据、审核状态、创建人、创建时间、最近更新时间、收录时间、状态}</t>
        </is>
      </c>
      <c r="Y7" s="88" t="n"/>
      <c r="Z7" s="88" t="n"/>
      <c r="AA7" s="76" t="inlineStr">
        <is>
          <t>VEX 文档基本信息表、VEX 文档操作日志表</t>
        </is>
      </c>
    </row>
    <row r="8" hidden="1" ht="32.4" customFormat="1" customHeight="1" s="63">
      <c r="A8" s="69">
        <f>ROW()-1</f>
        <v/>
      </c>
      <c r="B8" s="53" t="n"/>
      <c r="C8" s="78" t="n">
        <v>2025</v>
      </c>
      <c r="D8" s="78" t="inlineStr">
        <is>
          <t>蔡云飞</t>
        </is>
      </c>
      <c r="E8" s="53" t="n"/>
      <c r="F8" s="53" t="n"/>
      <c r="G8" s="53" t="n"/>
      <c r="H8" s="80" t="inlineStr">
        <is>
          <t>CPE文档信息表</t>
        </is>
      </c>
      <c r="I8" s="81" t="inlineStr">
        <is>
          <t>ILF</t>
        </is>
      </c>
      <c r="J8" s="108" t="n"/>
      <c r="K8" s="108" t="n"/>
      <c r="L8" s="83">
        <f>IF(OR(X8="估算法",X8="算法类",X8="无法识别"),"",IF(V8="",IF(OR(I8="EI",I8="EO",I8="EQ"),0,""),LEN(V8)-LEN(SUBSTITUTE(V8,"、",""))+1))</f>
        <v/>
      </c>
      <c r="M8" s="83">
        <f>IF(OR(X8="估算法",X8="算法类",X8="无法识别"),"",IF(W8="",IF(OR(I8="ILF",I8="EIF"),0,""),LEN(W8)-LEN(SUBSTITUTE(W8,"、",""))+1))</f>
        <v/>
      </c>
      <c r="N8" s="83">
        <f>IF(OR(X8="估算法",X8="算法类",X8="无法识别"),"",IF(X8="",IF(OR(I8="ILF",I8="EIF",I8="EI",I8="EO",I8="EQ"),0,""),LEN(X8)-LEN(SUBSTITUTE(SUBSTITUTE(SUBSTITUTE(SUBSTITUTE(SUBSTITUTE(X8,"|}","--"),"{|","--"),CHAR(10),""),"、",""),"|",""))+IF(AND(OR(I8="EI",I8="EO",I8="EQ"),$AD$1="NESMA"),2,1)))</f>
        <v/>
      </c>
      <c r="O8" s="84">
        <f>IF(I8="EI",IF(OR(X8="估算法",X8="算法类"),"中",IF(X8="无法识别","低",IF(L8&lt;2,IF(N8&lt;16,"低","中"),IF(L8&lt;3,IF(N8&lt;5,"低",IF(N8&lt;16,"中","高")),IF(N8&lt;5,"中","高"))))),IF(OR(I8="EO",I8="EQ"),IF(OR(X8="估算法",X8="算法类"),"中",IF(X8="无法识别","低",IF(L8&lt;2,IF(N8&lt;20,"低","中"),IF(L8&lt;4,IF(N8&lt;6,"低",IF(N8&lt;20,"中","高")),IF(N8&lt;6,"中","高"))))),IF(OR(I8="ILF",I8="EIF"),IF(OR(X8="估算法",X8="算法类",X8="无法识别"),"低",IF(M8&lt;2,IF(N8&lt;51,"低","中"),IF(M8&lt;6,IF(N8&lt;20,"低",IF(N8&lt;51,"中","高")),IF(N8&lt;20,"中","高")))),"不计算")))</f>
        <v/>
      </c>
      <c r="P8" s="142">
        <f>IFERROR(IF(I8="EI",IF(O8="低",3,IF(O8="中",4,6)),IF(I8="EO",IF(O8="低",4,IF(O8="中",5,7)),IF(I8="EQ",IF(O8="低",3,IF(O8="中",4,6)),IF(I8="ILF",IF(O8="低",7,IF(O8="中",10,15)),IF(I8="EIF",IF(O8="低",5,IF(O8="中",7,10)),"不计算")))))*Q8,"不计算")</f>
        <v/>
      </c>
      <c r="Q8" s="142" t="n">
        <v>1</v>
      </c>
      <c r="R8" s="143">
        <f>调整因子!$F$13</f>
        <v/>
      </c>
      <c r="S8" s="76" t="n">
        <v>1</v>
      </c>
      <c r="T8" s="144">
        <f>IFERROR(P8*R8,0)</f>
        <v/>
      </c>
      <c r="U8" s="144">
        <f>T8*S8</f>
        <v/>
      </c>
      <c r="V8" s="89" t="n"/>
      <c r="W8" s="88" t="inlineStr">
        <is>
          <t>CPE文档信息表</t>
        </is>
      </c>
      <c r="X8" s="88" t="inlineStr">
        <is>
          <t>CPE文档信息表 {文档ID、CPE名称、CPE URI、厂商、产品名称、版本、支持平台、语言、CPE类型、文档摘要、文档来源、文档链接、文档文件路径、关联漏洞、是否为官方数据、审核状态、创建人、创建时间、最近更新时间、收录时间、状态}</t>
        </is>
      </c>
      <c r="Y8" s="88">
        <f>IF(COUNTIFS(V:V,"*"&amp;H8&amp;"*")&gt;0,"存在","不存在")</f>
        <v/>
      </c>
      <c r="Z8" s="88">
        <f>IF(COUNTIFS(AA:AA,"*"&amp;H8&amp;"*")&gt;0,"存在","不存在")</f>
        <v/>
      </c>
      <c r="AA8" s="76" t="inlineStr">
        <is>
          <t>VEX 文档基本信息表、VEX 文档操作日志表</t>
        </is>
      </c>
    </row>
    <row r="9" hidden="1" ht="21.6" customFormat="1" customHeight="1" s="63">
      <c r="A9" s="69">
        <f>ROW()-1</f>
        <v/>
      </c>
      <c r="B9" s="53" t="n"/>
      <c r="C9" s="78" t="n">
        <v>2025</v>
      </c>
      <c r="D9" s="78" t="inlineStr">
        <is>
          <t>蔡云飞</t>
        </is>
      </c>
      <c r="E9" s="53" t="n"/>
      <c r="F9" s="53" t="n"/>
      <c r="G9" s="54" t="n"/>
      <c r="H9" s="80" t="inlineStr">
        <is>
          <t>CPE文档操作日志表</t>
        </is>
      </c>
      <c r="I9" s="81" t="n"/>
      <c r="J9" s="108" t="n"/>
      <c r="K9" s="108" t="inlineStr">
        <is>
          <t>数据库表未被本系统所使用</t>
        </is>
      </c>
      <c r="L9" s="83">
        <f>IF(OR(X9="估算法",X9="算法类",X9="无法识别"),"",IF(V9="",IF(OR(I9="EI",I9="EO",I9="EQ"),0,""),LEN(V9)-LEN(SUBSTITUTE(V9,"、",""))+1))</f>
        <v/>
      </c>
      <c r="M9" s="83">
        <f>IF(OR(X9="估算法",X9="算法类",X9="无法识别"),"",IF(W9="",IF(OR(I9="ILF",I9="EIF"),0,""),LEN(W9)-LEN(SUBSTITUTE(W9,"、",""))+1))</f>
        <v/>
      </c>
      <c r="N9" s="83">
        <f>IF(OR(X9="估算法",X9="算法类",X9="无法识别"),"",IF(X9="",IF(OR(I9="ILF",I9="EIF",I9="EI",I9="EO",I9="EQ"),0,""),LEN(X9)-LEN(SUBSTITUTE(SUBSTITUTE(SUBSTITUTE(SUBSTITUTE(SUBSTITUTE(X9,"|}","--"),"{|","--"),CHAR(10),""),"、",""),"|",""))+IF(AND(OR(I9="EI",I9="EO",I9="EQ"),$AD$1="NESMA"),2,1)))</f>
        <v/>
      </c>
      <c r="O9" s="84">
        <f>IF(I9="EI",IF(OR(X9="估算法",X9="算法类"),"中",IF(X9="无法识别","低",IF(L9&lt;2,IF(N9&lt;16,"低","中"),IF(L9&lt;3,IF(N9&lt;5,"低",IF(N9&lt;16,"中","高")),IF(N9&lt;5,"中","高"))))),IF(OR(I9="EO",I9="EQ"),IF(OR(X9="估算法",X9="算法类"),"中",IF(X9="无法识别","低",IF(L9&lt;2,IF(N9&lt;20,"低","中"),IF(L9&lt;4,IF(N9&lt;6,"低",IF(N9&lt;20,"中","高")),IF(N9&lt;6,"中","高"))))),IF(OR(I9="ILF",I9="EIF"),IF(OR(X9="估算法",X9="算法类",X9="无法识别"),"低",IF(M9&lt;2,IF(N9&lt;51,"低","中"),IF(M9&lt;6,IF(N9&lt;20,"低",IF(N9&lt;51,"中","高")),IF(N9&lt;20,"中","高")))),"不计算")))</f>
        <v/>
      </c>
      <c r="P9" s="142">
        <f>IFERROR(IF(I9="EI",IF(O9="低",3,IF(O9="中",4,6)),IF(I9="EO",IF(O9="低",4,IF(O9="中",5,7)),IF(I9="EQ",IF(O9="低",3,IF(O9="中",4,6)),IF(I9="ILF",IF(O9="低",7,IF(O9="中",10,15)),IF(I9="EIF",IF(O9="低",5,IF(O9="中",7,10)),"不计算")))))*Q9,"不计算")</f>
        <v/>
      </c>
      <c r="Q9" s="142" t="n">
        <v>1</v>
      </c>
      <c r="R9" s="143">
        <f>调整因子!$F$13</f>
        <v/>
      </c>
      <c r="S9" s="70" t="n">
        <v>1</v>
      </c>
      <c r="T9" s="144">
        <f>IFERROR(P9*R9,0)</f>
        <v/>
      </c>
      <c r="U9" s="144">
        <f>T9*S9</f>
        <v/>
      </c>
      <c r="V9" s="89" t="n"/>
      <c r="W9" s="88" t="inlineStr">
        <is>
          <t>CPE文档操作日志表</t>
        </is>
      </c>
      <c r="X9" s="88" t="inlineStr">
        <is>
          <t>CPE文档操作日志表 {日志ID、操作类型、操作人、操作时间、目标文档ID、操作内容、IP地址}</t>
        </is>
      </c>
      <c r="Y9" s="88">
        <f>IF(COUNTIFS(V:V,"*"&amp;H9&amp;"*")&gt;0,"存在","不存在")</f>
        <v/>
      </c>
      <c r="Z9" s="88">
        <f>IF(COUNTIFS(AA:AA,"*"&amp;H9&amp;"*")&gt;0,"存在","不存在")</f>
        <v/>
      </c>
      <c r="AA9" s="76" t="inlineStr">
        <is>
          <t>VEX 文档基本信息表</t>
        </is>
      </c>
    </row>
    <row r="10" hidden="1" ht="32.4" customFormat="1" customHeight="1" s="63">
      <c r="A10" s="69">
        <f>ROW()-1</f>
        <v/>
      </c>
      <c r="B10" s="53" t="n"/>
      <c r="C10" s="78" t="n">
        <v>2025</v>
      </c>
      <c r="D10" s="78" t="inlineStr">
        <is>
          <t>蔡云飞</t>
        </is>
      </c>
      <c r="E10" s="53" t="n"/>
      <c r="F10" s="53" t="n"/>
      <c r="G10" s="79" t="inlineStr">
        <is>
          <t>CPE数据标准化校验</t>
        </is>
      </c>
      <c r="H10" s="80" t="inlineStr">
        <is>
          <t>CPE数据格式校验</t>
        </is>
      </c>
      <c r="I10" s="81" t="n"/>
      <c r="J10" s="108" t="n"/>
      <c r="K10" s="108" t="inlineStr">
        <is>
          <t>非事务功能</t>
        </is>
      </c>
      <c r="L10" s="83">
        <f>IF(OR(X10="估算法",X10="算法类",X10="无法识别"),"",IF(V10="",IF(OR(I10="EI",I10="EO",I10="EQ"),0,""),LEN(V10)-LEN(SUBSTITUTE(V10,"、",""))+1))</f>
        <v/>
      </c>
      <c r="M10" s="83">
        <f>IF(OR(X10="估算法",X10="算法类",X10="无法识别"),"",IF(W10="",IF(OR(I10="ILF",I10="EIF"),0,""),LEN(W10)-LEN(SUBSTITUTE(W10,"、",""))+1))</f>
        <v/>
      </c>
      <c r="N10" s="83">
        <f>IF(OR(X10="估算法",X10="算法类",X10="无法识别"),"",IF(X10="",IF(OR(I10="ILF",I10="EIF",I10="EI",I10="EO",I10="EQ"),0,""),LEN(X10)-LEN(SUBSTITUTE(SUBSTITUTE(SUBSTITUTE(SUBSTITUTE(SUBSTITUTE(X10,"|}","--"),"{|","--"),CHAR(10),""),"、",""),"|",""))+IF(AND(OR(I10="EI",I10="EO",I10="EQ"),$AD$1="NESMA"),2,1)))</f>
        <v/>
      </c>
      <c r="O10" s="84">
        <f>IF(I10="EI",IF(OR(X10="估算法",X10="算法类"),"中",IF(X10="无法识别","低",IF(L10&lt;2,IF(N10&lt;16,"低","中"),IF(L10&lt;3,IF(N10&lt;5,"低",IF(N10&lt;16,"中","高")),IF(N10&lt;5,"中","高"))))),IF(OR(I10="EO",I10="EQ"),IF(OR(X10="估算法",X10="算法类"),"中",IF(X10="无法识别","低",IF(L10&lt;2,IF(N10&lt;20,"低","中"),IF(L10&lt;4,IF(N10&lt;6,"低",IF(N10&lt;20,"中","高")),IF(N10&lt;6,"中","高"))))),IF(OR(I10="ILF",I10="EIF"),IF(OR(X10="估算法",X10="算法类",X10="无法识别"),"低",IF(M10&lt;2,IF(N10&lt;51,"低","中"),IF(M10&lt;6,IF(N10&lt;20,"低",IF(N10&lt;51,"中","高")),IF(N10&lt;20,"中","高")))),"不计算")))</f>
        <v/>
      </c>
      <c r="P10" s="142">
        <f>IFERROR(IF(I10="EI",IF(O10="低",3,IF(O10="中",4,6)),IF(I10="EO",IF(O10="低",4,IF(O10="中",5,7)),IF(I10="EQ",IF(O10="低",3,IF(O10="中",4,6)),IF(I10="ILF",IF(O10="低",7,IF(O10="中",10,15)),IF(I10="EIF",IF(O10="低",5,IF(O10="中",7,10)),"不计算")))))*Q10,"不计算")</f>
        <v/>
      </c>
      <c r="Q10" s="142" t="n">
        <v>1</v>
      </c>
      <c r="R10" s="143">
        <f>调整因子!$F$13</f>
        <v/>
      </c>
      <c r="S10" s="70" t="n">
        <v>1</v>
      </c>
      <c r="T10" s="144">
        <f>IFERROR(P10*R10,0)</f>
        <v/>
      </c>
      <c r="U10" s="144">
        <f>T10*S10</f>
        <v/>
      </c>
      <c r="V10" s="88" t="inlineStr">
        <is>
          <t>CPE标准化校验规则表</t>
        </is>
      </c>
      <c r="W10" s="89" t="n"/>
      <c r="X10" s="88" t="inlineStr">
        <is>
          <t>CPE标准化校验规则表
{规则ID、规则名称、适用字段、适用产品类型、校验类型、正则表达式、校验优先级、校验说明、启用状态、创建人、创建时间、修改时间、备注}</t>
        </is>
      </c>
      <c r="Y10" s="88" t="n"/>
      <c r="Z10" s="88" t="n"/>
      <c r="AA10" s="76" t="inlineStr">
        <is>
          <t>VEX 文档基本信息表、VEX 文档操作日志表</t>
        </is>
      </c>
    </row>
    <row r="11" hidden="1" ht="32.4" customFormat="1" customHeight="1" s="63">
      <c r="A11" s="69">
        <f>ROW()-1</f>
        <v/>
      </c>
      <c r="B11" s="53" t="n"/>
      <c r="C11" s="78" t="n">
        <v>2025</v>
      </c>
      <c r="D11" s="78" t="inlineStr">
        <is>
          <t>蔡云飞</t>
        </is>
      </c>
      <c r="E11" s="53" t="n"/>
      <c r="F11" s="53" t="n"/>
      <c r="G11" s="53" t="n"/>
      <c r="H11" s="90" t="inlineStr">
        <is>
          <t>CPE标准化校验规则表</t>
        </is>
      </c>
      <c r="I11" s="81" t="inlineStr">
        <is>
          <t>ILF</t>
        </is>
      </c>
      <c r="J11" s="108" t="n"/>
      <c r="K11" s="108" t="inlineStr">
        <is>
          <t>数据库表未被本系统所维护</t>
        </is>
      </c>
      <c r="L11" s="83">
        <f>IF(OR(X11="估算法",X11="算法类",X11="无法识别"),"",IF(V11="",IF(OR(I11="EI",I11="EO",I11="EQ"),0,""),LEN(V11)-LEN(SUBSTITUTE(V11,"、",""))+1))</f>
        <v/>
      </c>
      <c r="M11" s="83">
        <f>IF(OR(X11="估算法",X11="算法类",X11="无法识别"),"",IF(W11="",IF(OR(I11="ILF",I11="EIF"),0,""),LEN(W11)-LEN(SUBSTITUTE(W11,"、",""))+1))</f>
        <v/>
      </c>
      <c r="N11" s="83">
        <f>IF(OR(X11="估算法",X11="算法类",X11="无法识别"),"",IF(X11="",IF(OR(I11="ILF",I11="EIF",I11="EI",I11="EO",I11="EQ"),0,""),LEN(X11)-LEN(SUBSTITUTE(SUBSTITUTE(SUBSTITUTE(SUBSTITUTE(SUBSTITUTE(X11,"|}","--"),"{|","--"),CHAR(10),""),"、",""),"|",""))+IF(AND(OR(I11="EI",I11="EO",I11="EQ"),$AD$1="NESMA"),2,1)))</f>
        <v/>
      </c>
      <c r="O11" s="84">
        <f>IF(I11="EI",IF(OR(X11="估算法",X11="算法类"),"中",IF(X11="无法识别","低",IF(L11&lt;2,IF(N11&lt;16,"低","中"),IF(L11&lt;3,IF(N11&lt;5,"低",IF(N11&lt;16,"中","高")),IF(N11&lt;5,"中","高"))))),IF(OR(I11="EO",I11="EQ"),IF(OR(X11="估算法",X11="算法类"),"中",IF(X11="无法识别","低",IF(L11&lt;2,IF(N11&lt;20,"低","中"),IF(L11&lt;4,IF(N11&lt;6,"低",IF(N11&lt;20,"中","高")),IF(N11&lt;6,"中","高"))))),IF(OR(I11="ILF",I11="EIF"),IF(OR(X11="估算法",X11="算法类",X11="无法识别"),"低",IF(M11&lt;2,IF(N11&lt;51,"低","中"),IF(M11&lt;6,IF(N11&lt;20,"低",IF(N11&lt;51,"中","高")),IF(N11&lt;20,"中","高")))),"不计算")))</f>
        <v/>
      </c>
      <c r="P11" s="142">
        <f>IFERROR(IF(I11="EI",IF(O11="低",3,IF(O11="中",4,6)),IF(I11="EO",IF(O11="低",4,IF(O11="中",5,7)),IF(I11="EQ",IF(O11="低",3,IF(O11="中",4,6)),IF(I11="ILF",IF(O11="低",7,IF(O11="中",10,15)),IF(I11="EIF",IF(O11="低",5,IF(O11="中",7,10)),"不计算")))))*Q11,"不计算")</f>
        <v/>
      </c>
      <c r="Q11" s="142" t="n">
        <v>0</v>
      </c>
      <c r="R11" s="143">
        <f>调整因子!$F$13</f>
        <v/>
      </c>
      <c r="S11" s="76" t="n">
        <v>1</v>
      </c>
      <c r="T11" s="144">
        <f>IFERROR(P11*R11,0)</f>
        <v/>
      </c>
      <c r="U11" s="144">
        <f>T11*S11</f>
        <v/>
      </c>
      <c r="V11" s="89" t="n"/>
      <c r="W11" s="88" t="inlineStr">
        <is>
          <t>CPE标准化校验规则表</t>
        </is>
      </c>
      <c r="X11" s="88" t="inlineStr">
        <is>
          <t>CPE标准化校验规则表
{规则ID、规则名称、适用字段、校验类型、正则表达式、校验说明、启用状态、创建时间、修改时间}</t>
        </is>
      </c>
      <c r="Y11" s="88">
        <f>IF(COUNTIFS(V:V,"*"&amp;H11&amp;"*")&gt;0,"存在","不存在")</f>
        <v/>
      </c>
      <c r="Z11" s="88">
        <f>IF(COUNTIFS(AA:AA,"*"&amp;H11&amp;"*")&gt;0,"存在","不存在")</f>
        <v/>
      </c>
      <c r="AA11" s="76" t="inlineStr">
        <is>
          <t>VEX 文档基本信息表、VEX 文档关联产品表</t>
        </is>
      </c>
    </row>
    <row r="12" hidden="1" ht="32.4" customFormat="1" customHeight="1" s="63">
      <c r="A12" s="69">
        <f>ROW()-1</f>
        <v/>
      </c>
      <c r="B12" s="53" t="n"/>
      <c r="C12" s="78" t="n">
        <v>2025</v>
      </c>
      <c r="D12" s="78" t="inlineStr">
        <is>
          <t>蔡云飞</t>
        </is>
      </c>
      <c r="E12" s="53" t="n"/>
      <c r="F12" s="54" t="n"/>
      <c r="G12" s="54" t="n"/>
      <c r="H12" s="80" t="inlineStr">
        <is>
          <t>CPE标准化校验结果表</t>
        </is>
      </c>
      <c r="I12" s="81" t="n"/>
      <c r="J12" s="108" t="n"/>
      <c r="K12" s="108" t="inlineStr">
        <is>
          <t>数据库表未被本系统所使用</t>
        </is>
      </c>
      <c r="L12" s="83">
        <f>IF(OR(X12="估算法",X12="算法类",X12="无法识别"),"",IF(V12="",IF(OR(I12="EI",I12="EO",I12="EQ"),0,""),LEN(V12)-LEN(SUBSTITUTE(V12,"、",""))+1))</f>
        <v/>
      </c>
      <c r="M12" s="83">
        <f>IF(OR(X12="估算法",X12="算法类",X12="无法识别"),"",IF(W12="",IF(OR(I12="ILF",I12="EIF"),0,""),LEN(W12)-LEN(SUBSTITUTE(W12,"、",""))+1))</f>
        <v/>
      </c>
      <c r="N12" s="83">
        <f>IF(OR(X12="估算法",X12="算法类",X12="无法识别"),"",IF(X12="",IF(OR(I12="ILF",I12="EIF",I12="EI",I12="EO",I12="EQ"),0,""),LEN(X12)-LEN(SUBSTITUTE(SUBSTITUTE(SUBSTITUTE(SUBSTITUTE(SUBSTITUTE(X12,"|}","--"),"{|","--"),CHAR(10),""),"、",""),"|",""))+IF(AND(OR(I12="EI",I12="EO",I12="EQ"),$AD$1="NESMA"),2,1)))</f>
        <v/>
      </c>
      <c r="O12" s="84">
        <f>IF(I12="EI",IF(OR(X12="估算法",X12="算法类"),"中",IF(X12="无法识别","低",IF(L12&lt;2,IF(N12&lt;16,"低","中"),IF(L12&lt;3,IF(N12&lt;5,"低",IF(N12&lt;16,"中","高")),IF(N12&lt;5,"中","高"))))),IF(OR(I12="EO",I12="EQ"),IF(OR(X12="估算法",X12="算法类"),"中",IF(X12="无法识别","低",IF(L12&lt;2,IF(N12&lt;20,"低","中"),IF(L12&lt;4,IF(N12&lt;6,"低",IF(N12&lt;20,"中","高")),IF(N12&lt;6,"中","高"))))),IF(OR(I12="ILF",I12="EIF"),IF(OR(X12="估算法",X12="算法类",X12="无法识别"),"低",IF(M12&lt;2,IF(N12&lt;51,"低","中"),IF(M12&lt;6,IF(N12&lt;20,"低",IF(N12&lt;51,"中","高")),IF(N12&lt;20,"中","高")))),"不计算")))</f>
        <v/>
      </c>
      <c r="P12" s="142">
        <f>IFERROR(IF(I12="EI",IF(O12="低",3,IF(O12="中",4,6)),IF(I12="EO",IF(O12="低",4,IF(O12="中",5,7)),IF(I12="EQ",IF(O12="低",3,IF(O12="中",4,6)),IF(I12="ILF",IF(O12="低",7,IF(O12="中",10,15)),IF(I12="EIF",IF(O12="低",5,IF(O12="中",7,10)),"不计算")))))*Q12,"不计算")</f>
        <v/>
      </c>
      <c r="Q12" s="142" t="n">
        <v>1</v>
      </c>
      <c r="R12" s="143">
        <f>调整因子!$F$13</f>
        <v/>
      </c>
      <c r="S12" s="70" t="n">
        <v>1</v>
      </c>
      <c r="T12" s="144">
        <f>IFERROR(P12*R12,0)</f>
        <v/>
      </c>
      <c r="U12" s="144">
        <f>T12*S12</f>
        <v/>
      </c>
      <c r="V12" s="89" t="n"/>
      <c r="W12" s="88" t="inlineStr">
        <is>
          <t>CPE标准化校验结果表</t>
        </is>
      </c>
      <c r="X12" s="88" t="inlineStr">
        <is>
          <t>CPE标准化校验结果表
{结果ID、文档ID、校验规则ID、字段名称、校验结果、错误信息、校验时间、处理状态}</t>
        </is>
      </c>
      <c r="Y12" s="88">
        <f>IF(COUNTIFS(V:V,"*"&amp;H12&amp;"*")&gt;0,"存在","不存在")</f>
        <v/>
      </c>
      <c r="Z12" s="88">
        <f>IF(COUNTIFS(AA:AA,"*"&amp;H12&amp;"*")&gt;0,"存在","不存在")</f>
        <v/>
      </c>
      <c r="AA12" s="76" t="inlineStr">
        <is>
          <t>VEX 基础模板信息表</t>
        </is>
      </c>
    </row>
    <row r="13" hidden="1" ht="43.2" customFormat="1" customHeight="1" s="63">
      <c r="A13" s="69">
        <f>ROW()-1</f>
        <v/>
      </c>
      <c r="B13" s="53" t="n"/>
      <c r="C13" s="78" t="n">
        <v>2025</v>
      </c>
      <c r="D13" s="78" t="inlineStr">
        <is>
          <t>窦鹏岐</t>
        </is>
      </c>
      <c r="E13" s="53" t="n"/>
      <c r="F13" s="79" t="inlineStr">
        <is>
          <t>VEX文档管理</t>
        </is>
      </c>
      <c r="G13" s="91" t="inlineStr">
        <is>
          <t>VEX文档全生命周期管理</t>
        </is>
      </c>
      <c r="H13" s="80" t="inlineStr">
        <is>
          <t>CISA VEX文档下载</t>
        </is>
      </c>
      <c r="I13" s="81" t="inlineStr">
        <is>
          <t>EO</t>
        </is>
      </c>
      <c r="J13" s="108" t="n"/>
      <c r="K13" s="108" t="n"/>
      <c r="L13" s="83">
        <f>IF(OR(X13="估算法",X13="算法类",X13="无法识别"),"",IF(V13="",IF(OR(I13="EI",I13="EO",I13="EQ"),0,""),LEN(V13)-LEN(SUBSTITUTE(V13,"、",""))+1))</f>
        <v/>
      </c>
      <c r="M13" s="83">
        <f>IF(OR(X13="估算法",X13="算法类",X13="无法识别"),"",IF(W13="",IF(OR(I13="ILF",I13="EIF"),0,""),LEN(W13)-LEN(SUBSTITUTE(W13,"、",""))+1))</f>
        <v/>
      </c>
      <c r="N13" s="83">
        <f>IF(OR(X13="估算法",X13="算法类",X13="无法识别"),"",IF(X13="",IF(OR(I13="ILF",I13="EIF",I13="EI",I13="EO",I13="EQ"),0,""),LEN(X13)-LEN(SUBSTITUTE(SUBSTITUTE(SUBSTITUTE(SUBSTITUTE(SUBSTITUTE(X13,"|}","--"),"{|","--"),CHAR(10),""),"、",""),"|",""))+IF(AND(OR(I13="EI",I13="EO",I13="EQ"),$AD$1="NESMA"),2,1)))</f>
        <v/>
      </c>
      <c r="O13" s="84">
        <f>IF(I13="EI",IF(OR(X13="估算法",X13="算法类"),"中",IF(X13="无法识别","低",IF(L13&lt;2,IF(N13&lt;16,"低","中"),IF(L13&lt;3,IF(N13&lt;5,"低",IF(N13&lt;16,"中","高")),IF(N13&lt;5,"中","高"))))),IF(OR(I13="EO",I13="EQ"),IF(OR(X13="估算法",X13="算法类"),"中",IF(X13="无法识别","低",IF(L13&lt;2,IF(N13&lt;20,"低","中"),IF(L13&lt;4,IF(N13&lt;6,"低",IF(N13&lt;20,"中","高")),IF(N13&lt;6,"中","高"))))),IF(OR(I13="ILF",I13="EIF"),IF(OR(X13="估算法",X13="算法类",X13="无法识别"),"低",IF(M13&lt;2,IF(N13&lt;51,"低","中"),IF(M13&lt;6,IF(N13&lt;20,"低",IF(N13&lt;51,"中","高")),IF(N13&lt;20,"中","高")))),"不计算")))</f>
        <v/>
      </c>
      <c r="P13" s="142">
        <f>IFERROR(IF(I13="EI",IF(O13="低",3,IF(O13="中",4,6)),IF(I13="EO",IF(O13="低",4,IF(O13="中",5,7)),IF(I13="EQ",IF(O13="低",3,IF(O13="中",4,6)),IF(I13="ILF",IF(O13="低",7,IF(O13="中",10,15)),IF(I13="EIF",IF(O13="低",5,IF(O13="中",7,10)),"不计算")))))*Q13,"不计算")</f>
        <v/>
      </c>
      <c r="Q13" s="142" t="n">
        <v>1</v>
      </c>
      <c r="R13" s="143">
        <f>调整因子!$F$13</f>
        <v/>
      </c>
      <c r="S13" s="70" t="n">
        <v>1</v>
      </c>
      <c r="T13" s="144">
        <f>IFERROR(P13*R13,0)</f>
        <v/>
      </c>
      <c r="U13" s="144">
        <f>T13*S13</f>
        <v/>
      </c>
      <c r="V13" s="76" t="inlineStr">
        <is>
          <t>VEX 文档基本信息表、VEX 文档操作日志表</t>
        </is>
      </c>
      <c r="W13" s="81" t="n"/>
      <c r="X13" s="76" t="inlineStr">
        <is>
          <t>VEX 文档基本信息表{主键 id、文档名称、文档内容、创建时间、更新时间、是否删除}
VEX 文档操作日志表{主键 id、VEX 文档基本信息表主键 id （用于关联对应的文档）、操作类型 （如 “下载”“创建”“删除” 等）、操作时间操作人}</t>
        </is>
      </c>
      <c r="Y13" s="88" t="n"/>
      <c r="Z13" s="88" t="n"/>
      <c r="AA13" s="76" t="inlineStr">
        <is>
          <t>VEX 基础模板信息表</t>
        </is>
      </c>
    </row>
    <row r="14" hidden="1" ht="43.2" customFormat="1" customHeight="1" s="63">
      <c r="A14" s="69">
        <f>ROW()-1</f>
        <v/>
      </c>
      <c r="B14" s="53" t="n"/>
      <c r="C14" s="78" t="n">
        <v>2025</v>
      </c>
      <c r="D14" s="78" t="inlineStr">
        <is>
          <t>窦鹏岐</t>
        </is>
      </c>
      <c r="E14" s="53" t="n"/>
      <c r="F14" s="53" t="n"/>
      <c r="G14" s="53" t="n"/>
      <c r="H14" s="80" t="inlineStr">
        <is>
          <t>CISA VEX文档创建</t>
        </is>
      </c>
      <c r="I14" s="81" t="inlineStr">
        <is>
          <t>EI</t>
        </is>
      </c>
      <c r="J14" s="108" t="n"/>
      <c r="K14" s="108" t="n"/>
      <c r="L14" s="83">
        <f>IF(OR(X14="估算法",X14="算法类",X14="无法识别"),"",IF(V14="",IF(OR(I14="EI",I14="EO",I14="EQ"),0,""),LEN(V14)-LEN(SUBSTITUTE(V14,"、",""))+1))</f>
        <v/>
      </c>
      <c r="M14" s="83">
        <f>IF(OR(X14="估算法",X14="算法类",X14="无法识别"),"",IF(W14="",IF(OR(I14="ILF",I14="EIF"),0,""),LEN(W14)-LEN(SUBSTITUTE(W14,"、",""))+1))</f>
        <v/>
      </c>
      <c r="N14" s="83">
        <f>IF(OR(X14="估算法",X14="算法类",X14="无法识别"),"",IF(X14="",IF(OR(I14="ILF",I14="EIF",I14="EI",I14="EO",I14="EQ"),0,""),LEN(X14)-LEN(SUBSTITUTE(SUBSTITUTE(SUBSTITUTE(SUBSTITUTE(SUBSTITUTE(X14,"|}","--"),"{|","--"),CHAR(10),""),"、",""),"|",""))+IF(AND(OR(I14="EI",I14="EO",I14="EQ"),$AD$1="NESMA"),2,1)))</f>
        <v/>
      </c>
      <c r="O14" s="84">
        <f>IF(I14="EI",IF(OR(X14="估算法",X14="算法类"),"中",IF(X14="无法识别","低",IF(L14&lt;2,IF(N14&lt;16,"低","中"),IF(L14&lt;3,IF(N14&lt;5,"低",IF(N14&lt;16,"中","高")),IF(N14&lt;5,"中","高"))))),IF(OR(I14="EO",I14="EQ"),IF(OR(X14="估算法",X14="算法类"),"中",IF(X14="无法识别","低",IF(L14&lt;2,IF(N14&lt;20,"低","中"),IF(L14&lt;4,IF(N14&lt;6,"低",IF(N14&lt;20,"中","高")),IF(N14&lt;6,"中","高"))))),IF(OR(I14="ILF",I14="EIF"),IF(OR(X14="估算法",X14="算法类",X14="无法识别"),"低",IF(M14&lt;2,IF(N14&lt;51,"低","中"),IF(M14&lt;6,IF(N14&lt;20,"低",IF(N14&lt;51,"中","高")),IF(N14&lt;20,"中","高")))),"不计算")))</f>
        <v/>
      </c>
      <c r="P14" s="142">
        <f>IFERROR(IF(I14="EI",IF(O14="低",3,IF(O14="中",4,6)),IF(I14="EO",IF(O14="低",4,IF(O14="中",5,7)),IF(I14="EQ",IF(O14="低",3,IF(O14="中",4,6)),IF(I14="ILF",IF(O14="低",7,IF(O14="中",10,15)),IF(I14="EIF",IF(O14="低",5,IF(O14="中",7,10)),"不计算")))))*Q14,"不计算")</f>
        <v/>
      </c>
      <c r="Q14" s="142" t="n">
        <v>1</v>
      </c>
      <c r="R14" s="143">
        <f>调整因子!$F$13</f>
        <v/>
      </c>
      <c r="S14" s="76" t="n">
        <v>1</v>
      </c>
      <c r="T14" s="144">
        <f>IFERROR(P14*R14,0)</f>
        <v/>
      </c>
      <c r="U14" s="144">
        <f>T14*S14</f>
        <v/>
      </c>
      <c r="V14" s="76" t="inlineStr">
        <is>
          <t>VEX 文档基本信息表、VEX 文档操作日志表</t>
        </is>
      </c>
      <c r="W14" s="81" t="n"/>
      <c r="X14" s="76" t="inlineStr">
        <is>
          <t>VEX 文档基本信息表{主键 id、文档名称、文档内容、创建时间、更新时间、是否删除}
VEX 文档操作日志表{主键 id、VEX 文档基本信息表主键 id （用于关联对应的文档）、操作类型 （如 “下载”“创建”“删除” 等）、操作时间操作人}</t>
        </is>
      </c>
      <c r="Y14" s="88" t="n"/>
      <c r="Z14" s="88" t="n"/>
      <c r="AA14" s="76" t="inlineStr">
        <is>
          <t>VEX 基础模板信息表</t>
        </is>
      </c>
    </row>
    <row r="15" hidden="1" ht="43.2" customFormat="1" customHeight="1" s="63">
      <c r="A15" s="69">
        <f>ROW()-1</f>
        <v/>
      </c>
      <c r="B15" s="53" t="n"/>
      <c r="C15" s="78" t="n">
        <v>2025</v>
      </c>
      <c r="D15" s="78" t="inlineStr">
        <is>
          <t>窦鹏岐</t>
        </is>
      </c>
      <c r="E15" s="53" t="n"/>
      <c r="F15" s="53" t="n"/>
      <c r="G15" s="53" t="n"/>
      <c r="H15" s="80" t="inlineStr">
        <is>
          <t>CISA VEX文档删除</t>
        </is>
      </c>
      <c r="I15" s="81" t="inlineStr">
        <is>
          <t>EI</t>
        </is>
      </c>
      <c r="J15" s="108" t="n"/>
      <c r="K15" s="108" t="n"/>
      <c r="L15" s="83">
        <f>IF(OR(X15="估算法",X15="算法类",X15="无法识别"),"",IF(V15="",IF(OR(I15="EI",I15="EO",I15="EQ"),0,""),LEN(V15)-LEN(SUBSTITUTE(V15,"、",""))+1))</f>
        <v/>
      </c>
      <c r="M15" s="83">
        <f>IF(OR(X15="估算法",X15="算法类",X15="无法识别"),"",IF(W15="",IF(OR(I15="ILF",I15="EIF"),0,""),LEN(W15)-LEN(SUBSTITUTE(W15,"、",""))+1))</f>
        <v/>
      </c>
      <c r="N15" s="83">
        <f>IF(OR(X15="估算法",X15="算法类",X15="无法识别"),"",IF(X15="",IF(OR(I15="ILF",I15="EIF",I15="EI",I15="EO",I15="EQ"),0,""),LEN(X15)-LEN(SUBSTITUTE(SUBSTITUTE(SUBSTITUTE(SUBSTITUTE(SUBSTITUTE(X15,"|}","--"),"{|","--"),CHAR(10),""),"、",""),"|",""))+IF(AND(OR(I15="EI",I15="EO",I15="EQ"),$AD$1="NESMA"),2,1)))</f>
        <v/>
      </c>
      <c r="O15" s="84">
        <f>IF(I15="EI",IF(OR(X15="估算法",X15="算法类"),"中",IF(X15="无法识别","低",IF(L15&lt;2,IF(N15&lt;16,"低","中"),IF(L15&lt;3,IF(N15&lt;5,"低",IF(N15&lt;16,"中","高")),IF(N15&lt;5,"中","高"))))),IF(OR(I15="EO",I15="EQ"),IF(OR(X15="估算法",X15="算法类"),"中",IF(X15="无法识别","低",IF(L15&lt;2,IF(N15&lt;20,"低","中"),IF(L15&lt;4,IF(N15&lt;6,"低",IF(N15&lt;20,"中","高")),IF(N15&lt;6,"中","高"))))),IF(OR(I15="ILF",I15="EIF"),IF(OR(X15="估算法",X15="算法类",X15="无法识别"),"低",IF(M15&lt;2,IF(N15&lt;51,"低","中"),IF(M15&lt;6,IF(N15&lt;20,"低",IF(N15&lt;51,"中","高")),IF(N15&lt;20,"中","高")))),"不计算")))</f>
        <v/>
      </c>
      <c r="P15" s="142">
        <f>IFERROR(IF(I15="EI",IF(O15="低",3,IF(O15="中",4,6)),IF(I15="EO",IF(O15="低",4,IF(O15="中",5,7)),IF(I15="EQ",IF(O15="低",3,IF(O15="中",4,6)),IF(I15="ILF",IF(O15="低",7,IF(O15="中",10,15)),IF(I15="EIF",IF(O15="低",5,IF(O15="中",7,10)),"不计算")))))*Q15,"不计算")</f>
        <v/>
      </c>
      <c r="Q15" s="142" t="n">
        <v>0.333333333333333</v>
      </c>
      <c r="R15" s="143">
        <f>调整因子!$F$13</f>
        <v/>
      </c>
      <c r="S15" s="70" t="n">
        <v>1</v>
      </c>
      <c r="T15" s="144">
        <f>IFERROR(P15*R15,0)</f>
        <v/>
      </c>
      <c r="U15" s="144">
        <f>T15*S15</f>
        <v/>
      </c>
      <c r="V15" s="76" t="inlineStr">
        <is>
          <t>VEX 文档基本信息表、VEX 文档操作日志表</t>
        </is>
      </c>
      <c r="W15" s="81" t="n"/>
      <c r="X15" s="76" t="inlineStr">
        <is>
          <t>VEX 文档基本信息表{主键 id、文档名称、文档内容、创建时间、更新时间、是否删除}
VEX 文档操作日志表{主键 id、VEX 文档基本信息表主键 id （用于关联对应的文档）、操作类型 （如 “下载”“创建”“删除” 等）、操作时间操作人}</t>
        </is>
      </c>
      <c r="Y15" s="88" t="n"/>
      <c r="Z15" s="88" t="n"/>
      <c r="AA15" s="76" t="inlineStr">
        <is>
          <t>VEX 基础模板信息表</t>
        </is>
      </c>
    </row>
    <row r="16" hidden="1" ht="21.6" customFormat="1" customHeight="1" s="63">
      <c r="A16" s="69">
        <f>ROW()-1</f>
        <v/>
      </c>
      <c r="B16" s="53" t="n"/>
      <c r="C16" s="78" t="n">
        <v>2025</v>
      </c>
      <c r="D16" s="78" t="inlineStr">
        <is>
          <t>窦鹏岐</t>
        </is>
      </c>
      <c r="E16" s="53" t="n"/>
      <c r="F16" s="53" t="n"/>
      <c r="G16" s="53" t="n"/>
      <c r="H16" s="80" t="inlineStr">
        <is>
          <t>CISA VEX文档导入</t>
        </is>
      </c>
      <c r="I16" s="81" t="inlineStr">
        <is>
          <t>EI</t>
        </is>
      </c>
      <c r="J16" s="108" t="n"/>
      <c r="K16" s="108" t="n"/>
      <c r="L16" s="83">
        <f>IF(OR(X16="估算法",X16="算法类",X16="无法识别"),"",IF(V16="",IF(OR(I16="EI",I16="EO",I16="EQ"),0,""),LEN(V16)-LEN(SUBSTITUTE(V16,"、",""))+1))</f>
        <v/>
      </c>
      <c r="M16" s="83">
        <f>IF(OR(X16="估算法",X16="算法类",X16="无法识别"),"",IF(W16="",IF(OR(I16="ILF",I16="EIF"),0,""),LEN(W16)-LEN(SUBSTITUTE(W16,"、",""))+1))</f>
        <v/>
      </c>
      <c r="N16" s="83">
        <f>IF(OR(X16="估算法",X16="算法类",X16="无法识别"),"",IF(X16="",IF(OR(I16="ILF",I16="EIF",I16="EI",I16="EO",I16="EQ"),0,""),LEN(X16)-LEN(SUBSTITUTE(SUBSTITUTE(SUBSTITUTE(SUBSTITUTE(SUBSTITUTE(X16,"|}","--"),"{|","--"),CHAR(10),""),"、",""),"|",""))+IF(AND(OR(I16="EI",I16="EO",I16="EQ"),$AD$1="NESMA"),2,1)))</f>
        <v/>
      </c>
      <c r="O16" s="84">
        <f>IF(I16="EI",IF(OR(X16="估算法",X16="算法类"),"中",IF(X16="无法识别","低",IF(L16&lt;2,IF(N16&lt;16,"低","中"),IF(L16&lt;3,IF(N16&lt;5,"低",IF(N16&lt;16,"中","高")),IF(N16&lt;5,"中","高"))))),IF(OR(I16="EO",I16="EQ"),IF(OR(X16="估算法",X16="算法类"),"中",IF(X16="无法识别","低",IF(L16&lt;2,IF(N16&lt;20,"低","中"),IF(L16&lt;4,IF(N16&lt;6,"低",IF(N16&lt;20,"中","高")),IF(N16&lt;6,"中","高"))))),IF(OR(I16="ILF",I16="EIF"),IF(OR(X16="估算法",X16="算法类",X16="无法识别"),"低",IF(M16&lt;2,IF(N16&lt;51,"低","中"),IF(M16&lt;6,IF(N16&lt;20,"低",IF(N16&lt;51,"中","高")),IF(N16&lt;20,"中","高")))),"不计算")))</f>
        <v/>
      </c>
      <c r="P16" s="142">
        <f>IFERROR(IF(I16="EI",IF(O16="低",3,IF(O16="中",4,6)),IF(I16="EO",IF(O16="低",4,IF(O16="中",5,7)),IF(I16="EQ",IF(O16="低",3,IF(O16="中",4,6)),IF(I16="ILF",IF(O16="低",7,IF(O16="中",10,15)),IF(I16="EIF",IF(O16="低",5,IF(O16="中",7,10)),"不计算")))))*Q16,"不计算")</f>
        <v/>
      </c>
      <c r="Q16" s="142" t="n">
        <v>1</v>
      </c>
      <c r="R16" s="143">
        <f>调整因子!$F$13</f>
        <v/>
      </c>
      <c r="S16" s="70" t="n">
        <v>1</v>
      </c>
      <c r="T16" s="144">
        <f>IFERROR(P16*R16,0)</f>
        <v/>
      </c>
      <c r="U16" s="144">
        <f>T16*S16</f>
        <v/>
      </c>
      <c r="V16" s="76" t="inlineStr">
        <is>
          <t>VEX 文档基本信息表</t>
        </is>
      </c>
      <c r="W16" s="81" t="n"/>
      <c r="X16" s="76" t="inlineStr">
        <is>
          <t>VEX 文档基本信息表{主键 id、文档名称、文档内容、创建时间、更新时间、是否删除}</t>
        </is>
      </c>
      <c r="Y16" s="88" t="n"/>
      <c r="Z16" s="88" t="n"/>
      <c r="AA16" s="88" t="inlineStr">
        <is>
          <t>资产指纹信息表</t>
        </is>
      </c>
    </row>
    <row r="17" hidden="1" ht="21.6" customFormat="1" customHeight="1" s="63">
      <c r="A17" s="69">
        <f>ROW()-1</f>
        <v/>
      </c>
      <c r="B17" s="53" t="n"/>
      <c r="C17" s="78" t="n">
        <v>2025</v>
      </c>
      <c r="D17" s="78" t="inlineStr">
        <is>
          <t>窦鹏岐</t>
        </is>
      </c>
      <c r="E17" s="53" t="n"/>
      <c r="F17" s="53" t="n"/>
      <c r="G17" s="53" t="n"/>
      <c r="H17" s="80" t="inlineStr">
        <is>
          <t>CISA VEX文档导出</t>
        </is>
      </c>
      <c r="I17" s="81" t="inlineStr">
        <is>
          <t>EO</t>
        </is>
      </c>
      <c r="J17" s="108" t="n"/>
      <c r="K17" s="108" t="n"/>
      <c r="L17" s="83">
        <f>IF(OR(X17="估算法",X17="算法类",X17="无法识别"),"",IF(V17="",IF(OR(I17="EI",I17="EO",I17="EQ"),0,""),LEN(V17)-LEN(SUBSTITUTE(V17,"、",""))+1))</f>
        <v/>
      </c>
      <c r="M17" s="83">
        <f>IF(OR(X17="估算法",X17="算法类",X17="无法识别"),"",IF(W17="",IF(OR(I17="ILF",I17="EIF"),0,""),LEN(W17)-LEN(SUBSTITUTE(W17,"、",""))+1))</f>
        <v/>
      </c>
      <c r="N17" s="83">
        <f>IF(OR(X17="估算法",X17="算法类",X17="无法识别"),"",IF(X17="",IF(OR(I17="ILF",I17="EIF",I17="EI",I17="EO",I17="EQ"),0,""),LEN(X17)-LEN(SUBSTITUTE(SUBSTITUTE(SUBSTITUTE(SUBSTITUTE(SUBSTITUTE(X17,"|}","--"),"{|","--"),CHAR(10),""),"、",""),"|",""))+IF(AND(OR(I17="EI",I17="EO",I17="EQ"),$AD$1="NESMA"),2,1)))</f>
        <v/>
      </c>
      <c r="O17" s="84">
        <f>IF(I17="EI",IF(OR(X17="估算法",X17="算法类"),"中",IF(X17="无法识别","低",IF(L17&lt;2,IF(N17&lt;16,"低","中"),IF(L17&lt;3,IF(N17&lt;5,"低",IF(N17&lt;16,"中","高")),IF(N17&lt;5,"中","高"))))),IF(OR(I17="EO",I17="EQ"),IF(OR(X17="估算法",X17="算法类"),"中",IF(X17="无法识别","低",IF(L17&lt;2,IF(N17&lt;20,"低","中"),IF(L17&lt;4,IF(N17&lt;6,"低",IF(N17&lt;20,"中","高")),IF(N17&lt;6,"中","高"))))),IF(OR(I17="ILF",I17="EIF"),IF(OR(X17="估算法",X17="算法类",X17="无法识别"),"低",IF(M17&lt;2,IF(N17&lt;51,"低","中"),IF(M17&lt;6,IF(N17&lt;20,"低",IF(N17&lt;51,"中","高")),IF(N17&lt;20,"中","高")))),"不计算")))</f>
        <v/>
      </c>
      <c r="P17" s="142">
        <f>IFERROR(IF(I17="EI",IF(O17="低",3,IF(O17="中",4,6)),IF(I17="EO",IF(O17="低",4,IF(O17="中",5,7)),IF(I17="EQ",IF(O17="低",3,IF(O17="中",4,6)),IF(I17="ILF",IF(O17="低",7,IF(O17="中",10,15)),IF(I17="EIF",IF(O17="低",5,IF(O17="中",7,10)),"不计算")))))*Q17,"不计算")</f>
        <v/>
      </c>
      <c r="Q17" s="142" t="n">
        <v>1</v>
      </c>
      <c r="R17" s="143">
        <f>调整因子!$F$13</f>
        <v/>
      </c>
      <c r="S17" s="76" t="n">
        <v>1</v>
      </c>
      <c r="T17" s="144">
        <f>IFERROR(P17*R17,0)</f>
        <v/>
      </c>
      <c r="U17" s="144">
        <f>T17*S17</f>
        <v/>
      </c>
      <c r="V17" s="76" t="inlineStr">
        <is>
          <t>VEX 文档基本信息表</t>
        </is>
      </c>
      <c r="W17" s="81" t="n"/>
      <c r="X17" s="76" t="inlineStr">
        <is>
          <t>VEX 文档基本信息表{主键 id、文档名称、文档内容、创建时间、更新时间、是否删除}</t>
        </is>
      </c>
      <c r="Y17" s="88" t="n"/>
      <c r="Z17" s="88" t="n"/>
      <c r="AA17" s="88" t="inlineStr">
        <is>
          <t>资产指纹信息表</t>
        </is>
      </c>
    </row>
    <row r="18" hidden="1" ht="21.6" customFormat="1" customHeight="1" s="63">
      <c r="A18" s="69">
        <f>ROW()-1</f>
        <v/>
      </c>
      <c r="B18" s="53" t="n"/>
      <c r="C18" s="78" t="n">
        <v>2025</v>
      </c>
      <c r="D18" s="78" t="inlineStr">
        <is>
          <t>窦鹏岐</t>
        </is>
      </c>
      <c r="E18" s="53" t="n"/>
      <c r="F18" s="53" t="n"/>
      <c r="G18" s="53" t="n"/>
      <c r="H18" s="80" t="inlineStr">
        <is>
          <t>CISA VEX文档查看</t>
        </is>
      </c>
      <c r="I18" s="81" t="inlineStr">
        <is>
          <t>EQ</t>
        </is>
      </c>
      <c r="J18" s="108" t="n"/>
      <c r="K18" s="108" t="n"/>
      <c r="L18" s="83">
        <f>IF(OR(X18="估算法",X18="算法类",X18="无法识别"),"",IF(V18="",IF(OR(I18="EI",I18="EO",I18="EQ"),0,""),LEN(V18)-LEN(SUBSTITUTE(V18,"、",""))+1))</f>
        <v/>
      </c>
      <c r="M18" s="83">
        <f>IF(OR(X18="估算法",X18="算法类",X18="无法识别"),"",IF(W18="",IF(OR(I18="ILF",I18="EIF"),0,""),LEN(W18)-LEN(SUBSTITUTE(W18,"、",""))+1))</f>
        <v/>
      </c>
      <c r="N18" s="83">
        <f>IF(OR(X18="估算法",X18="算法类",X18="无法识别"),"",IF(X18="",IF(OR(I18="ILF",I18="EIF",I18="EI",I18="EO",I18="EQ"),0,""),LEN(X18)-LEN(SUBSTITUTE(SUBSTITUTE(SUBSTITUTE(SUBSTITUTE(SUBSTITUTE(X18,"|}","--"),"{|","--"),CHAR(10),""),"、",""),"|",""))+IF(AND(OR(I18="EI",I18="EO",I18="EQ"),$AD$1="NESMA"),2,1)))</f>
        <v/>
      </c>
      <c r="O18" s="84">
        <f>IF(I18="EI",IF(OR(X18="估算法",X18="算法类"),"中",IF(X18="无法识别","低",IF(L18&lt;2,IF(N18&lt;16,"低","中"),IF(L18&lt;3,IF(N18&lt;5,"低",IF(N18&lt;16,"中","高")),IF(N18&lt;5,"中","高"))))),IF(OR(I18="EO",I18="EQ"),IF(OR(X18="估算法",X18="算法类"),"中",IF(X18="无法识别","低",IF(L18&lt;2,IF(N18&lt;20,"低","中"),IF(L18&lt;4,IF(N18&lt;6,"低",IF(N18&lt;20,"中","高")),IF(N18&lt;6,"中","高"))))),IF(OR(I18="ILF",I18="EIF"),IF(OR(X18="估算法",X18="算法类",X18="无法识别"),"低",IF(M18&lt;2,IF(N18&lt;51,"低","中"),IF(M18&lt;6,IF(N18&lt;20,"低",IF(N18&lt;51,"中","高")),IF(N18&lt;20,"中","高")))),"不计算")))</f>
        <v/>
      </c>
      <c r="P18" s="142">
        <f>IFERROR(IF(I18="EI",IF(O18="低",3,IF(O18="中",4,6)),IF(I18="EO",IF(O18="低",4,IF(O18="中",5,7)),IF(I18="EQ",IF(O18="低",3,IF(O18="中",4,6)),IF(I18="ILF",IF(O18="低",7,IF(O18="中",10,15)),IF(I18="EIF",IF(O18="低",5,IF(O18="中",7,10)),"不计算")))))*Q18,"不计算")</f>
        <v/>
      </c>
      <c r="Q18" s="142" t="n">
        <v>1</v>
      </c>
      <c r="R18" s="143">
        <f>调整因子!$F$13</f>
        <v/>
      </c>
      <c r="S18" s="70" t="n">
        <v>1</v>
      </c>
      <c r="T18" s="144">
        <f>IFERROR(P18*R18,0)</f>
        <v/>
      </c>
      <c r="U18" s="144">
        <f>T18*S18</f>
        <v/>
      </c>
      <c r="V18" s="76" t="inlineStr">
        <is>
          <t>VEX 文档基本信息表</t>
        </is>
      </c>
      <c r="W18" s="81" t="n"/>
      <c r="X18" s="76" t="inlineStr">
        <is>
          <t>VEX 文档基本信息表{主键 id、文档名称、文档内容、创建时间、更新时间、是否删除}</t>
        </is>
      </c>
      <c r="Y18" s="88" t="n"/>
      <c r="Z18" s="88" t="n"/>
      <c r="AA18" s="88" t="inlineStr">
        <is>
          <t>资产指纹信息表</t>
        </is>
      </c>
    </row>
    <row r="19" hidden="1" ht="43.2" customFormat="1" customHeight="1" s="63">
      <c r="A19" s="69">
        <f>ROW()-1</f>
        <v/>
      </c>
      <c r="B19" s="53" t="n"/>
      <c r="C19" s="78" t="n">
        <v>2025</v>
      </c>
      <c r="D19" s="78" t="inlineStr">
        <is>
          <t>窦鹏岐</t>
        </is>
      </c>
      <c r="E19" s="53" t="n"/>
      <c r="F19" s="53" t="n"/>
      <c r="G19" s="53" t="n"/>
      <c r="H19" s="80" t="inlineStr">
        <is>
          <t>CISA VEX文档编辑</t>
        </is>
      </c>
      <c r="I19" s="81" t="inlineStr">
        <is>
          <t>EI</t>
        </is>
      </c>
      <c r="J19" s="108" t="n"/>
      <c r="K19" s="108" t="n"/>
      <c r="L19" s="83">
        <f>IF(OR(X19="估算法",X19="算法类",X19="无法识别"),"",IF(V19="",IF(OR(I19="EI",I19="EO",I19="EQ"),0,""),LEN(V19)-LEN(SUBSTITUTE(V19,"、",""))+1))</f>
        <v/>
      </c>
      <c r="M19" s="83">
        <f>IF(OR(X19="估算法",X19="算法类",X19="无法识别"),"",IF(W19="",IF(OR(I19="ILF",I19="EIF"),0,""),LEN(W19)-LEN(SUBSTITUTE(W19,"、",""))+1))</f>
        <v/>
      </c>
      <c r="N19" s="83">
        <f>IF(OR(X19="估算法",X19="算法类",X19="无法识别"),"",IF(X19="",IF(OR(I19="ILF",I19="EIF",I19="EI",I19="EO",I19="EQ"),0,""),LEN(X19)-LEN(SUBSTITUTE(SUBSTITUTE(SUBSTITUTE(SUBSTITUTE(SUBSTITUTE(X19,"|}","--"),"{|","--"),CHAR(10),""),"、",""),"|",""))+IF(AND(OR(I19="EI",I19="EO",I19="EQ"),$AD$1="NESMA"),2,1)))</f>
        <v/>
      </c>
      <c r="O19" s="84">
        <f>IF(I19="EI",IF(OR(X19="估算法",X19="算法类"),"中",IF(X19="无法识别","低",IF(L19&lt;2,IF(N19&lt;16,"低","中"),IF(L19&lt;3,IF(N19&lt;5,"低",IF(N19&lt;16,"中","高")),IF(N19&lt;5,"中","高"))))),IF(OR(I19="EO",I19="EQ"),IF(OR(X19="估算法",X19="算法类"),"中",IF(X19="无法识别","低",IF(L19&lt;2,IF(N19&lt;20,"低","中"),IF(L19&lt;4,IF(N19&lt;6,"低",IF(N19&lt;20,"中","高")),IF(N19&lt;6,"中","高"))))),IF(OR(I19="ILF",I19="EIF"),IF(OR(X19="估算法",X19="算法类",X19="无法识别"),"低",IF(M19&lt;2,IF(N19&lt;51,"低","中"),IF(M19&lt;6,IF(N19&lt;20,"低",IF(N19&lt;51,"中","高")),IF(N19&lt;20,"中","高")))),"不计算")))</f>
        <v/>
      </c>
      <c r="P19" s="142">
        <f>IFERROR(IF(I19="EI",IF(O19="低",3,IF(O19="中",4,6)),IF(I19="EO",IF(O19="低",4,IF(O19="中",5,7)),IF(I19="EQ",IF(O19="低",3,IF(O19="中",4,6)),IF(I19="ILF",IF(O19="低",7,IF(O19="中",10,15)),IF(I19="EIF",IF(O19="低",5,IF(O19="中",7,10)),"不计算")))))*Q19,"不计算")</f>
        <v/>
      </c>
      <c r="Q19" s="142" t="n">
        <v>0.333333333333333</v>
      </c>
      <c r="R19" s="143">
        <f>调整因子!$F$13</f>
        <v/>
      </c>
      <c r="S19" s="70" t="n">
        <v>1</v>
      </c>
      <c r="T19" s="144">
        <f>IFERROR(P19*R19,0)</f>
        <v/>
      </c>
      <c r="U19" s="144">
        <f>T19*S19</f>
        <v/>
      </c>
      <c r="V19" s="76" t="inlineStr">
        <is>
          <t>VEX 文档基本信息表、VEX 文档操作日志表</t>
        </is>
      </c>
      <c r="W19" s="81" t="n"/>
      <c r="X19" s="76" t="inlineStr">
        <is>
          <t>VEX 文档基本信息表{主键 id、文档名称、文档内容、创建时间、更新时间、是否删除}
VEX 文档操作日志表{主键 id、VEX 文档基本信息表主键 id （用于关联对应的文档）、操作类型 （如 “下载”“创建”“删除” 等）、操作时间操作人}</t>
        </is>
      </c>
      <c r="Y19" s="88" t="n"/>
      <c r="Z19" s="88" t="n"/>
      <c r="AA19" s="88" t="inlineStr">
        <is>
          <t>风险资产组件评分表</t>
        </is>
      </c>
    </row>
    <row r="20" hidden="1" ht="43.2" customFormat="1" customHeight="1" s="63">
      <c r="A20" s="69">
        <f>ROW()-1</f>
        <v/>
      </c>
      <c r="B20" s="53" t="n"/>
      <c r="C20" s="78" t="n">
        <v>2025</v>
      </c>
      <c r="D20" s="78" t="inlineStr">
        <is>
          <t>窦鹏岐</t>
        </is>
      </c>
      <c r="E20" s="53" t="n"/>
      <c r="F20" s="53" t="n"/>
      <c r="G20" s="54" t="n"/>
      <c r="H20" s="80" t="inlineStr">
        <is>
          <t>CISA单个VEX文档关联产品</t>
        </is>
      </c>
      <c r="I20" s="81" t="inlineStr">
        <is>
          <t>EI</t>
        </is>
      </c>
      <c r="J20" s="108" t="n"/>
      <c r="K20" s="108" t="n"/>
      <c r="L20" s="83">
        <f>IF(OR(X20="估算法",X20="算法类",X20="无法识别"),"",IF(V20="",IF(OR(I20="EI",I20="EO",I20="EQ"),0,""),LEN(V20)-LEN(SUBSTITUTE(V20,"、",""))+1))</f>
        <v/>
      </c>
      <c r="M20" s="83">
        <f>IF(OR(X20="估算法",X20="算法类",X20="无法识别"),"",IF(W20="",IF(OR(I20="ILF",I20="EIF"),0,""),LEN(W20)-LEN(SUBSTITUTE(W20,"、",""))+1))</f>
        <v/>
      </c>
      <c r="N20" s="83">
        <f>IF(OR(X20="估算法",X20="算法类",X20="无法识别"),"",IF(X20="",IF(OR(I20="ILF",I20="EIF",I20="EI",I20="EO",I20="EQ"),0,""),LEN(X20)-LEN(SUBSTITUTE(SUBSTITUTE(SUBSTITUTE(SUBSTITUTE(SUBSTITUTE(X20,"|}","--"),"{|","--"),CHAR(10),""),"、",""),"|",""))+IF(AND(OR(I20="EI",I20="EO",I20="EQ"),$AD$1="NESMA"),2,1)))</f>
        <v/>
      </c>
      <c r="O20" s="84">
        <f>IF(I20="EI",IF(OR(X20="估算法",X20="算法类"),"中",IF(X20="无法识别","低",IF(L20&lt;2,IF(N20&lt;16,"低","中"),IF(L20&lt;3,IF(N20&lt;5,"低",IF(N20&lt;16,"中","高")),IF(N20&lt;5,"中","高"))))),IF(OR(I20="EO",I20="EQ"),IF(OR(X20="估算法",X20="算法类"),"中",IF(X20="无法识别","低",IF(L20&lt;2,IF(N20&lt;20,"低","中"),IF(L20&lt;4,IF(N20&lt;6,"低",IF(N20&lt;20,"中","高")),IF(N20&lt;6,"中","高"))))),IF(OR(I20="ILF",I20="EIF"),IF(OR(X20="估算法",X20="算法类",X20="无法识别"),"低",IF(M20&lt;2,IF(N20&lt;51,"低","中"),IF(M20&lt;6,IF(N20&lt;20,"低",IF(N20&lt;51,"中","高")),IF(N20&lt;20,"中","高")))),"不计算")))</f>
        <v/>
      </c>
      <c r="P20" s="142">
        <f>IFERROR(IF(I20="EI",IF(O20="低",3,IF(O20="中",4,6)),IF(I20="EO",IF(O20="低",4,IF(O20="中",5,7)),IF(I20="EQ",IF(O20="低",3,IF(O20="中",4,6)),IF(I20="ILF",IF(O20="低",7,IF(O20="中",10,15)),IF(I20="EIF",IF(O20="低",5,IF(O20="中",7,10)),"不计算")))))*Q20,"不计算")</f>
        <v/>
      </c>
      <c r="Q20" s="142" t="n">
        <v>1</v>
      </c>
      <c r="R20" s="143">
        <f>调整因子!$F$13</f>
        <v/>
      </c>
      <c r="S20" s="76" t="n">
        <v>1</v>
      </c>
      <c r="T20" s="144">
        <f>IFERROR(P20*R20,0)</f>
        <v/>
      </c>
      <c r="U20" s="144">
        <f>T20*S20</f>
        <v/>
      </c>
      <c r="V20" s="76" t="inlineStr">
        <is>
          <t>VEX 文档基本信息表、VEX 文档关联产品表</t>
        </is>
      </c>
      <c r="W20" s="81" t="n"/>
      <c r="X20" s="76" t="inlineStr">
        <is>
          <t>VEX 文档基本信息表{主键 id、文档名称、文档内容、创建时间、更新时间、是否删除}
VEX 文档关联产品表{主键 id、VEX 文档基本信息表主键 id （用于关联对应的文档）、产品 id、 关联时间}</t>
        </is>
      </c>
      <c r="Y20" s="88" t="n"/>
      <c r="Z20" s="88" t="n"/>
      <c r="AA20" s="88" t="inlineStr">
        <is>
          <t>弱账号管理表、弱密码管理表、弱口令组合管理表、口令字典同步明细记录表</t>
        </is>
      </c>
    </row>
    <row r="21" hidden="1" ht="21.6" customFormat="1" customHeight="1" s="63">
      <c r="A21" s="69">
        <f>ROW()-1</f>
        <v/>
      </c>
      <c r="B21" s="53" t="n"/>
      <c r="C21" s="78" t="n">
        <v>2025</v>
      </c>
      <c r="D21" s="78" t="inlineStr">
        <is>
          <t>窦鹏岐</t>
        </is>
      </c>
      <c r="E21" s="53" t="n"/>
      <c r="F21" s="53" t="n"/>
      <c r="G21" s="91" t="inlineStr">
        <is>
          <t>VEX文档解析展示</t>
        </is>
      </c>
      <c r="H21" s="80" t="inlineStr">
        <is>
          <t>修改基础模板</t>
        </is>
      </c>
      <c r="I21" s="81" t="inlineStr">
        <is>
          <t>EI</t>
        </is>
      </c>
      <c r="J21" s="108" t="n"/>
      <c r="K21" s="108" t="n"/>
      <c r="L21" s="83">
        <f>IF(OR(X21="估算法",X21="算法类",X21="无法识别"),"",IF(V21="",IF(OR(I21="EI",I21="EO",I21="EQ"),0,""),LEN(V21)-LEN(SUBSTITUTE(V21,"、",""))+1))</f>
        <v/>
      </c>
      <c r="M21" s="83">
        <f>IF(OR(X21="估算法",X21="算法类",X21="无法识别"),"",IF(W21="",IF(OR(I21="ILF",I21="EIF"),0,""),LEN(W21)-LEN(SUBSTITUTE(W21,"、",""))+1))</f>
        <v/>
      </c>
      <c r="N21" s="83">
        <f>IF(OR(X21="估算法",X21="算法类",X21="无法识别"),"",IF(X21="",IF(OR(I21="ILF",I21="EIF",I21="EI",I21="EO",I21="EQ"),0,""),LEN(X21)-LEN(SUBSTITUTE(SUBSTITUTE(SUBSTITUTE(SUBSTITUTE(SUBSTITUTE(X21,"|}","--"),"{|","--"),CHAR(10),""),"、",""),"|",""))+IF(AND(OR(I21="EI",I21="EO",I21="EQ"),$AD$1="NESMA"),2,1)))</f>
        <v/>
      </c>
      <c r="O21" s="84">
        <f>IF(I21="EI",IF(OR(X21="估算法",X21="算法类"),"中",IF(X21="无法识别","低",IF(L21&lt;2,IF(N21&lt;16,"低","中"),IF(L21&lt;3,IF(N21&lt;5,"低",IF(N21&lt;16,"中","高")),IF(N21&lt;5,"中","高"))))),IF(OR(I21="EO",I21="EQ"),IF(OR(X21="估算法",X21="算法类"),"中",IF(X21="无法识别","低",IF(L21&lt;2,IF(N21&lt;20,"低","中"),IF(L21&lt;4,IF(N21&lt;6,"低",IF(N21&lt;20,"中","高")),IF(N21&lt;6,"中","高"))))),IF(OR(I21="ILF",I21="EIF"),IF(OR(X21="估算法",X21="算法类",X21="无法识别"),"低",IF(M21&lt;2,IF(N21&lt;51,"低","中"),IF(M21&lt;6,IF(N21&lt;20,"低",IF(N21&lt;51,"中","高")),IF(N21&lt;20,"中","高")))),"不计算")))</f>
        <v/>
      </c>
      <c r="P21" s="142">
        <f>IFERROR(IF(I21="EI",IF(O21="低",3,IF(O21="中",4,6)),IF(I21="EO",IF(O21="低",4,IF(O21="中",5,7)),IF(I21="EQ",IF(O21="低",3,IF(O21="中",4,6)),IF(I21="ILF",IF(O21="低",7,IF(O21="中",10,15)),IF(I21="EIF",IF(O21="低",5,IF(O21="中",7,10)),"不计算")))))*Q21,"不计算")</f>
        <v/>
      </c>
      <c r="Q21" s="142" t="n">
        <v>1</v>
      </c>
      <c r="R21" s="143">
        <f>调整因子!$F$13</f>
        <v/>
      </c>
      <c r="S21" s="70" t="n">
        <v>1</v>
      </c>
      <c r="T21" s="144">
        <f>IFERROR(P21*R21,0)</f>
        <v/>
      </c>
      <c r="U21" s="144">
        <f>T21*S21</f>
        <v/>
      </c>
      <c r="V21" s="76" t="inlineStr">
        <is>
          <t>VEX 基础模板信息表</t>
        </is>
      </c>
      <c r="W21" s="81" t="n"/>
      <c r="X21" s="76" t="inlineStr">
        <is>
          <t>VEX 文档基本信息表{主键 id、文档名称、文档内容、创建时间、更新时间、是否删除}</t>
        </is>
      </c>
      <c r="Y21" s="88" t="n"/>
      <c r="Z21" s="88" t="n"/>
      <c r="AA21" s="88" t="inlineStr">
        <is>
          <t>弱账号管理表、弱密码管理表、弱口令组合管理表</t>
        </is>
      </c>
    </row>
    <row r="22" hidden="1" ht="21.6" customFormat="1" customHeight="1" s="63">
      <c r="A22" s="69">
        <f>ROW()-1</f>
        <v/>
      </c>
      <c r="B22" s="53" t="n"/>
      <c r="C22" s="78" t="n">
        <v>2025</v>
      </c>
      <c r="D22" s="78" t="inlineStr">
        <is>
          <t>窦鹏岐</t>
        </is>
      </c>
      <c r="E22" s="53" t="n"/>
      <c r="F22" s="53" t="n"/>
      <c r="G22" s="53" t="n"/>
      <c r="H22" s="80" t="inlineStr">
        <is>
          <t>删除基础模板</t>
        </is>
      </c>
      <c r="I22" s="81" t="inlineStr">
        <is>
          <t>EI</t>
        </is>
      </c>
      <c r="J22" s="108" t="n"/>
      <c r="K22" s="108" t="n"/>
      <c r="L22" s="83">
        <f>IF(OR(X22="估算法",X22="算法类",X22="无法识别"),"",IF(V22="",IF(OR(I22="EI",I22="EO",I22="EQ"),0,""),LEN(V22)-LEN(SUBSTITUTE(V22,"、",""))+1))</f>
        <v/>
      </c>
      <c r="M22" s="83">
        <f>IF(OR(X22="估算法",X22="算法类",X22="无法识别"),"",IF(W22="",IF(OR(I22="ILF",I22="EIF"),0,""),LEN(W22)-LEN(SUBSTITUTE(W22,"、",""))+1))</f>
        <v/>
      </c>
      <c r="N22" s="83">
        <f>IF(OR(X22="估算法",X22="算法类",X22="无法识别"),"",IF(X22="",IF(OR(I22="ILF",I22="EIF",I22="EI",I22="EO",I22="EQ"),0,""),LEN(X22)-LEN(SUBSTITUTE(SUBSTITUTE(SUBSTITUTE(SUBSTITUTE(SUBSTITUTE(X22,"|}","--"),"{|","--"),CHAR(10),""),"、",""),"|",""))+IF(AND(OR(I22="EI",I22="EO",I22="EQ"),$AD$1="NESMA"),2,1)))</f>
        <v/>
      </c>
      <c r="O22" s="84">
        <f>IF(I22="EI",IF(OR(X22="估算法",X22="算法类"),"中",IF(X22="无法识别","低",IF(L22&lt;2,IF(N22&lt;16,"低","中"),IF(L22&lt;3,IF(N22&lt;5,"低",IF(N22&lt;16,"中","高")),IF(N22&lt;5,"中","高"))))),IF(OR(I22="EO",I22="EQ"),IF(OR(X22="估算法",X22="算法类"),"中",IF(X22="无法识别","低",IF(L22&lt;2,IF(N22&lt;20,"低","中"),IF(L22&lt;4,IF(N22&lt;6,"低",IF(N22&lt;20,"中","高")),IF(N22&lt;6,"中","高"))))),IF(OR(I22="ILF",I22="EIF"),IF(OR(X22="估算法",X22="算法类",X22="无法识别"),"低",IF(M22&lt;2,IF(N22&lt;51,"低","中"),IF(M22&lt;6,IF(N22&lt;20,"低",IF(N22&lt;51,"中","高")),IF(N22&lt;20,"中","高")))),"不计算")))</f>
        <v/>
      </c>
      <c r="P22" s="142">
        <f>IFERROR(IF(I22="EI",IF(O22="低",3,IF(O22="中",4,6)),IF(I22="EO",IF(O22="低",4,IF(O22="中",5,7)),IF(I22="EQ",IF(O22="低",3,IF(O22="中",4,6)),IF(I22="ILF",IF(O22="低",7,IF(O22="中",10,15)),IF(I22="EIF",IF(O22="低",5,IF(O22="中",7,10)),"不计算")))))*Q22,"不计算")</f>
        <v/>
      </c>
      <c r="Q22" s="142" t="n">
        <v>0.333333333333333</v>
      </c>
      <c r="R22" s="143">
        <f>调整因子!$F$13</f>
        <v/>
      </c>
      <c r="S22" s="70" t="n">
        <v>1</v>
      </c>
      <c r="T22" s="144">
        <f>IFERROR(P22*R22,0)</f>
        <v/>
      </c>
      <c r="U22" s="144">
        <f>T22*S22</f>
        <v/>
      </c>
      <c r="V22" s="76" t="inlineStr">
        <is>
          <t>VEX 基础模板信息表</t>
        </is>
      </c>
      <c r="W22" s="81" t="n"/>
      <c r="X22" s="76" t="inlineStr">
        <is>
          <t>VEX 文档基本信息表{主键 id、文档名称、文档内容、创建时间、更新时间、是否删除}</t>
        </is>
      </c>
      <c r="Y22" s="88" t="n"/>
      <c r="Z22" s="88" t="n"/>
      <c r="AA22" s="88" t="inlineStr">
        <is>
          <t>弱账号管理表、弱密码管理表、弱口令组合管理表</t>
        </is>
      </c>
    </row>
    <row r="23" hidden="1" ht="21.6" customFormat="1" customHeight="1" s="63">
      <c r="A23" s="69">
        <f>ROW()-1</f>
        <v/>
      </c>
      <c r="B23" s="53" t="n"/>
      <c r="C23" s="78" t="n">
        <v>2025</v>
      </c>
      <c r="D23" s="78" t="inlineStr">
        <is>
          <t>窦鹏岐</t>
        </is>
      </c>
      <c r="E23" s="53" t="n"/>
      <c r="F23" s="53" t="n"/>
      <c r="G23" s="53" t="n"/>
      <c r="H23" s="80" t="inlineStr">
        <is>
          <t>导入基础模板</t>
        </is>
      </c>
      <c r="I23" s="81" t="inlineStr">
        <is>
          <t>EI</t>
        </is>
      </c>
      <c r="J23" s="108" t="n"/>
      <c r="K23" s="108" t="n"/>
      <c r="L23" s="83">
        <f>IF(OR(X23="估算法",X23="算法类",X23="无法识别"),"",IF(V23="",IF(OR(I23="EI",I23="EO",I23="EQ"),0,""),LEN(V23)-LEN(SUBSTITUTE(V23,"、",""))+1))</f>
        <v/>
      </c>
      <c r="M23" s="83">
        <f>IF(OR(X23="估算法",X23="算法类",X23="无法识别"),"",IF(W23="",IF(OR(I23="ILF",I23="EIF"),0,""),LEN(W23)-LEN(SUBSTITUTE(W23,"、",""))+1))</f>
        <v/>
      </c>
      <c r="N23" s="83">
        <f>IF(OR(X23="估算法",X23="算法类",X23="无法识别"),"",IF(X23="",IF(OR(I23="ILF",I23="EIF",I23="EI",I23="EO",I23="EQ"),0,""),LEN(X23)-LEN(SUBSTITUTE(SUBSTITUTE(SUBSTITUTE(SUBSTITUTE(SUBSTITUTE(X23,"|}","--"),"{|","--"),CHAR(10),""),"、",""),"|",""))+IF(AND(OR(I23="EI",I23="EO",I23="EQ"),$AD$1="NESMA"),2,1)))</f>
        <v/>
      </c>
      <c r="O23" s="84">
        <f>IF(I23="EI",IF(OR(X23="估算法",X23="算法类"),"中",IF(X23="无法识别","低",IF(L23&lt;2,IF(N23&lt;16,"低","中"),IF(L23&lt;3,IF(N23&lt;5,"低",IF(N23&lt;16,"中","高")),IF(N23&lt;5,"中","高"))))),IF(OR(I23="EO",I23="EQ"),IF(OR(X23="估算法",X23="算法类"),"中",IF(X23="无法识别","低",IF(L23&lt;2,IF(N23&lt;20,"低","中"),IF(L23&lt;4,IF(N23&lt;6,"低",IF(N23&lt;20,"中","高")),IF(N23&lt;6,"中","高"))))),IF(OR(I23="ILF",I23="EIF"),IF(OR(X23="估算法",X23="算法类",X23="无法识别"),"低",IF(M23&lt;2,IF(N23&lt;51,"低","中"),IF(M23&lt;6,IF(N23&lt;20,"低",IF(N23&lt;51,"中","高")),IF(N23&lt;20,"中","高")))),"不计算")))</f>
        <v/>
      </c>
      <c r="P23" s="142">
        <f>IFERROR(IF(I23="EI",IF(O23="低",3,IF(O23="中",4,6)),IF(I23="EO",IF(O23="低",4,IF(O23="中",5,7)),IF(I23="EQ",IF(O23="低",3,IF(O23="中",4,6)),IF(I23="ILF",IF(O23="低",7,IF(O23="中",10,15)),IF(I23="EIF",IF(O23="低",5,IF(O23="中",7,10)),"不计算")))))*Q23,"不计算")</f>
        <v/>
      </c>
      <c r="Q23" s="142" t="n">
        <v>1</v>
      </c>
      <c r="R23" s="143">
        <f>调整因子!$F$13</f>
        <v/>
      </c>
      <c r="S23" s="76" t="n">
        <v>1</v>
      </c>
      <c r="T23" s="144">
        <f>IFERROR(P23*R23,0)</f>
        <v/>
      </c>
      <c r="U23" s="144">
        <f>T23*S23</f>
        <v/>
      </c>
      <c r="V23" s="76" t="inlineStr">
        <is>
          <t>VEX 基础模板信息表</t>
        </is>
      </c>
      <c r="W23" s="81" t="n"/>
      <c r="X23" s="76" t="inlineStr">
        <is>
          <t>VEX 文档基本信息表{主键 id、文档名称、文档内容、创建时间、更新时间、是否删除}</t>
        </is>
      </c>
      <c r="Y23" s="88" t="n"/>
      <c r="Z23" s="88" t="n"/>
      <c r="AA23" s="88" t="inlineStr">
        <is>
          <t>弱账号管理表、弱密码管理表、弱口令组合管理表</t>
        </is>
      </c>
    </row>
    <row r="24" hidden="1" ht="21.6" customFormat="1" customHeight="1" s="63">
      <c r="A24" s="69">
        <f>ROW()-1</f>
        <v/>
      </c>
      <c r="B24" s="53" t="n"/>
      <c r="C24" s="78" t="n">
        <v>2025</v>
      </c>
      <c r="D24" s="78" t="inlineStr">
        <is>
          <t>窦鹏岐</t>
        </is>
      </c>
      <c r="E24" s="53" t="n"/>
      <c r="F24" s="53" t="n"/>
      <c r="G24" s="53" t="n"/>
      <c r="H24" s="80" t="inlineStr">
        <is>
          <t>导出基础模板</t>
        </is>
      </c>
      <c r="I24" s="81" t="inlineStr">
        <is>
          <t>EO</t>
        </is>
      </c>
      <c r="J24" s="108" t="n"/>
      <c r="K24" s="108" t="n"/>
      <c r="L24" s="83">
        <f>IF(OR(X24="估算法",X24="算法类",X24="无法识别"),"",IF(V24="",IF(OR(I24="EI",I24="EO",I24="EQ"),0,""),LEN(V24)-LEN(SUBSTITUTE(V24,"、",""))+1))</f>
        <v/>
      </c>
      <c r="M24" s="83">
        <f>IF(OR(X24="估算法",X24="算法类",X24="无法识别"),"",IF(W24="",IF(OR(I24="ILF",I24="EIF"),0,""),LEN(W24)-LEN(SUBSTITUTE(W24,"、",""))+1))</f>
        <v/>
      </c>
      <c r="N24" s="83">
        <f>IF(OR(X24="估算法",X24="算法类",X24="无法识别"),"",IF(X24="",IF(OR(I24="ILF",I24="EIF",I24="EI",I24="EO",I24="EQ"),0,""),LEN(X24)-LEN(SUBSTITUTE(SUBSTITUTE(SUBSTITUTE(SUBSTITUTE(SUBSTITUTE(X24,"|}","--"),"{|","--"),CHAR(10),""),"、",""),"|",""))+IF(AND(OR(I24="EI",I24="EO",I24="EQ"),$AD$1="NESMA"),2,1)))</f>
        <v/>
      </c>
      <c r="O24" s="84">
        <f>IF(I24="EI",IF(OR(X24="估算法",X24="算法类"),"中",IF(X24="无法识别","低",IF(L24&lt;2,IF(N24&lt;16,"低","中"),IF(L24&lt;3,IF(N24&lt;5,"低",IF(N24&lt;16,"中","高")),IF(N24&lt;5,"中","高"))))),IF(OR(I24="EO",I24="EQ"),IF(OR(X24="估算法",X24="算法类"),"中",IF(X24="无法识别","低",IF(L24&lt;2,IF(N24&lt;20,"低","中"),IF(L24&lt;4,IF(N24&lt;6,"低",IF(N24&lt;20,"中","高")),IF(N24&lt;6,"中","高"))))),IF(OR(I24="ILF",I24="EIF"),IF(OR(X24="估算法",X24="算法类",X24="无法识别"),"低",IF(M24&lt;2,IF(N24&lt;51,"低","中"),IF(M24&lt;6,IF(N24&lt;20,"低",IF(N24&lt;51,"中","高")),IF(N24&lt;20,"中","高")))),"不计算")))</f>
        <v/>
      </c>
      <c r="P24" s="142">
        <f>IFERROR(IF(I24="EI",IF(O24="低",3,IF(O24="中",4,6)),IF(I24="EO",IF(O24="低",4,IF(O24="中",5,7)),IF(I24="EQ",IF(O24="低",3,IF(O24="中",4,6)),IF(I24="ILF",IF(O24="低",7,IF(O24="中",10,15)),IF(I24="EIF",IF(O24="低",5,IF(O24="中",7,10)),"不计算")))))*Q24,"不计算")</f>
        <v/>
      </c>
      <c r="Q24" s="142" t="n">
        <v>1</v>
      </c>
      <c r="R24" s="143">
        <f>调整因子!$F$13</f>
        <v/>
      </c>
      <c r="S24" s="70" t="n">
        <v>1</v>
      </c>
      <c r="T24" s="144">
        <f>IFERROR(P24*R24,0)</f>
        <v/>
      </c>
      <c r="U24" s="144">
        <f>T24*S24</f>
        <v/>
      </c>
      <c r="V24" s="76" t="inlineStr">
        <is>
          <t>VEX 基础模板信息表</t>
        </is>
      </c>
      <c r="W24" s="81" t="n"/>
      <c r="X24" s="76" t="inlineStr">
        <is>
          <t>VEX 文档基本信息表{主键 id、文档名称、文档内容、创建时间、更新时间、是否删除}</t>
        </is>
      </c>
      <c r="Y24" s="88" t="n"/>
      <c r="Z24" s="88" t="n"/>
      <c r="AA24" s="88" t="inlineStr">
        <is>
          <t>弱账号管理表、弱密码管理表、弱口令组合管理表</t>
        </is>
      </c>
    </row>
    <row r="25" hidden="1" ht="21.6" customFormat="1" customHeight="1" s="63">
      <c r="A25" s="69">
        <f>ROW()-1</f>
        <v/>
      </c>
      <c r="B25" s="53" t="n"/>
      <c r="C25" s="78" t="n">
        <v>2025</v>
      </c>
      <c r="D25" s="78" t="inlineStr">
        <is>
          <t>窦鹏岐</t>
        </is>
      </c>
      <c r="E25" s="53" t="n"/>
      <c r="F25" s="53" t="n"/>
      <c r="G25" s="53" t="n"/>
      <c r="H25" s="80" t="inlineStr">
        <is>
          <t>查询基础模板</t>
        </is>
      </c>
      <c r="I25" s="81" t="inlineStr">
        <is>
          <t>EQ</t>
        </is>
      </c>
      <c r="J25" s="108" t="n"/>
      <c r="K25" s="108" t="n"/>
      <c r="L25" s="83">
        <f>IF(OR(X25="估算法",X25="算法类",X25="无法识别"),"",IF(V25="",IF(OR(I25="EI",I25="EO",I25="EQ"),0,""),LEN(V25)-LEN(SUBSTITUTE(V25,"、",""))+1))</f>
        <v/>
      </c>
      <c r="M25" s="83">
        <f>IF(OR(X25="估算法",X25="算法类",X25="无法识别"),"",IF(W25="",IF(OR(I25="ILF",I25="EIF"),0,""),LEN(W25)-LEN(SUBSTITUTE(W25,"、",""))+1))</f>
        <v/>
      </c>
      <c r="N25" s="83">
        <f>IF(OR(X25="估算法",X25="算法类",X25="无法识别"),"",IF(X25="",IF(OR(I25="ILF",I25="EIF",I25="EI",I25="EO",I25="EQ"),0,""),LEN(X25)-LEN(SUBSTITUTE(SUBSTITUTE(SUBSTITUTE(SUBSTITUTE(SUBSTITUTE(X25,"|}","--"),"{|","--"),CHAR(10),""),"、",""),"|",""))+IF(AND(OR(I25="EI",I25="EO",I25="EQ"),$AD$1="NESMA"),2,1)))</f>
        <v/>
      </c>
      <c r="O25" s="84">
        <f>IF(I25="EI",IF(OR(X25="估算法",X25="算法类"),"中",IF(X25="无法识别","低",IF(L25&lt;2,IF(N25&lt;16,"低","中"),IF(L25&lt;3,IF(N25&lt;5,"低",IF(N25&lt;16,"中","高")),IF(N25&lt;5,"中","高"))))),IF(OR(I25="EO",I25="EQ"),IF(OR(X25="估算法",X25="算法类"),"中",IF(X25="无法识别","低",IF(L25&lt;2,IF(N25&lt;20,"低","中"),IF(L25&lt;4,IF(N25&lt;6,"低",IF(N25&lt;20,"中","高")),IF(N25&lt;6,"中","高"))))),IF(OR(I25="ILF",I25="EIF"),IF(OR(X25="估算法",X25="算法类",X25="无法识别"),"低",IF(M25&lt;2,IF(N25&lt;51,"低","中"),IF(M25&lt;6,IF(N25&lt;20,"低",IF(N25&lt;51,"中","高")),IF(N25&lt;20,"中","高")))),"不计算")))</f>
        <v/>
      </c>
      <c r="P25" s="142">
        <f>IFERROR(IF(I25="EI",IF(O25="低",3,IF(O25="中",4,6)),IF(I25="EO",IF(O25="低",4,IF(O25="中",5,7)),IF(I25="EQ",IF(O25="低",3,IF(O25="中",4,6)),IF(I25="ILF",IF(O25="低",7,IF(O25="中",10,15)),IF(I25="EIF",IF(O25="低",5,IF(O25="中",7,10)),"不计算")))))*Q25,"不计算")</f>
        <v/>
      </c>
      <c r="Q25" s="142" t="n">
        <v>1</v>
      </c>
      <c r="R25" s="143">
        <f>调整因子!$F$13</f>
        <v/>
      </c>
      <c r="S25" s="70" t="n">
        <v>1</v>
      </c>
      <c r="T25" s="144">
        <f>IFERROR(P25*R25,0)</f>
        <v/>
      </c>
      <c r="U25" s="144">
        <f>T25*S25</f>
        <v/>
      </c>
      <c r="V25" s="76" t="inlineStr">
        <is>
          <t>VEX 基础模板信息表</t>
        </is>
      </c>
      <c r="W25" s="81" t="n"/>
      <c r="X25" s="76" t="inlineStr">
        <is>
          <t>VEX 文档基本信息表{主键 id、文档名称、文档内容、创建时间、更新时间、是否删除}</t>
        </is>
      </c>
      <c r="Y25" s="88" t="n"/>
      <c r="Z25" s="88" t="n"/>
      <c r="AA25" s="88" t="inlineStr">
        <is>
          <t>弱账号管理表、弱密码管理表、弱口令组合管理表</t>
        </is>
      </c>
    </row>
    <row r="26" hidden="1" ht="21.6" customFormat="1" customHeight="1" s="63">
      <c r="A26" s="69">
        <f>ROW()-1</f>
        <v/>
      </c>
      <c r="B26" s="53" t="n"/>
      <c r="C26" s="78" t="n">
        <v>2025</v>
      </c>
      <c r="D26" s="78" t="inlineStr">
        <is>
          <t>窦鹏岐</t>
        </is>
      </c>
      <c r="E26" s="53" t="n"/>
      <c r="F26" s="53" t="n"/>
      <c r="G26" s="54" t="n"/>
      <c r="H26" s="80" t="inlineStr">
        <is>
          <t>添加基础模板</t>
        </is>
      </c>
      <c r="I26" s="81" t="inlineStr">
        <is>
          <t>EI</t>
        </is>
      </c>
      <c r="J26" s="108" t="n"/>
      <c r="K26" s="108" t="n"/>
      <c r="L26" s="83">
        <f>IF(OR(X26="估算法",X26="算法类",X26="无法识别"),"",IF(V26="",IF(OR(I26="EI",I26="EO",I26="EQ"),0,""),LEN(V26)-LEN(SUBSTITUTE(V26,"、",""))+1))</f>
        <v/>
      </c>
      <c r="M26" s="83">
        <f>IF(OR(X26="估算法",X26="算法类",X26="无法识别"),"",IF(W26="",IF(OR(I26="ILF",I26="EIF"),0,""),LEN(W26)-LEN(SUBSTITUTE(W26,"、",""))+1))</f>
        <v/>
      </c>
      <c r="N26" s="83">
        <f>IF(OR(X26="估算法",X26="算法类",X26="无法识别"),"",IF(X26="",IF(OR(I26="ILF",I26="EIF",I26="EI",I26="EO",I26="EQ"),0,""),LEN(X26)-LEN(SUBSTITUTE(SUBSTITUTE(SUBSTITUTE(SUBSTITUTE(SUBSTITUTE(X26,"|}","--"),"{|","--"),CHAR(10),""),"、",""),"|",""))+IF(AND(OR(I26="EI",I26="EO",I26="EQ"),$AD$1="NESMA"),2,1)))</f>
        <v/>
      </c>
      <c r="O26" s="84">
        <f>IF(I26="EI",IF(OR(X26="估算法",X26="算法类"),"中",IF(X26="无法识别","低",IF(L26&lt;2,IF(N26&lt;16,"低","中"),IF(L26&lt;3,IF(N26&lt;5,"低",IF(N26&lt;16,"中","高")),IF(N26&lt;5,"中","高"))))),IF(OR(I26="EO",I26="EQ"),IF(OR(X26="估算法",X26="算法类"),"中",IF(X26="无法识别","低",IF(L26&lt;2,IF(N26&lt;20,"低","中"),IF(L26&lt;4,IF(N26&lt;6,"低",IF(N26&lt;20,"中","高")),IF(N26&lt;6,"中","高"))))),IF(OR(I26="ILF",I26="EIF"),IF(OR(X26="估算法",X26="算法类",X26="无法识别"),"低",IF(M26&lt;2,IF(N26&lt;51,"低","中"),IF(M26&lt;6,IF(N26&lt;20,"低",IF(N26&lt;51,"中","高")),IF(N26&lt;20,"中","高")))),"不计算")))</f>
        <v/>
      </c>
      <c r="P26" s="142">
        <f>IFERROR(IF(I26="EI",IF(O26="低",3,IF(O26="中",4,6)),IF(I26="EO",IF(O26="低",4,IF(O26="中",5,7)),IF(I26="EQ",IF(O26="低",3,IF(O26="中",4,6)),IF(I26="ILF",IF(O26="低",7,IF(O26="中",10,15)),IF(I26="EIF",IF(O26="低",5,IF(O26="中",7,10)),"不计算")))))*Q26,"不计算")</f>
        <v/>
      </c>
      <c r="Q26" s="142" t="n">
        <v>1</v>
      </c>
      <c r="R26" s="143">
        <f>调整因子!$F$13</f>
        <v/>
      </c>
      <c r="S26" s="76" t="n">
        <v>1</v>
      </c>
      <c r="T26" s="144">
        <f>IFERROR(P26*R26,0)</f>
        <v/>
      </c>
      <c r="U26" s="144">
        <f>T26*S26</f>
        <v/>
      </c>
      <c r="V26" s="76" t="inlineStr">
        <is>
          <t>VEX 基础模板信息表</t>
        </is>
      </c>
      <c r="W26" s="81" t="n"/>
      <c r="X26" s="76" t="inlineStr">
        <is>
          <t>VEX 文档基本信息表{主键 id、文档名称、文档内容、创建时间、更新时间、是否删除}</t>
        </is>
      </c>
      <c r="Y26" s="88" t="n"/>
      <c r="Z26" s="88" t="n"/>
      <c r="AA26" s="88" t="inlineStr">
        <is>
          <t>弱账号管理表、弱密码管理表、弱口令组合管理表</t>
        </is>
      </c>
    </row>
    <row r="27" hidden="1" ht="75.59999999999999" customFormat="1" customHeight="1" s="63">
      <c r="A27" s="69">
        <f>ROW()-1</f>
        <v/>
      </c>
      <c r="B27" s="53" t="n"/>
      <c r="C27" s="78" t="n">
        <v>2025</v>
      </c>
      <c r="D27" s="78" t="inlineStr">
        <is>
          <t>窦鹏岐</t>
        </is>
      </c>
      <c r="E27" s="53" t="n"/>
      <c r="F27" s="53" t="n"/>
      <c r="G27" s="91" t="inlineStr">
        <is>
          <t>VEX合规性自动化检测</t>
        </is>
      </c>
      <c r="H27" s="80" t="inlineStr">
        <is>
          <t>问题文档拦截</t>
        </is>
      </c>
      <c r="I27" s="81" t="n"/>
      <c r="J27" s="108" t="n"/>
      <c r="K27" s="108" t="inlineStr">
        <is>
          <t>非事务功能</t>
        </is>
      </c>
      <c r="L27" s="83">
        <f>IF(OR(X27="估算法",X27="算法类",X27="无法识别"),"",IF(V27="",IF(OR(I27="EI",I27="EO",I27="EQ"),0,""),LEN(V27)-LEN(SUBSTITUTE(V27,"、",""))+1))</f>
        <v/>
      </c>
      <c r="M27" s="83">
        <f>IF(OR(X27="估算法",X27="算法类",X27="无法识别"),"",IF(W27="",IF(OR(I27="ILF",I27="EIF"),0,""),LEN(W27)-LEN(SUBSTITUTE(W27,"、",""))+1))</f>
        <v/>
      </c>
      <c r="N27" s="83">
        <f>IF(OR(X27="估算法",X27="算法类",X27="无法识别"),"",IF(X27="",IF(OR(I27="ILF",I27="EIF",I27="EI",I27="EO",I27="EQ"),0,""),LEN(X27)-LEN(SUBSTITUTE(SUBSTITUTE(SUBSTITUTE(SUBSTITUTE(SUBSTITUTE(X27,"|}","--"),"{|","--"),CHAR(10),""),"、",""),"|",""))+IF(AND(OR(I27="EI",I27="EO",I27="EQ"),$AD$1="NESMA"),2,1)))</f>
        <v/>
      </c>
      <c r="O27" s="84">
        <f>IF(I27="EI",IF(OR(X27="估算法",X27="算法类"),"中",IF(X27="无法识别","低",IF(L27&lt;2,IF(N27&lt;16,"低","中"),IF(L27&lt;3,IF(N27&lt;5,"低",IF(N27&lt;16,"中","高")),IF(N27&lt;5,"中","高"))))),IF(OR(I27="EO",I27="EQ"),IF(OR(X27="估算法",X27="算法类"),"中",IF(X27="无法识别","低",IF(L27&lt;2,IF(N27&lt;20,"低","中"),IF(L27&lt;4,IF(N27&lt;6,"低",IF(N27&lt;20,"中","高")),IF(N27&lt;6,"中","高"))))),IF(OR(I27="ILF",I27="EIF"),IF(OR(X27="估算法",X27="算法类",X27="无法识别"),"低",IF(M27&lt;2,IF(N27&lt;51,"低","中"),IF(M27&lt;6,IF(N27&lt;20,"低",IF(N27&lt;51,"中","高")),IF(N27&lt;20,"中","高")))),"不计算")))</f>
        <v/>
      </c>
      <c r="P27" s="142">
        <f>IFERROR(IF(I27="EI",IF(O27="低",3,IF(O27="中",4,6)),IF(I27="EO",IF(O27="低",4,IF(O27="中",5,7)),IF(I27="EQ",IF(O27="低",3,IF(O27="中",4,6)),IF(I27="ILF",IF(O27="低",7,IF(O27="中",10,15)),IF(I27="EIF",IF(O27="低",5,IF(O27="中",7,10)),"不计算")))))*Q27,"不计算")</f>
        <v/>
      </c>
      <c r="Q27" s="142" t="n">
        <v>1</v>
      </c>
      <c r="R27" s="143">
        <f>调整因子!$F$13</f>
        <v/>
      </c>
      <c r="S27" s="70" t="n">
        <v>1</v>
      </c>
      <c r="T27" s="144">
        <f>IFERROR(P27*R27,0)</f>
        <v/>
      </c>
      <c r="U27" s="144">
        <f>T27*S27</f>
        <v/>
      </c>
      <c r="V27" s="76" t="inlineStr">
        <is>
          <t>VEX 文档基本信息表、问题文档拦截记录表、VEX 合规性检测结果表</t>
        </is>
      </c>
      <c r="W27" s="81" t="n"/>
      <c r="X27" s="76" t="inlineStr">
        <is>
          <t>VEX 文档基本信息表{主键 id、文档名称、文档内容、创建时间、更新时间、是否删除}
问题文档拦截记录表{主键 id 、VEX 文档基本信息表主键 id （用于关联对应的文档）、拦截时间、拦截原因}
VEX 合规性检测结果表{主键 id 、VEX 文档基本信息表主键 id （用于关联对应的文档）、合规性检测规则表主键 id （用于关联对应的规则）、检测时间、是否合规、不合规详情}</t>
        </is>
      </c>
      <c r="Y27" s="88" t="n"/>
      <c r="Z27" s="88" t="n"/>
      <c r="AA27" s="88" t="inlineStr">
        <is>
          <t>弱账号管理表、弱密码管理表、弱口令组合管理表、弱口令配置表、扫描节点表、扫描器分类表、安全厂商信息</t>
        </is>
      </c>
    </row>
    <row r="28" hidden="1" ht="43.2" customFormat="1" customHeight="1" s="63">
      <c r="A28" s="69">
        <f>ROW()-1</f>
        <v/>
      </c>
      <c r="B28" s="53" t="n"/>
      <c r="C28" s="78" t="n">
        <v>2025</v>
      </c>
      <c r="D28" s="78" t="inlineStr">
        <is>
          <t>窦鹏岐</t>
        </is>
      </c>
      <c r="E28" s="53" t="n"/>
      <c r="F28" s="53" t="n"/>
      <c r="G28" s="53" t="n"/>
      <c r="H28" s="80" t="inlineStr">
        <is>
          <t>VEX 文档基本信息表</t>
        </is>
      </c>
      <c r="I28" s="81" t="inlineStr">
        <is>
          <t>ILF</t>
        </is>
      </c>
      <c r="J28" s="108" t="n"/>
      <c r="K28" s="108" t="n"/>
      <c r="L28" s="83">
        <f>IF(OR(X28="估算法",X28="算法类",X28="无法识别"),"",IF(V28="",IF(OR(I28="EI",I28="EO",I28="EQ"),0,""),LEN(V28)-LEN(SUBSTITUTE(V28,"、",""))+1))</f>
        <v/>
      </c>
      <c r="M28" s="83">
        <f>IF(OR(X28="估算法",X28="算法类",X28="无法识别"),"",IF(W28="",IF(OR(I28="ILF",I28="EIF"),0,""),LEN(W28)-LEN(SUBSTITUTE(W28,"、",""))+1))</f>
        <v/>
      </c>
      <c r="N28" s="83">
        <f>IF(OR(X28="估算法",X28="算法类",X28="无法识别"),"",IF(X28="",IF(OR(I28="ILF",I28="EIF",I28="EI",I28="EO",I28="EQ"),0,""),LEN(X28)-LEN(SUBSTITUTE(SUBSTITUTE(SUBSTITUTE(SUBSTITUTE(SUBSTITUTE(X28,"|}","--"),"{|","--"),CHAR(10),""),"、",""),"|",""))+IF(AND(OR(I28="EI",I28="EO",I28="EQ"),$AD$1="NESMA"),2,1)))</f>
        <v/>
      </c>
      <c r="O28" s="84">
        <f>IF(I28="EI",IF(OR(X28="估算法",X28="算法类"),"中",IF(X28="无法识别","低",IF(L28&lt;2,IF(N28&lt;16,"低","中"),IF(L28&lt;3,IF(N28&lt;5,"低",IF(N28&lt;16,"中","高")),IF(N28&lt;5,"中","高"))))),IF(OR(I28="EO",I28="EQ"),IF(OR(X28="估算法",X28="算法类"),"中",IF(X28="无法识别","低",IF(L28&lt;2,IF(N28&lt;20,"低","中"),IF(L28&lt;4,IF(N28&lt;6,"低",IF(N28&lt;20,"中","高")),IF(N28&lt;6,"中","高"))))),IF(OR(I28="ILF",I28="EIF"),IF(OR(X28="估算法",X28="算法类",X28="无法识别"),"低",IF(M28&lt;2,IF(N28&lt;51,"低","中"),IF(M28&lt;6,IF(N28&lt;20,"低",IF(N28&lt;51,"中","高")),IF(N28&lt;20,"中","高")))),"不计算")))</f>
        <v/>
      </c>
      <c r="P28" s="142">
        <f>IFERROR(IF(I28="EI",IF(O28="低",3,IF(O28="中",4,6)),IF(I28="EO",IF(O28="低",4,IF(O28="中",5,7)),IF(I28="EQ",IF(O28="低",3,IF(O28="中",4,6)),IF(I28="ILF",IF(O28="低",7,IF(O28="中",10,15)),IF(I28="EIF",IF(O28="低",5,IF(O28="中",7,10)),"不计算")))))*Q28,"不计算")</f>
        <v/>
      </c>
      <c r="Q28" s="142" t="n">
        <v>1</v>
      </c>
      <c r="R28" s="143">
        <f>调整因子!$F$13</f>
        <v/>
      </c>
      <c r="S28" s="70" t="n">
        <v>1</v>
      </c>
      <c r="T28" s="144">
        <f>IFERROR(P28*R28,0)</f>
        <v/>
      </c>
      <c r="U28" s="144">
        <f>T28*S28</f>
        <v/>
      </c>
      <c r="V28" s="81" t="n"/>
      <c r="W28" s="76" t="inlineStr">
        <is>
          <t>VEX 文档基本信息表</t>
        </is>
      </c>
      <c r="X28" s="76" t="inlineStr">
        <is>
          <t>VEX 文档基本信息表{主键 id、文档名称、文档内容、创建时间、更新时间、是否删除}</t>
        </is>
      </c>
      <c r="Y28" s="88">
        <f>IF(COUNTIFS(V:V,"*"&amp;H28&amp;"*")&gt;0,"存在","不存在")</f>
        <v/>
      </c>
      <c r="Z28" s="88">
        <f>IF(COUNTIFS(AA:AA,"*"&amp;H28&amp;"*")&gt;0,"存在","不存在")</f>
        <v/>
      </c>
      <c r="AA28" s="88" t="inlineStr">
        <is>
          <t>弱账号管理表、弱密码管理表、弱口令组合管理表、弱口令配置表、扫描节点表、扫描器分类表、安全厂商信息</t>
        </is>
      </c>
    </row>
    <row r="29" hidden="1" ht="43.2" customFormat="1" customHeight="1" s="63">
      <c r="A29" s="69">
        <f>ROW()-1</f>
        <v/>
      </c>
      <c r="B29" s="53" t="n"/>
      <c r="C29" s="78" t="n">
        <v>2025</v>
      </c>
      <c r="D29" s="78" t="inlineStr">
        <is>
          <t>窦鹏岐</t>
        </is>
      </c>
      <c r="E29" s="53" t="n"/>
      <c r="F29" s="53" t="n"/>
      <c r="G29" s="53" t="n"/>
      <c r="H29" s="80" t="inlineStr">
        <is>
          <t>VEX 文档操作日志表</t>
        </is>
      </c>
      <c r="I29" s="81" t="n"/>
      <c r="J29" s="108" t="n"/>
      <c r="K29" s="108" t="inlineStr">
        <is>
          <t>日志表</t>
        </is>
      </c>
      <c r="L29" s="83">
        <f>IF(OR(X29="估算法",X29="算法类",X29="无法识别"),"",IF(V29="",IF(OR(I29="EI",I29="EO",I29="EQ"),0,""),LEN(V29)-LEN(SUBSTITUTE(V29,"、",""))+1))</f>
        <v/>
      </c>
      <c r="M29" s="83">
        <f>IF(OR(X29="估算法",X29="算法类",X29="无法识别"),"",IF(W29="",IF(OR(I29="ILF",I29="EIF"),0,""),LEN(W29)-LEN(SUBSTITUTE(W29,"、",""))+1))</f>
        <v/>
      </c>
      <c r="N29" s="83">
        <f>IF(OR(X29="估算法",X29="算法类",X29="无法识别"),"",IF(X29="",IF(OR(I29="ILF",I29="EIF",I29="EI",I29="EO",I29="EQ"),0,""),LEN(X29)-LEN(SUBSTITUTE(SUBSTITUTE(SUBSTITUTE(SUBSTITUTE(SUBSTITUTE(X29,"|}","--"),"{|","--"),CHAR(10),""),"、",""),"|",""))+IF(AND(OR(I29="EI",I29="EO",I29="EQ"),$AD$1="NESMA"),2,1)))</f>
        <v/>
      </c>
      <c r="O29" s="84">
        <f>IF(I29="EI",IF(OR(X29="估算法",X29="算法类"),"中",IF(X29="无法识别","低",IF(L29&lt;2,IF(N29&lt;16,"低","中"),IF(L29&lt;3,IF(N29&lt;5,"低",IF(N29&lt;16,"中","高")),IF(N29&lt;5,"中","高"))))),IF(OR(I29="EO",I29="EQ"),IF(OR(X29="估算法",X29="算法类"),"中",IF(X29="无法识别","低",IF(L29&lt;2,IF(N29&lt;20,"低","中"),IF(L29&lt;4,IF(N29&lt;6,"低",IF(N29&lt;20,"中","高")),IF(N29&lt;6,"中","高"))))),IF(OR(I29="ILF",I29="EIF"),IF(OR(X29="估算法",X29="算法类",X29="无法识别"),"低",IF(M29&lt;2,IF(N29&lt;51,"低","中"),IF(M29&lt;6,IF(N29&lt;20,"低",IF(N29&lt;51,"中","高")),IF(N29&lt;20,"中","高")))),"不计算")))</f>
        <v/>
      </c>
      <c r="P29" s="142">
        <f>IFERROR(IF(I29="EI",IF(O29="低",3,IF(O29="中",4,6)),IF(I29="EO",IF(O29="低",4,IF(O29="中",5,7)),IF(I29="EQ",IF(O29="低",3,IF(O29="中",4,6)),IF(I29="ILF",IF(O29="低",7,IF(O29="中",10,15)),IF(I29="EIF",IF(O29="低",5,IF(O29="中",7,10)),"不计算")))))*Q29,"不计算")</f>
        <v/>
      </c>
      <c r="Q29" s="142" t="n">
        <v>1</v>
      </c>
      <c r="R29" s="143">
        <f>调整因子!$F$13</f>
        <v/>
      </c>
      <c r="S29" s="76" t="n">
        <v>1</v>
      </c>
      <c r="T29" s="144">
        <f>IFERROR(P29*R29,0)</f>
        <v/>
      </c>
      <c r="U29" s="144">
        <f>T29*S29</f>
        <v/>
      </c>
      <c r="V29" s="81" t="n"/>
      <c r="W29" s="76" t="inlineStr">
        <is>
          <t>VEX 文档操作日志表</t>
        </is>
      </c>
      <c r="X29" s="76" t="inlineStr">
        <is>
          <t>VEX 文档操作日志表{主键 id、VEX 文档基本信息表主键 id （用于关联对应的文档）、操作类型 （如 “下载”“创建”“删除” 等）、操作时间操作人}</t>
        </is>
      </c>
      <c r="Y29" s="88">
        <f>IF(COUNTIFS(V:V,"*"&amp;H29&amp;"*")&gt;0,"存在","不存在")</f>
        <v/>
      </c>
      <c r="Z29" s="88">
        <f>IF(COUNTIFS(AA:AA,"*"&amp;H29&amp;"*")&gt;0,"存在","不存在")</f>
        <v/>
      </c>
      <c r="AA29" s="88" t="inlineStr">
        <is>
          <t>弱账号管理表、弱密码管理表、弱口令组合管理表、弱口令配置表、扫描节点表、扫描器分类表、安全厂商信息</t>
        </is>
      </c>
    </row>
    <row r="30" hidden="1" ht="43.2" customFormat="1" customHeight="1" s="63">
      <c r="A30" s="69">
        <f>ROW()-1</f>
        <v/>
      </c>
      <c r="B30" s="53" t="n"/>
      <c r="C30" s="78" t="n">
        <v>2025</v>
      </c>
      <c r="D30" s="78" t="inlineStr">
        <is>
          <t>窦鹏岐</t>
        </is>
      </c>
      <c r="E30" s="53" t="n"/>
      <c r="F30" s="53" t="n"/>
      <c r="G30" s="53" t="n"/>
      <c r="H30" s="80" t="inlineStr">
        <is>
          <t>VEX 文档关联产品表</t>
        </is>
      </c>
      <c r="I30" s="81" t="n"/>
      <c r="J30" s="108" t="n"/>
      <c r="K30" s="108" t="inlineStr">
        <is>
          <t>关联表、中间表</t>
        </is>
      </c>
      <c r="L30" s="83">
        <f>IF(OR(X30="估算法",X30="算法类",X30="无法识别"),"",IF(V30="",IF(OR(I30="EI",I30="EO",I30="EQ"),0,""),LEN(V30)-LEN(SUBSTITUTE(V30,"、",""))+1))</f>
        <v/>
      </c>
      <c r="M30" s="83">
        <f>IF(OR(X30="估算法",X30="算法类",X30="无法识别"),"",IF(W30="",IF(OR(I30="ILF",I30="EIF"),0,""),LEN(W30)-LEN(SUBSTITUTE(W30,"、",""))+1))</f>
        <v/>
      </c>
      <c r="N30" s="83">
        <f>IF(OR(X30="估算法",X30="算法类",X30="无法识别"),"",IF(X30="",IF(OR(I30="ILF",I30="EIF",I30="EI",I30="EO",I30="EQ"),0,""),LEN(X30)-LEN(SUBSTITUTE(SUBSTITUTE(SUBSTITUTE(SUBSTITUTE(SUBSTITUTE(X30,"|}","--"),"{|","--"),CHAR(10),""),"、",""),"|",""))+IF(AND(OR(I30="EI",I30="EO",I30="EQ"),$AD$1="NESMA"),2,1)))</f>
        <v/>
      </c>
      <c r="O30" s="84">
        <f>IF(I30="EI",IF(OR(X30="估算法",X30="算法类"),"中",IF(X30="无法识别","低",IF(L30&lt;2,IF(N30&lt;16,"低","中"),IF(L30&lt;3,IF(N30&lt;5,"低",IF(N30&lt;16,"中","高")),IF(N30&lt;5,"中","高"))))),IF(OR(I30="EO",I30="EQ"),IF(OR(X30="估算法",X30="算法类"),"中",IF(X30="无法识别","低",IF(L30&lt;2,IF(N30&lt;20,"低","中"),IF(L30&lt;4,IF(N30&lt;6,"低",IF(N30&lt;20,"中","高")),IF(N30&lt;6,"中","高"))))),IF(OR(I30="ILF",I30="EIF"),IF(OR(X30="估算法",X30="算法类",X30="无法识别"),"低",IF(M30&lt;2,IF(N30&lt;51,"低","中"),IF(M30&lt;6,IF(N30&lt;20,"低",IF(N30&lt;51,"中","高")),IF(N30&lt;20,"中","高")))),"不计算")))</f>
        <v/>
      </c>
      <c r="P30" s="142">
        <f>IFERROR(IF(I30="EI",IF(O30="低",3,IF(O30="中",4,6)),IF(I30="EO",IF(O30="低",4,IF(O30="中",5,7)),IF(I30="EQ",IF(O30="低",3,IF(O30="中",4,6)),IF(I30="ILF",IF(O30="低",7,IF(O30="中",10,15)),IF(I30="EIF",IF(O30="低",5,IF(O30="中",7,10)),"不计算")))))*Q30,"不计算")</f>
        <v/>
      </c>
      <c r="Q30" s="142" t="n">
        <v>1</v>
      </c>
      <c r="R30" s="143">
        <f>调整因子!$F$13</f>
        <v/>
      </c>
      <c r="S30" s="70" t="n">
        <v>1</v>
      </c>
      <c r="T30" s="144">
        <f>IFERROR(P30*R30,0)</f>
        <v/>
      </c>
      <c r="U30" s="144">
        <f>T30*S30</f>
        <v/>
      </c>
      <c r="V30" s="81" t="n"/>
      <c r="W30" s="76" t="inlineStr">
        <is>
          <t>VEX 文档关联产品表</t>
        </is>
      </c>
      <c r="X30" s="76" t="inlineStr">
        <is>
          <t>VEX 文档关联产品表{主键 id、VEX 文档基本信息表主键 id （用于关联对应的文档）、产品 id、 关联时间}</t>
        </is>
      </c>
      <c r="Y30" s="88">
        <f>IF(COUNTIFS(V:V,"*"&amp;H30&amp;"*")&gt;0,"存在","不存在")</f>
        <v/>
      </c>
      <c r="Z30" s="88">
        <f>IF(COUNTIFS(AA:AA,"*"&amp;H30&amp;"*")&gt;0,"存在","不存在")</f>
        <v/>
      </c>
      <c r="AA30" s="88" t="inlineStr">
        <is>
          <t>弱账号管理表、弱密码管理表、弱口令组合管理表、弱口令配置表、扫描节点表、扫描器分类表、安全厂商信息</t>
        </is>
      </c>
    </row>
    <row r="31" hidden="1" ht="32.4" customFormat="1" customHeight="1" s="63">
      <c r="A31" s="69">
        <f>ROW()-1</f>
        <v/>
      </c>
      <c r="B31" s="53" t="n"/>
      <c r="C31" s="78" t="n">
        <v>2025</v>
      </c>
      <c r="D31" s="78" t="inlineStr">
        <is>
          <t>窦鹏岐</t>
        </is>
      </c>
      <c r="E31" s="53" t="n"/>
      <c r="F31" s="53" t="n"/>
      <c r="G31" s="53" t="n"/>
      <c r="H31" s="80" t="inlineStr">
        <is>
          <t>VEX 基础模板信息表</t>
        </is>
      </c>
      <c r="I31" s="81" t="inlineStr">
        <is>
          <t>ILF</t>
        </is>
      </c>
      <c r="J31" s="108" t="n"/>
      <c r="K31" s="108" t="n"/>
      <c r="L31" s="83">
        <f>IF(OR(X31="估算法",X31="算法类",X31="无法识别"),"",IF(V31="",IF(OR(I31="EI",I31="EO",I31="EQ"),0,""),LEN(V31)-LEN(SUBSTITUTE(V31,"、",""))+1))</f>
        <v/>
      </c>
      <c r="M31" s="83">
        <f>IF(OR(X31="估算法",X31="算法类",X31="无法识别"),"",IF(W31="",IF(OR(I31="ILF",I31="EIF"),0,""),LEN(W31)-LEN(SUBSTITUTE(W31,"、",""))+1))</f>
        <v/>
      </c>
      <c r="N31" s="83">
        <f>IF(OR(X31="估算法",X31="算法类",X31="无法识别"),"",IF(X31="",IF(OR(I31="ILF",I31="EIF",I31="EI",I31="EO",I31="EQ"),0,""),LEN(X31)-LEN(SUBSTITUTE(SUBSTITUTE(SUBSTITUTE(SUBSTITUTE(SUBSTITUTE(X31,"|}","--"),"{|","--"),CHAR(10),""),"、",""),"|",""))+IF(AND(OR(I31="EI",I31="EO",I31="EQ"),$AD$1="NESMA"),2,1)))</f>
        <v/>
      </c>
      <c r="O31" s="84">
        <f>IF(I31="EI",IF(OR(X31="估算法",X31="算法类"),"中",IF(X31="无法识别","低",IF(L31&lt;2,IF(N31&lt;16,"低","中"),IF(L31&lt;3,IF(N31&lt;5,"低",IF(N31&lt;16,"中","高")),IF(N31&lt;5,"中","高"))))),IF(OR(I31="EO",I31="EQ"),IF(OR(X31="估算法",X31="算法类"),"中",IF(X31="无法识别","低",IF(L31&lt;2,IF(N31&lt;20,"低","中"),IF(L31&lt;4,IF(N31&lt;6,"低",IF(N31&lt;20,"中","高")),IF(N31&lt;6,"中","高"))))),IF(OR(I31="ILF",I31="EIF"),IF(OR(X31="估算法",X31="算法类",X31="无法识别"),"低",IF(M31&lt;2,IF(N31&lt;51,"低","中"),IF(M31&lt;6,IF(N31&lt;20,"低",IF(N31&lt;51,"中","高")),IF(N31&lt;20,"中","高")))),"不计算")))</f>
        <v/>
      </c>
      <c r="P31" s="142">
        <f>IFERROR(IF(I31="EI",IF(O31="低",3,IF(O31="中",4,6)),IF(I31="EO",IF(O31="低",4,IF(O31="中",5,7)),IF(I31="EQ",IF(O31="低",3,IF(O31="中",4,6)),IF(I31="ILF",IF(O31="低",7,IF(O31="中",10,15)),IF(I31="EIF",IF(O31="低",5,IF(O31="中",7,10)),"不计算")))))*Q31,"不计算")</f>
        <v/>
      </c>
      <c r="Q31" s="142" t="n">
        <v>1</v>
      </c>
      <c r="R31" s="143">
        <f>调整因子!$F$13</f>
        <v/>
      </c>
      <c r="S31" s="70" t="n">
        <v>1</v>
      </c>
      <c r="T31" s="144">
        <f>IFERROR(P31*R31,0)</f>
        <v/>
      </c>
      <c r="U31" s="144">
        <f>T31*S31</f>
        <v/>
      </c>
      <c r="V31" s="81" t="n"/>
      <c r="W31" s="76" t="inlineStr">
        <is>
          <t>VEX 基础模板信息表</t>
        </is>
      </c>
      <c r="X31" s="76" t="inlineStr">
        <is>
          <t>VEX 基础模板信息表{主键 id 、模板名称、模板内容、创建时间、更新时间、是否删除}</t>
        </is>
      </c>
      <c r="Y31" s="88">
        <f>IF(COUNTIFS(V:V,"*"&amp;H31&amp;"*")&gt;0,"存在","不存在")</f>
        <v/>
      </c>
      <c r="Z31" s="88">
        <f>IF(COUNTIFS(AA:AA,"*"&amp;H31&amp;"*")&gt;0,"存在","不存在")</f>
        <v/>
      </c>
      <c r="AA31" s="88" t="inlineStr">
        <is>
          <t>弱账号管理表、弱密码管理表、弱口令组合管理表、口令字典同步明细记录表</t>
        </is>
      </c>
    </row>
    <row r="32" hidden="1" ht="32.4" customFormat="1" customHeight="1" s="63">
      <c r="A32" s="69">
        <f>ROW()-1</f>
        <v/>
      </c>
      <c r="B32" s="53" t="n"/>
      <c r="C32" s="78" t="n">
        <v>2025</v>
      </c>
      <c r="D32" s="78" t="inlineStr">
        <is>
          <t>窦鹏岐</t>
        </is>
      </c>
      <c r="E32" s="53" t="n"/>
      <c r="F32" s="53" t="n"/>
      <c r="G32" s="53" t="n"/>
      <c r="H32" s="80" t="inlineStr">
        <is>
          <t>VEX 合规性检测结果表</t>
        </is>
      </c>
      <c r="I32" s="81" t="inlineStr">
        <is>
          <t>ILF</t>
        </is>
      </c>
      <c r="J32" s="108" t="n"/>
      <c r="K32" s="108" t="inlineStr">
        <is>
          <t>数据库表未被本系统所维护</t>
        </is>
      </c>
      <c r="L32" s="83">
        <f>IF(OR(X32="估算法",X32="算法类",X32="无法识别"),"",IF(V32="",IF(OR(I32="EI",I32="EO",I32="EQ"),0,""),LEN(V32)-LEN(SUBSTITUTE(V32,"、",""))+1))</f>
        <v/>
      </c>
      <c r="M32" s="83">
        <f>IF(OR(X32="估算法",X32="算法类",X32="无法识别"),"",IF(W32="",IF(OR(I32="ILF",I32="EIF"),0,""),LEN(W32)-LEN(SUBSTITUTE(W32,"、",""))+1))</f>
        <v/>
      </c>
      <c r="N32" s="83">
        <f>IF(OR(X32="估算法",X32="算法类",X32="无法识别"),"",IF(X32="",IF(OR(I32="ILF",I32="EIF",I32="EI",I32="EO",I32="EQ"),0,""),LEN(X32)-LEN(SUBSTITUTE(SUBSTITUTE(SUBSTITUTE(SUBSTITUTE(SUBSTITUTE(X32,"|}","--"),"{|","--"),CHAR(10),""),"、",""),"|",""))+IF(AND(OR(I32="EI",I32="EO",I32="EQ"),$AD$1="NESMA"),2,1)))</f>
        <v/>
      </c>
      <c r="O32" s="84">
        <f>IF(I32="EI",IF(OR(X32="估算法",X32="算法类"),"中",IF(X32="无法识别","低",IF(L32&lt;2,IF(N32&lt;16,"低","中"),IF(L32&lt;3,IF(N32&lt;5,"低",IF(N32&lt;16,"中","高")),IF(N32&lt;5,"中","高"))))),IF(OR(I32="EO",I32="EQ"),IF(OR(X32="估算法",X32="算法类"),"中",IF(X32="无法识别","低",IF(L32&lt;2,IF(N32&lt;20,"低","中"),IF(L32&lt;4,IF(N32&lt;6,"低",IF(N32&lt;20,"中","高")),IF(N32&lt;6,"中","高"))))),IF(OR(I32="ILF",I32="EIF"),IF(OR(X32="估算法",X32="算法类",X32="无法识别"),"低",IF(M32&lt;2,IF(N32&lt;51,"低","中"),IF(M32&lt;6,IF(N32&lt;20,"低",IF(N32&lt;51,"中","高")),IF(N32&lt;20,"中","高")))),"不计算")))</f>
        <v/>
      </c>
      <c r="P32" s="142">
        <f>IFERROR(IF(I32="EI",IF(O32="低",3,IF(O32="中",4,6)),IF(I32="EO",IF(O32="低",4,IF(O32="中",5,7)),IF(I32="EQ",IF(O32="低",3,IF(O32="中",4,6)),IF(I32="ILF",IF(O32="低",7,IF(O32="中",10,15)),IF(I32="EIF",IF(O32="低",5,IF(O32="中",7,10)),"不计算")))))*Q32,"不计算")</f>
        <v/>
      </c>
      <c r="Q32" s="142" t="n">
        <v>0</v>
      </c>
      <c r="R32" s="143">
        <f>调整因子!$F$13</f>
        <v/>
      </c>
      <c r="S32" s="76" t="n">
        <v>1</v>
      </c>
      <c r="T32" s="144">
        <f>IFERROR(P32*R32,0)</f>
        <v/>
      </c>
      <c r="U32" s="144">
        <f>T32*S32</f>
        <v/>
      </c>
      <c r="V32" s="81" t="n"/>
      <c r="W32" s="76" t="inlineStr">
        <is>
          <t>VEX 合规性检测结果表</t>
        </is>
      </c>
      <c r="X32" s="76" t="inlineStr">
        <is>
          <t>VEX 合规性检测结果表{主键 id 、VEX 文档基本信息表主键 id （用于关联对应的文档）、合规性检测规则表主键 id （用于关联对应的规则）、检测时间、是否合规、不合规详情}</t>
        </is>
      </c>
      <c r="Y32" s="88">
        <f>IF(COUNTIFS(V:V,"*"&amp;H32&amp;"*")&gt;0,"存在","不存在")</f>
        <v/>
      </c>
      <c r="Z32" s="88">
        <f>IF(COUNTIFS(AA:AA,"*"&amp;H32&amp;"*")&gt;0,"存在","不存在")</f>
        <v/>
      </c>
      <c r="AA32" s="88" t="inlineStr">
        <is>
          <t>产品漏洞预警任务表、产品漏洞表、扫描资产表、资产组件表</t>
        </is>
      </c>
    </row>
    <row r="33" hidden="1" ht="21.6" customFormat="1" customHeight="1" s="63">
      <c r="A33" s="69">
        <f>ROW()-1</f>
        <v/>
      </c>
      <c r="B33" s="53" t="n"/>
      <c r="C33" s="78" t="n">
        <v>2025</v>
      </c>
      <c r="D33" s="78" t="inlineStr">
        <is>
          <t>窦鹏岐</t>
        </is>
      </c>
      <c r="E33" s="53" t="n"/>
      <c r="F33" s="54" t="n"/>
      <c r="G33" s="54" t="n"/>
      <c r="H33" s="80" t="inlineStr">
        <is>
          <t>问题文档拦截记录表</t>
        </is>
      </c>
      <c r="I33" s="81" t="inlineStr">
        <is>
          <t>ILF</t>
        </is>
      </c>
      <c r="J33" s="108" t="n"/>
      <c r="K33" s="108" t="inlineStr">
        <is>
          <t>数据库表未被本系统所维护</t>
        </is>
      </c>
      <c r="L33" s="83">
        <f>IF(OR(X33="估算法",X33="算法类",X33="无法识别"),"",IF(V33="",IF(OR(I33="EI",I33="EO",I33="EQ"),0,""),LEN(V33)-LEN(SUBSTITUTE(V33,"、",""))+1))</f>
        <v/>
      </c>
      <c r="M33" s="83">
        <f>IF(OR(X33="估算法",X33="算法类",X33="无法识别"),"",IF(W33="",IF(OR(I33="ILF",I33="EIF"),0,""),LEN(W33)-LEN(SUBSTITUTE(W33,"、",""))+1))</f>
        <v/>
      </c>
      <c r="N33" s="83">
        <f>IF(OR(X33="估算法",X33="算法类",X33="无法识别"),"",IF(X33="",IF(OR(I33="ILF",I33="EIF",I33="EI",I33="EO",I33="EQ"),0,""),LEN(X33)-LEN(SUBSTITUTE(SUBSTITUTE(SUBSTITUTE(SUBSTITUTE(SUBSTITUTE(X33,"|}","--"),"{|","--"),CHAR(10),""),"、",""),"|",""))+IF(AND(OR(I33="EI",I33="EO",I33="EQ"),$AD$1="NESMA"),2,1)))</f>
        <v/>
      </c>
      <c r="O33" s="84">
        <f>IF(I33="EI",IF(OR(X33="估算法",X33="算法类"),"中",IF(X33="无法识别","低",IF(L33&lt;2,IF(N33&lt;16,"低","中"),IF(L33&lt;3,IF(N33&lt;5,"低",IF(N33&lt;16,"中","高")),IF(N33&lt;5,"中","高"))))),IF(OR(I33="EO",I33="EQ"),IF(OR(X33="估算法",X33="算法类"),"中",IF(X33="无法识别","低",IF(L33&lt;2,IF(N33&lt;20,"低","中"),IF(L33&lt;4,IF(N33&lt;6,"低",IF(N33&lt;20,"中","高")),IF(N33&lt;6,"中","高"))))),IF(OR(I33="ILF",I33="EIF"),IF(OR(X33="估算法",X33="算法类",X33="无法识别"),"低",IF(M33&lt;2,IF(N33&lt;51,"低","中"),IF(M33&lt;6,IF(N33&lt;20,"低",IF(N33&lt;51,"中","高")),IF(N33&lt;20,"中","高")))),"不计算")))</f>
        <v/>
      </c>
      <c r="P33" s="142">
        <f>IFERROR(IF(I33="EI",IF(O33="低",3,IF(O33="中",4,6)),IF(I33="EO",IF(O33="低",4,IF(O33="中",5,7)),IF(I33="EQ",IF(O33="低",3,IF(O33="中",4,6)),IF(I33="ILF",IF(O33="低",7,IF(O33="中",10,15)),IF(I33="EIF",IF(O33="低",5,IF(O33="中",7,10)),"不计算")))))*Q33,"不计算")</f>
        <v/>
      </c>
      <c r="Q33" s="142" t="n">
        <v>0</v>
      </c>
      <c r="R33" s="143">
        <f>调整因子!$F$13</f>
        <v/>
      </c>
      <c r="S33" s="70" t="n">
        <v>1</v>
      </c>
      <c r="T33" s="144">
        <f>IFERROR(P33*R33,0)</f>
        <v/>
      </c>
      <c r="U33" s="144">
        <f>T33*S33</f>
        <v/>
      </c>
      <c r="V33" s="81" t="n"/>
      <c r="W33" s="76" t="inlineStr">
        <is>
          <t>问题文档拦截记录表</t>
        </is>
      </c>
      <c r="X33" s="76" t="inlineStr">
        <is>
          <t>问题文档拦截记录表{主键 id 、VEX 文档基本信息表主键 id （用于关联对应的文档）、拦截时间、拦截原因}</t>
        </is>
      </c>
      <c r="Y33" s="88">
        <f>IF(COUNTIFS(V:V,"*"&amp;H33&amp;"*")&gt;0,"存在","不存在")</f>
        <v/>
      </c>
      <c r="Z33" s="88">
        <f>IF(COUNTIFS(AA:AA,"*"&amp;H33&amp;"*")&gt;0,"存在","不存在")</f>
        <v/>
      </c>
      <c r="AA33" s="88" t="inlineStr">
        <is>
          <t>产品漏洞预警任务表、任务实例表</t>
        </is>
      </c>
    </row>
    <row r="34" hidden="1" ht="54" customFormat="1" customHeight="1" s="63">
      <c r="A34" s="69">
        <f>ROW()-1</f>
        <v/>
      </c>
      <c r="B34" s="53" t="n"/>
      <c r="C34" s="78" t="n">
        <v>2025</v>
      </c>
      <c r="D34" s="78" t="inlineStr">
        <is>
          <t>蔡云飞</t>
        </is>
      </c>
      <c r="E34" s="53" t="n"/>
      <c r="F34" s="76" t="inlineStr">
        <is>
          <t>风险组件库管理</t>
        </is>
      </c>
      <c r="G34" s="79" t="inlineStr">
        <is>
          <t>已知风险资产组件管理</t>
        </is>
      </c>
      <c r="H34" s="80" t="inlineStr">
        <is>
          <t>已知风险资产组件查询</t>
        </is>
      </c>
      <c r="I34" s="76" t="inlineStr">
        <is>
          <t>EO</t>
        </is>
      </c>
      <c r="J34" s="108" t="n"/>
      <c r="K34" s="108" t="n"/>
      <c r="L34" s="83">
        <f>IF(OR(X34="估算法",X34="算法类",X34="无法识别"),"",IF(V34="",IF(OR(I34="EI",I34="EO",I34="EQ"),0,""),LEN(V34)-LEN(SUBSTITUTE(V34,"、",""))+1))</f>
        <v/>
      </c>
      <c r="M34" s="83">
        <f>IF(OR(X34="估算法",X34="算法类",X34="无法识别"),"",IF(W34="",IF(OR(I34="ILF",I34="EIF"),0,""),LEN(W34)-LEN(SUBSTITUTE(W34,"、",""))+1))</f>
        <v/>
      </c>
      <c r="N34" s="83">
        <f>IF(OR(X34="估算法",X34="算法类",X34="无法识别"),"",IF(X34="",IF(OR(I34="ILF",I34="EIF",I34="EI",I34="EO",I34="EQ"),0,""),LEN(X34)-LEN(SUBSTITUTE(SUBSTITUTE(SUBSTITUTE(SUBSTITUTE(SUBSTITUTE(X34,"|}","--"),"{|","--"),CHAR(10),""),"、",""),"|",""))+IF(AND(OR(I34="EI",I34="EO",I34="EQ"),$AD$1="NESMA"),2,1)))</f>
        <v/>
      </c>
      <c r="O34" s="84">
        <f>IF(I34="EI",IF(OR(X34="估算法",X34="算法类"),"中",IF(X34="无法识别","低",IF(L34&lt;2,IF(N34&lt;16,"低","中"),IF(L34&lt;3,IF(N34&lt;5,"低",IF(N34&lt;16,"中","高")),IF(N34&lt;5,"中","高"))))),IF(OR(I34="EO",I34="EQ"),IF(OR(X34="估算法",X34="算法类"),"中",IF(X34="无法识别","低",IF(L34&lt;2,IF(N34&lt;20,"低","中"),IF(L34&lt;4,IF(N34&lt;6,"低",IF(N34&lt;20,"中","高")),IF(N34&lt;6,"中","高"))))),IF(OR(I34="ILF",I34="EIF"),IF(OR(X34="估算法",X34="算法类",X34="无法识别"),"低",IF(M34&lt;2,IF(N34&lt;51,"低","中"),IF(M34&lt;6,IF(N34&lt;20,"低",IF(N34&lt;51,"中","高")),IF(N34&lt;20,"中","高")))),"不计算")))</f>
        <v/>
      </c>
      <c r="P34" s="142">
        <f>IFERROR(IF(I34="EI",IF(O34="低",3,IF(O34="中",4,6)),IF(I34="EO",IF(O34="低",4,IF(O34="中",5,7)),IF(I34="EQ",IF(O34="低",3,IF(O34="中",4,6)),IF(I34="ILF",IF(O34="低",7,IF(O34="中",10,15)),IF(I34="EIF",IF(O34="低",5,IF(O34="中",7,10)),"不计算")))))*Q34,"不计算")</f>
        <v/>
      </c>
      <c r="Q34" s="142" t="n">
        <v>1</v>
      </c>
      <c r="R34" s="143">
        <f>调整因子!$F$13</f>
        <v/>
      </c>
      <c r="S34" s="70" t="n">
        <v>1</v>
      </c>
      <c r="T34" s="144">
        <f>IFERROR(P34*R34,0)</f>
        <v/>
      </c>
      <c r="U34" s="144">
        <f>T34*S34</f>
        <v/>
      </c>
      <c r="V34" s="88" t="inlineStr">
        <is>
          <t>资产指纹信息表</t>
        </is>
      </c>
      <c r="W34" s="89" t="n"/>
      <c r="X34" s="88" t="inlineStr">
        <is>
          <t>资产指纹信息表
{指纹ID、指纹名称、指纹类型、匹配规则、匹配字段、匹配方式、适用协议、适用端口、操作系统类型、厂商、产品、版本、CPE名称、来源类型、来源说明、优先级、适用范围、创建人、创建时间、状态
}</t>
        </is>
      </c>
      <c r="Y34" s="88" t="n"/>
      <c r="Z34" s="88" t="n"/>
      <c r="AA34" s="88" t="inlineStr">
        <is>
          <t>关联分析成功资产表、关联分析失败资产表</t>
        </is>
      </c>
    </row>
    <row r="35" hidden="1" ht="54" customFormat="1" customHeight="1" s="63">
      <c r="A35" s="69">
        <f>ROW()-1</f>
        <v/>
      </c>
      <c r="B35" s="53" t="n"/>
      <c r="C35" s="78" t="n">
        <v>2025</v>
      </c>
      <c r="D35" s="78" t="inlineStr">
        <is>
          <t>蔡云飞</t>
        </is>
      </c>
      <c r="E35" s="53" t="n"/>
      <c r="F35" s="53" t="n"/>
      <c r="G35" s="53" t="n"/>
      <c r="H35" s="80" t="inlineStr">
        <is>
          <t>已知风险资产组件新增</t>
        </is>
      </c>
      <c r="I35" s="76" t="inlineStr">
        <is>
          <t>EI</t>
        </is>
      </c>
      <c r="J35" s="108" t="n"/>
      <c r="K35" s="108" t="n"/>
      <c r="L35" s="83">
        <f>IF(OR(X35="估算法",X35="算法类",X35="无法识别"),"",IF(V35="",IF(OR(I35="EI",I35="EO",I35="EQ"),0,""),LEN(V35)-LEN(SUBSTITUTE(V35,"、",""))+1))</f>
        <v/>
      </c>
      <c r="M35" s="83">
        <f>IF(OR(X35="估算法",X35="算法类",X35="无法识别"),"",IF(W35="",IF(OR(I35="ILF",I35="EIF"),0,""),LEN(W35)-LEN(SUBSTITUTE(W35,"、",""))+1))</f>
        <v/>
      </c>
      <c r="N35" s="83">
        <f>IF(OR(X35="估算法",X35="算法类",X35="无法识别"),"",IF(X35="",IF(OR(I35="ILF",I35="EIF",I35="EI",I35="EO",I35="EQ"),0,""),LEN(X35)-LEN(SUBSTITUTE(SUBSTITUTE(SUBSTITUTE(SUBSTITUTE(SUBSTITUTE(X35,"|}","--"),"{|","--"),CHAR(10),""),"、",""),"|",""))+IF(AND(OR(I35="EI",I35="EO",I35="EQ"),$AD$1="NESMA"),2,1)))</f>
        <v/>
      </c>
      <c r="O35" s="84">
        <f>IF(I35="EI",IF(OR(X35="估算法",X35="算法类"),"中",IF(X35="无法识别","低",IF(L35&lt;2,IF(N35&lt;16,"低","中"),IF(L35&lt;3,IF(N35&lt;5,"低",IF(N35&lt;16,"中","高")),IF(N35&lt;5,"中","高"))))),IF(OR(I35="EO",I35="EQ"),IF(OR(X35="估算法",X35="算法类"),"中",IF(X35="无法识别","低",IF(L35&lt;2,IF(N35&lt;20,"低","中"),IF(L35&lt;4,IF(N35&lt;6,"低",IF(N35&lt;20,"中","高")),IF(N35&lt;6,"中","高"))))),IF(OR(I35="ILF",I35="EIF"),IF(OR(X35="估算法",X35="算法类",X35="无法识别"),"低",IF(M35&lt;2,IF(N35&lt;51,"低","中"),IF(M35&lt;6,IF(N35&lt;20,"低",IF(N35&lt;51,"中","高")),IF(N35&lt;20,"中","高")))),"不计算")))</f>
        <v/>
      </c>
      <c r="P35" s="142">
        <f>IFERROR(IF(I35="EI",IF(O35="低",3,IF(O35="中",4,6)),IF(I35="EO",IF(O35="低",4,IF(O35="中",5,7)),IF(I35="EQ",IF(O35="低",3,IF(O35="中",4,6)),IF(I35="ILF",IF(O35="低",7,IF(O35="中",10,15)),IF(I35="EIF",IF(O35="低",5,IF(O35="中",7,10)),"不计算")))))*Q35,"不计算")</f>
        <v/>
      </c>
      <c r="Q35" s="142" t="n">
        <v>1</v>
      </c>
      <c r="R35" s="143">
        <f>调整因子!$F$13</f>
        <v/>
      </c>
      <c r="S35" s="76" t="n">
        <v>1</v>
      </c>
      <c r="T35" s="144">
        <f>IFERROR(P35*R35,0)</f>
        <v/>
      </c>
      <c r="U35" s="144">
        <f>T35*S35</f>
        <v/>
      </c>
      <c r="V35" s="88" t="inlineStr">
        <is>
          <t>资产指纹信息表</t>
        </is>
      </c>
      <c r="W35" s="89" t="n"/>
      <c r="X35" s="88" t="inlineStr">
        <is>
          <t>资产指纹信息表
{指纹ID、指纹名称、指纹类型、匹配规则、匹配字段、匹配方式、适用协议、适用端口、操作系统类型、厂商、产品、版本、CPE名称、来源类型、来源说明、优先级、适用范围、创建人、创建时间、状态
}</t>
        </is>
      </c>
      <c r="Y35" s="88" t="n"/>
      <c r="Z35" s="88" t="n"/>
      <c r="AA35" s="88" t="inlineStr">
        <is>
          <t>产品漏洞预警任务历史表</t>
        </is>
      </c>
    </row>
    <row r="36" hidden="1" ht="54" customFormat="1" customHeight="1" s="63">
      <c r="A36" s="69">
        <f>ROW()-1</f>
        <v/>
      </c>
      <c r="B36" s="53" t="n"/>
      <c r="C36" s="78" t="n">
        <v>2025</v>
      </c>
      <c r="D36" s="78" t="inlineStr">
        <is>
          <t>蔡云飞</t>
        </is>
      </c>
      <c r="E36" s="53" t="n"/>
      <c r="F36" s="53" t="n"/>
      <c r="G36" s="53" t="n"/>
      <c r="H36" s="80" t="inlineStr">
        <is>
          <t>已知风险资产组件删除</t>
        </is>
      </c>
      <c r="I36" s="76" t="inlineStr">
        <is>
          <t>EI</t>
        </is>
      </c>
      <c r="J36" s="108" t="n"/>
      <c r="K36" s="108" t="n"/>
      <c r="L36" s="83">
        <f>IF(OR(X36="估算法",X36="算法类",X36="无法识别"),"",IF(V36="",IF(OR(I36="EI",I36="EO",I36="EQ"),0,""),LEN(V36)-LEN(SUBSTITUTE(V36,"、",""))+1))</f>
        <v/>
      </c>
      <c r="M36" s="83">
        <f>IF(OR(X36="估算法",X36="算法类",X36="无法识别"),"",IF(W36="",IF(OR(I36="ILF",I36="EIF"),0,""),LEN(W36)-LEN(SUBSTITUTE(W36,"、",""))+1))</f>
        <v/>
      </c>
      <c r="N36" s="83">
        <f>IF(OR(X36="估算法",X36="算法类",X36="无法识别"),"",IF(X36="",IF(OR(I36="ILF",I36="EIF",I36="EI",I36="EO",I36="EQ"),0,""),LEN(X36)-LEN(SUBSTITUTE(SUBSTITUTE(SUBSTITUTE(SUBSTITUTE(SUBSTITUTE(X36,"|}","--"),"{|","--"),CHAR(10),""),"、",""),"|",""))+IF(AND(OR(I36="EI",I36="EO",I36="EQ"),$AD$1="NESMA"),2,1)))</f>
        <v/>
      </c>
      <c r="O36" s="84">
        <f>IF(I36="EI",IF(OR(X36="估算法",X36="算法类"),"中",IF(X36="无法识别","低",IF(L36&lt;2,IF(N36&lt;16,"低","中"),IF(L36&lt;3,IF(N36&lt;5,"低",IF(N36&lt;16,"中","高")),IF(N36&lt;5,"中","高"))))),IF(OR(I36="EO",I36="EQ"),IF(OR(X36="估算法",X36="算法类"),"中",IF(X36="无法识别","低",IF(L36&lt;2,IF(N36&lt;20,"低","中"),IF(L36&lt;4,IF(N36&lt;6,"低",IF(N36&lt;20,"中","高")),IF(N36&lt;6,"中","高"))))),IF(OR(I36="ILF",I36="EIF"),IF(OR(X36="估算法",X36="算法类",X36="无法识别"),"低",IF(M36&lt;2,IF(N36&lt;51,"低","中"),IF(M36&lt;6,IF(N36&lt;20,"低",IF(N36&lt;51,"中","高")),IF(N36&lt;20,"中","高")))),"不计算")))</f>
        <v/>
      </c>
      <c r="P36" s="142">
        <f>IFERROR(IF(I36="EI",IF(O36="低",3,IF(O36="中",4,6)),IF(I36="EO",IF(O36="低",4,IF(O36="中",5,7)),IF(I36="EQ",IF(O36="低",3,IF(O36="中",4,6)),IF(I36="ILF",IF(O36="低",7,IF(O36="中",10,15)),IF(I36="EIF",IF(O36="低",5,IF(O36="中",7,10)),"不计算")))))*Q36,"不计算")</f>
        <v/>
      </c>
      <c r="Q36" s="142" t="n">
        <v>0.333333333333333</v>
      </c>
      <c r="R36" s="143">
        <f>调整因子!$F$13</f>
        <v/>
      </c>
      <c r="S36" s="70" t="n">
        <v>1</v>
      </c>
      <c r="T36" s="144">
        <f>IFERROR(P36*R36,0)</f>
        <v/>
      </c>
      <c r="U36" s="144">
        <f>T36*S36</f>
        <v/>
      </c>
      <c r="V36" s="88" t="inlineStr">
        <is>
          <t>资产指纹信息表</t>
        </is>
      </c>
      <c r="W36" s="89" t="n"/>
      <c r="X36" s="88" t="inlineStr">
        <is>
          <t>资产指纹信息表
{指纹ID、指纹名称、指纹类型、匹配规则、匹配字段、匹配方式、适用协议、适用端口、操作系统类型、厂商、产品、版本、CPE名称、来源类型、来源说明、优先级、适用范围、创建人、创建时间、状态
}</t>
        </is>
      </c>
      <c r="Y36" s="88" t="n"/>
      <c r="Z36" s="88" t="n"/>
      <c r="AA36" s="88" t="inlineStr">
        <is>
          <t>函数定义表、函数语言类型表</t>
        </is>
      </c>
    </row>
    <row r="37" hidden="1" ht="54" customFormat="1" customHeight="1" s="63">
      <c r="A37" s="69">
        <f>ROW()-1</f>
        <v/>
      </c>
      <c r="B37" s="53" t="n"/>
      <c r="C37" s="78" t="n">
        <v>2025</v>
      </c>
      <c r="D37" s="78" t="inlineStr">
        <is>
          <t>蔡云飞</t>
        </is>
      </c>
      <c r="E37" s="53" t="n"/>
      <c r="F37" s="53" t="n"/>
      <c r="G37" s="53" t="n"/>
      <c r="H37" s="80" t="inlineStr">
        <is>
          <t>已知风险资产组件修改</t>
        </is>
      </c>
      <c r="I37" s="76" t="inlineStr">
        <is>
          <t>EI</t>
        </is>
      </c>
      <c r="J37" s="108" t="n"/>
      <c r="K37" s="108" t="n"/>
      <c r="L37" s="83">
        <f>IF(OR(X37="估算法",X37="算法类",X37="无法识别"),"",IF(V37="",IF(OR(I37="EI",I37="EO",I37="EQ"),0,""),LEN(V37)-LEN(SUBSTITUTE(V37,"、",""))+1))</f>
        <v/>
      </c>
      <c r="M37" s="83">
        <f>IF(OR(X37="估算法",X37="算法类",X37="无法识别"),"",IF(W37="",IF(OR(I37="ILF",I37="EIF"),0,""),LEN(W37)-LEN(SUBSTITUTE(W37,"、",""))+1))</f>
        <v/>
      </c>
      <c r="N37" s="83">
        <f>IF(OR(X37="估算法",X37="算法类",X37="无法识别"),"",IF(X37="",IF(OR(I37="ILF",I37="EIF",I37="EI",I37="EO",I37="EQ"),0,""),LEN(X37)-LEN(SUBSTITUTE(SUBSTITUTE(SUBSTITUTE(SUBSTITUTE(SUBSTITUTE(X37,"|}","--"),"{|","--"),CHAR(10),""),"、",""),"|",""))+IF(AND(OR(I37="EI",I37="EO",I37="EQ"),$AD$1="NESMA"),2,1)))</f>
        <v/>
      </c>
      <c r="O37" s="84">
        <f>IF(I37="EI",IF(OR(X37="估算法",X37="算法类"),"中",IF(X37="无法识别","低",IF(L37&lt;2,IF(N37&lt;16,"低","中"),IF(L37&lt;3,IF(N37&lt;5,"低",IF(N37&lt;16,"中","高")),IF(N37&lt;5,"中","高"))))),IF(OR(I37="EO",I37="EQ"),IF(OR(X37="估算法",X37="算法类"),"中",IF(X37="无法识别","低",IF(L37&lt;2,IF(N37&lt;20,"低","中"),IF(L37&lt;4,IF(N37&lt;6,"低",IF(N37&lt;20,"中","高")),IF(N37&lt;6,"中","高"))))),IF(OR(I37="ILF",I37="EIF"),IF(OR(X37="估算法",X37="算法类",X37="无法识别"),"低",IF(M37&lt;2,IF(N37&lt;51,"低","中"),IF(M37&lt;6,IF(N37&lt;20,"低",IF(N37&lt;51,"中","高")),IF(N37&lt;20,"中","高")))),"不计算")))</f>
        <v/>
      </c>
      <c r="P37" s="142">
        <f>IFERROR(IF(I37="EI",IF(O37="低",3,IF(O37="中",4,6)),IF(I37="EO",IF(O37="低",4,IF(O37="中",5,7)),IF(I37="EQ",IF(O37="低",3,IF(O37="中",4,6)),IF(I37="ILF",IF(O37="低",7,IF(O37="中",10,15)),IF(I37="EIF",IF(O37="低",5,IF(O37="中",7,10)),"不计算")))))*Q37,"不计算")</f>
        <v/>
      </c>
      <c r="Q37" s="142" t="n">
        <v>0.333333333333333</v>
      </c>
      <c r="R37" s="143">
        <f>调整因子!$F$13</f>
        <v/>
      </c>
      <c r="S37" s="70" t="n">
        <v>1</v>
      </c>
      <c r="T37" s="144">
        <f>IFERROR(P37*R37,0)</f>
        <v/>
      </c>
      <c r="U37" s="144">
        <f>T37*S37</f>
        <v/>
      </c>
      <c r="V37" s="88" t="inlineStr">
        <is>
          <t>资产指纹信息表</t>
        </is>
      </c>
      <c r="W37" s="89" t="n"/>
      <c r="X37" s="88" t="inlineStr">
        <is>
          <t>资产指纹信息表
{指纹ID、指纹名称、指纹类型、匹配规则、匹配字段、匹配方式、适用协议、适用端口、操作系统类型、厂商、产品、版本、CPE名称、来源类型、来源说明、优先级、适用范围、创建人、创建时间、状态
}</t>
        </is>
      </c>
      <c r="Y37" s="88" t="n"/>
      <c r="Z37" s="88" t="n"/>
      <c r="AA37" s="88" t="inlineStr">
        <is>
          <t>函数语言类型表、函数定义表</t>
        </is>
      </c>
    </row>
    <row r="38" hidden="1" ht="32.4" customFormat="1" customHeight="1" s="63">
      <c r="A38" s="69">
        <f>ROW()-1</f>
        <v/>
      </c>
      <c r="B38" s="53" t="n"/>
      <c r="C38" s="78" t="n">
        <v>2025</v>
      </c>
      <c r="D38" s="78" t="inlineStr">
        <is>
          <t>蔡云飞</t>
        </is>
      </c>
      <c r="E38" s="53" t="n"/>
      <c r="F38" s="53" t="n"/>
      <c r="G38" s="53" t="n"/>
      <c r="H38" s="81" t="inlineStr">
        <is>
          <t>已知风险资产组件表</t>
        </is>
      </c>
      <c r="I38" s="76" t="n"/>
      <c r="J38" s="108" t="n"/>
      <c r="K38" s="108" t="inlineStr">
        <is>
          <t>数据库表未被本系统所使用</t>
        </is>
      </c>
      <c r="L38" s="83">
        <f>IF(OR(X38="估算法",X38="算法类",X38="无法识别"),"",IF(V38="",IF(OR(I38="EI",I38="EO",I38="EQ"),0,""),LEN(V38)-LEN(SUBSTITUTE(V38,"、",""))+1))</f>
        <v/>
      </c>
      <c r="M38" s="83">
        <f>IF(OR(X38="估算法",X38="算法类",X38="无法识别"),"",IF(W38="",IF(OR(I38="ILF",I38="EIF"),0,""),LEN(W38)-LEN(SUBSTITUTE(W38,"、",""))+1))</f>
        <v/>
      </c>
      <c r="N38" s="83">
        <f>IF(OR(X38="估算法",X38="算法类",X38="无法识别"),"",IF(X38="",IF(OR(I38="ILF",I38="EIF",I38="EI",I38="EO",I38="EQ"),0,""),LEN(X38)-LEN(SUBSTITUTE(SUBSTITUTE(SUBSTITUTE(SUBSTITUTE(SUBSTITUTE(X38,"|}","--"),"{|","--"),CHAR(10),""),"、",""),"|",""))+IF(AND(OR(I38="EI",I38="EO",I38="EQ"),$AD$1="NESMA"),2,1)))</f>
        <v/>
      </c>
      <c r="O38" s="84">
        <f>IF(I38="EI",IF(OR(X38="估算法",X38="算法类"),"中",IF(X38="无法识别","低",IF(L38&lt;2,IF(N38&lt;16,"低","中"),IF(L38&lt;3,IF(N38&lt;5,"低",IF(N38&lt;16,"中","高")),IF(N38&lt;5,"中","高"))))),IF(OR(I38="EO",I38="EQ"),IF(OR(X38="估算法",X38="算法类"),"中",IF(X38="无法识别","低",IF(L38&lt;2,IF(N38&lt;20,"低","中"),IF(L38&lt;4,IF(N38&lt;6,"低",IF(N38&lt;20,"中","高")),IF(N38&lt;6,"中","高"))))),IF(OR(I38="ILF",I38="EIF"),IF(OR(X38="估算法",X38="算法类",X38="无法识别"),"低",IF(M38&lt;2,IF(N38&lt;51,"低","中"),IF(M38&lt;6,IF(N38&lt;20,"低",IF(N38&lt;51,"中","高")),IF(N38&lt;20,"中","高")))),"不计算")))</f>
        <v/>
      </c>
      <c r="P38" s="142">
        <f>IFERROR(IF(I38="EI",IF(O38="低",3,IF(O38="中",4,6)),IF(I38="EO",IF(O38="低",4,IF(O38="中",5,7)),IF(I38="EQ",IF(O38="低",3,IF(O38="中",4,6)),IF(I38="ILF",IF(O38="低",7,IF(O38="中",10,15)),IF(I38="EIF",IF(O38="低",5,IF(O38="中",7,10)),"不计算")))))*Q38,"不计算")</f>
        <v/>
      </c>
      <c r="Q38" s="142" t="n">
        <v>1</v>
      </c>
      <c r="R38" s="143">
        <f>调整因子!$F$13</f>
        <v/>
      </c>
      <c r="S38" s="76" t="n">
        <v>1</v>
      </c>
      <c r="T38" s="144">
        <f>IFERROR(P38*R38,0)</f>
        <v/>
      </c>
      <c r="U38" s="144">
        <f>T38*S38</f>
        <v/>
      </c>
      <c r="V38" s="89" t="n"/>
      <c r="W38" s="88" t="inlineStr">
        <is>
          <t>已知风险资产组件表</t>
        </is>
      </c>
      <c r="X38" s="88" t="inlineStr">
        <is>
          <t>已知风险资产组件表
{资产ID、资产名称、IP地址、端口、所属系统、所属单位、组件名称、组件版本、CPE名称、风险等级、关联漏洞、识别方式、识别时间、状态、备注}</t>
        </is>
      </c>
      <c r="Y38" s="88">
        <f>IF(COUNTIFS(V:V,"*"&amp;H38&amp;"*")&gt;0,"存在","不存在")</f>
        <v/>
      </c>
      <c r="Z38" s="88">
        <f>IF(COUNTIFS(AA:AA,"*"&amp;H38&amp;"*")&gt;0,"存在","不存在")</f>
        <v/>
      </c>
      <c r="AA38" s="88" t="inlineStr">
        <is>
          <t>函数定义表</t>
        </is>
      </c>
    </row>
    <row r="39" hidden="1" ht="32.4" customFormat="1" customHeight="1" s="63">
      <c r="A39" s="69">
        <f>ROW()-1</f>
        <v/>
      </c>
      <c r="B39" s="53" t="n"/>
      <c r="C39" s="78" t="n">
        <v>2025</v>
      </c>
      <c r="D39" s="78" t="inlineStr">
        <is>
          <t>蔡云飞</t>
        </is>
      </c>
      <c r="E39" s="53" t="n"/>
      <c r="F39" s="53" t="n"/>
      <c r="G39" s="53" t="n"/>
      <c r="H39" s="81" t="inlineStr">
        <is>
          <t>资产组件操作日志表</t>
        </is>
      </c>
      <c r="I39" s="76" t="inlineStr">
        <is>
          <t>ILF</t>
        </is>
      </c>
      <c r="J39" s="108" t="n"/>
      <c r="K39" s="108" t="inlineStr">
        <is>
          <t>数据库表未被本系统所维护</t>
        </is>
      </c>
      <c r="L39" s="83">
        <f>IF(OR(X39="估算法",X39="算法类",X39="无法识别"),"",IF(V39="",IF(OR(I39="EI",I39="EO",I39="EQ"),0,""),LEN(V39)-LEN(SUBSTITUTE(V39,"、",""))+1))</f>
        <v/>
      </c>
      <c r="M39" s="83">
        <f>IF(OR(X39="估算法",X39="算法类",X39="无法识别"),"",IF(W39="",IF(OR(I39="ILF",I39="EIF"),0,""),LEN(W39)-LEN(SUBSTITUTE(W39,"、",""))+1))</f>
        <v/>
      </c>
      <c r="N39" s="83">
        <f>IF(OR(X39="估算法",X39="算法类",X39="无法识别"),"",IF(X39="",IF(OR(I39="ILF",I39="EIF",I39="EI",I39="EO",I39="EQ"),0,""),LEN(X39)-LEN(SUBSTITUTE(SUBSTITUTE(SUBSTITUTE(SUBSTITUTE(SUBSTITUTE(X39,"|}","--"),"{|","--"),CHAR(10),""),"、",""),"|",""))+IF(AND(OR(I39="EI",I39="EO",I39="EQ"),$AD$1="NESMA"),2,1)))</f>
        <v/>
      </c>
      <c r="O39" s="84">
        <f>IF(I39="EI",IF(OR(X39="估算法",X39="算法类"),"中",IF(X39="无法识别","低",IF(L39&lt;2,IF(N39&lt;16,"低","中"),IF(L39&lt;3,IF(N39&lt;5,"低",IF(N39&lt;16,"中","高")),IF(N39&lt;5,"中","高"))))),IF(OR(I39="EO",I39="EQ"),IF(OR(X39="估算法",X39="算法类"),"中",IF(X39="无法识别","低",IF(L39&lt;2,IF(N39&lt;20,"低","中"),IF(L39&lt;4,IF(N39&lt;6,"低",IF(N39&lt;20,"中","高")),IF(N39&lt;6,"中","高"))))),IF(OR(I39="ILF",I39="EIF"),IF(OR(X39="估算法",X39="算法类",X39="无法识别"),"低",IF(M39&lt;2,IF(N39&lt;51,"低","中"),IF(M39&lt;6,IF(N39&lt;20,"低",IF(N39&lt;51,"中","高")),IF(N39&lt;20,"中","高")))),"不计算")))</f>
        <v/>
      </c>
      <c r="P39" s="142">
        <f>IFERROR(IF(I39="EI",IF(O39="低",3,IF(O39="中",4,6)),IF(I39="EO",IF(O39="低",4,IF(O39="中",5,7)),IF(I39="EQ",IF(O39="低",3,IF(O39="中",4,6)),IF(I39="ILF",IF(O39="低",7,IF(O39="中",10,15)),IF(I39="EIF",IF(O39="低",5,IF(O39="中",7,10)),"不计算")))))*Q39,"不计算")</f>
        <v/>
      </c>
      <c r="Q39" s="142" t="n">
        <v>0</v>
      </c>
      <c r="R39" s="143">
        <f>调整因子!$F$13</f>
        <v/>
      </c>
      <c r="S39" s="70" t="n">
        <v>1</v>
      </c>
      <c r="T39" s="144">
        <f>IFERROR(P39*R39,0)</f>
        <v/>
      </c>
      <c r="U39" s="144">
        <f>T39*S39</f>
        <v/>
      </c>
      <c r="V39" s="89" t="n"/>
      <c r="W39" s="88" t="inlineStr">
        <is>
          <t>资产组件操作日志表</t>
        </is>
      </c>
      <c r="X39" s="88" t="inlineStr">
        <is>
          <t>资产组件操作日志表
{日志ID、操作类型、操作人、操作时间、目标资产ID、变更内容、操作来源、IP地址}</t>
        </is>
      </c>
      <c r="Y39" s="88">
        <f>IF(COUNTIFS(V:V,"*"&amp;H39&amp;"*")&gt;0,"存在","不存在")</f>
        <v/>
      </c>
      <c r="Z39" s="88">
        <f>IF(COUNTIFS(AA:AA,"*"&amp;H39&amp;"*")&gt;0,"存在","不存在")</f>
        <v/>
      </c>
      <c r="AA39" s="88" t="inlineStr">
        <is>
          <t>纠偏运算符表</t>
        </is>
      </c>
    </row>
    <row r="40" hidden="1" ht="32.4" customFormat="1" customHeight="1" s="63">
      <c r="A40" s="69">
        <f>ROW()-1</f>
        <v/>
      </c>
      <c r="B40" s="53" t="n"/>
      <c r="C40" s="78" t="n">
        <v>2025</v>
      </c>
      <c r="D40" s="78" t="inlineStr">
        <is>
          <t>蔡云飞</t>
        </is>
      </c>
      <c r="E40" s="53" t="n"/>
      <c r="F40" s="53" t="n"/>
      <c r="G40" s="53" t="n"/>
      <c r="H40" s="81" t="inlineStr">
        <is>
          <t>资产指纹信息表</t>
        </is>
      </c>
      <c r="I40" s="76" t="inlineStr">
        <is>
          <t>ILF</t>
        </is>
      </c>
      <c r="J40" s="108" t="n"/>
      <c r="K40" s="108" t="n"/>
      <c r="L40" s="83">
        <f>IF(OR(X40="估算法",X40="算法类",X40="无法识别"),"",IF(V40="",IF(OR(I40="EI",I40="EO",I40="EQ"),0,""),LEN(V40)-LEN(SUBSTITUTE(V40,"、",""))+1))</f>
        <v/>
      </c>
      <c r="M40" s="83">
        <f>IF(OR(X40="估算法",X40="算法类",X40="无法识别"),"",IF(W40="",IF(OR(I40="ILF",I40="EIF"),0,""),LEN(W40)-LEN(SUBSTITUTE(W40,"、",""))+1))</f>
        <v/>
      </c>
      <c r="N40" s="83">
        <f>IF(OR(X40="估算法",X40="算法类",X40="无法识别"),"",IF(X40="",IF(OR(I40="ILF",I40="EIF",I40="EI",I40="EO",I40="EQ"),0,""),LEN(X40)-LEN(SUBSTITUTE(SUBSTITUTE(SUBSTITUTE(SUBSTITUTE(SUBSTITUTE(X40,"|}","--"),"{|","--"),CHAR(10),""),"、",""),"|",""))+IF(AND(OR(I40="EI",I40="EO",I40="EQ"),$AD$1="NESMA"),2,1)))</f>
        <v/>
      </c>
      <c r="O40" s="84">
        <f>IF(I40="EI",IF(OR(X40="估算法",X40="算法类"),"中",IF(X40="无法识别","低",IF(L40&lt;2,IF(N40&lt;16,"低","中"),IF(L40&lt;3,IF(N40&lt;5,"低",IF(N40&lt;16,"中","高")),IF(N40&lt;5,"中","高"))))),IF(OR(I40="EO",I40="EQ"),IF(OR(X40="估算法",X40="算法类"),"中",IF(X40="无法识别","低",IF(L40&lt;2,IF(N40&lt;20,"低","中"),IF(L40&lt;4,IF(N40&lt;6,"低",IF(N40&lt;20,"中","高")),IF(N40&lt;6,"中","高"))))),IF(OR(I40="ILF",I40="EIF"),IF(OR(X40="估算法",X40="算法类",X40="无法识别"),"低",IF(M40&lt;2,IF(N40&lt;51,"低","中"),IF(M40&lt;6,IF(N40&lt;20,"低",IF(N40&lt;51,"中","高")),IF(N40&lt;20,"中","高")))),"不计算")))</f>
        <v/>
      </c>
      <c r="P40" s="142">
        <f>IFERROR(IF(I40="EI",IF(O40="低",3,IF(O40="中",4,6)),IF(I40="EO",IF(O40="低",4,IF(O40="中",5,7)),IF(I40="EQ",IF(O40="低",3,IF(O40="中",4,6)),IF(I40="ILF",IF(O40="低",7,IF(O40="中",10,15)),IF(I40="EIF",IF(O40="低",5,IF(O40="中",7,10)),"不计算")))))*Q40,"不计算")</f>
        <v/>
      </c>
      <c r="Q40" s="142" t="n">
        <v>1</v>
      </c>
      <c r="R40" s="143">
        <f>调整因子!$F$13</f>
        <v/>
      </c>
      <c r="S40" s="70" t="n">
        <v>1</v>
      </c>
      <c r="T40" s="144">
        <f>IFERROR(P40*R40,0)</f>
        <v/>
      </c>
      <c r="U40" s="144">
        <f>T40*S40</f>
        <v/>
      </c>
      <c r="V40" s="89" t="n"/>
      <c r="W40" s="88" t="inlineStr">
        <is>
          <t>资产指纹信息表</t>
        </is>
      </c>
      <c r="X40" s="88" t="inlineStr">
        <is>
          <t>资产指纹信息表
{指纹ID、指纹名称、匹配规则、适用协议、厂商、产品、版本、CPE名称、创建时间、状态}</t>
        </is>
      </c>
      <c r="Y40" s="88">
        <f>IF(COUNTIFS(V:V,"*"&amp;H40&amp;"*")&gt;0,"存在","不存在")</f>
        <v/>
      </c>
      <c r="Z40" s="88">
        <f>IF(COUNTIFS(AA:AA,"*"&amp;H40&amp;"*")&gt;0,"存在","不存在")</f>
        <v/>
      </c>
      <c r="AA40" s="88" t="inlineStr">
        <is>
          <t>纠偏运算符表</t>
        </is>
      </c>
    </row>
    <row r="41" hidden="1" ht="32.4" customFormat="1" customHeight="1" s="63">
      <c r="A41" s="69">
        <f>ROW()-1</f>
        <v/>
      </c>
      <c r="B41" s="53" t="n"/>
      <c r="C41" s="78" t="n">
        <v>2025</v>
      </c>
      <c r="D41" s="78" t="inlineStr">
        <is>
          <t>蔡云飞</t>
        </is>
      </c>
      <c r="E41" s="53" t="n"/>
      <c r="F41" s="53" t="n"/>
      <c r="G41" s="53" t="n"/>
      <c r="H41" s="80" t="inlineStr">
        <is>
          <t>CPE标准库表</t>
        </is>
      </c>
      <c r="I41" s="76" t="inlineStr">
        <is>
          <t>ILF</t>
        </is>
      </c>
      <c r="J41" s="108" t="n"/>
      <c r="K41" s="108" t="inlineStr">
        <is>
          <t>数据库表未被本系统所维护</t>
        </is>
      </c>
      <c r="L41" s="83">
        <f>IF(OR(X41="估算法",X41="算法类",X41="无法识别"),"",IF(V41="",IF(OR(I41="EI",I41="EO",I41="EQ"),0,""),LEN(V41)-LEN(SUBSTITUTE(V41,"、",""))+1))</f>
        <v/>
      </c>
      <c r="M41" s="83">
        <f>IF(OR(X41="估算法",X41="算法类",X41="无法识别"),"",IF(W41="",IF(OR(I41="ILF",I41="EIF"),0,""),LEN(W41)-LEN(SUBSTITUTE(W41,"、",""))+1))</f>
        <v/>
      </c>
      <c r="N41" s="83">
        <f>IF(OR(X41="估算法",X41="算法类",X41="无法识别"),"",IF(X41="",IF(OR(I41="ILF",I41="EIF",I41="EI",I41="EO",I41="EQ"),0,""),LEN(X41)-LEN(SUBSTITUTE(SUBSTITUTE(SUBSTITUTE(SUBSTITUTE(SUBSTITUTE(X41,"|}","--"),"{|","--"),CHAR(10),""),"、",""),"|",""))+IF(AND(OR(I41="EI",I41="EO",I41="EQ"),$AD$1="NESMA"),2,1)))</f>
        <v/>
      </c>
      <c r="O41" s="84">
        <f>IF(I41="EI",IF(OR(X41="估算法",X41="算法类"),"中",IF(X41="无法识别","低",IF(L41&lt;2,IF(N41&lt;16,"低","中"),IF(L41&lt;3,IF(N41&lt;5,"低",IF(N41&lt;16,"中","高")),IF(N41&lt;5,"中","高"))))),IF(OR(I41="EO",I41="EQ"),IF(OR(X41="估算法",X41="算法类"),"中",IF(X41="无法识别","低",IF(L41&lt;2,IF(N41&lt;20,"低","中"),IF(L41&lt;4,IF(N41&lt;6,"低",IF(N41&lt;20,"中","高")),IF(N41&lt;6,"中","高"))))),IF(OR(I41="ILF",I41="EIF"),IF(OR(X41="估算法",X41="算法类",X41="无法识别"),"低",IF(M41&lt;2,IF(N41&lt;51,"低","中"),IF(M41&lt;6,IF(N41&lt;20,"低",IF(N41&lt;51,"中","高")),IF(N41&lt;20,"中","高")))),"不计算")))</f>
        <v/>
      </c>
      <c r="P41" s="142">
        <f>IFERROR(IF(I41="EI",IF(O41="低",3,IF(O41="中",4,6)),IF(I41="EO",IF(O41="低",4,IF(O41="中",5,7)),IF(I41="EQ",IF(O41="低",3,IF(O41="中",4,6)),IF(I41="ILF",IF(O41="低",7,IF(O41="中",10,15)),IF(I41="EIF",IF(O41="低",5,IF(O41="中",7,10)),"不计算")))))*Q41,"不计算")</f>
        <v/>
      </c>
      <c r="Q41" s="142" t="n">
        <v>0</v>
      </c>
      <c r="R41" s="143">
        <f>调整因子!$F$13</f>
        <v/>
      </c>
      <c r="S41" s="76" t="n">
        <v>1</v>
      </c>
      <c r="T41" s="144">
        <f>IFERROR(P41*R41,0)</f>
        <v/>
      </c>
      <c r="U41" s="144">
        <f>T41*S41</f>
        <v/>
      </c>
      <c r="V41" s="89" t="n"/>
      <c r="W41" s="88" t="inlineStr">
        <is>
          <t>CPE标准库表</t>
        </is>
      </c>
      <c r="X41" s="88" t="inlineStr">
        <is>
          <t>CPE标准库表
{CPE ID、CPE URI、厂商、产品名称、版本、CPE类型、语言、平台、收录时间、状态}</t>
        </is>
      </c>
      <c r="Y41" s="88">
        <f>IF(COUNTIFS(V:V,"*"&amp;H41&amp;"*")&gt;0,"存在","不存在")</f>
        <v/>
      </c>
      <c r="Z41" s="88">
        <f>IF(COUNTIFS(AA:AA,"*"&amp;H41&amp;"*")&gt;0,"存在","不存在")</f>
        <v/>
      </c>
      <c r="AA41" s="88" t="inlineStr">
        <is>
          <t>纠偏运算符表</t>
        </is>
      </c>
    </row>
    <row r="42" hidden="1" ht="32.4" customFormat="1" customHeight="1" s="63">
      <c r="A42" s="69">
        <f>ROW()-1</f>
        <v/>
      </c>
      <c r="B42" s="53" t="n"/>
      <c r="C42" s="78" t="n">
        <v>2025</v>
      </c>
      <c r="D42" s="78" t="inlineStr">
        <is>
          <t>蔡云飞</t>
        </is>
      </c>
      <c r="E42" s="53" t="n"/>
      <c r="F42" s="53" t="n"/>
      <c r="G42" s="53" t="n"/>
      <c r="H42" s="80" t="inlineStr">
        <is>
          <t>VEX文档索引表</t>
        </is>
      </c>
      <c r="I42" s="76" t="inlineStr">
        <is>
          <t>ILF</t>
        </is>
      </c>
      <c r="J42" s="108" t="n"/>
      <c r="K42" s="108" t="inlineStr">
        <is>
          <t>数据库表未被本系统所维护</t>
        </is>
      </c>
      <c r="L42" s="83">
        <f>IF(OR(X42="估算法",X42="算法类",X42="无法识别"),"",IF(V42="",IF(OR(I42="EI",I42="EO",I42="EQ"),0,""),LEN(V42)-LEN(SUBSTITUTE(V42,"、",""))+1))</f>
        <v/>
      </c>
      <c r="M42" s="83">
        <f>IF(OR(X42="估算法",X42="算法类",X42="无法识别"),"",IF(W42="",IF(OR(I42="ILF",I42="EIF"),0,""),LEN(W42)-LEN(SUBSTITUTE(W42,"、",""))+1))</f>
        <v/>
      </c>
      <c r="N42" s="83">
        <f>IF(OR(X42="估算法",X42="算法类",X42="无法识别"),"",IF(X42="",IF(OR(I42="ILF",I42="EIF",I42="EI",I42="EO",I42="EQ"),0,""),LEN(X42)-LEN(SUBSTITUTE(SUBSTITUTE(SUBSTITUTE(SUBSTITUTE(SUBSTITUTE(X42,"|}","--"),"{|","--"),CHAR(10),""),"、",""),"|",""))+IF(AND(OR(I42="EI",I42="EO",I42="EQ"),$AD$1="NESMA"),2,1)))</f>
        <v/>
      </c>
      <c r="O42" s="84">
        <f>IF(I42="EI",IF(OR(X42="估算法",X42="算法类"),"中",IF(X42="无法识别","低",IF(L42&lt;2,IF(N42&lt;16,"低","中"),IF(L42&lt;3,IF(N42&lt;5,"低",IF(N42&lt;16,"中","高")),IF(N42&lt;5,"中","高"))))),IF(OR(I42="EO",I42="EQ"),IF(OR(X42="估算法",X42="算法类"),"中",IF(X42="无法识别","低",IF(L42&lt;2,IF(N42&lt;20,"低","中"),IF(L42&lt;4,IF(N42&lt;6,"低",IF(N42&lt;20,"中","高")),IF(N42&lt;6,"中","高"))))),IF(OR(I42="ILF",I42="EIF"),IF(OR(X42="估算法",X42="算法类",X42="无法识别"),"低",IF(M42&lt;2,IF(N42&lt;51,"低","中"),IF(M42&lt;6,IF(N42&lt;20,"低",IF(N42&lt;51,"中","高")),IF(N42&lt;20,"中","高")))),"不计算")))</f>
        <v/>
      </c>
      <c r="P42" s="142">
        <f>IFERROR(IF(I42="EI",IF(O42="低",3,IF(O42="中",4,6)),IF(I42="EO",IF(O42="低",4,IF(O42="中",5,7)),IF(I42="EQ",IF(O42="低",3,IF(O42="中",4,6)),IF(I42="ILF",IF(O42="低",7,IF(O42="中",10,15)),IF(I42="EIF",IF(O42="低",5,IF(O42="中",7,10)),"不计算")))))*Q42,"不计算")</f>
        <v/>
      </c>
      <c r="Q42" s="142" t="n">
        <v>0</v>
      </c>
      <c r="R42" s="143">
        <f>调整因子!$F$13</f>
        <v/>
      </c>
      <c r="S42" s="70" t="n">
        <v>1</v>
      </c>
      <c r="T42" s="144">
        <f>IFERROR(P42*R42,0)</f>
        <v/>
      </c>
      <c r="U42" s="144">
        <f>T42*S42</f>
        <v/>
      </c>
      <c r="V42" s="89" t="n"/>
      <c r="W42" s="88" t="inlineStr">
        <is>
          <t>整理VEX文档索引表</t>
        </is>
      </c>
      <c r="X42" s="88" t="inlineStr">
        <is>
          <t>VEX文档索引表
{文档ID、文档名称、CISA编号、文档类型、适用产品、适用版本、状态说明、处理建议、发布时间、整理时间、状态}</t>
        </is>
      </c>
      <c r="Y42" s="88">
        <f>IF(COUNTIFS(V:V,"*"&amp;H42&amp;"*")&gt;0,"存在","不存在")</f>
        <v/>
      </c>
      <c r="Z42" s="88">
        <f>IF(COUNTIFS(AA:AA,"*"&amp;H42&amp;"*")&gt;0,"存在","不存在")</f>
        <v/>
      </c>
      <c r="AA42" s="88" t="inlineStr">
        <is>
          <t>资产类型对齐规则表</t>
        </is>
      </c>
    </row>
    <row r="43" hidden="1" ht="75.59999999999999" customFormat="1" customHeight="1" s="63">
      <c r="A43" s="69">
        <f>ROW()-1</f>
        <v/>
      </c>
      <c r="B43" s="53" t="n"/>
      <c r="C43" s="78" t="n">
        <v>2025</v>
      </c>
      <c r="D43" s="78" t="inlineStr">
        <is>
          <t>蔡云飞</t>
        </is>
      </c>
      <c r="E43" s="53" t="n"/>
      <c r="F43" s="53" t="n"/>
      <c r="G43" s="54" t="n"/>
      <c r="H43" s="81" t="inlineStr">
        <is>
          <t>整理资产指纹、CPE库、VEX文档数据(查询)</t>
        </is>
      </c>
      <c r="I43" s="76" t="inlineStr">
        <is>
          <t>EQ</t>
        </is>
      </c>
      <c r="J43" s="108" t="n"/>
      <c r="K43" s="108" t="n"/>
      <c r="L43" s="83">
        <f>IF(OR(X43="估算法",X43="算法类",X43="无法识别"),"",IF(V43="",IF(OR(I43="EI",I43="EO",I43="EQ"),0,""),LEN(V43)-LEN(SUBSTITUTE(V43,"、",""))+1))</f>
        <v/>
      </c>
      <c r="M43" s="83">
        <f>IF(OR(X43="估算法",X43="算法类",X43="无法识别"),"",IF(W43="",IF(OR(I43="ILF",I43="EIF"),0,""),LEN(W43)-LEN(SUBSTITUTE(W43,"、",""))+1))</f>
        <v/>
      </c>
      <c r="N43" s="83">
        <f>IF(OR(X43="估算法",X43="算法类",X43="无法识别"),"",IF(X43="",IF(OR(I43="ILF",I43="EIF",I43="EI",I43="EO",I43="EQ"),0,""),LEN(X43)-LEN(SUBSTITUTE(SUBSTITUTE(SUBSTITUTE(SUBSTITUTE(SUBSTITUTE(X43,"|}","--"),"{|","--"),CHAR(10),""),"、",""),"|",""))+IF(AND(OR(I43="EI",I43="EO",I43="EQ"),$AD$1="NESMA"),2,1)))</f>
        <v/>
      </c>
      <c r="O43" s="84">
        <f>IF(I43="EI",IF(OR(X43="估算法",X43="算法类"),"中",IF(X43="无法识别","低",IF(L43&lt;2,IF(N43&lt;16,"低","中"),IF(L43&lt;3,IF(N43&lt;5,"低",IF(N43&lt;16,"中","高")),IF(N43&lt;5,"中","高"))))),IF(OR(I43="EO",I43="EQ"),IF(OR(X43="估算法",X43="算法类"),"中",IF(X43="无法识别","低",IF(L43&lt;2,IF(N43&lt;20,"低","中"),IF(L43&lt;4,IF(N43&lt;6,"低",IF(N43&lt;20,"中","高")),IF(N43&lt;6,"中","高"))))),IF(OR(I43="ILF",I43="EIF"),IF(OR(X43="估算法",X43="算法类",X43="无法识别"),"低",IF(M43&lt;2,IF(N43&lt;51,"低","中"),IF(M43&lt;6,IF(N43&lt;20,"低",IF(N43&lt;51,"中","高")),IF(N43&lt;20,"中","高")))),"不计算")))</f>
        <v/>
      </c>
      <c r="P43" s="142">
        <f>IFERROR(IF(I43="EI",IF(O43="低",3,IF(O43="中",4,6)),IF(I43="EO",IF(O43="低",4,IF(O43="中",5,7)),IF(I43="EQ",IF(O43="低",3,IF(O43="中",4,6)),IF(I43="ILF",IF(O43="低",7,IF(O43="中",10,15)),IF(I43="EIF",IF(O43="低",5,IF(O43="中",7,10)),"不计算")))))*Q43,"不计算")</f>
        <v/>
      </c>
      <c r="Q43" s="142" t="n">
        <v>1</v>
      </c>
      <c r="R43" s="143">
        <f>调整因子!$F$13</f>
        <v/>
      </c>
      <c r="S43" s="70" t="n">
        <v>1</v>
      </c>
      <c r="T43" s="144">
        <f>IFERROR(P43*R43,0)</f>
        <v/>
      </c>
      <c r="U43" s="144">
        <f>T43*S43</f>
        <v/>
      </c>
      <c r="V43" s="88" t="inlineStr">
        <is>
          <t>资产组件操作日志表,CPE标准库表,整理VEX文档索引表</t>
        </is>
      </c>
      <c r="W43" s="89" t="n"/>
      <c r="X43" s="88" t="inlineStr">
        <is>
          <t>资产指纹信息表
{指纹ID、指纹名称、匹配规则、适用协议、厂商、产品、版本、CPE名称、创建时间、状态},CPE标准库表
{CPE ID、CPE URI、厂商、产品名称、版本、CPE类型、语言、平台、收录时间、状态},VEX文档索引表
{文档ID、文档名称、CISA编号、文档类型、适用产品、适用版本、状态说明、处理建议、发布时间、整理时间、状态}</t>
        </is>
      </c>
      <c r="Y43" s="88" t="n"/>
      <c r="Z43" s="88" t="n"/>
      <c r="AA43" s="88" t="inlineStr">
        <is>
          <t>资产类型对齐规则表</t>
        </is>
      </c>
    </row>
    <row r="44" hidden="1" ht="54" customFormat="1" customHeight="1" s="63">
      <c r="A44" s="69">
        <f>ROW()-1</f>
        <v/>
      </c>
      <c r="B44" s="53" t="n"/>
      <c r="C44" s="78" t="n">
        <v>2025</v>
      </c>
      <c r="D44" s="78" t="inlineStr">
        <is>
          <t>蔡云飞</t>
        </is>
      </c>
      <c r="E44" s="53" t="n"/>
      <c r="F44" s="53" t="n"/>
      <c r="G44" s="79" t="inlineStr">
        <is>
          <t>风险资产组件评分</t>
        </is>
      </c>
      <c r="H44" s="80" t="inlineStr">
        <is>
          <t>风险资产组件评分计算</t>
        </is>
      </c>
      <c r="I44" s="76" t="n"/>
      <c r="J44" s="108" t="n"/>
      <c r="K44" s="108" t="inlineStr">
        <is>
          <t>和下行合并，相同数据输入输出</t>
        </is>
      </c>
      <c r="L44" s="83">
        <f>IF(OR(X44="估算法",X44="算法类",X44="无法识别"),"",IF(V44="",IF(OR(I44="EI",I44="EO",I44="EQ"),0,""),LEN(V44)-LEN(SUBSTITUTE(V44,"、",""))+1))</f>
        <v/>
      </c>
      <c r="M44" s="83">
        <f>IF(OR(X44="估算法",X44="算法类",X44="无法识别"),"",IF(W44="",IF(OR(I44="ILF",I44="EIF"),0,""),LEN(W44)-LEN(SUBSTITUTE(W44,"、",""))+1))</f>
        <v/>
      </c>
      <c r="N44" s="83">
        <f>IF(OR(X44="估算法",X44="算法类",X44="无法识别"),"",IF(X44="",IF(OR(I44="ILF",I44="EIF",I44="EI",I44="EO",I44="EQ"),0,""),LEN(X44)-LEN(SUBSTITUTE(SUBSTITUTE(SUBSTITUTE(SUBSTITUTE(SUBSTITUTE(X44,"|}","--"),"{|","--"),CHAR(10),""),"、",""),"|",""))+IF(AND(OR(I44="EI",I44="EO",I44="EQ"),$AD$1="NESMA"),2,1)))</f>
        <v/>
      </c>
      <c r="O44" s="84">
        <f>IF(I44="EI",IF(OR(X44="估算法",X44="算法类"),"中",IF(X44="无法识别","低",IF(L44&lt;2,IF(N44&lt;16,"低","中"),IF(L44&lt;3,IF(N44&lt;5,"低",IF(N44&lt;16,"中","高")),IF(N44&lt;5,"中","高"))))),IF(OR(I44="EO",I44="EQ"),IF(OR(X44="估算法",X44="算法类"),"中",IF(X44="无法识别","低",IF(L44&lt;2,IF(N44&lt;20,"低","中"),IF(L44&lt;4,IF(N44&lt;6,"低",IF(N44&lt;20,"中","高")),IF(N44&lt;6,"中","高"))))),IF(OR(I44="ILF",I44="EIF"),IF(OR(X44="估算法",X44="算法类",X44="无法识别"),"低",IF(M44&lt;2,IF(N44&lt;51,"低","中"),IF(M44&lt;6,IF(N44&lt;20,"低",IF(N44&lt;51,"中","高")),IF(N44&lt;20,"中","高")))),"不计算")))</f>
        <v/>
      </c>
      <c r="P44" s="142">
        <f>IFERROR(IF(I44="EI",IF(O44="低",3,IF(O44="中",4,6)),IF(I44="EO",IF(O44="低",4,IF(O44="中",5,7)),IF(I44="EQ",IF(O44="低",3,IF(O44="中",4,6)),IF(I44="ILF",IF(O44="低",7,IF(O44="中",10,15)),IF(I44="EIF",IF(O44="低",5,IF(O44="中",7,10)),"不计算")))))*Q44,"不计算")</f>
        <v/>
      </c>
      <c r="Q44" s="142" t="n">
        <v>1</v>
      </c>
      <c r="R44" s="143">
        <f>调整因子!$F$13</f>
        <v/>
      </c>
      <c r="S44" s="76" t="n">
        <v>1</v>
      </c>
      <c r="T44" s="144">
        <f>IFERROR(P44*R44,0)</f>
        <v/>
      </c>
      <c r="U44" s="144">
        <f>T44*S44</f>
        <v/>
      </c>
      <c r="V44" s="88" t="inlineStr">
        <is>
          <t>风险资产组件评分表</t>
        </is>
      </c>
      <c r="W44" s="89" t="n"/>
      <c r="X44" s="88" t="inlineStr">
        <is>
          <t>风险资产组件评分表
{评分ID、资产ID、资产名称、资产IP、组件名称、组件版本、组件类型、CPE名称、所属系统、关联漏洞数、评分值、评分等级、评分方法、评分来源、评分维度、评分时间、评分人、状态、备注、创建时间
}</t>
        </is>
      </c>
      <c r="Y44" s="88" t="n"/>
      <c r="Z44" s="88" t="n"/>
      <c r="AA44" s="88" t="inlineStr">
        <is>
          <t>资产类型对齐规则表</t>
        </is>
      </c>
    </row>
    <row r="45" hidden="1" ht="54" customFormat="1" customHeight="1" s="63">
      <c r="A45" s="69">
        <f>ROW()-1</f>
        <v/>
      </c>
      <c r="B45" s="53" t="n"/>
      <c r="C45" s="78" t="n">
        <v>2025</v>
      </c>
      <c r="D45" s="78" t="inlineStr">
        <is>
          <t>蔡云飞</t>
        </is>
      </c>
      <c r="E45" s="53" t="n"/>
      <c r="F45" s="53" t="n"/>
      <c r="G45" s="53" t="n"/>
      <c r="H45" s="80" t="inlineStr">
        <is>
          <t>风险资产组件评分手动调整</t>
        </is>
      </c>
      <c r="I45" s="76" t="n"/>
      <c r="J45" s="108" t="n"/>
      <c r="K45" s="108" t="inlineStr">
        <is>
          <t>和下行合并，相同数据输入输出</t>
        </is>
      </c>
      <c r="L45" s="83">
        <f>IF(OR(X45="估算法",X45="算法类",X45="无法识别"),"",IF(V45="",IF(OR(I45="EI",I45="EO",I45="EQ"),0,""),LEN(V45)-LEN(SUBSTITUTE(V45,"、",""))+1))</f>
        <v/>
      </c>
      <c r="M45" s="83">
        <f>IF(OR(X45="估算法",X45="算法类",X45="无法识别"),"",IF(W45="",IF(OR(I45="ILF",I45="EIF"),0,""),LEN(W45)-LEN(SUBSTITUTE(W45,"、",""))+1))</f>
        <v/>
      </c>
      <c r="N45" s="83">
        <f>IF(OR(X45="估算法",X45="算法类",X45="无法识别"),"",IF(X45="",IF(OR(I45="ILF",I45="EIF",I45="EI",I45="EO",I45="EQ"),0,""),LEN(X45)-LEN(SUBSTITUTE(SUBSTITUTE(SUBSTITUTE(SUBSTITUTE(SUBSTITUTE(X45,"|}","--"),"{|","--"),CHAR(10),""),"、",""),"|",""))+IF(AND(OR(I45="EI",I45="EO",I45="EQ"),$AD$1="NESMA"),2,1)))</f>
        <v/>
      </c>
      <c r="O45" s="84">
        <f>IF(I45="EI",IF(OR(X45="估算法",X45="算法类"),"中",IF(X45="无法识别","低",IF(L45&lt;2,IF(N45&lt;16,"低","中"),IF(L45&lt;3,IF(N45&lt;5,"低",IF(N45&lt;16,"中","高")),IF(N45&lt;5,"中","高"))))),IF(OR(I45="EO",I45="EQ"),IF(OR(X45="估算法",X45="算法类"),"中",IF(X45="无法识别","低",IF(L45&lt;2,IF(N45&lt;20,"低","中"),IF(L45&lt;4,IF(N45&lt;6,"低",IF(N45&lt;20,"中","高")),IF(N45&lt;6,"中","高"))))),IF(OR(I45="ILF",I45="EIF"),IF(OR(X45="估算法",X45="算法类",X45="无法识别"),"低",IF(M45&lt;2,IF(N45&lt;51,"低","中"),IF(M45&lt;6,IF(N45&lt;20,"低",IF(N45&lt;51,"中","高")),IF(N45&lt;20,"中","高")))),"不计算")))</f>
        <v/>
      </c>
      <c r="P45" s="142">
        <f>IFERROR(IF(I45="EI",IF(O45="低",3,IF(O45="中",4,6)),IF(I45="EO",IF(O45="低",4,IF(O45="中",5,7)),IF(I45="EQ",IF(O45="低",3,IF(O45="中",4,6)),IF(I45="ILF",IF(O45="低",7,IF(O45="中",10,15)),IF(I45="EIF",IF(O45="低",5,IF(O45="中",7,10)),"不计算")))))*Q45,"不计算")</f>
        <v/>
      </c>
      <c r="Q45" s="142" t="n">
        <v>1</v>
      </c>
      <c r="R45" s="143">
        <f>调整因子!$F$13</f>
        <v/>
      </c>
      <c r="S45" s="70" t="n">
        <v>1</v>
      </c>
      <c r="T45" s="144">
        <f>IFERROR(P45*R45,0)</f>
        <v/>
      </c>
      <c r="U45" s="144">
        <f>T45*S45</f>
        <v/>
      </c>
      <c r="V45" s="88" t="inlineStr">
        <is>
          <t>风险资产组件评分表</t>
        </is>
      </c>
      <c r="W45" s="89" t="n"/>
      <c r="X45" s="88" t="inlineStr">
        <is>
          <t>风险资产组件评分表
{评分ID、资产ID、资产名称、资产IP、组件名称、组件版本、组件类型、CPE名称、所属系统、关联漏洞数、评分值、评分等级、评分方法、评分来源、评分维度、评分时间、评分人、状态、备注、创建时间
}</t>
        </is>
      </c>
      <c r="Y45" s="88" t="n"/>
      <c r="Z45" s="88" t="n"/>
      <c r="AA45" s="88" t="inlineStr">
        <is>
          <t>同源纠偏任务表</t>
        </is>
      </c>
    </row>
    <row r="46" hidden="1" ht="54" customFormat="1" customHeight="1" s="63">
      <c r="A46" s="69">
        <f>ROW()-1</f>
        <v/>
      </c>
      <c r="B46" s="53" t="n"/>
      <c r="C46" s="78" t="n">
        <v>2025</v>
      </c>
      <c r="D46" s="78" t="inlineStr">
        <is>
          <t>蔡云飞</t>
        </is>
      </c>
      <c r="E46" s="53" t="n"/>
      <c r="F46" s="53" t="n"/>
      <c r="G46" s="53" t="n"/>
      <c r="H46" s="80" t="inlineStr">
        <is>
          <t>风险资产组件评分规则配置</t>
        </is>
      </c>
      <c r="I46" s="76" t="inlineStr">
        <is>
          <t>EI</t>
        </is>
      </c>
      <c r="J46" s="108" t="n"/>
      <c r="K46" s="108" t="n"/>
      <c r="L46" s="83">
        <f>IF(OR(X46="估算法",X46="算法类",X46="无法识别"),"",IF(V46="",IF(OR(I46="EI",I46="EO",I46="EQ"),0,""),LEN(V46)-LEN(SUBSTITUTE(V46,"、",""))+1))</f>
        <v/>
      </c>
      <c r="M46" s="83">
        <f>IF(OR(X46="估算法",X46="算法类",X46="无法识别"),"",IF(W46="",IF(OR(I46="ILF",I46="EIF"),0,""),LEN(W46)-LEN(SUBSTITUTE(W46,"、",""))+1))</f>
        <v/>
      </c>
      <c r="N46" s="83">
        <f>IF(OR(X46="估算法",X46="算法类",X46="无法识别"),"",IF(X46="",IF(OR(I46="ILF",I46="EIF",I46="EI",I46="EO",I46="EQ"),0,""),LEN(X46)-LEN(SUBSTITUTE(SUBSTITUTE(SUBSTITUTE(SUBSTITUTE(SUBSTITUTE(X46,"|}","--"),"{|","--"),CHAR(10),""),"、",""),"|",""))+IF(AND(OR(I46="EI",I46="EO",I46="EQ"),$AD$1="NESMA"),2,1)))</f>
        <v/>
      </c>
      <c r="O46" s="84">
        <f>IF(I46="EI",IF(OR(X46="估算法",X46="算法类"),"中",IF(X46="无法识别","低",IF(L46&lt;2,IF(N46&lt;16,"低","中"),IF(L46&lt;3,IF(N46&lt;5,"低",IF(N46&lt;16,"中","高")),IF(N46&lt;5,"中","高"))))),IF(OR(I46="EO",I46="EQ"),IF(OR(X46="估算法",X46="算法类"),"中",IF(X46="无法识别","低",IF(L46&lt;2,IF(N46&lt;20,"低","中"),IF(L46&lt;4,IF(N46&lt;6,"低",IF(N46&lt;20,"中","高")),IF(N46&lt;6,"中","高"))))),IF(OR(I46="ILF",I46="EIF"),IF(OR(X46="估算法",X46="算法类",X46="无法识别"),"低",IF(M46&lt;2,IF(N46&lt;51,"低","中"),IF(M46&lt;6,IF(N46&lt;20,"低",IF(N46&lt;51,"中","高")),IF(N46&lt;20,"中","高")))),"不计算")))</f>
        <v/>
      </c>
      <c r="P46" s="142">
        <f>IFERROR(IF(I46="EI",IF(O46="低",3,IF(O46="中",4,6)),IF(I46="EO",IF(O46="低",4,IF(O46="中",5,7)),IF(I46="EQ",IF(O46="低",3,IF(O46="中",4,6)),IF(I46="ILF",IF(O46="低",7,IF(O46="中",10,15)),IF(I46="EIF",IF(O46="低",5,IF(O46="中",7,10)),"不计算")))))*Q46,"不计算")</f>
        <v/>
      </c>
      <c r="Q46" s="142" t="n">
        <v>1</v>
      </c>
      <c r="R46" s="143">
        <f>调整因子!$F$13</f>
        <v/>
      </c>
      <c r="S46" s="70" t="n">
        <v>1</v>
      </c>
      <c r="T46" s="144">
        <f>IFERROR(P46*R46,0)</f>
        <v/>
      </c>
      <c r="U46" s="144">
        <f>T46*S46</f>
        <v/>
      </c>
      <c r="V46" s="88" t="inlineStr">
        <is>
          <t>风险资产组件评分表</t>
        </is>
      </c>
      <c r="W46" s="89" t="n"/>
      <c r="X46" s="88" t="inlineStr">
        <is>
          <t>风险资产组件评分表
{评分ID、资产ID、资产名称、资产IP、组件名称、组件版本、组件类型、CPE名称、所属系统、关联漏洞数、评分值、评分等级、评分方法、评分来源、评分维度、评分时间、评分人、状态、备注、创建时间
}</t>
        </is>
      </c>
      <c r="Y46" s="88" t="n"/>
      <c r="Z46" s="88" t="n"/>
      <c r="AA46" s="88" t="inlineStr">
        <is>
          <t>同源纠偏任务表、纠偏结果表</t>
        </is>
      </c>
    </row>
    <row r="47" hidden="1" ht="32.4" customFormat="1" customHeight="1" s="63">
      <c r="A47" s="69">
        <f>ROW()-1</f>
        <v/>
      </c>
      <c r="B47" s="53" t="n"/>
      <c r="C47" s="78" t="n">
        <v>2025</v>
      </c>
      <c r="D47" s="78" t="inlineStr">
        <is>
          <t>蔡云飞</t>
        </is>
      </c>
      <c r="E47" s="53" t="n"/>
      <c r="F47" s="53" t="n"/>
      <c r="G47" s="53" t="n"/>
      <c r="H47" s="89" t="inlineStr">
        <is>
          <t>风险资产组件评分表</t>
        </is>
      </c>
      <c r="I47" s="76" t="n"/>
      <c r="J47" s="108" t="n"/>
      <c r="K47" s="108" t="inlineStr">
        <is>
          <t>衍生/计算结果表</t>
        </is>
      </c>
      <c r="L47" s="83">
        <f>IF(OR(X47="估算法",X47="算法类",X47="无法识别"),"",IF(V47="",IF(OR(I47="EI",I47="EO",I47="EQ"),0,""),LEN(V47)-LEN(SUBSTITUTE(V47,"、",""))+1))</f>
        <v/>
      </c>
      <c r="M47" s="83">
        <f>IF(OR(X47="估算法",X47="算法类",X47="无法识别"),"",IF(W47="",IF(OR(I47="ILF",I47="EIF"),0,""),LEN(W47)-LEN(SUBSTITUTE(W47,"、",""))+1))</f>
        <v/>
      </c>
      <c r="N47" s="83">
        <f>IF(OR(X47="估算法",X47="算法类",X47="无法识别"),"",IF(X47="",IF(OR(I47="ILF",I47="EIF",I47="EI",I47="EO",I47="EQ"),0,""),LEN(X47)-LEN(SUBSTITUTE(SUBSTITUTE(SUBSTITUTE(SUBSTITUTE(SUBSTITUTE(X47,"|}","--"),"{|","--"),CHAR(10),""),"、",""),"|",""))+IF(AND(OR(I47="EI",I47="EO",I47="EQ"),$AD$1="NESMA"),2,1)))</f>
        <v/>
      </c>
      <c r="O47" s="84">
        <f>IF(I47="EI",IF(OR(X47="估算法",X47="算法类"),"中",IF(X47="无法识别","低",IF(L47&lt;2,IF(N47&lt;16,"低","中"),IF(L47&lt;3,IF(N47&lt;5,"低",IF(N47&lt;16,"中","高")),IF(N47&lt;5,"中","高"))))),IF(OR(I47="EO",I47="EQ"),IF(OR(X47="估算法",X47="算法类"),"中",IF(X47="无法识别","低",IF(L47&lt;2,IF(N47&lt;20,"低","中"),IF(L47&lt;4,IF(N47&lt;6,"低",IF(N47&lt;20,"中","高")),IF(N47&lt;6,"中","高"))))),IF(OR(I47="ILF",I47="EIF"),IF(OR(X47="估算法",X47="算法类",X47="无法识别"),"低",IF(M47&lt;2,IF(N47&lt;51,"低","中"),IF(M47&lt;6,IF(N47&lt;20,"低",IF(N47&lt;51,"中","高")),IF(N47&lt;20,"中","高")))),"不计算")))</f>
        <v/>
      </c>
      <c r="P47" s="142">
        <f>IFERROR(IF(I47="EI",IF(O47="低",3,IF(O47="中",4,6)),IF(I47="EO",IF(O47="低",4,IF(O47="中",5,7)),IF(I47="EQ",IF(O47="低",3,IF(O47="中",4,6)),IF(I47="ILF",IF(O47="低",7,IF(O47="中",10,15)),IF(I47="EIF",IF(O47="低",5,IF(O47="中",7,10)),"不计算")))))*Q47,"不计算")</f>
        <v/>
      </c>
      <c r="Q47" s="142" t="n">
        <v>1</v>
      </c>
      <c r="R47" s="143">
        <f>调整因子!$F$13</f>
        <v/>
      </c>
      <c r="S47" s="76" t="n">
        <v>1</v>
      </c>
      <c r="T47" s="144">
        <f>IFERROR(P47*R47,0)</f>
        <v/>
      </c>
      <c r="U47" s="144">
        <f>T47*S47</f>
        <v/>
      </c>
      <c r="V47" s="89" t="n"/>
      <c r="W47" s="88" t="inlineStr">
        <is>
          <t>风险资产组件评分表</t>
        </is>
      </c>
      <c r="X47" s="88" t="inlineStr">
        <is>
          <t>风险资产组件评分表
{评分ID、资产ID、组件名称、组件版本、CPE名称、评分值、评分等级、评分时间、评分来源、状态、备注}</t>
        </is>
      </c>
      <c r="Y47" s="88">
        <f>IF(COUNTIFS(V:V,"*"&amp;H47&amp;"*")&gt;0,"存在","不存在")</f>
        <v/>
      </c>
      <c r="Z47" s="88">
        <f>IF(COUNTIFS(AA:AA,"*"&amp;H47&amp;"*")&gt;0,"存在","不存在")</f>
        <v/>
      </c>
      <c r="AA47" s="88" t="inlineStr">
        <is>
          <t>漏洞指纹同步接口文件、漏洞指纹启动或停止记录表</t>
        </is>
      </c>
    </row>
    <row r="48" hidden="1" ht="32.4" customFormat="1" customHeight="1" s="63">
      <c r="A48" s="69">
        <f>ROW()-1</f>
        <v/>
      </c>
      <c r="B48" s="53" t="n"/>
      <c r="C48" s="78" t="n">
        <v>2025</v>
      </c>
      <c r="D48" s="78" t="inlineStr">
        <is>
          <t>蔡云飞</t>
        </is>
      </c>
      <c r="E48" s="53" t="n"/>
      <c r="F48" s="53" t="n"/>
      <c r="G48" s="53" t="n"/>
      <c r="H48" s="89" t="inlineStr">
        <is>
          <t>风险资产组件评分调整记录表</t>
        </is>
      </c>
      <c r="I48" s="76" t="n"/>
      <c r="J48" s="108" t="n"/>
      <c r="K48" s="108" t="inlineStr">
        <is>
          <t>数据库表未被本系统所使用</t>
        </is>
      </c>
      <c r="L48" s="83">
        <f>IF(OR(X48="估算法",X48="算法类",X48="无法识别"),"",IF(V48="",IF(OR(I48="EI",I48="EO",I48="EQ"),0,""),LEN(V48)-LEN(SUBSTITUTE(V48,"、",""))+1))</f>
        <v/>
      </c>
      <c r="M48" s="83">
        <f>IF(OR(X48="估算法",X48="算法类",X48="无法识别"),"",IF(W48="",IF(OR(I48="ILF",I48="EIF"),0,""),LEN(W48)-LEN(SUBSTITUTE(W48,"、",""))+1))</f>
        <v/>
      </c>
      <c r="N48" s="83">
        <f>IF(OR(X48="估算法",X48="算法类",X48="无法识别"),"",IF(X48="",IF(OR(I48="ILF",I48="EIF",I48="EI",I48="EO",I48="EQ"),0,""),LEN(X48)-LEN(SUBSTITUTE(SUBSTITUTE(SUBSTITUTE(SUBSTITUTE(SUBSTITUTE(X48,"|}","--"),"{|","--"),CHAR(10),""),"、",""),"|",""))+IF(AND(OR(I48="EI",I48="EO",I48="EQ"),$AD$1="NESMA"),2,1)))</f>
        <v/>
      </c>
      <c r="O48" s="84">
        <f>IF(I48="EI",IF(OR(X48="估算法",X48="算法类"),"中",IF(X48="无法识别","低",IF(L48&lt;2,IF(N48&lt;16,"低","中"),IF(L48&lt;3,IF(N48&lt;5,"低",IF(N48&lt;16,"中","高")),IF(N48&lt;5,"中","高"))))),IF(OR(I48="EO",I48="EQ"),IF(OR(X48="估算法",X48="算法类"),"中",IF(X48="无法识别","低",IF(L48&lt;2,IF(N48&lt;20,"低","中"),IF(L48&lt;4,IF(N48&lt;6,"低",IF(N48&lt;20,"中","高")),IF(N48&lt;6,"中","高"))))),IF(OR(I48="ILF",I48="EIF"),IF(OR(X48="估算法",X48="算法类",X48="无法识别"),"低",IF(M48&lt;2,IF(N48&lt;51,"低","中"),IF(M48&lt;6,IF(N48&lt;20,"低",IF(N48&lt;51,"中","高")),IF(N48&lt;20,"中","高")))),"不计算")))</f>
        <v/>
      </c>
      <c r="P48" s="142">
        <f>IFERROR(IF(I48="EI",IF(O48="低",3,IF(O48="中",4,6)),IF(I48="EO",IF(O48="低",4,IF(O48="中",5,7)),IF(I48="EQ",IF(O48="低",3,IF(O48="中",4,6)),IF(I48="ILF",IF(O48="低",7,IF(O48="中",10,15)),IF(I48="EIF",IF(O48="低",5,IF(O48="中",7,10)),"不计算")))))*Q48,"不计算")</f>
        <v/>
      </c>
      <c r="Q48" s="142" t="n">
        <v>1</v>
      </c>
      <c r="R48" s="143">
        <f>调整因子!$F$13</f>
        <v/>
      </c>
      <c r="S48" s="70" t="n">
        <v>1</v>
      </c>
      <c r="T48" s="144">
        <f>IFERROR(P48*R48,0)</f>
        <v/>
      </c>
      <c r="U48" s="144">
        <f>T48*S48</f>
        <v/>
      </c>
      <c r="V48" s="89" t="n"/>
      <c r="W48" s="88" t="inlineStr">
        <is>
          <t>风险资产组件评分调整记录表</t>
        </is>
      </c>
      <c r="X48" s="88" t="inlineStr">
        <is>
          <t>风险资产组件评分调整记录表
{调整ID、评分ID、资产ID、调整前评分、调整后评分、调整人、调整时间、调整原因、备注}</t>
        </is>
      </c>
      <c r="Y48" s="88">
        <f>IF(COUNTIFS(V:V,"*"&amp;H48&amp;"*")&gt;0,"存在","不存在")</f>
        <v/>
      </c>
      <c r="Z48" s="88">
        <f>IF(COUNTIFS(AA:AA,"*"&amp;H48&amp;"*")&gt;0,"存在","不存在")</f>
        <v/>
      </c>
      <c r="AA48" s="88" t="inlineStr">
        <is>
          <t>漏洞指纹同步配置表、漏洞指纹同步类型表</t>
        </is>
      </c>
    </row>
    <row r="49" hidden="1" ht="32.4" customFormat="1" customHeight="1" s="63">
      <c r="A49" s="69">
        <f>ROW()-1</f>
        <v/>
      </c>
      <c r="B49" s="53" t="n"/>
      <c r="C49" s="78" t="n">
        <v>2025</v>
      </c>
      <c r="D49" s="78" t="inlineStr">
        <is>
          <t>蔡云飞</t>
        </is>
      </c>
      <c r="E49" s="53" t="n"/>
      <c r="F49" s="54" t="n"/>
      <c r="G49" s="54" t="n"/>
      <c r="H49" s="89" t="inlineStr">
        <is>
          <t>风险资产组件评分规则表</t>
        </is>
      </c>
      <c r="I49" s="76" t="n"/>
      <c r="J49" s="108" t="n"/>
      <c r="K49" s="108" t="inlineStr">
        <is>
          <t>数据库表未被本系统所使用</t>
        </is>
      </c>
      <c r="L49" s="83">
        <f>IF(OR(X49="估算法",X49="算法类",X49="无法识别"),"",IF(V49="",IF(OR(I49="EI",I49="EO",I49="EQ"),0,""),LEN(V49)-LEN(SUBSTITUTE(V49,"、",""))+1))</f>
        <v/>
      </c>
      <c r="M49" s="83">
        <f>IF(OR(X49="估算法",X49="算法类",X49="无法识别"),"",IF(W49="",IF(OR(I49="ILF",I49="EIF"),0,""),LEN(W49)-LEN(SUBSTITUTE(W49,"、",""))+1))</f>
        <v/>
      </c>
      <c r="N49" s="83">
        <f>IF(OR(X49="估算法",X49="算法类",X49="无法识别"),"",IF(X49="",IF(OR(I49="ILF",I49="EIF",I49="EI",I49="EO",I49="EQ"),0,""),LEN(X49)-LEN(SUBSTITUTE(SUBSTITUTE(SUBSTITUTE(SUBSTITUTE(SUBSTITUTE(X49,"|}","--"),"{|","--"),CHAR(10),""),"、",""),"|",""))+IF(AND(OR(I49="EI",I49="EO",I49="EQ"),$AD$1="NESMA"),2,1)))</f>
        <v/>
      </c>
      <c r="O49" s="84">
        <f>IF(I49="EI",IF(OR(X49="估算法",X49="算法类"),"中",IF(X49="无法识别","低",IF(L49&lt;2,IF(N49&lt;16,"低","中"),IF(L49&lt;3,IF(N49&lt;5,"低",IF(N49&lt;16,"中","高")),IF(N49&lt;5,"中","高"))))),IF(OR(I49="EO",I49="EQ"),IF(OR(X49="估算法",X49="算法类"),"中",IF(X49="无法识别","低",IF(L49&lt;2,IF(N49&lt;20,"低","中"),IF(L49&lt;4,IF(N49&lt;6,"低",IF(N49&lt;20,"中","高")),IF(N49&lt;6,"中","高"))))),IF(OR(I49="ILF",I49="EIF"),IF(OR(X49="估算法",X49="算法类",X49="无法识别"),"低",IF(M49&lt;2,IF(N49&lt;51,"低","中"),IF(M49&lt;6,IF(N49&lt;20,"低",IF(N49&lt;51,"中","高")),IF(N49&lt;20,"中","高")))),"不计算")))</f>
        <v/>
      </c>
      <c r="P49" s="142">
        <f>IFERROR(IF(I49="EI",IF(O49="低",3,IF(O49="中",4,6)),IF(I49="EO",IF(O49="低",4,IF(O49="中",5,7)),IF(I49="EQ",IF(O49="低",3,IF(O49="中",4,6)),IF(I49="ILF",IF(O49="低",7,IF(O49="中",10,15)),IF(I49="EIF",IF(O49="低",5,IF(O49="中",7,10)),"不计算")))))*Q49,"不计算")</f>
        <v/>
      </c>
      <c r="Q49" s="142" t="n">
        <v>1</v>
      </c>
      <c r="R49" s="143">
        <f>调整因子!$F$13</f>
        <v/>
      </c>
      <c r="S49" s="70" t="n">
        <v>1</v>
      </c>
      <c r="T49" s="144">
        <f>IFERROR(P49*R49,0)</f>
        <v/>
      </c>
      <c r="U49" s="144">
        <f>T49*S49</f>
        <v/>
      </c>
      <c r="V49" s="89" t="n"/>
      <c r="W49" s="88" t="inlineStr">
        <is>
          <t>风险资产组件评分规则表</t>
        </is>
      </c>
      <c r="X49" s="88" t="inlineStr">
        <is>
          <t>风险资产组件评分规则表
{规则ID、规则名称、适用范围、计算因子、权重配置、评分算法类型、启用状态、创建人、创建时间、备注}</t>
        </is>
      </c>
      <c r="Y49" s="88">
        <f>IF(COUNTIFS(V:V,"*"&amp;H49&amp;"*")&gt;0,"存在","不存在")</f>
        <v/>
      </c>
      <c r="Z49" s="88">
        <f>IF(COUNTIFS(AA:AA,"*"&amp;H49&amp;"*")&gt;0,"存在","不存在")</f>
        <v/>
      </c>
      <c r="AA49" s="88" t="inlineStr">
        <is>
          <t>漏洞指纹启动或停止记录表</t>
        </is>
      </c>
    </row>
    <row r="50" hidden="1" ht="97.2" customFormat="1" customHeight="1" s="63">
      <c r="A50" s="69">
        <f>ROW()-1</f>
        <v/>
      </c>
      <c r="B50" s="53" t="n"/>
      <c r="C50" s="78" t="n">
        <v>2025</v>
      </c>
      <c r="D50" s="78" t="inlineStr">
        <is>
          <t>仲光华</t>
        </is>
      </c>
      <c r="E50" s="53" t="n"/>
      <c r="F50" s="76" t="inlineStr">
        <is>
          <t>弱口令字典库管理</t>
        </is>
      </c>
      <c r="G50" s="79" t="inlineStr">
        <is>
          <t>口令字典接收与同步</t>
        </is>
      </c>
      <c r="H50" s="80" t="inlineStr">
        <is>
          <t>接收口令字典</t>
        </is>
      </c>
      <c r="I50" s="76" t="n"/>
      <c r="J50" s="108" t="n"/>
      <c r="K50" s="108" t="inlineStr">
        <is>
          <t>和下行合并，相同数据输入输出</t>
        </is>
      </c>
      <c r="L50" s="83">
        <f>IF(OR(X50="估算法",X50="算法类",X50="无法识别"),"",IF(V50="",IF(OR(I50="EI",I50="EO",I50="EQ"),0,""),LEN(V50)-LEN(SUBSTITUTE(V50,"、",""))+1))</f>
        <v/>
      </c>
      <c r="M50" s="83">
        <f>IF(OR(X50="估算法",X50="算法类",X50="无法识别"),"",IF(W50="",IF(OR(I50="ILF",I50="EIF"),0,""),LEN(W50)-LEN(SUBSTITUTE(W50,"、",""))+1))</f>
        <v/>
      </c>
      <c r="N50" s="83">
        <f>IF(OR(X50="估算法",X50="算法类",X50="无法识别"),"",IF(X50="",IF(OR(I50="ILF",I50="EIF",I50="EI",I50="EO",I50="EQ"),0,""),LEN(X50)-LEN(SUBSTITUTE(SUBSTITUTE(SUBSTITUTE(SUBSTITUTE(SUBSTITUTE(X50,"|}","--"),"{|","--"),CHAR(10),""),"、",""),"|",""))+IF(AND(OR(I50="EI",I50="EO",I50="EQ"),$AD$1="NESMA"),2,1)))</f>
        <v/>
      </c>
      <c r="O50" s="84">
        <f>IF(I50="EI",IF(OR(X50="估算法",X50="算法类"),"中",IF(X50="无法识别","低",IF(L50&lt;2,IF(N50&lt;16,"低","中"),IF(L50&lt;3,IF(N50&lt;5,"低",IF(N50&lt;16,"中","高")),IF(N50&lt;5,"中","高"))))),IF(OR(I50="EO",I50="EQ"),IF(OR(X50="估算法",X50="算法类"),"中",IF(X50="无法识别","低",IF(L50&lt;2,IF(N50&lt;20,"低","中"),IF(L50&lt;4,IF(N50&lt;6,"低",IF(N50&lt;20,"中","高")),IF(N50&lt;6,"中","高"))))),IF(OR(I50="ILF",I50="EIF"),IF(OR(X50="估算法",X50="算法类",X50="无法识别"),"低",IF(M50&lt;2,IF(N50&lt;51,"低","中"),IF(M50&lt;6,IF(N50&lt;20,"低",IF(N50&lt;51,"中","高")),IF(N50&lt;20,"中","高")))),"不计算")))</f>
        <v/>
      </c>
      <c r="P50" s="142">
        <f>IFERROR(IF(I50="EI",IF(O50="低",3,IF(O50="中",4,6)),IF(I50="EO",IF(O50="低",4,IF(O50="中",5,7)),IF(I50="EQ",IF(O50="低",3,IF(O50="中",4,6)),IF(I50="ILF",IF(O50="低",7,IF(O50="中",10,15)),IF(I50="EIF",IF(O50="低",5,IF(O50="中",7,10)),"不计算")))))*Q50,"不计算")</f>
        <v/>
      </c>
      <c r="Q50" s="142" t="n">
        <v>1</v>
      </c>
      <c r="R50" s="143">
        <f>调整因子!$F$13</f>
        <v/>
      </c>
      <c r="S50" s="76" t="n">
        <v>1</v>
      </c>
      <c r="T50" s="144">
        <f>IFERROR(P50*R50,0)</f>
        <v/>
      </c>
      <c r="U50" s="144">
        <f>T50*S50</f>
        <v/>
      </c>
      <c r="V50" s="88" t="inlineStr">
        <is>
          <t>弱账号管理表、弱密码管理表、弱口令组合管理表、口令字典同步明细记录表</t>
        </is>
      </c>
      <c r="W50" s="89" t="n"/>
      <c r="X50"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0" s="88" t="n"/>
      <c r="Z50" s="88" t="n"/>
      <c r="AA50" s="76" t="inlineStr">
        <is>
          <t>VEX 文档上传记录表</t>
        </is>
      </c>
    </row>
    <row r="51" hidden="1" ht="97.2" customFormat="1" customHeight="1" s="63">
      <c r="A51" s="69">
        <f>ROW()-1</f>
        <v/>
      </c>
      <c r="B51" s="53" t="n"/>
      <c r="C51" s="78" t="n">
        <v>2025</v>
      </c>
      <c r="D51" s="78" t="inlineStr">
        <is>
          <t>仲光华</t>
        </is>
      </c>
      <c r="E51" s="53" t="n"/>
      <c r="F51" s="53" t="n"/>
      <c r="G51" s="53" t="n"/>
      <c r="H51" s="80" t="inlineStr">
        <is>
          <t>同步口令字典</t>
        </is>
      </c>
      <c r="I51" s="76" t="n"/>
      <c r="J51" s="108" t="n"/>
      <c r="K51" s="108" t="inlineStr">
        <is>
          <t>和下行合并，相同数据输入输出</t>
        </is>
      </c>
      <c r="L51" s="83">
        <f>IF(OR(X51="估算法",X51="算法类",X51="无法识别"),"",IF(V51="",IF(OR(I51="EI",I51="EO",I51="EQ"),0,""),LEN(V51)-LEN(SUBSTITUTE(V51,"、",""))+1))</f>
        <v/>
      </c>
      <c r="M51" s="83">
        <f>IF(OR(X51="估算法",X51="算法类",X51="无法识别"),"",IF(W51="",IF(OR(I51="ILF",I51="EIF"),0,""),LEN(W51)-LEN(SUBSTITUTE(W51,"、",""))+1))</f>
        <v/>
      </c>
      <c r="N51" s="83">
        <f>IF(OR(X51="估算法",X51="算法类",X51="无法识别"),"",IF(X51="",IF(OR(I51="ILF",I51="EIF",I51="EI",I51="EO",I51="EQ"),0,""),LEN(X51)-LEN(SUBSTITUTE(SUBSTITUTE(SUBSTITUTE(SUBSTITUTE(SUBSTITUTE(X51,"|}","--"),"{|","--"),CHAR(10),""),"、",""),"|",""))+IF(AND(OR(I51="EI",I51="EO",I51="EQ"),$AD$1="NESMA"),2,1)))</f>
        <v/>
      </c>
      <c r="O51" s="84">
        <f>IF(I51="EI",IF(OR(X51="估算法",X51="算法类"),"中",IF(X51="无法识别","低",IF(L51&lt;2,IF(N51&lt;16,"低","中"),IF(L51&lt;3,IF(N51&lt;5,"低",IF(N51&lt;16,"中","高")),IF(N51&lt;5,"中","高"))))),IF(OR(I51="EO",I51="EQ"),IF(OR(X51="估算法",X51="算法类"),"中",IF(X51="无法识别","低",IF(L51&lt;2,IF(N51&lt;20,"低","中"),IF(L51&lt;4,IF(N51&lt;6,"低",IF(N51&lt;20,"中","高")),IF(N51&lt;6,"中","高"))))),IF(OR(I51="ILF",I51="EIF"),IF(OR(X51="估算法",X51="算法类",X51="无法识别"),"低",IF(M51&lt;2,IF(N51&lt;51,"低","中"),IF(M51&lt;6,IF(N51&lt;20,"低",IF(N51&lt;51,"中","高")),IF(N51&lt;20,"中","高")))),"不计算")))</f>
        <v/>
      </c>
      <c r="P51" s="142">
        <f>IFERROR(IF(I51="EI",IF(O51="低",3,IF(O51="中",4,6)),IF(I51="EO",IF(O51="低",4,IF(O51="中",5,7)),IF(I51="EQ",IF(O51="低",3,IF(O51="中",4,6)),IF(I51="ILF",IF(O51="低",7,IF(O51="中",10,15)),IF(I51="EIF",IF(O51="低",5,IF(O51="中",7,10)),"不计算")))))*Q51,"不计算")</f>
        <v/>
      </c>
      <c r="Q51" s="142" t="n">
        <v>1</v>
      </c>
      <c r="R51" s="143">
        <f>调整因子!$F$13</f>
        <v/>
      </c>
      <c r="S51" s="70" t="n">
        <v>1</v>
      </c>
      <c r="T51" s="144">
        <f>IFERROR(P51*R51,0)</f>
        <v/>
      </c>
      <c r="U51" s="144">
        <f>T51*S51</f>
        <v/>
      </c>
      <c r="V51" s="88" t="inlineStr">
        <is>
          <t>弱账号管理表、弱密码管理表、弱口令组合管理表、口令字典同步明细记录表</t>
        </is>
      </c>
      <c r="W51" s="89" t="n"/>
      <c r="X51"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1" s="88" t="n"/>
      <c r="Z51" s="88" t="n"/>
      <c r="AA51" s="76" t="inlineStr">
        <is>
          <t>VEX 文档接收记录表</t>
        </is>
      </c>
    </row>
    <row r="52" hidden="1" ht="97.2" customFormat="1" customHeight="1" s="63">
      <c r="A52" s="69">
        <f>ROW()-1</f>
        <v/>
      </c>
      <c r="B52" s="53" t="n"/>
      <c r="C52" s="78" t="n">
        <v>2025</v>
      </c>
      <c r="D52" s="78" t="inlineStr">
        <is>
          <t>仲光华</t>
        </is>
      </c>
      <c r="E52" s="53" t="n"/>
      <c r="F52" s="53" t="n"/>
      <c r="G52" s="53" t="n"/>
      <c r="H52" s="80" t="inlineStr">
        <is>
          <t>口令字典批量同步至扫描器</t>
        </is>
      </c>
      <c r="I52" s="76" t="inlineStr">
        <is>
          <t>EI</t>
        </is>
      </c>
      <c r="J52" s="108" t="n"/>
      <c r="K52" s="108" t="n"/>
      <c r="L52" s="83">
        <f>IF(OR(X52="估算法",X52="算法类",X52="无法识别"),"",IF(V52="",IF(OR(I52="EI",I52="EO",I52="EQ"),0,""),LEN(V52)-LEN(SUBSTITUTE(V52,"、",""))+1))</f>
        <v/>
      </c>
      <c r="M52" s="83">
        <f>IF(OR(X52="估算法",X52="算法类",X52="无法识别"),"",IF(W52="",IF(OR(I52="ILF",I52="EIF"),0,""),LEN(W52)-LEN(SUBSTITUTE(W52,"、",""))+1))</f>
        <v/>
      </c>
      <c r="N52" s="83">
        <f>IF(OR(X52="估算法",X52="算法类",X52="无法识别"),"",IF(X52="",IF(OR(I52="ILF",I52="EIF",I52="EI",I52="EO",I52="EQ"),0,""),LEN(X52)-LEN(SUBSTITUTE(SUBSTITUTE(SUBSTITUTE(SUBSTITUTE(SUBSTITUTE(X52,"|}","--"),"{|","--"),CHAR(10),""),"、",""),"|",""))+IF(AND(OR(I52="EI",I52="EO",I52="EQ"),$AD$1="NESMA"),2,1)))</f>
        <v/>
      </c>
      <c r="O52" s="84">
        <f>IF(I52="EI",IF(OR(X52="估算法",X52="算法类"),"中",IF(X52="无法识别","低",IF(L52&lt;2,IF(N52&lt;16,"低","中"),IF(L52&lt;3,IF(N52&lt;5,"低",IF(N52&lt;16,"中","高")),IF(N52&lt;5,"中","高"))))),IF(OR(I52="EO",I52="EQ"),IF(OR(X52="估算法",X52="算法类"),"中",IF(X52="无法识别","低",IF(L52&lt;2,IF(N52&lt;20,"低","中"),IF(L52&lt;4,IF(N52&lt;6,"低",IF(N52&lt;20,"中","高")),IF(N52&lt;6,"中","高"))))),IF(OR(I52="ILF",I52="EIF"),IF(OR(X52="估算法",X52="算法类",X52="无法识别"),"低",IF(M52&lt;2,IF(N52&lt;51,"低","中"),IF(M52&lt;6,IF(N52&lt;20,"低",IF(N52&lt;51,"中","高")),IF(N52&lt;20,"中","高")))),"不计算")))</f>
        <v/>
      </c>
      <c r="P52" s="142">
        <f>IFERROR(IF(I52="EI",IF(O52="低",3,IF(O52="中",4,6)),IF(I52="EO",IF(O52="低",4,IF(O52="中",5,7)),IF(I52="EQ",IF(O52="低",3,IF(O52="中",4,6)),IF(I52="ILF",IF(O52="低",7,IF(O52="中",10,15)),IF(I52="EIF",IF(O52="低",5,IF(O52="中",7,10)),"不计算")))))*Q52,"不计算")</f>
        <v/>
      </c>
      <c r="Q52" s="142" t="n">
        <v>1</v>
      </c>
      <c r="R52" s="143">
        <f>调整因子!$F$13</f>
        <v/>
      </c>
      <c r="S52" s="70" t="n">
        <v>1</v>
      </c>
      <c r="T52" s="144">
        <f>IFERROR(P52*R52,0)</f>
        <v/>
      </c>
      <c r="U52" s="144">
        <f>T52*S52</f>
        <v/>
      </c>
      <c r="V52" s="88" t="inlineStr">
        <is>
          <t>弱账号管理表、弱密码管理表、弱口令组合管理表、口令字典同步明细记录表</t>
        </is>
      </c>
      <c r="W52" s="89" t="n"/>
      <c r="X52"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2" s="88" t="n"/>
      <c r="Z52" s="88" t="n"/>
      <c r="AA52" s="88" t="inlineStr">
        <is>
          <t>数据一致性审批表</t>
        </is>
      </c>
    </row>
    <row r="53" hidden="1" ht="97.2" customFormat="1" customHeight="1" s="63">
      <c r="A53" s="69">
        <f>ROW()-1</f>
        <v/>
      </c>
      <c r="B53" s="53" t="n"/>
      <c r="C53" s="78" t="n">
        <v>2025</v>
      </c>
      <c r="D53" s="78" t="inlineStr">
        <is>
          <t>仲光华</t>
        </is>
      </c>
      <c r="E53" s="53" t="n"/>
      <c r="F53" s="53" t="n"/>
      <c r="G53" s="53" t="n"/>
      <c r="H53" s="80" t="inlineStr">
        <is>
          <t>记录口令字典同步历史</t>
        </is>
      </c>
      <c r="I53" s="76" t="n"/>
      <c r="J53" s="108" t="n"/>
      <c r="K53" s="108" t="inlineStr">
        <is>
          <t>和上行合并</t>
        </is>
      </c>
      <c r="L53" s="83">
        <f>IF(OR(X53="估算法",X53="算法类",X53="无法识别"),"",IF(V53="",IF(OR(I53="EI",I53="EO",I53="EQ"),0,""),LEN(V53)-LEN(SUBSTITUTE(V53,"、",""))+1))</f>
        <v/>
      </c>
      <c r="M53" s="83">
        <f>IF(OR(X53="估算法",X53="算法类",X53="无法识别"),"",IF(W53="",IF(OR(I53="ILF",I53="EIF"),0,""),LEN(W53)-LEN(SUBSTITUTE(W53,"、",""))+1))</f>
        <v/>
      </c>
      <c r="N53" s="83">
        <f>IF(OR(X53="估算法",X53="算法类",X53="无法识别"),"",IF(X53="",IF(OR(I53="ILF",I53="EIF",I53="EI",I53="EO",I53="EQ"),0,""),LEN(X53)-LEN(SUBSTITUTE(SUBSTITUTE(SUBSTITUTE(SUBSTITUTE(SUBSTITUTE(X53,"|}","--"),"{|","--"),CHAR(10),""),"、",""),"|",""))+IF(AND(OR(I53="EI",I53="EO",I53="EQ"),$AD$1="NESMA"),2,1)))</f>
        <v/>
      </c>
      <c r="O53" s="84">
        <f>IF(I53="EI",IF(OR(X53="估算法",X53="算法类"),"中",IF(X53="无法识别","低",IF(L53&lt;2,IF(N53&lt;16,"低","中"),IF(L53&lt;3,IF(N53&lt;5,"低",IF(N53&lt;16,"中","高")),IF(N53&lt;5,"中","高"))))),IF(OR(I53="EO",I53="EQ"),IF(OR(X53="估算法",X53="算法类"),"中",IF(X53="无法识别","低",IF(L53&lt;2,IF(N53&lt;20,"低","中"),IF(L53&lt;4,IF(N53&lt;6,"低",IF(N53&lt;20,"中","高")),IF(N53&lt;6,"中","高"))))),IF(OR(I53="ILF",I53="EIF"),IF(OR(X53="估算法",X53="算法类",X53="无法识别"),"低",IF(M53&lt;2,IF(N53&lt;51,"低","中"),IF(M53&lt;6,IF(N53&lt;20,"低",IF(N53&lt;51,"中","高")),IF(N53&lt;20,"中","高")))),"不计算")))</f>
        <v/>
      </c>
      <c r="P53" s="142">
        <f>IFERROR(IF(I53="EI",IF(O53="低",3,IF(O53="中",4,6)),IF(I53="EO",IF(O53="低",4,IF(O53="中",5,7)),IF(I53="EQ",IF(O53="低",3,IF(O53="中",4,6)),IF(I53="ILF",IF(O53="低",7,IF(O53="中",10,15)),IF(I53="EIF",IF(O53="低",5,IF(O53="中",7,10)),"不计算")))))*Q53,"不计算")</f>
        <v/>
      </c>
      <c r="Q53" s="142" t="n">
        <v>1</v>
      </c>
      <c r="R53" s="143">
        <f>调整因子!$F$13</f>
        <v/>
      </c>
      <c r="S53" s="76" t="n">
        <v>1</v>
      </c>
      <c r="T53" s="144">
        <f>IFERROR(P53*R53,0)</f>
        <v/>
      </c>
      <c r="U53" s="144">
        <f>T53*S53</f>
        <v/>
      </c>
      <c r="V53" s="88" t="inlineStr">
        <is>
          <t>弱账号管理表、弱密码管理表、弱口令组合管理表、口令字典同步明细记录表</t>
        </is>
      </c>
      <c r="W53" s="89" t="n"/>
      <c r="X53"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3" s="88" t="n"/>
      <c r="Z53" s="88" t="n"/>
      <c r="AA53" s="88" t="inlineStr">
        <is>
          <t>数据一致性审批表</t>
        </is>
      </c>
    </row>
    <row r="54" hidden="1" ht="97.2" customFormat="1" customHeight="1" s="63">
      <c r="A54" s="69">
        <f>ROW()-1</f>
        <v/>
      </c>
      <c r="B54" s="53" t="n"/>
      <c r="C54" s="78" t="n">
        <v>2025</v>
      </c>
      <c r="D54" s="78" t="inlineStr">
        <is>
          <t>仲光华</t>
        </is>
      </c>
      <c r="E54" s="53" t="n"/>
      <c r="F54" s="53" t="n"/>
      <c r="G54" s="54" t="n"/>
      <c r="H54" s="80" t="inlineStr">
        <is>
          <t>查询口令字典同步历史</t>
        </is>
      </c>
      <c r="I54" s="76" t="inlineStr">
        <is>
          <t>EQ</t>
        </is>
      </c>
      <c r="J54" s="108" t="n"/>
      <c r="K54" s="108" t="n"/>
      <c r="L54" s="83">
        <f>IF(OR(X54="估算法",X54="算法类",X54="无法识别"),"",IF(V54="",IF(OR(I54="EI",I54="EO",I54="EQ"),0,""),LEN(V54)-LEN(SUBSTITUTE(V54,"、",""))+1))</f>
        <v/>
      </c>
      <c r="M54" s="83">
        <f>IF(OR(X54="估算法",X54="算法类",X54="无法识别"),"",IF(W54="",IF(OR(I54="ILF",I54="EIF"),0,""),LEN(W54)-LEN(SUBSTITUTE(W54,"、",""))+1))</f>
        <v/>
      </c>
      <c r="N54" s="83">
        <f>IF(OR(X54="估算法",X54="算法类",X54="无法识别"),"",IF(X54="",IF(OR(I54="ILF",I54="EIF",I54="EI",I54="EO",I54="EQ"),0,""),LEN(X54)-LEN(SUBSTITUTE(SUBSTITUTE(SUBSTITUTE(SUBSTITUTE(SUBSTITUTE(X54,"|}","--"),"{|","--"),CHAR(10),""),"、",""),"|",""))+IF(AND(OR(I54="EI",I54="EO",I54="EQ"),$AD$1="NESMA"),2,1)))</f>
        <v/>
      </c>
      <c r="O54" s="84">
        <f>IF(I54="EI",IF(OR(X54="估算法",X54="算法类"),"中",IF(X54="无法识别","低",IF(L54&lt;2,IF(N54&lt;16,"低","中"),IF(L54&lt;3,IF(N54&lt;5,"低",IF(N54&lt;16,"中","高")),IF(N54&lt;5,"中","高"))))),IF(OR(I54="EO",I54="EQ"),IF(OR(X54="估算法",X54="算法类"),"中",IF(X54="无法识别","低",IF(L54&lt;2,IF(N54&lt;20,"低","中"),IF(L54&lt;4,IF(N54&lt;6,"低",IF(N54&lt;20,"中","高")),IF(N54&lt;6,"中","高"))))),IF(OR(I54="ILF",I54="EIF"),IF(OR(X54="估算法",X54="算法类",X54="无法识别"),"低",IF(M54&lt;2,IF(N54&lt;51,"低","中"),IF(M54&lt;6,IF(N54&lt;20,"低",IF(N54&lt;51,"中","高")),IF(N54&lt;20,"中","高")))),"不计算")))</f>
        <v/>
      </c>
      <c r="P54" s="142">
        <f>IFERROR(IF(I54="EI",IF(O54="低",3,IF(O54="中",4,6)),IF(I54="EO",IF(O54="低",4,IF(O54="中",5,7)),IF(I54="EQ",IF(O54="低",3,IF(O54="中",4,6)),IF(I54="ILF",IF(O54="低",7,IF(O54="中",10,15)),IF(I54="EIF",IF(O54="低",5,IF(O54="中",7,10)),"不计算")))))*Q54,"不计算")</f>
        <v/>
      </c>
      <c r="Q54" s="142" t="n">
        <v>1</v>
      </c>
      <c r="R54" s="143">
        <f>调整因子!$F$13</f>
        <v/>
      </c>
      <c r="S54" s="70" t="n">
        <v>1</v>
      </c>
      <c r="T54" s="144">
        <f>IFERROR(P54*R54,0)</f>
        <v/>
      </c>
      <c r="U54" s="144">
        <f>T54*S54</f>
        <v/>
      </c>
      <c r="V54" s="88" t="inlineStr">
        <is>
          <t>弱账号管理表、弱密码管理表、弱口令组合管理表、口令字典同步明细记录表</t>
        </is>
      </c>
      <c r="W54" s="89" t="n"/>
      <c r="X54"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4" s="88" t="n"/>
      <c r="Z54" s="88" t="n"/>
      <c r="AA54" s="88" t="inlineStr">
        <is>
          <t>插件模板表、插件规范表、插件审计表</t>
        </is>
      </c>
    </row>
    <row r="55" hidden="1" ht="97.2" customFormat="1" customHeight="1" s="63">
      <c r="A55" s="69">
        <f>ROW()-1</f>
        <v/>
      </c>
      <c r="B55" s="53" t="n"/>
      <c r="C55" s="78" t="n">
        <v>2025</v>
      </c>
      <c r="D55" s="78" t="inlineStr">
        <is>
          <t>仲光华</t>
        </is>
      </c>
      <c r="E55" s="53" t="n"/>
      <c r="F55" s="53" t="n"/>
      <c r="G55" s="79" t="inlineStr">
        <is>
          <t>口令字典内容管理</t>
        </is>
      </c>
      <c r="H55" s="80" t="inlineStr">
        <is>
          <t>查询口令字典列表</t>
        </is>
      </c>
      <c r="I55" s="76" t="inlineStr">
        <is>
          <t>EQ</t>
        </is>
      </c>
      <c r="J55" s="108" t="n"/>
      <c r="K55" s="108" t="n"/>
      <c r="L55" s="83">
        <f>IF(OR(X55="估算法",X55="算法类",X55="无法识别"),"",IF(V55="",IF(OR(I55="EI",I55="EO",I55="EQ"),0,""),LEN(V55)-LEN(SUBSTITUTE(V55,"、",""))+1))</f>
        <v/>
      </c>
      <c r="M55" s="83">
        <f>IF(OR(X55="估算法",X55="算法类",X55="无法识别"),"",IF(W55="",IF(OR(I55="ILF",I55="EIF"),0,""),LEN(W55)-LEN(SUBSTITUTE(W55,"、",""))+1))</f>
        <v/>
      </c>
      <c r="N55" s="83">
        <f>IF(OR(X55="估算法",X55="算法类",X55="无法识别"),"",IF(X55="",IF(OR(I55="ILF",I55="EIF",I55="EI",I55="EO",I55="EQ"),0,""),LEN(X55)-LEN(SUBSTITUTE(SUBSTITUTE(SUBSTITUTE(SUBSTITUTE(SUBSTITUTE(X55,"|}","--"),"{|","--"),CHAR(10),""),"、",""),"|",""))+IF(AND(OR(I55="EI",I55="EO",I55="EQ"),$AD$1="NESMA"),2,1)))</f>
        <v/>
      </c>
      <c r="O55" s="84">
        <f>IF(I55="EI",IF(OR(X55="估算法",X55="算法类"),"中",IF(X55="无法识别","低",IF(L55&lt;2,IF(N55&lt;16,"低","中"),IF(L55&lt;3,IF(N55&lt;5,"低",IF(N55&lt;16,"中","高")),IF(N55&lt;5,"中","高"))))),IF(OR(I55="EO",I55="EQ"),IF(OR(X55="估算法",X55="算法类"),"中",IF(X55="无法识别","低",IF(L55&lt;2,IF(N55&lt;20,"低","中"),IF(L55&lt;4,IF(N55&lt;6,"低",IF(N55&lt;20,"中","高")),IF(N55&lt;6,"中","高"))))),IF(OR(I55="ILF",I55="EIF"),IF(OR(X55="估算法",X55="算法类",X55="无法识别"),"低",IF(M55&lt;2,IF(N55&lt;51,"低","中"),IF(M55&lt;6,IF(N55&lt;20,"低",IF(N55&lt;51,"中","高")),IF(N55&lt;20,"中","高")))),"不计算")))</f>
        <v/>
      </c>
      <c r="P55" s="142">
        <f>IFERROR(IF(I55="EI",IF(O55="低",3,IF(O55="中",4,6)),IF(I55="EO",IF(O55="低",4,IF(O55="中",5,7)),IF(I55="EQ",IF(O55="低",3,IF(O55="中",4,6)),IF(I55="ILF",IF(O55="低",7,IF(O55="中",10,15)),IF(I55="EIF",IF(O55="低",5,IF(O55="中",7,10)),"不计算")))))*Q55,"不计算")</f>
        <v/>
      </c>
      <c r="Q55" s="142" t="n">
        <v>1</v>
      </c>
      <c r="R55" s="143">
        <f>调整因子!$F$13</f>
        <v/>
      </c>
      <c r="S55" s="70" t="n">
        <v>1</v>
      </c>
      <c r="T55" s="144">
        <f>IFERROR(P55*R55,0)</f>
        <v/>
      </c>
      <c r="U55" s="144">
        <f>T55*S55</f>
        <v/>
      </c>
      <c r="V55" s="88" t="inlineStr">
        <is>
          <t>弱账号管理表、弱密码管理表、弱口令组合管理表</t>
        </is>
      </c>
      <c r="W55" s="89" t="n"/>
      <c r="X55"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5" s="88" t="n"/>
      <c r="Z55" s="88" t="n"/>
      <c r="AA55" s="88" t="inlineStr">
        <is>
          <t>插件规范表、插件模板表、插件审计表</t>
        </is>
      </c>
    </row>
    <row r="56" hidden="1" ht="97.2" customFormat="1" customHeight="1" s="63">
      <c r="A56" s="69">
        <f>ROW()-1</f>
        <v/>
      </c>
      <c r="B56" s="53" t="n"/>
      <c r="C56" s="78" t="n">
        <v>2025</v>
      </c>
      <c r="D56" s="78" t="inlineStr">
        <is>
          <t>仲光华</t>
        </is>
      </c>
      <c r="E56" s="53" t="n"/>
      <c r="F56" s="53" t="n"/>
      <c r="G56" s="53" t="n"/>
      <c r="H56" s="80" t="inlineStr">
        <is>
          <t>新增口令字典</t>
        </is>
      </c>
      <c r="I56" s="76" t="inlineStr">
        <is>
          <t>EI</t>
        </is>
      </c>
      <c r="J56" s="108" t="n"/>
      <c r="K56" s="108" t="n"/>
      <c r="L56" s="83">
        <f>IF(OR(X56="估算法",X56="算法类",X56="无法识别"),"",IF(V56="",IF(OR(I56="EI",I56="EO",I56="EQ"),0,""),LEN(V56)-LEN(SUBSTITUTE(V56,"、",""))+1))</f>
        <v/>
      </c>
      <c r="M56" s="83">
        <f>IF(OR(X56="估算法",X56="算法类",X56="无法识别"),"",IF(W56="",IF(OR(I56="ILF",I56="EIF"),0,""),LEN(W56)-LEN(SUBSTITUTE(W56,"、",""))+1))</f>
        <v/>
      </c>
      <c r="N56" s="83">
        <f>IF(OR(X56="估算法",X56="算法类",X56="无法识别"),"",IF(X56="",IF(OR(I56="ILF",I56="EIF",I56="EI",I56="EO",I56="EQ"),0,""),LEN(X56)-LEN(SUBSTITUTE(SUBSTITUTE(SUBSTITUTE(SUBSTITUTE(SUBSTITUTE(X56,"|}","--"),"{|","--"),CHAR(10),""),"、",""),"|",""))+IF(AND(OR(I56="EI",I56="EO",I56="EQ"),$AD$1="NESMA"),2,1)))</f>
        <v/>
      </c>
      <c r="O56" s="84">
        <f>IF(I56="EI",IF(OR(X56="估算法",X56="算法类"),"中",IF(X56="无法识别","低",IF(L56&lt;2,IF(N56&lt;16,"低","中"),IF(L56&lt;3,IF(N56&lt;5,"低",IF(N56&lt;16,"中","高")),IF(N56&lt;5,"中","高"))))),IF(OR(I56="EO",I56="EQ"),IF(OR(X56="估算法",X56="算法类"),"中",IF(X56="无法识别","低",IF(L56&lt;2,IF(N56&lt;20,"低","中"),IF(L56&lt;4,IF(N56&lt;6,"低",IF(N56&lt;20,"中","高")),IF(N56&lt;6,"中","高"))))),IF(OR(I56="ILF",I56="EIF"),IF(OR(X56="估算法",X56="算法类",X56="无法识别"),"低",IF(M56&lt;2,IF(N56&lt;51,"低","中"),IF(M56&lt;6,IF(N56&lt;20,"低",IF(N56&lt;51,"中","高")),IF(N56&lt;20,"中","高")))),"不计算")))</f>
        <v/>
      </c>
      <c r="P56" s="142">
        <f>IFERROR(IF(I56="EI",IF(O56="低",3,IF(O56="中",4,6)),IF(I56="EO",IF(O56="低",4,IF(O56="中",5,7)),IF(I56="EQ",IF(O56="低",3,IF(O56="中",4,6)),IF(I56="ILF",IF(O56="低",7,IF(O56="中",10,15)),IF(I56="EIF",IF(O56="低",5,IF(O56="中",7,10)),"不计算")))))*Q56,"不计算")</f>
        <v/>
      </c>
      <c r="Q56" s="142" t="n">
        <v>1</v>
      </c>
      <c r="R56" s="143">
        <f>调整因子!$F$13</f>
        <v/>
      </c>
      <c r="S56" s="76" t="n">
        <v>1</v>
      </c>
      <c r="T56" s="144">
        <f>IFERROR(P56*R56,0)</f>
        <v/>
      </c>
      <c r="U56" s="144">
        <f>T56*S56</f>
        <v/>
      </c>
      <c r="V56" s="88" t="inlineStr">
        <is>
          <t>弱账号管理表、弱密码管理表、弱口令组合管理表</t>
        </is>
      </c>
      <c r="W56" s="89" t="n"/>
      <c r="X56"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6" s="88" t="n"/>
      <c r="Z56" s="88" t="n"/>
      <c r="AA56" s="88" t="inlineStr">
        <is>
          <t>插件模板表</t>
        </is>
      </c>
    </row>
    <row r="57" hidden="1" ht="97.2" customFormat="1" customHeight="1" s="63">
      <c r="A57" s="69">
        <f>ROW()-1</f>
        <v/>
      </c>
      <c r="B57" s="53" t="n"/>
      <c r="C57" s="78" t="n">
        <v>2025</v>
      </c>
      <c r="D57" s="78" t="inlineStr">
        <is>
          <t>仲光华</t>
        </is>
      </c>
      <c r="E57" s="53" t="n"/>
      <c r="F57" s="53" t="n"/>
      <c r="G57" s="53" t="n"/>
      <c r="H57" s="80" t="inlineStr">
        <is>
          <t>修改口令字典</t>
        </is>
      </c>
      <c r="I57" s="76" t="inlineStr">
        <is>
          <t>EI</t>
        </is>
      </c>
      <c r="J57" s="108" t="n"/>
      <c r="K57" s="108" t="n"/>
      <c r="L57" s="83">
        <f>IF(OR(X57="估算法",X57="算法类",X57="无法识别"),"",IF(V57="",IF(OR(I57="EI",I57="EO",I57="EQ"),0,""),LEN(V57)-LEN(SUBSTITUTE(V57,"、",""))+1))</f>
        <v/>
      </c>
      <c r="M57" s="83">
        <f>IF(OR(X57="估算法",X57="算法类",X57="无法识别"),"",IF(W57="",IF(OR(I57="ILF",I57="EIF"),0,""),LEN(W57)-LEN(SUBSTITUTE(W57,"、",""))+1))</f>
        <v/>
      </c>
      <c r="N57" s="83">
        <f>IF(OR(X57="估算法",X57="算法类",X57="无法识别"),"",IF(X57="",IF(OR(I57="ILF",I57="EIF",I57="EI",I57="EO",I57="EQ"),0,""),LEN(X57)-LEN(SUBSTITUTE(SUBSTITUTE(SUBSTITUTE(SUBSTITUTE(SUBSTITUTE(X57,"|}","--"),"{|","--"),CHAR(10),""),"、",""),"|",""))+IF(AND(OR(I57="EI",I57="EO",I57="EQ"),$AD$1="NESMA"),2,1)))</f>
        <v/>
      </c>
      <c r="O57" s="84">
        <f>IF(I57="EI",IF(OR(X57="估算法",X57="算法类"),"中",IF(X57="无法识别","低",IF(L57&lt;2,IF(N57&lt;16,"低","中"),IF(L57&lt;3,IF(N57&lt;5,"低",IF(N57&lt;16,"中","高")),IF(N57&lt;5,"中","高"))))),IF(OR(I57="EO",I57="EQ"),IF(OR(X57="估算法",X57="算法类"),"中",IF(X57="无法识别","低",IF(L57&lt;2,IF(N57&lt;20,"低","中"),IF(L57&lt;4,IF(N57&lt;6,"低",IF(N57&lt;20,"中","高")),IF(N57&lt;6,"中","高"))))),IF(OR(I57="ILF",I57="EIF"),IF(OR(X57="估算法",X57="算法类",X57="无法识别"),"低",IF(M57&lt;2,IF(N57&lt;51,"低","中"),IF(M57&lt;6,IF(N57&lt;20,"低",IF(N57&lt;51,"中","高")),IF(N57&lt;20,"中","高")))),"不计算")))</f>
        <v/>
      </c>
      <c r="P57" s="142">
        <f>IFERROR(IF(I57="EI",IF(O57="低",3,IF(O57="中",4,6)),IF(I57="EO",IF(O57="低",4,IF(O57="中",5,7)),IF(I57="EQ",IF(O57="低",3,IF(O57="中",4,6)),IF(I57="ILF",IF(O57="低",7,IF(O57="中",10,15)),IF(I57="EIF",IF(O57="低",5,IF(O57="中",7,10)),"不计算")))))*Q57,"不计算")</f>
        <v/>
      </c>
      <c r="Q57" s="142" t="n">
        <v>0.333333333333333</v>
      </c>
      <c r="R57" s="143">
        <f>调整因子!$F$13</f>
        <v/>
      </c>
      <c r="S57" s="70" t="n">
        <v>1</v>
      </c>
      <c r="T57" s="144">
        <f>IFERROR(P57*R57,0)</f>
        <v/>
      </c>
      <c r="U57" s="144">
        <f>T57*S57</f>
        <v/>
      </c>
      <c r="V57" s="88" t="inlineStr">
        <is>
          <t>弱账号管理表、弱密码管理表、弱口令组合管理表</t>
        </is>
      </c>
      <c r="W57" s="89" t="n"/>
      <c r="X57"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7" s="88" t="n"/>
      <c r="Z57" s="88" t="n"/>
      <c r="AA57" s="88" t="inlineStr">
        <is>
          <t>插件模板表</t>
        </is>
      </c>
    </row>
    <row r="58" hidden="1" ht="97.2" customFormat="1" customHeight="1" s="63">
      <c r="A58" s="69">
        <f>ROW()-1</f>
        <v/>
      </c>
      <c r="B58" s="53" t="n"/>
      <c r="C58" s="78" t="n">
        <v>2025</v>
      </c>
      <c r="D58" s="78" t="inlineStr">
        <is>
          <t>仲光华</t>
        </is>
      </c>
      <c r="E58" s="53" t="n"/>
      <c r="F58" s="53" t="n"/>
      <c r="G58" s="53" t="n"/>
      <c r="H58" s="80" t="inlineStr">
        <is>
          <t>删除口令字典</t>
        </is>
      </c>
      <c r="I58" s="76" t="inlineStr">
        <is>
          <t>EI</t>
        </is>
      </c>
      <c r="J58" s="108" t="n"/>
      <c r="K58" s="108" t="n"/>
      <c r="L58" s="83">
        <f>IF(OR(X58="估算法",X58="算法类",X58="无法识别"),"",IF(V58="",IF(OR(I58="EI",I58="EO",I58="EQ"),0,""),LEN(V58)-LEN(SUBSTITUTE(V58,"、",""))+1))</f>
        <v/>
      </c>
      <c r="M58" s="83">
        <f>IF(OR(X58="估算法",X58="算法类",X58="无法识别"),"",IF(W58="",IF(OR(I58="ILF",I58="EIF"),0,""),LEN(W58)-LEN(SUBSTITUTE(W58,"、",""))+1))</f>
        <v/>
      </c>
      <c r="N58" s="83">
        <f>IF(OR(X58="估算法",X58="算法类",X58="无法识别"),"",IF(X58="",IF(OR(I58="ILF",I58="EIF",I58="EI",I58="EO",I58="EQ"),0,""),LEN(X58)-LEN(SUBSTITUTE(SUBSTITUTE(SUBSTITUTE(SUBSTITUTE(SUBSTITUTE(X58,"|}","--"),"{|","--"),CHAR(10),""),"、",""),"|",""))+IF(AND(OR(I58="EI",I58="EO",I58="EQ"),$AD$1="NESMA"),2,1)))</f>
        <v/>
      </c>
      <c r="O58" s="84">
        <f>IF(I58="EI",IF(OR(X58="估算法",X58="算法类"),"中",IF(X58="无法识别","低",IF(L58&lt;2,IF(N58&lt;16,"低","中"),IF(L58&lt;3,IF(N58&lt;5,"低",IF(N58&lt;16,"中","高")),IF(N58&lt;5,"中","高"))))),IF(OR(I58="EO",I58="EQ"),IF(OR(X58="估算法",X58="算法类"),"中",IF(X58="无法识别","低",IF(L58&lt;2,IF(N58&lt;20,"低","中"),IF(L58&lt;4,IF(N58&lt;6,"低",IF(N58&lt;20,"中","高")),IF(N58&lt;6,"中","高"))))),IF(OR(I58="ILF",I58="EIF"),IF(OR(X58="估算法",X58="算法类",X58="无法识别"),"低",IF(M58&lt;2,IF(N58&lt;51,"低","中"),IF(M58&lt;6,IF(N58&lt;20,"低",IF(N58&lt;51,"中","高")),IF(N58&lt;20,"中","高")))),"不计算")))</f>
        <v/>
      </c>
      <c r="P58" s="142">
        <f>IFERROR(IF(I58="EI",IF(O58="低",3,IF(O58="中",4,6)),IF(I58="EO",IF(O58="低",4,IF(O58="中",5,7)),IF(I58="EQ",IF(O58="低",3,IF(O58="中",4,6)),IF(I58="ILF",IF(O58="低",7,IF(O58="中",10,15)),IF(I58="EIF",IF(O58="低",5,IF(O58="中",7,10)),"不计算")))))*Q58,"不计算")</f>
        <v/>
      </c>
      <c r="Q58" s="142" t="n">
        <v>0.333333333333333</v>
      </c>
      <c r="R58" s="143">
        <f>调整因子!$F$13</f>
        <v/>
      </c>
      <c r="S58" s="70" t="n">
        <v>1</v>
      </c>
      <c r="T58" s="144">
        <f>IFERROR(P58*R58,0)</f>
        <v/>
      </c>
      <c r="U58" s="144">
        <f>T58*S58</f>
        <v/>
      </c>
      <c r="V58" s="88" t="inlineStr">
        <is>
          <t>弱账号管理表、弱密码管理表、弱口令组合管理表</t>
        </is>
      </c>
      <c r="W58" s="89" t="n"/>
      <c r="X58"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8" s="88" t="n"/>
      <c r="Z58" s="88" t="n"/>
      <c r="AA58" s="88" t="inlineStr">
        <is>
          <t>插件基本信息表、插件语言类型表、插件自定义变量表、插件版本管理表、影响组件表、漏洞类型表</t>
        </is>
      </c>
    </row>
    <row r="59" hidden="1" ht="97.2" customFormat="1" customHeight="1" s="63">
      <c r="A59" s="69">
        <f>ROW()-1</f>
        <v/>
      </c>
      <c r="B59" s="53" t="n"/>
      <c r="C59" s="78" t="n">
        <v>2025</v>
      </c>
      <c r="D59" s="78" t="inlineStr">
        <is>
          <t>仲光华</t>
        </is>
      </c>
      <c r="E59" s="53" t="n"/>
      <c r="F59" s="53" t="n"/>
      <c r="G59" s="54" t="n"/>
      <c r="H59" s="80" t="inlineStr">
        <is>
          <t>批量删除口令字典</t>
        </is>
      </c>
      <c r="I59" s="76" t="inlineStr">
        <is>
          <t>EI</t>
        </is>
      </c>
      <c r="J59" s="108" t="n"/>
      <c r="K59" s="108" t="inlineStr">
        <is>
          <t>批量操作</t>
        </is>
      </c>
      <c r="L59" s="83">
        <f>IF(OR(X59="估算法",X59="算法类",X59="无法识别"),"",IF(V59="",IF(OR(I59="EI",I59="EO",I59="EQ"),0,""),LEN(V59)-LEN(SUBSTITUTE(V59,"、",""))+1))</f>
        <v/>
      </c>
      <c r="M59" s="83">
        <f>IF(OR(X59="估算法",X59="算法类",X59="无法识别"),"",IF(W59="",IF(OR(I59="ILF",I59="EIF"),0,""),LEN(W59)-LEN(SUBSTITUTE(W59,"、",""))+1))</f>
        <v/>
      </c>
      <c r="N59" s="83">
        <f>IF(OR(X59="估算法",X59="算法类",X59="无法识别"),"",IF(X59="",IF(OR(I59="ILF",I59="EIF",I59="EI",I59="EO",I59="EQ"),0,""),LEN(X59)-LEN(SUBSTITUTE(SUBSTITUTE(SUBSTITUTE(SUBSTITUTE(SUBSTITUTE(X59,"|}","--"),"{|","--"),CHAR(10),""),"、",""),"|",""))+IF(AND(OR(I59="EI",I59="EO",I59="EQ"),$AD$1="NESMA"),2,1)))</f>
        <v/>
      </c>
      <c r="O59" s="84">
        <f>IF(I59="EI",IF(OR(X59="估算法",X59="算法类"),"中",IF(X59="无法识别","低",IF(L59&lt;2,IF(N59&lt;16,"低","中"),IF(L59&lt;3,IF(N59&lt;5,"低",IF(N59&lt;16,"中","高")),IF(N59&lt;5,"中","高"))))),IF(OR(I59="EO",I59="EQ"),IF(OR(X59="估算法",X59="算法类"),"中",IF(X59="无法识别","低",IF(L59&lt;2,IF(N59&lt;20,"低","中"),IF(L59&lt;4,IF(N59&lt;6,"低",IF(N59&lt;20,"中","高")),IF(N59&lt;6,"中","高"))))),IF(OR(I59="ILF",I59="EIF"),IF(OR(X59="估算法",X59="算法类",X59="无法识别"),"低",IF(M59&lt;2,IF(N59&lt;51,"低","中"),IF(M59&lt;6,IF(N59&lt;20,"低",IF(N59&lt;51,"中","高")),IF(N59&lt;20,"中","高")))),"不计算")))</f>
        <v/>
      </c>
      <c r="P59" s="142">
        <f>IFERROR(IF(I59="EI",IF(O59="低",3,IF(O59="中",4,6)),IF(I59="EO",IF(O59="低",4,IF(O59="中",5,7)),IF(I59="EQ",IF(O59="低",3,IF(O59="中",4,6)),IF(I59="ILF",IF(O59="低",7,IF(O59="中",10,15)),IF(I59="EIF",IF(O59="低",5,IF(O59="中",7,10)),"不计算")))))*Q59,"不计算")</f>
        <v/>
      </c>
      <c r="Q59" s="142" t="n">
        <v>0.333333333333333</v>
      </c>
      <c r="R59" s="143">
        <f>调整因子!$F$13</f>
        <v/>
      </c>
      <c r="S59" s="76" t="n">
        <v>1</v>
      </c>
      <c r="T59" s="144">
        <f>IFERROR(P59*R59,0)</f>
        <v/>
      </c>
      <c r="U59" s="144">
        <f>T59*S59</f>
        <v/>
      </c>
      <c r="V59" s="88" t="inlineStr">
        <is>
          <t>弱账号管理表、弱密码管理表、弱口令组合管理表</t>
        </is>
      </c>
      <c r="W59" s="89" t="n"/>
      <c r="X59"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59" s="88" t="n"/>
      <c r="Z59" s="88" t="n"/>
      <c r="AA59" s="88" t="inlineStr">
        <is>
          <t>插件自定义变量表、插件基本信息表、插件语言类型表、插件版本管理表</t>
        </is>
      </c>
    </row>
    <row r="60" hidden="1" ht="97.2" customFormat="1" customHeight="1" s="63">
      <c r="A60" s="69">
        <f>ROW()-1</f>
        <v/>
      </c>
      <c r="B60" s="53" t="n"/>
      <c r="C60" s="78" t="n">
        <v>2025</v>
      </c>
      <c r="D60" s="78" t="inlineStr">
        <is>
          <t>仲光华</t>
        </is>
      </c>
      <c r="E60" s="53" t="n"/>
      <c r="F60" s="53" t="n"/>
      <c r="G60" s="79" t="inlineStr">
        <is>
          <t>口令字典分类管理</t>
        </is>
      </c>
      <c r="H60" s="80" t="inlineStr">
        <is>
          <t>查询用户名口令字典</t>
        </is>
      </c>
      <c r="I60" s="76" t="n"/>
      <c r="J60" s="108" t="n"/>
      <c r="K60" s="108" t="inlineStr">
        <is>
          <t>和下行合并，查询无法区分区别</t>
        </is>
      </c>
      <c r="L60" s="83">
        <f>IF(OR(X60="估算法",X60="算法类",X60="无法识别"),"",IF(V60="",IF(OR(I60="EI",I60="EO",I60="EQ"),0,""),LEN(V60)-LEN(SUBSTITUTE(V60,"、",""))+1))</f>
        <v/>
      </c>
      <c r="M60" s="83">
        <f>IF(OR(X60="估算法",X60="算法类",X60="无法识别"),"",IF(W60="",IF(OR(I60="ILF",I60="EIF"),0,""),LEN(W60)-LEN(SUBSTITUTE(W60,"、",""))+1))</f>
        <v/>
      </c>
      <c r="N60" s="83">
        <f>IF(OR(X60="估算法",X60="算法类",X60="无法识别"),"",IF(X60="",IF(OR(I60="ILF",I60="EIF",I60="EI",I60="EO",I60="EQ"),0,""),LEN(X60)-LEN(SUBSTITUTE(SUBSTITUTE(SUBSTITUTE(SUBSTITUTE(SUBSTITUTE(X60,"|}","--"),"{|","--"),CHAR(10),""),"、",""),"|",""))+IF(AND(OR(I60="EI",I60="EO",I60="EQ"),$AD$1="NESMA"),2,1)))</f>
        <v/>
      </c>
      <c r="O60" s="84">
        <f>IF(I60="EI",IF(OR(X60="估算法",X60="算法类"),"中",IF(X60="无法识别","低",IF(L60&lt;2,IF(N60&lt;16,"低","中"),IF(L60&lt;3,IF(N60&lt;5,"低",IF(N60&lt;16,"中","高")),IF(N60&lt;5,"中","高"))))),IF(OR(I60="EO",I60="EQ"),IF(OR(X60="估算法",X60="算法类"),"中",IF(X60="无法识别","低",IF(L60&lt;2,IF(N60&lt;20,"低","中"),IF(L60&lt;4,IF(N60&lt;6,"低",IF(N60&lt;20,"中","高")),IF(N60&lt;6,"中","高"))))),IF(OR(I60="ILF",I60="EIF"),IF(OR(X60="估算法",X60="算法类",X60="无法识别"),"低",IF(M60&lt;2,IF(N60&lt;51,"低","中"),IF(M60&lt;6,IF(N60&lt;20,"低",IF(N60&lt;51,"中","高")),IF(N60&lt;20,"中","高")))),"不计算")))</f>
        <v/>
      </c>
      <c r="P60" s="142">
        <f>IFERROR(IF(I60="EI",IF(O60="低",3,IF(O60="中",4,6)),IF(I60="EO",IF(O60="低",4,IF(O60="中",5,7)),IF(I60="EQ",IF(O60="低",3,IF(O60="中",4,6)),IF(I60="ILF",IF(O60="低",7,IF(O60="中",10,15)),IF(I60="EIF",IF(O60="低",5,IF(O60="中",7,10)),"不计算")))))*Q60,"不计算")</f>
        <v/>
      </c>
      <c r="Q60" s="142" t="n">
        <v>1</v>
      </c>
      <c r="R60" s="143">
        <f>调整因子!$F$13</f>
        <v/>
      </c>
      <c r="S60" s="70" t="n">
        <v>1</v>
      </c>
      <c r="T60" s="144">
        <f>IFERROR(P60*R60,0)</f>
        <v/>
      </c>
      <c r="U60" s="144">
        <f>T60*S60</f>
        <v/>
      </c>
      <c r="V60" s="88" t="inlineStr">
        <is>
          <t>弱账号管理表、弱密码管理表、弱口令组合管理表</t>
        </is>
      </c>
      <c r="W60" s="89" t="n"/>
      <c r="X60"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弱口令组合管理表{ID、弱口令名称、弱口令内容、弱口令内容MD10值、类型、创建时间、创建人、最后修改时间、修改人、备注}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60" s="88" t="n"/>
      <c r="Z60" s="88" t="n"/>
      <c r="AA60" s="88" t="inlineStr">
        <is>
          <t>插件基本信息表、插件语言类型表、插件版本管理表</t>
        </is>
      </c>
    </row>
    <row r="61" hidden="1" ht="97.2" customFormat="1" customHeight="1" s="63">
      <c r="A61" s="69">
        <f>ROW()-1</f>
        <v/>
      </c>
      <c r="B61" s="53" t="n"/>
      <c r="C61" s="78" t="n">
        <v>2025</v>
      </c>
      <c r="D61" s="78" t="inlineStr">
        <is>
          <t>仲光华</t>
        </is>
      </c>
      <c r="E61" s="53" t="n"/>
      <c r="F61" s="53" t="n"/>
      <c r="G61" s="53" t="n"/>
      <c r="H61" s="80" t="inlineStr">
        <is>
          <t>查询用户名密码字典</t>
        </is>
      </c>
      <c r="I61" s="76" t="n"/>
      <c r="J61" s="108" t="n"/>
      <c r="K61" s="108" t="inlineStr">
        <is>
          <t>和下行合并，查询无法区分区别</t>
        </is>
      </c>
      <c r="L61" s="83">
        <f>IF(OR(X61="估算法",X61="算法类",X61="无法识别"),"",IF(V61="",IF(OR(I61="EI",I61="EO",I61="EQ"),0,""),LEN(V61)-LEN(SUBSTITUTE(V61,"、",""))+1))</f>
        <v/>
      </c>
      <c r="M61" s="83">
        <f>IF(OR(X61="估算法",X61="算法类",X61="无法识别"),"",IF(W61="",IF(OR(I61="ILF",I61="EIF"),0,""),LEN(W61)-LEN(SUBSTITUTE(W61,"、",""))+1))</f>
        <v/>
      </c>
      <c r="N61" s="83">
        <f>IF(OR(X61="估算法",X61="算法类",X61="无法识别"),"",IF(X61="",IF(OR(I61="ILF",I61="EIF",I61="EI",I61="EO",I61="EQ"),0,""),LEN(X61)-LEN(SUBSTITUTE(SUBSTITUTE(SUBSTITUTE(SUBSTITUTE(SUBSTITUTE(X61,"|}","--"),"{|","--"),CHAR(10),""),"、",""),"|",""))+IF(AND(OR(I61="EI",I61="EO",I61="EQ"),$AD$1="NESMA"),2,1)))</f>
        <v/>
      </c>
      <c r="O61" s="84">
        <f>IF(I61="EI",IF(OR(X61="估算法",X61="算法类"),"中",IF(X61="无法识别","低",IF(L61&lt;2,IF(N61&lt;16,"低","中"),IF(L61&lt;3,IF(N61&lt;5,"低",IF(N61&lt;16,"中","高")),IF(N61&lt;5,"中","高"))))),IF(OR(I61="EO",I61="EQ"),IF(OR(X61="估算法",X61="算法类"),"中",IF(X61="无法识别","低",IF(L61&lt;2,IF(N61&lt;20,"低","中"),IF(L61&lt;4,IF(N61&lt;6,"低",IF(N61&lt;20,"中","高")),IF(N61&lt;6,"中","高"))))),IF(OR(I61="ILF",I61="EIF"),IF(OR(X61="估算法",X61="算法类",X61="无法识别"),"低",IF(M61&lt;2,IF(N61&lt;51,"低","中"),IF(M61&lt;6,IF(N61&lt;20,"低",IF(N61&lt;51,"中","高")),IF(N61&lt;20,"中","高")))),"不计算")))</f>
        <v/>
      </c>
      <c r="P61" s="142">
        <f>IFERROR(IF(I61="EI",IF(O61="低",3,IF(O61="中",4,6)),IF(I61="EO",IF(O61="低",4,IF(O61="中",5,7)),IF(I61="EQ",IF(O61="低",3,IF(O61="中",4,6)),IF(I61="ILF",IF(O61="低",7,IF(O61="中",10,15)),IF(I61="EIF",IF(O61="低",5,IF(O61="中",7,10)),"不计算")))))*Q61,"不计算")</f>
        <v/>
      </c>
      <c r="Q61" s="142" t="n">
        <v>1</v>
      </c>
      <c r="R61" s="143">
        <f>调整因子!$F$13</f>
        <v/>
      </c>
      <c r="S61" s="70" t="n">
        <v>1</v>
      </c>
      <c r="T61" s="144">
        <f>IFERROR(P61*R61,0)</f>
        <v/>
      </c>
      <c r="U61" s="144">
        <f>T61*S61</f>
        <v/>
      </c>
      <c r="V61" s="88" t="inlineStr">
        <is>
          <t>弱账号管理表、弱密码管理表、弱口令组合管理表</t>
        </is>
      </c>
      <c r="W61" s="89" t="n"/>
      <c r="X61"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弱口令组合管理表{ID、弱口令名称、弱口令内容、弱口令内容MD11值、类型、创建时间、创建人、最后修改时间、修改人、备注}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61" s="88" t="n"/>
      <c r="Z61" s="88" t="n"/>
      <c r="AA61" s="88" t="inlineStr">
        <is>
          <t>插件基本信息表、插件语言类型表、插件自定义变量表</t>
        </is>
      </c>
    </row>
    <row r="62" hidden="1" ht="118.8" customFormat="1" customHeight="1" s="63">
      <c r="A62" s="69">
        <f>ROW()-1</f>
        <v/>
      </c>
      <c r="B62" s="53" t="n"/>
      <c r="C62" s="78" t="n">
        <v>2025</v>
      </c>
      <c r="D62" s="78" t="inlineStr">
        <is>
          <t>仲光华</t>
        </is>
      </c>
      <c r="E62" s="53" t="n"/>
      <c r="F62" s="53" t="n"/>
      <c r="G62" s="54" t="n"/>
      <c r="H62" s="80" t="inlineStr">
        <is>
          <t>查询密码口令字典</t>
        </is>
      </c>
      <c r="I62" s="76" t="inlineStr">
        <is>
          <t>EQ</t>
        </is>
      </c>
      <c r="J62" s="108" t="n"/>
      <c r="K62" s="108" t="n"/>
      <c r="L62" s="83">
        <f>IF(OR(X62="估算法",X62="算法类",X62="无法识别"),"",IF(V62="",IF(OR(I62="EI",I62="EO",I62="EQ"),0,""),LEN(V62)-LEN(SUBSTITUTE(V62,"、",""))+1))</f>
        <v/>
      </c>
      <c r="M62" s="83">
        <f>IF(OR(X62="估算法",X62="算法类",X62="无法识别"),"",IF(W62="",IF(OR(I62="ILF",I62="EIF"),0,""),LEN(W62)-LEN(SUBSTITUTE(W62,"、",""))+1))</f>
        <v/>
      </c>
      <c r="N62" s="83">
        <f>IF(OR(X62="估算法",X62="算法类",X62="无法识别"),"",IF(X62="",IF(OR(I62="ILF",I62="EIF",I62="EI",I62="EO",I62="EQ"),0,""),LEN(X62)-LEN(SUBSTITUTE(SUBSTITUTE(SUBSTITUTE(SUBSTITUTE(SUBSTITUTE(X62,"|}","--"),"{|","--"),CHAR(10),""),"、",""),"|",""))+IF(AND(OR(I62="EI",I62="EO",I62="EQ"),$AD$1="NESMA"),2,1)))</f>
        <v/>
      </c>
      <c r="O62" s="84">
        <f>IF(I62="EI",IF(OR(X62="估算法",X62="算法类"),"中",IF(X62="无法识别","低",IF(L62&lt;2,IF(N62&lt;16,"低","中"),IF(L62&lt;3,IF(N62&lt;5,"低",IF(N62&lt;16,"中","高")),IF(N62&lt;5,"中","高"))))),IF(OR(I62="EO",I62="EQ"),IF(OR(X62="估算法",X62="算法类"),"中",IF(X62="无法识别","低",IF(L62&lt;2,IF(N62&lt;20,"低","中"),IF(L62&lt;4,IF(N62&lt;6,"低",IF(N62&lt;20,"中","高")),IF(N62&lt;6,"中","高"))))),IF(OR(I62="ILF",I62="EIF"),IF(OR(X62="估算法",X62="算法类",X62="无法识别"),"低",IF(M62&lt;2,IF(N62&lt;51,"低","中"),IF(M62&lt;6,IF(N62&lt;20,"低",IF(N62&lt;51,"中","高")),IF(N62&lt;20,"中","高")))),"不计算")))</f>
        <v/>
      </c>
      <c r="P62" s="142">
        <f>IFERROR(IF(I62="EI",IF(O62="低",3,IF(O62="中",4,6)),IF(I62="EO",IF(O62="低",4,IF(O62="中",5,7)),IF(I62="EQ",IF(O62="低",3,IF(O62="中",4,6)),IF(I62="ILF",IF(O62="低",7,IF(O62="中",10,15)),IF(I62="EIF",IF(O62="低",5,IF(O62="中",7,10)),"不计算")))))*Q62,"不计算")</f>
        <v/>
      </c>
      <c r="Q62" s="142" t="n">
        <v>1</v>
      </c>
      <c r="R62" s="143">
        <f>调整因子!$F$13</f>
        <v/>
      </c>
      <c r="S62" s="76" t="n">
        <v>1</v>
      </c>
      <c r="T62" s="144">
        <f>IFERROR(P62*R62,0)</f>
        <v/>
      </c>
      <c r="U62" s="144">
        <f>T62*S62</f>
        <v/>
      </c>
      <c r="V62" s="88" t="inlineStr">
        <is>
          <t>弱账号管理表、弱密码管理表、弱口令组合管理表</t>
        </is>
      </c>
      <c r="W62" s="89" t="n"/>
      <c r="X62"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弱口令组合管理表{ID、弱口令名称、弱口令内容、弱口令内容MD12值、类型、创建时间、创建人、最后修改时间、修改人、备注}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62" s="88" t="n"/>
      <c r="Z62" s="88" t="n"/>
      <c r="AA62" s="88" t="inlineStr">
        <is>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is>
      </c>
    </row>
    <row r="63" hidden="1" ht="97.2" customFormat="1" customHeight="1" s="63">
      <c r="A63" s="69">
        <f>ROW()-1</f>
        <v/>
      </c>
      <c r="B63" s="53" t="n"/>
      <c r="C63" s="78" t="n">
        <v>2025</v>
      </c>
      <c r="D63" s="78" t="inlineStr">
        <is>
          <t>仲光华</t>
        </is>
      </c>
      <c r="E63" s="53" t="n"/>
      <c r="F63" s="53" t="n"/>
      <c r="G63" s="79" t="inlineStr">
        <is>
          <t>口令字典导入导出</t>
        </is>
      </c>
      <c r="H63" s="80" t="inlineStr">
        <is>
          <t>口令字典导入</t>
        </is>
      </c>
      <c r="I63" s="76" t="inlineStr">
        <is>
          <t>EI</t>
        </is>
      </c>
      <c r="J63" s="108" t="n"/>
      <c r="K63" s="108" t="n"/>
      <c r="L63" s="83">
        <f>IF(OR(X63="估算法",X63="算法类",X63="无法识别"),"",IF(V63="",IF(OR(I63="EI",I63="EO",I63="EQ"),0,""),LEN(V63)-LEN(SUBSTITUTE(V63,"、",""))+1))</f>
        <v/>
      </c>
      <c r="M63" s="83">
        <f>IF(OR(X63="估算法",X63="算法类",X63="无法识别"),"",IF(W63="",IF(OR(I63="ILF",I63="EIF"),0,""),LEN(W63)-LEN(SUBSTITUTE(W63,"、",""))+1))</f>
        <v/>
      </c>
      <c r="N63" s="83">
        <f>IF(OR(X63="估算法",X63="算法类",X63="无法识别"),"",IF(X63="",IF(OR(I63="ILF",I63="EIF",I63="EI",I63="EO",I63="EQ"),0,""),LEN(X63)-LEN(SUBSTITUTE(SUBSTITUTE(SUBSTITUTE(SUBSTITUTE(SUBSTITUTE(X63,"|}","--"),"{|","--"),CHAR(10),""),"、",""),"|",""))+IF(AND(OR(I63="EI",I63="EO",I63="EQ"),$AD$1="NESMA"),2,1)))</f>
        <v/>
      </c>
      <c r="O63" s="84">
        <f>IF(I63="EI",IF(OR(X63="估算法",X63="算法类"),"中",IF(X63="无法识别","低",IF(L63&lt;2,IF(N63&lt;16,"低","中"),IF(L63&lt;3,IF(N63&lt;5,"低",IF(N63&lt;16,"中","高")),IF(N63&lt;5,"中","高"))))),IF(OR(I63="EO",I63="EQ"),IF(OR(X63="估算法",X63="算法类"),"中",IF(X63="无法识别","低",IF(L63&lt;2,IF(N63&lt;20,"低","中"),IF(L63&lt;4,IF(N63&lt;6,"低",IF(N63&lt;20,"中","高")),IF(N63&lt;6,"中","高"))))),IF(OR(I63="ILF",I63="EIF"),IF(OR(X63="估算法",X63="算法类",X63="无法识别"),"低",IF(M63&lt;2,IF(N63&lt;51,"低","中"),IF(M63&lt;6,IF(N63&lt;20,"低",IF(N63&lt;51,"中","高")),IF(N63&lt;20,"中","高")))),"不计算")))</f>
        <v/>
      </c>
      <c r="P63" s="142">
        <f>IFERROR(IF(I63="EI",IF(O63="低",3,IF(O63="中",4,6)),IF(I63="EO",IF(O63="低",4,IF(O63="中",5,7)),IF(I63="EQ",IF(O63="低",3,IF(O63="中",4,6)),IF(I63="ILF",IF(O63="低",7,IF(O63="中",10,15)),IF(I63="EIF",IF(O63="低",5,IF(O63="中",7,10)),"不计算")))))*Q63,"不计算")</f>
        <v/>
      </c>
      <c r="Q63" s="142" t="n">
        <v>1</v>
      </c>
      <c r="R63" s="143">
        <f>调整因子!$F$13</f>
        <v/>
      </c>
      <c r="S63" s="70" t="n">
        <v>1</v>
      </c>
      <c r="T63" s="144">
        <f>IFERROR(P63*R63,0)</f>
        <v/>
      </c>
      <c r="U63" s="144">
        <f>T63*S63</f>
        <v/>
      </c>
      <c r="V63" s="88" t="inlineStr">
        <is>
          <t>弱账号管理表、弱密码管理表、弱口令组合管理表</t>
        </is>
      </c>
      <c r="W63" s="89" t="n"/>
      <c r="X63"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弱口令组合管理表{ID、弱口令名称、弱口令内容、弱口令内容MD13值、类型、创建时间、创建人、最后修改时间、修改人、备注}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63" s="88" t="n"/>
      <c r="Z63" s="88" t="n"/>
      <c r="AA63" s="88" t="inlineStr">
        <is>
          <t>插件部侧审核接口请求文件、指纹参数文件、数据库变更日志表、数据库变更日志锁表</t>
        </is>
      </c>
    </row>
    <row r="64" hidden="1" ht="97.2" customFormat="1" customHeight="1" s="63">
      <c r="A64" s="69">
        <f>ROW()-1</f>
        <v/>
      </c>
      <c r="B64" s="53" t="n"/>
      <c r="C64" s="78" t="n">
        <v>2025</v>
      </c>
      <c r="D64" s="78" t="inlineStr">
        <is>
          <t>仲光华</t>
        </is>
      </c>
      <c r="E64" s="53" t="n"/>
      <c r="F64" s="53" t="n"/>
      <c r="G64" s="53" t="n"/>
      <c r="H64" s="80" t="inlineStr">
        <is>
          <t>口令字典导出</t>
        </is>
      </c>
      <c r="I64" s="76" t="inlineStr">
        <is>
          <t>EO</t>
        </is>
      </c>
      <c r="J64" s="108" t="n"/>
      <c r="K64" s="108" t="n"/>
      <c r="L64" s="83">
        <f>IF(OR(X64="估算法",X64="算法类",X64="无法识别"),"",IF(V64="",IF(OR(I64="EI",I64="EO",I64="EQ"),0,""),LEN(V64)-LEN(SUBSTITUTE(V64,"、",""))+1))</f>
        <v/>
      </c>
      <c r="M64" s="83">
        <f>IF(OR(X64="估算法",X64="算法类",X64="无法识别"),"",IF(W64="",IF(OR(I64="ILF",I64="EIF"),0,""),LEN(W64)-LEN(SUBSTITUTE(W64,"、",""))+1))</f>
        <v/>
      </c>
      <c r="N64" s="83">
        <f>IF(OR(X64="估算法",X64="算法类",X64="无法识别"),"",IF(X64="",IF(OR(I64="ILF",I64="EIF",I64="EI",I64="EO",I64="EQ"),0,""),LEN(X64)-LEN(SUBSTITUTE(SUBSTITUTE(SUBSTITUTE(SUBSTITUTE(SUBSTITUTE(X64,"|}","--"),"{|","--"),CHAR(10),""),"、",""),"|",""))+IF(AND(OR(I64="EI",I64="EO",I64="EQ"),$AD$1="NESMA"),2,1)))</f>
        <v/>
      </c>
      <c r="O64" s="84">
        <f>IF(I64="EI",IF(OR(X64="估算法",X64="算法类"),"中",IF(X64="无法识别","低",IF(L64&lt;2,IF(N64&lt;16,"低","中"),IF(L64&lt;3,IF(N64&lt;5,"低",IF(N64&lt;16,"中","高")),IF(N64&lt;5,"中","高"))))),IF(OR(I64="EO",I64="EQ"),IF(OR(X64="估算法",X64="算法类"),"中",IF(X64="无法识别","低",IF(L64&lt;2,IF(N64&lt;20,"低","中"),IF(L64&lt;4,IF(N64&lt;6,"低",IF(N64&lt;20,"中","高")),IF(N64&lt;6,"中","高"))))),IF(OR(I64="ILF",I64="EIF"),IF(OR(X64="估算法",X64="算法类",X64="无法识别"),"低",IF(M64&lt;2,IF(N64&lt;51,"低","中"),IF(M64&lt;6,IF(N64&lt;20,"低",IF(N64&lt;51,"中","高")),IF(N64&lt;20,"中","高")))),"不计算")))</f>
        <v/>
      </c>
      <c r="P64" s="142">
        <f>IFERROR(IF(I64="EI",IF(O64="低",3,IF(O64="中",4,6)),IF(I64="EO",IF(O64="低",4,IF(O64="中",5,7)),IF(I64="EQ",IF(O64="低",3,IF(O64="中",4,6)),IF(I64="ILF",IF(O64="低",7,IF(O64="中",10,15)),IF(I64="EIF",IF(O64="低",5,IF(O64="中",7,10)),"不计算")))))*Q64,"不计算")</f>
        <v/>
      </c>
      <c r="Q64" s="142" t="n">
        <v>1</v>
      </c>
      <c r="R64" s="143">
        <f>调整因子!$F$13</f>
        <v/>
      </c>
      <c r="S64" s="70" t="n">
        <v>1</v>
      </c>
      <c r="T64" s="144">
        <f>IFERROR(P64*R64,0)</f>
        <v/>
      </c>
      <c r="U64" s="144">
        <f>T64*S64</f>
        <v/>
      </c>
      <c r="V64" s="88" t="inlineStr">
        <is>
          <t>弱账号管理表、弱密码管理表、弱口令组合管理表</t>
        </is>
      </c>
      <c r="W64" s="89" t="n"/>
      <c r="X64"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弱口令组合管理表{ID、弱口令名称、弱口令内容、弱口令内容MD14值、类型、创建时间、创建人、最后修改时间、修改人、备注}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64" s="88" t="n"/>
      <c r="Z64" s="88" t="n"/>
      <c r="AA64" s="88" t="inlineStr">
        <is>
          <t>插件部侧审核接口回参文件、指纹参数文件、数据库变更日志表、数据库变更日志锁表</t>
        </is>
      </c>
    </row>
    <row r="65" hidden="1" ht="97.2" customFormat="1" customHeight="1" s="63">
      <c r="A65" s="69">
        <f>ROW()-1</f>
        <v/>
      </c>
      <c r="B65" s="53" t="n"/>
      <c r="C65" s="78" t="n">
        <v>2025</v>
      </c>
      <c r="D65" s="78" t="inlineStr">
        <is>
          <t>仲光华</t>
        </is>
      </c>
      <c r="E65" s="53" t="n"/>
      <c r="F65" s="53" t="n"/>
      <c r="G65" s="54" t="n"/>
      <c r="H65" s="80" t="inlineStr">
        <is>
          <t>口令字典批量导入</t>
        </is>
      </c>
      <c r="I65" s="76" t="inlineStr">
        <is>
          <t>EI</t>
        </is>
      </c>
      <c r="J65" s="108" t="n"/>
      <c r="K65" s="108" t="inlineStr">
        <is>
          <t>批量操作</t>
        </is>
      </c>
      <c r="L65" s="83">
        <f>IF(OR(X65="估算法",X65="算法类",X65="无法识别"),"",IF(V65="",IF(OR(I65="EI",I65="EO",I65="EQ"),0,""),LEN(V65)-LEN(SUBSTITUTE(V65,"、",""))+1))</f>
        <v/>
      </c>
      <c r="M65" s="83">
        <f>IF(OR(X65="估算法",X65="算法类",X65="无法识别"),"",IF(W65="",IF(OR(I65="ILF",I65="EIF"),0,""),LEN(W65)-LEN(SUBSTITUTE(W65,"、",""))+1))</f>
        <v/>
      </c>
      <c r="N65" s="83">
        <f>IF(OR(X65="估算法",X65="算法类",X65="无法识别"),"",IF(X65="",IF(OR(I65="ILF",I65="EIF",I65="EI",I65="EO",I65="EQ"),0,""),LEN(X65)-LEN(SUBSTITUTE(SUBSTITUTE(SUBSTITUTE(SUBSTITUTE(SUBSTITUTE(X65,"|}","--"),"{|","--"),CHAR(10),""),"、",""),"|",""))+IF(AND(OR(I65="EI",I65="EO",I65="EQ"),$AD$1="NESMA"),2,1)))</f>
        <v/>
      </c>
      <c r="O65" s="84">
        <f>IF(I65="EI",IF(OR(X65="估算法",X65="算法类"),"中",IF(X65="无法识别","低",IF(L65&lt;2,IF(N65&lt;16,"低","中"),IF(L65&lt;3,IF(N65&lt;5,"低",IF(N65&lt;16,"中","高")),IF(N65&lt;5,"中","高"))))),IF(OR(I65="EO",I65="EQ"),IF(OR(X65="估算法",X65="算法类"),"中",IF(X65="无法识别","低",IF(L65&lt;2,IF(N65&lt;20,"低","中"),IF(L65&lt;4,IF(N65&lt;6,"低",IF(N65&lt;20,"中","高")),IF(N65&lt;6,"中","高"))))),IF(OR(I65="ILF",I65="EIF"),IF(OR(X65="估算法",X65="算法类",X65="无法识别"),"低",IF(M65&lt;2,IF(N65&lt;51,"低","中"),IF(M65&lt;6,IF(N65&lt;20,"低",IF(N65&lt;51,"中","高")),IF(N65&lt;20,"中","高")))),"不计算")))</f>
        <v/>
      </c>
      <c r="P65" s="142">
        <f>IFERROR(IF(I65="EI",IF(O65="低",3,IF(O65="中",4,6)),IF(I65="EO",IF(O65="低",4,IF(O65="中",5,7)),IF(I65="EQ",IF(O65="低",3,IF(O65="中",4,6)),IF(I65="ILF",IF(O65="低",7,IF(O65="中",10,15)),IF(I65="EIF",IF(O65="低",5,IF(O65="中",7,10)),"不计算")))))*Q65,"不计算")</f>
        <v/>
      </c>
      <c r="Q65" s="142" t="n">
        <v>0.333333333333333</v>
      </c>
      <c r="R65" s="143">
        <f>调整因子!$F$13</f>
        <v/>
      </c>
      <c r="S65" s="76" t="n">
        <v>1</v>
      </c>
      <c r="T65" s="144">
        <f>IFERROR(P65*R65,0)</f>
        <v/>
      </c>
      <c r="U65" s="144">
        <f>T65*S65</f>
        <v/>
      </c>
      <c r="V65" s="88" t="inlineStr">
        <is>
          <t>弱账号管理表、弱密码管理表、弱口令组合管理表</t>
        </is>
      </c>
      <c r="W65" s="89" t="n"/>
      <c r="X65"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65" s="88" t="n"/>
      <c r="Z65" s="88" t="n"/>
      <c r="AA65" s="88" t="inlineStr">
        <is>
          <t>插件漏洞表、插件审核表、数据库变更日志表、数据库变更日志锁表</t>
        </is>
      </c>
    </row>
    <row r="66" hidden="1" ht="151.2" customFormat="1" customHeight="1" s="63">
      <c r="A66" s="69">
        <f>ROW()-1</f>
        <v/>
      </c>
      <c r="B66" s="53" t="n"/>
      <c r="C66" s="78" t="n">
        <v>2025</v>
      </c>
      <c r="D66" s="78" t="inlineStr">
        <is>
          <t>仲光华</t>
        </is>
      </c>
      <c r="E66" s="53" t="n"/>
      <c r="F66" s="53" t="n"/>
      <c r="G66" s="79" t="inlineStr">
        <is>
          <t>口令字典应用配置</t>
        </is>
      </c>
      <c r="H66" s="80" t="inlineStr">
        <is>
          <t>弱口令列表查询</t>
        </is>
      </c>
      <c r="I66" s="76" t="inlineStr">
        <is>
          <t>EQ</t>
        </is>
      </c>
      <c r="J66" s="108" t="n"/>
      <c r="K66" s="108" t="n"/>
      <c r="L66" s="83">
        <f>IF(OR(X66="估算法",X66="算法类",X66="无法识别"),"",IF(V66="",IF(OR(I66="EI",I66="EO",I66="EQ"),0,""),LEN(V66)-LEN(SUBSTITUTE(V66,"、",""))+1))</f>
        <v/>
      </c>
      <c r="M66" s="83">
        <f>IF(OR(X66="估算法",X66="算法类",X66="无法识别"),"",IF(W66="",IF(OR(I66="ILF",I66="EIF"),0,""),LEN(W66)-LEN(SUBSTITUTE(W66,"、",""))+1))</f>
        <v/>
      </c>
      <c r="N66" s="83">
        <f>IF(OR(X66="估算法",X66="算法类",X66="无法识别"),"",IF(X66="",IF(OR(I66="ILF",I66="EIF",I66="EI",I66="EO",I66="EQ"),0,""),LEN(X66)-LEN(SUBSTITUTE(SUBSTITUTE(SUBSTITUTE(SUBSTITUTE(SUBSTITUTE(X66,"|}","--"),"{|","--"),CHAR(10),""),"、",""),"|",""))+IF(AND(OR(I66="EI",I66="EO",I66="EQ"),$AD$1="NESMA"),2,1)))</f>
        <v/>
      </c>
      <c r="O66" s="84">
        <f>IF(I66="EI",IF(OR(X66="估算法",X66="算法类"),"中",IF(X66="无法识别","低",IF(L66&lt;2,IF(N66&lt;16,"低","中"),IF(L66&lt;3,IF(N66&lt;5,"低",IF(N66&lt;16,"中","高")),IF(N66&lt;5,"中","高"))))),IF(OR(I66="EO",I66="EQ"),IF(OR(X66="估算法",X66="算法类"),"中",IF(X66="无法识别","低",IF(L66&lt;2,IF(N66&lt;20,"低","中"),IF(L66&lt;4,IF(N66&lt;6,"低",IF(N66&lt;20,"中","高")),IF(N66&lt;6,"中","高"))))),IF(OR(I66="ILF",I66="EIF"),IF(OR(X66="估算法",X66="算法类",X66="无法识别"),"低",IF(M66&lt;2,IF(N66&lt;51,"低","中"),IF(M66&lt;6,IF(N66&lt;20,"低",IF(N66&lt;51,"中","高")),IF(N66&lt;20,"中","高")))),"不计算")))</f>
        <v/>
      </c>
      <c r="P66" s="142">
        <f>IFERROR(IF(I66="EI",IF(O66="低",3,IF(O66="中",4,6)),IF(I66="EO",IF(O66="低",4,IF(O66="中",5,7)),IF(I66="EQ",IF(O66="低",3,IF(O66="中",4,6)),IF(I66="ILF",IF(O66="低",7,IF(O66="中",10,15)),IF(I66="EIF",IF(O66="低",5,IF(O66="中",7,10)),"不计算")))))*Q66,"不计算")</f>
        <v/>
      </c>
      <c r="Q66" s="142" t="n">
        <v>1</v>
      </c>
      <c r="R66" s="143">
        <f>调整因子!$F$13</f>
        <v/>
      </c>
      <c r="S66" s="70" t="n">
        <v>1</v>
      </c>
      <c r="T66" s="144">
        <f>IFERROR(P66*R66,0)</f>
        <v/>
      </c>
      <c r="U66" s="144">
        <f>T66*S66</f>
        <v/>
      </c>
      <c r="V66" s="88" t="inlineStr">
        <is>
          <t>弱账号管理表、弱密码管理表、弱口令组合管理表、弱口令配置表、扫描节点表、扫描器分类表、安全厂商信息</t>
        </is>
      </c>
      <c r="W66" s="89" t="n"/>
      <c r="X66"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Y66" s="88" t="n"/>
      <c r="Z66" s="88" t="n"/>
      <c r="AA66" s="88" t="inlineStr">
        <is>
          <t>插件审核表、数据库变更日志表、数据库变更日志锁表、插件漏洞表</t>
        </is>
      </c>
    </row>
    <row r="67" hidden="1" ht="151.2" customFormat="1" customHeight="1" s="63">
      <c r="A67" s="69">
        <f>ROW()-1</f>
        <v/>
      </c>
      <c r="B67" s="53" t="n"/>
      <c r="C67" s="78" t="n">
        <v>2025</v>
      </c>
      <c r="D67" s="78" t="inlineStr">
        <is>
          <t>仲光华</t>
        </is>
      </c>
      <c r="E67" s="53" t="n"/>
      <c r="F67" s="53" t="n"/>
      <c r="G67" s="53" t="n"/>
      <c r="H67" s="80" t="inlineStr">
        <is>
          <t>新增弱口令配置</t>
        </is>
      </c>
      <c r="I67" s="76" t="inlineStr">
        <is>
          <t>EI</t>
        </is>
      </c>
      <c r="J67" s="108" t="n"/>
      <c r="K67" s="108" t="n"/>
      <c r="L67" s="83">
        <f>IF(OR(X67="估算法",X67="算法类",X67="无法识别"),"",IF(V67="",IF(OR(I67="EI",I67="EO",I67="EQ"),0,""),LEN(V67)-LEN(SUBSTITUTE(V67,"、",""))+1))</f>
        <v/>
      </c>
      <c r="M67" s="83">
        <f>IF(OR(X67="估算法",X67="算法类",X67="无法识别"),"",IF(W67="",IF(OR(I67="ILF",I67="EIF"),0,""),LEN(W67)-LEN(SUBSTITUTE(W67,"、",""))+1))</f>
        <v/>
      </c>
      <c r="N67" s="83">
        <f>IF(OR(X67="估算法",X67="算法类",X67="无法识别"),"",IF(X67="",IF(OR(I67="ILF",I67="EIF",I67="EI",I67="EO",I67="EQ"),0,""),LEN(X67)-LEN(SUBSTITUTE(SUBSTITUTE(SUBSTITUTE(SUBSTITUTE(SUBSTITUTE(X67,"|}","--"),"{|","--"),CHAR(10),""),"、",""),"|",""))+IF(AND(OR(I67="EI",I67="EO",I67="EQ"),$AD$1="NESMA"),2,1)))</f>
        <v/>
      </c>
      <c r="O67" s="84">
        <f>IF(I67="EI",IF(OR(X67="估算法",X67="算法类"),"中",IF(X67="无法识别","低",IF(L67&lt;2,IF(N67&lt;16,"低","中"),IF(L67&lt;3,IF(N67&lt;5,"低",IF(N67&lt;16,"中","高")),IF(N67&lt;5,"中","高"))))),IF(OR(I67="EO",I67="EQ"),IF(OR(X67="估算法",X67="算法类"),"中",IF(X67="无法识别","低",IF(L67&lt;2,IF(N67&lt;20,"低","中"),IF(L67&lt;4,IF(N67&lt;6,"低",IF(N67&lt;20,"中","高")),IF(N67&lt;6,"中","高"))))),IF(OR(I67="ILF",I67="EIF"),IF(OR(X67="估算法",X67="算法类",X67="无法识别"),"低",IF(M67&lt;2,IF(N67&lt;51,"低","中"),IF(M67&lt;6,IF(N67&lt;20,"低",IF(N67&lt;51,"中","高")),IF(N67&lt;20,"中","高")))),"不计算")))</f>
        <v/>
      </c>
      <c r="P67" s="142">
        <f>IFERROR(IF(I67="EI",IF(O67="低",3,IF(O67="中",4,6)),IF(I67="EO",IF(O67="低",4,IF(O67="中",5,7)),IF(I67="EQ",IF(O67="低",3,IF(O67="中",4,6)),IF(I67="ILF",IF(O67="低",7,IF(O67="中",10,15)),IF(I67="EIF",IF(O67="低",5,IF(O67="中",7,10)),"不计算")))))*Q67,"不计算")</f>
        <v/>
      </c>
      <c r="Q67" s="142" t="n">
        <v>1</v>
      </c>
      <c r="R67" s="143">
        <f>调整因子!$F$13</f>
        <v/>
      </c>
      <c r="S67" s="70" t="n">
        <v>1</v>
      </c>
      <c r="T67" s="144">
        <f>IFERROR(P67*R67,0)</f>
        <v/>
      </c>
      <c r="U67" s="144">
        <f>T67*S67</f>
        <v/>
      </c>
      <c r="V67" s="88" t="inlineStr">
        <is>
          <t>弱账号管理表、弱密码管理表、弱口令组合管理表、弱口令配置表、扫描节点表、扫描器分类表、安全厂商信息</t>
        </is>
      </c>
      <c r="W67" s="89" t="n"/>
      <c r="X67"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Y67" s="88" t="n"/>
      <c r="Z67" s="88" t="n"/>
      <c r="AA67" s="88" t="inlineStr">
        <is>
          <t>插件漏洞表、插件审核表、数据库变更日志表</t>
        </is>
      </c>
    </row>
    <row r="68" hidden="1" ht="151.2" customFormat="1" customHeight="1" s="63">
      <c r="A68" s="69">
        <f>ROW()-1</f>
        <v/>
      </c>
      <c r="B68" s="53" t="n"/>
      <c r="C68" s="78" t="n">
        <v>2025</v>
      </c>
      <c r="D68" s="78" t="inlineStr">
        <is>
          <t>仲光华</t>
        </is>
      </c>
      <c r="E68" s="53" t="n"/>
      <c r="F68" s="53" t="n"/>
      <c r="G68" s="53" t="n"/>
      <c r="H68" s="80" t="inlineStr">
        <is>
          <t>修改弱口令配置</t>
        </is>
      </c>
      <c r="I68" s="76" t="inlineStr">
        <is>
          <t>EI</t>
        </is>
      </c>
      <c r="J68" s="108" t="n"/>
      <c r="K68" s="108" t="n"/>
      <c r="L68" s="83">
        <f>IF(OR(X68="估算法",X68="算法类",X68="无法识别"),"",IF(V68="",IF(OR(I68="EI",I68="EO",I68="EQ"),0,""),LEN(V68)-LEN(SUBSTITUTE(V68,"、",""))+1))</f>
        <v/>
      </c>
      <c r="M68" s="83">
        <f>IF(OR(X68="估算法",X68="算法类",X68="无法识别"),"",IF(W68="",IF(OR(I68="ILF",I68="EIF"),0,""),LEN(W68)-LEN(SUBSTITUTE(W68,"、",""))+1))</f>
        <v/>
      </c>
      <c r="N68" s="83">
        <f>IF(OR(X68="估算法",X68="算法类",X68="无法识别"),"",IF(X68="",IF(OR(I68="ILF",I68="EIF",I68="EI",I68="EO",I68="EQ"),0,""),LEN(X68)-LEN(SUBSTITUTE(SUBSTITUTE(SUBSTITUTE(SUBSTITUTE(SUBSTITUTE(X68,"|}","--"),"{|","--"),CHAR(10),""),"、",""),"|",""))+IF(AND(OR(I68="EI",I68="EO",I68="EQ"),$AD$1="NESMA"),2,1)))</f>
        <v/>
      </c>
      <c r="O68" s="84">
        <f>IF(I68="EI",IF(OR(X68="估算法",X68="算法类"),"中",IF(X68="无法识别","低",IF(L68&lt;2,IF(N68&lt;16,"低","中"),IF(L68&lt;3,IF(N68&lt;5,"低",IF(N68&lt;16,"中","高")),IF(N68&lt;5,"中","高"))))),IF(OR(I68="EO",I68="EQ"),IF(OR(X68="估算法",X68="算法类"),"中",IF(X68="无法识别","低",IF(L68&lt;2,IF(N68&lt;20,"低","中"),IF(L68&lt;4,IF(N68&lt;6,"低",IF(N68&lt;20,"中","高")),IF(N68&lt;6,"中","高"))))),IF(OR(I68="ILF",I68="EIF"),IF(OR(X68="估算法",X68="算法类",X68="无法识别"),"低",IF(M68&lt;2,IF(N68&lt;51,"低","中"),IF(M68&lt;6,IF(N68&lt;20,"低",IF(N68&lt;51,"中","高")),IF(N68&lt;20,"中","高")))),"不计算")))</f>
        <v/>
      </c>
      <c r="P68" s="142">
        <f>IFERROR(IF(I68="EI",IF(O68="低",3,IF(O68="中",4,6)),IF(I68="EO",IF(O68="低",4,IF(O68="中",5,7)),IF(I68="EQ",IF(O68="低",3,IF(O68="中",4,6)),IF(I68="ILF",IF(O68="低",7,IF(O68="中",10,15)),IF(I68="EIF",IF(O68="低",5,IF(O68="中",7,10)),"不计算")))))*Q68,"不计算")</f>
        <v/>
      </c>
      <c r="Q68" s="142" t="n">
        <v>0.333333333333333</v>
      </c>
      <c r="R68" s="143">
        <f>调整因子!$F$13</f>
        <v/>
      </c>
      <c r="S68" s="76" t="n">
        <v>1</v>
      </c>
      <c r="T68" s="144">
        <f>IFERROR(P68*R68,0)</f>
        <v/>
      </c>
      <c r="U68" s="144">
        <f>T68*S68</f>
        <v/>
      </c>
      <c r="V68" s="88" t="inlineStr">
        <is>
          <t>弱账号管理表、弱密码管理表、弱口令组合管理表、弱口令配置表、扫描节点表、扫描器分类表、安全厂商信息</t>
        </is>
      </c>
      <c r="W68" s="89" t="n"/>
      <c r="X68"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Y68" s="88" t="n"/>
      <c r="Z68" s="88" t="n"/>
      <c r="AA68" s="88" t="inlineStr">
        <is>
          <t>插件组表</t>
        </is>
      </c>
    </row>
    <row r="69" hidden="1" ht="151.2" customFormat="1" customHeight="1" s="63">
      <c r="A69" s="69">
        <f>ROW()-1</f>
        <v/>
      </c>
      <c r="B69" s="53" t="n"/>
      <c r="C69" s="78" t="n">
        <v>2025</v>
      </c>
      <c r="D69" s="78" t="inlineStr">
        <is>
          <t>仲光华</t>
        </is>
      </c>
      <c r="E69" s="53" t="n"/>
      <c r="F69" s="53" t="n"/>
      <c r="G69" s="53" t="n"/>
      <c r="H69" s="80" t="inlineStr">
        <is>
          <t>删除弱口令配置</t>
        </is>
      </c>
      <c r="I69" s="76" t="inlineStr">
        <is>
          <t>EI</t>
        </is>
      </c>
      <c r="J69" s="108" t="n"/>
      <c r="K69" s="108" t="n"/>
      <c r="L69" s="83">
        <f>IF(OR(X69="估算法",X69="算法类",X69="无法识别"),"",IF(V69="",IF(OR(I69="EI",I69="EO",I69="EQ"),0,""),LEN(V69)-LEN(SUBSTITUTE(V69,"、",""))+1))</f>
        <v/>
      </c>
      <c r="M69" s="83">
        <f>IF(OR(X69="估算法",X69="算法类",X69="无法识别"),"",IF(W69="",IF(OR(I69="ILF",I69="EIF"),0,""),LEN(W69)-LEN(SUBSTITUTE(W69,"、",""))+1))</f>
        <v/>
      </c>
      <c r="N69" s="83">
        <f>IF(OR(X69="估算法",X69="算法类",X69="无法识别"),"",IF(X69="",IF(OR(I69="ILF",I69="EIF",I69="EI",I69="EO",I69="EQ"),0,""),LEN(X69)-LEN(SUBSTITUTE(SUBSTITUTE(SUBSTITUTE(SUBSTITUTE(SUBSTITUTE(X69,"|}","--"),"{|","--"),CHAR(10),""),"、",""),"|",""))+IF(AND(OR(I69="EI",I69="EO",I69="EQ"),$AD$1="NESMA"),2,1)))</f>
        <v/>
      </c>
      <c r="O69" s="84">
        <f>IF(I69="EI",IF(OR(X69="估算法",X69="算法类"),"中",IF(X69="无法识别","低",IF(L69&lt;2,IF(N69&lt;16,"低","中"),IF(L69&lt;3,IF(N69&lt;5,"低",IF(N69&lt;16,"中","高")),IF(N69&lt;5,"中","高"))))),IF(OR(I69="EO",I69="EQ"),IF(OR(X69="估算法",X69="算法类"),"中",IF(X69="无法识别","低",IF(L69&lt;2,IF(N69&lt;20,"低","中"),IF(L69&lt;4,IF(N69&lt;6,"低",IF(N69&lt;20,"中","高")),IF(N69&lt;6,"中","高"))))),IF(OR(I69="ILF",I69="EIF"),IF(OR(X69="估算法",X69="算法类",X69="无法识别"),"低",IF(M69&lt;2,IF(N69&lt;51,"低","中"),IF(M69&lt;6,IF(N69&lt;20,"低",IF(N69&lt;51,"中","高")),IF(N69&lt;20,"中","高")))),"不计算")))</f>
        <v/>
      </c>
      <c r="P69" s="142">
        <f>IFERROR(IF(I69="EI",IF(O69="低",3,IF(O69="中",4,6)),IF(I69="EO",IF(O69="低",4,IF(O69="中",5,7)),IF(I69="EQ",IF(O69="低",3,IF(O69="中",4,6)),IF(I69="ILF",IF(O69="低",7,IF(O69="中",10,15)),IF(I69="EIF",IF(O69="低",5,IF(O69="中",7,10)),"不计算")))))*Q69,"不计算")</f>
        <v/>
      </c>
      <c r="Q69" s="142" t="n">
        <v>0.333333333333333</v>
      </c>
      <c r="R69" s="143">
        <f>调整因子!$F$13</f>
        <v/>
      </c>
      <c r="S69" s="70" t="n">
        <v>1</v>
      </c>
      <c r="T69" s="144">
        <f>IFERROR(P69*R69,0)</f>
        <v/>
      </c>
      <c r="U69" s="144">
        <f>T69*S69</f>
        <v/>
      </c>
      <c r="V69" s="88" t="inlineStr">
        <is>
          <t>弱账号管理表、弱密码管理表、弱口令组合管理表、弱口令配置表、扫描节点表、扫描器分类表、安全厂商信息</t>
        </is>
      </c>
      <c r="W69" s="89" t="n"/>
      <c r="X69"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Y69" s="88" t="n"/>
      <c r="Z69" s="88" t="n"/>
      <c r="AA69" s="88" t="inlineStr">
        <is>
          <t>插件组表</t>
        </is>
      </c>
    </row>
    <row r="70" hidden="1" ht="151.2" customFormat="1" customHeight="1" s="63">
      <c r="A70" s="69">
        <f>ROW()-1</f>
        <v/>
      </c>
      <c r="B70" s="53" t="n"/>
      <c r="C70" s="78" t="n">
        <v>2025</v>
      </c>
      <c r="D70" s="78" t="inlineStr">
        <is>
          <t>仲光华</t>
        </is>
      </c>
      <c r="E70" s="53" t="n"/>
      <c r="F70" s="53" t="n"/>
      <c r="G70" s="54" t="n"/>
      <c r="H70" s="80" t="inlineStr">
        <is>
          <t>批量删除弱口令</t>
        </is>
      </c>
      <c r="I70" s="76" t="inlineStr">
        <is>
          <t>EI</t>
        </is>
      </c>
      <c r="J70" s="108" t="n"/>
      <c r="K70" s="108" t="inlineStr">
        <is>
          <t>批量操作</t>
        </is>
      </c>
      <c r="L70" s="83">
        <f>IF(OR(X70="估算法",X70="算法类",X70="无法识别"),"",IF(V70="",IF(OR(I70="EI",I70="EO",I70="EQ"),0,""),LEN(V70)-LEN(SUBSTITUTE(V70,"、",""))+1))</f>
        <v/>
      </c>
      <c r="M70" s="83">
        <f>IF(OR(X70="估算法",X70="算法类",X70="无法识别"),"",IF(W70="",IF(OR(I70="ILF",I70="EIF"),0,""),LEN(W70)-LEN(SUBSTITUTE(W70,"、",""))+1))</f>
        <v/>
      </c>
      <c r="N70" s="83">
        <f>IF(OR(X70="估算法",X70="算法类",X70="无法识别"),"",IF(X70="",IF(OR(I70="ILF",I70="EIF",I70="EI",I70="EO",I70="EQ"),0,""),LEN(X70)-LEN(SUBSTITUTE(SUBSTITUTE(SUBSTITUTE(SUBSTITUTE(SUBSTITUTE(X70,"|}","--"),"{|","--"),CHAR(10),""),"、",""),"|",""))+IF(AND(OR(I70="EI",I70="EO",I70="EQ"),$AD$1="NESMA"),2,1)))</f>
        <v/>
      </c>
      <c r="O70" s="84">
        <f>IF(I70="EI",IF(OR(X70="估算法",X70="算法类"),"中",IF(X70="无法识别","低",IF(L70&lt;2,IF(N70&lt;16,"低","中"),IF(L70&lt;3,IF(N70&lt;5,"低",IF(N70&lt;16,"中","高")),IF(N70&lt;5,"中","高"))))),IF(OR(I70="EO",I70="EQ"),IF(OR(X70="估算法",X70="算法类"),"中",IF(X70="无法识别","低",IF(L70&lt;2,IF(N70&lt;20,"低","中"),IF(L70&lt;4,IF(N70&lt;6,"低",IF(N70&lt;20,"中","高")),IF(N70&lt;6,"中","高"))))),IF(OR(I70="ILF",I70="EIF"),IF(OR(X70="估算法",X70="算法类",X70="无法识别"),"低",IF(M70&lt;2,IF(N70&lt;51,"低","中"),IF(M70&lt;6,IF(N70&lt;20,"低",IF(N70&lt;51,"中","高")),IF(N70&lt;20,"中","高")))),"不计算")))</f>
        <v/>
      </c>
      <c r="P70" s="142">
        <f>IFERROR(IF(I70="EI",IF(O70="低",3,IF(O70="中",4,6)),IF(I70="EO",IF(O70="低",4,IF(O70="中",5,7)),IF(I70="EQ",IF(O70="低",3,IF(O70="中",4,6)),IF(I70="ILF",IF(O70="低",7,IF(O70="中",10,15)),IF(I70="EIF",IF(O70="低",5,IF(O70="中",7,10)),"不计算")))))*Q70,"不计算")</f>
        <v/>
      </c>
      <c r="Q70" s="142" t="n">
        <v>0.333333333333333</v>
      </c>
      <c r="R70" s="143">
        <f>调整因子!$F$13</f>
        <v/>
      </c>
      <c r="S70" s="70" t="n">
        <v>1</v>
      </c>
      <c r="T70" s="144">
        <f>IFERROR(P70*R70,0)</f>
        <v/>
      </c>
      <c r="U70" s="144">
        <f>T70*S70</f>
        <v/>
      </c>
      <c r="V70" s="88" t="inlineStr">
        <is>
          <t>弱账号管理表、弱密码管理表、弱口令组合管理表、弱口令配置表、扫描节点表、扫描器分类表、安全厂商信息</t>
        </is>
      </c>
      <c r="W70" s="89" t="n"/>
      <c r="X70"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Y70" s="88" t="n"/>
      <c r="Z70" s="88" t="n"/>
      <c r="AA70" s="88" t="inlineStr">
        <is>
          <t>插件组表</t>
        </is>
      </c>
    </row>
    <row r="71" hidden="1" ht="97.2" customFormat="1" customHeight="1" s="63">
      <c r="A71" s="69">
        <f>ROW()-1</f>
        <v/>
      </c>
      <c r="B71" s="53" t="n"/>
      <c r="C71" s="78" t="n">
        <v>2025</v>
      </c>
      <c r="D71" s="78" t="inlineStr">
        <is>
          <t>仲光华</t>
        </is>
      </c>
      <c r="E71" s="53" t="n"/>
      <c r="F71" s="53" t="n"/>
      <c r="G71" s="79" t="inlineStr">
        <is>
          <t>本省字典回传与更新</t>
        </is>
      </c>
      <c r="H71" s="80" t="inlineStr">
        <is>
          <t>未上传弱口令筛选</t>
        </is>
      </c>
      <c r="I71" s="76" t="n"/>
      <c r="J71" s="108" t="n"/>
      <c r="K71" s="108" t="inlineStr">
        <is>
          <t>和下行合并，相同事务功能</t>
        </is>
      </c>
      <c r="L71" s="83">
        <f>IF(OR(X71="估算法",X71="算法类",X71="无法识别"),"",IF(V71="",IF(OR(I71="EI",I71="EO",I71="EQ"),0,""),LEN(V71)-LEN(SUBSTITUTE(V71,"、",""))+1))</f>
        <v/>
      </c>
      <c r="M71" s="83">
        <f>IF(OR(X71="估算法",X71="算法类",X71="无法识别"),"",IF(W71="",IF(OR(I71="ILF",I71="EIF"),0,""),LEN(W71)-LEN(SUBSTITUTE(W71,"、",""))+1))</f>
        <v/>
      </c>
      <c r="N71" s="83">
        <f>IF(OR(X71="估算法",X71="算法类",X71="无法识别"),"",IF(X71="",IF(OR(I71="ILF",I71="EIF",I71="EI",I71="EO",I71="EQ"),0,""),LEN(X71)-LEN(SUBSTITUTE(SUBSTITUTE(SUBSTITUTE(SUBSTITUTE(SUBSTITUTE(X71,"|}","--"),"{|","--"),CHAR(10),""),"、",""),"|",""))+IF(AND(OR(I71="EI",I71="EO",I71="EQ"),$AD$1="NESMA"),2,1)))</f>
        <v/>
      </c>
      <c r="O71" s="84">
        <f>IF(I71="EI",IF(OR(X71="估算法",X71="算法类"),"中",IF(X71="无法识别","低",IF(L71&lt;2,IF(N71&lt;16,"低","中"),IF(L71&lt;3,IF(N71&lt;5,"低",IF(N71&lt;16,"中","高")),IF(N71&lt;5,"中","高"))))),IF(OR(I71="EO",I71="EQ"),IF(OR(X71="估算法",X71="算法类"),"中",IF(X71="无法识别","低",IF(L71&lt;2,IF(N71&lt;20,"低","中"),IF(L71&lt;4,IF(N71&lt;6,"低",IF(N71&lt;20,"中","高")),IF(N71&lt;6,"中","高"))))),IF(OR(I71="ILF",I71="EIF"),IF(OR(X71="估算法",X71="算法类",X71="无法识别"),"低",IF(M71&lt;2,IF(N71&lt;51,"低","中"),IF(M71&lt;6,IF(N71&lt;20,"低",IF(N71&lt;51,"中","高")),IF(N71&lt;20,"中","高")))),"不计算")))</f>
        <v/>
      </c>
      <c r="P71" s="142">
        <f>IFERROR(IF(I71="EI",IF(O71="低",3,IF(O71="中",4,6)),IF(I71="EO",IF(O71="低",4,IF(O71="中",5,7)),IF(I71="EQ",IF(O71="低",3,IF(O71="中",4,6)),IF(I71="ILF",IF(O71="低",7,IF(O71="中",10,15)),IF(I71="EIF",IF(O71="低",5,IF(O71="中",7,10)),"不计算")))))*Q71,"不计算")</f>
        <v/>
      </c>
      <c r="Q71" s="142" t="n">
        <v>1</v>
      </c>
      <c r="R71" s="143">
        <f>调整因子!$F$13</f>
        <v/>
      </c>
      <c r="S71" s="76" t="n">
        <v>1</v>
      </c>
      <c r="T71" s="144">
        <f>IFERROR(P71*R71,0)</f>
        <v/>
      </c>
      <c r="U71" s="144">
        <f>T71*S71</f>
        <v/>
      </c>
      <c r="V71" s="88" t="inlineStr">
        <is>
          <t>弱账号管理表、弱密码管理表、弱口令组合管理表、口令字典同步明细记录表</t>
        </is>
      </c>
      <c r="W71" s="89" t="n"/>
      <c r="X71"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71" s="88" t="n"/>
      <c r="Z71" s="88" t="n"/>
      <c r="AA71" s="88" t="inlineStr">
        <is>
          <t>引擎基本信息表、引擎版本管理表、插件组表</t>
        </is>
      </c>
    </row>
    <row r="72" hidden="1" ht="97.2" customFormat="1" customHeight="1" s="63">
      <c r="A72" s="69">
        <f>ROW()-1</f>
        <v/>
      </c>
      <c r="B72" s="53" t="n"/>
      <c r="C72" s="78" t="n">
        <v>2025</v>
      </c>
      <c r="D72" s="78" t="inlineStr">
        <is>
          <t>仲光华</t>
        </is>
      </c>
      <c r="E72" s="53" t="n"/>
      <c r="F72" s="53" t="n"/>
      <c r="G72" s="53" t="n"/>
      <c r="H72" s="80" t="inlineStr">
        <is>
          <t>回传弱口令</t>
        </is>
      </c>
      <c r="I72" s="76" t="inlineStr">
        <is>
          <t>EI</t>
        </is>
      </c>
      <c r="J72" s="108" t="n"/>
      <c r="K72" s="108" t="n"/>
      <c r="L72" s="83">
        <f>IF(OR(X72="估算法",X72="算法类",X72="无法识别"),"",IF(V72="",IF(OR(I72="EI",I72="EO",I72="EQ"),0,""),LEN(V72)-LEN(SUBSTITUTE(V72,"、",""))+1))</f>
        <v/>
      </c>
      <c r="M72" s="83">
        <f>IF(OR(X72="估算法",X72="算法类",X72="无法识别"),"",IF(W72="",IF(OR(I72="ILF",I72="EIF"),0,""),LEN(W72)-LEN(SUBSTITUTE(W72,"、",""))+1))</f>
        <v/>
      </c>
      <c r="N72" s="83">
        <f>IF(OR(X72="估算法",X72="算法类",X72="无法识别"),"",IF(X72="",IF(OR(I72="ILF",I72="EIF",I72="EI",I72="EO",I72="EQ"),0,""),LEN(X72)-LEN(SUBSTITUTE(SUBSTITUTE(SUBSTITUTE(SUBSTITUTE(SUBSTITUTE(X72,"|}","--"),"{|","--"),CHAR(10),""),"、",""),"|",""))+IF(AND(OR(I72="EI",I72="EO",I72="EQ"),$AD$1="NESMA"),2,1)))</f>
        <v/>
      </c>
      <c r="O72" s="84">
        <f>IF(I72="EI",IF(OR(X72="估算法",X72="算法类"),"中",IF(X72="无法识别","低",IF(L72&lt;2,IF(N72&lt;16,"低","中"),IF(L72&lt;3,IF(N72&lt;5,"低",IF(N72&lt;16,"中","高")),IF(N72&lt;5,"中","高"))))),IF(OR(I72="EO",I72="EQ"),IF(OR(X72="估算法",X72="算法类"),"中",IF(X72="无法识别","低",IF(L72&lt;2,IF(N72&lt;20,"低","中"),IF(L72&lt;4,IF(N72&lt;6,"低",IF(N72&lt;20,"中","高")),IF(N72&lt;6,"中","高"))))),IF(OR(I72="ILF",I72="EIF"),IF(OR(X72="估算法",X72="算法类",X72="无法识别"),"低",IF(M72&lt;2,IF(N72&lt;51,"低","中"),IF(M72&lt;6,IF(N72&lt;20,"低",IF(N72&lt;51,"中","高")),IF(N72&lt;20,"中","高")))),"不计算")))</f>
        <v/>
      </c>
      <c r="P72" s="142">
        <f>IFERROR(IF(I72="EI",IF(O72="低",3,IF(O72="中",4,6)),IF(I72="EO",IF(O72="低",4,IF(O72="中",5,7)),IF(I72="EQ",IF(O72="低",3,IF(O72="中",4,6)),IF(I72="ILF",IF(O72="低",7,IF(O72="中",10,15)),IF(I72="EIF",IF(O72="低",5,IF(O72="中",7,10)),"不计算")))))*Q72,"不计算")</f>
        <v/>
      </c>
      <c r="Q72" s="142" t="n">
        <v>1</v>
      </c>
      <c r="R72" s="143">
        <f>调整因子!$F$13</f>
        <v/>
      </c>
      <c r="S72" s="70" t="n">
        <v>1</v>
      </c>
      <c r="T72" s="144">
        <f>IFERROR(P72*R72,0)</f>
        <v/>
      </c>
      <c r="U72" s="144">
        <f>T72*S72</f>
        <v/>
      </c>
      <c r="V72" s="88" t="inlineStr">
        <is>
          <t>弱账号管理表、弱密码管理表、弱口令组合管理表、口令字典同步明细记录表</t>
        </is>
      </c>
      <c r="W72" s="89" t="n"/>
      <c r="X72" s="88"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Y72" s="88" t="n"/>
      <c r="Z72" s="88" t="n"/>
      <c r="AA72" s="88" t="inlineStr">
        <is>
          <t>插件组表、引擎基本信息表、引擎版本管理表</t>
        </is>
      </c>
    </row>
    <row r="73" hidden="1" ht="21.6" customFormat="1" customHeight="1" s="63">
      <c r="A73" s="69">
        <f>ROW()-1</f>
        <v/>
      </c>
      <c r="B73" s="53" t="n"/>
      <c r="C73" s="78" t="n">
        <v>2025</v>
      </c>
      <c r="D73" s="78" t="inlineStr">
        <is>
          <t>仲光华</t>
        </is>
      </c>
      <c r="E73" s="53" t="n"/>
      <c r="F73" s="53" t="n"/>
      <c r="G73" s="53" t="n"/>
      <c r="H73" s="81" t="inlineStr">
        <is>
          <t>弱账号管理表</t>
        </is>
      </c>
      <c r="I73" s="76" t="inlineStr">
        <is>
          <t>ILF</t>
        </is>
      </c>
      <c r="J73" s="108" t="n"/>
      <c r="K73" s="108" t="n"/>
      <c r="L73" s="83">
        <f>IF(OR(X73="估算法",X73="算法类",X73="无法识别"),"",IF(V73="",IF(OR(I73="EI",I73="EO",I73="EQ"),0,""),LEN(V73)-LEN(SUBSTITUTE(V73,"、",""))+1))</f>
        <v/>
      </c>
      <c r="M73" s="83">
        <f>IF(OR(X73="估算法",X73="算法类",X73="无法识别"),"",IF(W73="",IF(OR(I73="ILF",I73="EIF"),0,""),LEN(W73)-LEN(SUBSTITUTE(W73,"、",""))+1))</f>
        <v/>
      </c>
      <c r="N73" s="83">
        <f>IF(OR(X73="估算法",X73="算法类",X73="无法识别"),"",IF(X73="",IF(OR(I73="ILF",I73="EIF",I73="EI",I73="EO",I73="EQ"),0,""),LEN(X73)-LEN(SUBSTITUTE(SUBSTITUTE(SUBSTITUTE(SUBSTITUTE(SUBSTITUTE(X73,"|}","--"),"{|","--"),CHAR(10),""),"、",""),"|",""))+IF(AND(OR(I73="EI",I73="EO",I73="EQ"),$AD$1="NESMA"),2,1)))</f>
        <v/>
      </c>
      <c r="O73" s="84">
        <f>IF(I73="EI",IF(OR(X73="估算法",X73="算法类"),"中",IF(X73="无法识别","低",IF(L73&lt;2,IF(N73&lt;16,"低","中"),IF(L73&lt;3,IF(N73&lt;5,"低",IF(N73&lt;16,"中","高")),IF(N73&lt;5,"中","高"))))),IF(OR(I73="EO",I73="EQ"),IF(OR(X73="估算法",X73="算法类"),"中",IF(X73="无法识别","低",IF(L73&lt;2,IF(N73&lt;20,"低","中"),IF(L73&lt;4,IF(N73&lt;6,"低",IF(N73&lt;20,"中","高")),IF(N73&lt;6,"中","高"))))),IF(OR(I73="ILF",I73="EIF"),IF(OR(X73="估算法",X73="算法类",X73="无法识别"),"低",IF(M73&lt;2,IF(N73&lt;51,"低","中"),IF(M73&lt;6,IF(N73&lt;20,"低",IF(N73&lt;51,"中","高")),IF(N73&lt;20,"中","高")))),"不计算")))</f>
        <v/>
      </c>
      <c r="P73" s="142">
        <f>IFERROR(IF(I73="EI",IF(O73="低",3,IF(O73="中",4,6)),IF(I73="EO",IF(O73="低",4,IF(O73="中",5,7)),IF(I73="EQ",IF(O73="低",3,IF(O73="中",4,6)),IF(I73="ILF",IF(O73="低",7,IF(O73="中",10,15)),IF(I73="EIF",IF(O73="低",5,IF(O73="中",7,10)),"不计算")))))*Q73,"不计算")</f>
        <v/>
      </c>
      <c r="Q73" s="142" t="n">
        <v>1</v>
      </c>
      <c r="R73" s="143">
        <f>调整因子!$F$13</f>
        <v/>
      </c>
      <c r="S73" s="70" t="n">
        <v>1</v>
      </c>
      <c r="T73" s="144">
        <f>IFERROR(P73*R73,0)</f>
        <v/>
      </c>
      <c r="U73" s="144">
        <f>T73*S73</f>
        <v/>
      </c>
      <c r="V73" s="81" t="n"/>
      <c r="W73" s="88" t="inlineStr">
        <is>
          <t>弱账号管理表</t>
        </is>
      </c>
      <c r="X73" s="88" t="inlineStr">
        <is>
          <t>弱账号管理表{ID、弱账号名称、弱账号内容、弱账号内容MD5值、类型、创建时间、创建人、最后修改时间、修改人、备注}</t>
        </is>
      </c>
      <c r="Y73" s="88">
        <f>IF(COUNTIFS(V:V,"*"&amp;H73&amp;"*")&gt;0,"存在","不存在")</f>
        <v/>
      </c>
      <c r="Z73" s="88">
        <f>IF(COUNTIFS(AA:AA,"*"&amp;H73&amp;"*")&gt;0,"存在","不存在")</f>
        <v/>
      </c>
      <c r="AA73" s="88" t="inlineStr">
        <is>
          <t>引擎基本信息表</t>
        </is>
      </c>
    </row>
    <row r="74" hidden="1" ht="21.6" customFormat="1" customHeight="1" s="63">
      <c r="A74" s="69">
        <f>ROW()-1</f>
        <v/>
      </c>
      <c r="B74" s="53" t="n"/>
      <c r="C74" s="78" t="n">
        <v>2025</v>
      </c>
      <c r="D74" s="78" t="inlineStr">
        <is>
          <t>仲光华</t>
        </is>
      </c>
      <c r="E74" s="53" t="n"/>
      <c r="F74" s="53" t="n"/>
      <c r="G74" s="53" t="n"/>
      <c r="H74" s="81" t="inlineStr">
        <is>
          <t>弱密码管理表</t>
        </is>
      </c>
      <c r="I74" s="76" t="inlineStr">
        <is>
          <t>ILF</t>
        </is>
      </c>
      <c r="J74" s="108" t="n"/>
      <c r="K74" s="108" t="n"/>
      <c r="L74" s="83">
        <f>IF(OR(X74="估算法",X74="算法类",X74="无法识别"),"",IF(V74="",IF(OR(I74="EI",I74="EO",I74="EQ"),0,""),LEN(V74)-LEN(SUBSTITUTE(V74,"、",""))+1))</f>
        <v/>
      </c>
      <c r="M74" s="83">
        <f>IF(OR(X74="估算法",X74="算法类",X74="无法识别"),"",IF(W74="",IF(OR(I74="ILF",I74="EIF"),0,""),LEN(W74)-LEN(SUBSTITUTE(W74,"、",""))+1))</f>
        <v/>
      </c>
      <c r="N74" s="83">
        <f>IF(OR(X74="估算法",X74="算法类",X74="无法识别"),"",IF(X74="",IF(OR(I74="ILF",I74="EIF",I74="EI",I74="EO",I74="EQ"),0,""),LEN(X74)-LEN(SUBSTITUTE(SUBSTITUTE(SUBSTITUTE(SUBSTITUTE(SUBSTITUTE(X74,"|}","--"),"{|","--"),CHAR(10),""),"、",""),"|",""))+IF(AND(OR(I74="EI",I74="EO",I74="EQ"),$AD$1="NESMA"),2,1)))</f>
        <v/>
      </c>
      <c r="O74" s="84">
        <f>IF(I74="EI",IF(OR(X74="估算法",X74="算法类"),"中",IF(X74="无法识别","低",IF(L74&lt;2,IF(N74&lt;16,"低","中"),IF(L74&lt;3,IF(N74&lt;5,"低",IF(N74&lt;16,"中","高")),IF(N74&lt;5,"中","高"))))),IF(OR(I74="EO",I74="EQ"),IF(OR(X74="估算法",X74="算法类"),"中",IF(X74="无法识别","低",IF(L74&lt;2,IF(N74&lt;20,"低","中"),IF(L74&lt;4,IF(N74&lt;6,"低",IF(N74&lt;20,"中","高")),IF(N74&lt;6,"中","高"))))),IF(OR(I74="ILF",I74="EIF"),IF(OR(X74="估算法",X74="算法类",X74="无法识别"),"低",IF(M74&lt;2,IF(N74&lt;51,"低","中"),IF(M74&lt;6,IF(N74&lt;20,"低",IF(N74&lt;51,"中","高")),IF(N74&lt;20,"中","高")))),"不计算")))</f>
        <v/>
      </c>
      <c r="P74" s="142">
        <f>IFERROR(IF(I74="EI",IF(O74="低",3,IF(O74="中",4,6)),IF(I74="EO",IF(O74="低",4,IF(O74="中",5,7)),IF(I74="EQ",IF(O74="低",3,IF(O74="中",4,6)),IF(I74="ILF",IF(O74="低",7,IF(O74="中",10,15)),IF(I74="EIF",IF(O74="低",5,IF(O74="中",7,10)),"不计算")))))*Q74,"不计算")</f>
        <v/>
      </c>
      <c r="Q74" s="142" t="n">
        <v>1</v>
      </c>
      <c r="R74" s="143">
        <f>调整因子!$F$13</f>
        <v/>
      </c>
      <c r="S74" s="76" t="n">
        <v>1</v>
      </c>
      <c r="T74" s="144">
        <f>IFERROR(P74*R74,0)</f>
        <v/>
      </c>
      <c r="U74" s="144">
        <f>T74*S74</f>
        <v/>
      </c>
      <c r="V74" s="81" t="n"/>
      <c r="W74" s="88" t="inlineStr">
        <is>
          <t>弱密码管理表</t>
        </is>
      </c>
      <c r="X74" s="88" t="inlineStr">
        <is>
          <t>弱密码管理表{ID、弱密码名称、弱密码内容、弱密码内容MD5值、类型、创建时间、创建人、最后修改时间、修改人、备注}</t>
        </is>
      </c>
      <c r="Y74" s="88">
        <f>IF(COUNTIFS(V:V,"*"&amp;H74&amp;"*")&gt;0,"存在","不存在")</f>
        <v/>
      </c>
      <c r="Z74" s="88">
        <f>IF(COUNTIFS(AA:AA,"*"&amp;H74&amp;"*")&gt;0,"存在","不存在")</f>
        <v/>
      </c>
      <c r="AA74" s="88" t="inlineStr">
        <is>
          <t>引擎基本信息表</t>
        </is>
      </c>
    </row>
    <row r="75" hidden="1" ht="21.6" customFormat="1" customHeight="1" s="63">
      <c r="A75" s="69">
        <f>ROW()-1</f>
        <v/>
      </c>
      <c r="B75" s="53" t="n"/>
      <c r="C75" s="78" t="n">
        <v>2025</v>
      </c>
      <c r="D75" s="78" t="inlineStr">
        <is>
          <t>仲光华</t>
        </is>
      </c>
      <c r="E75" s="53" t="n"/>
      <c r="F75" s="53" t="n"/>
      <c r="G75" s="53" t="n"/>
      <c r="H75" s="81" t="inlineStr">
        <is>
          <t>弱口令组合管理表</t>
        </is>
      </c>
      <c r="I75" s="76" t="inlineStr">
        <is>
          <t>ILF</t>
        </is>
      </c>
      <c r="J75" s="108" t="n"/>
      <c r="K75" s="108" t="n"/>
      <c r="L75" s="83">
        <f>IF(OR(X75="估算法",X75="算法类",X75="无法识别"),"",IF(V75="",IF(OR(I75="EI",I75="EO",I75="EQ"),0,""),LEN(V75)-LEN(SUBSTITUTE(V75,"、",""))+1))</f>
        <v/>
      </c>
      <c r="M75" s="83">
        <f>IF(OR(X75="估算法",X75="算法类",X75="无法识别"),"",IF(W75="",IF(OR(I75="ILF",I75="EIF"),0,""),LEN(W75)-LEN(SUBSTITUTE(W75,"、",""))+1))</f>
        <v/>
      </c>
      <c r="N75" s="83">
        <f>IF(OR(X75="估算法",X75="算法类",X75="无法识别"),"",IF(X75="",IF(OR(I75="ILF",I75="EIF",I75="EI",I75="EO",I75="EQ"),0,""),LEN(X75)-LEN(SUBSTITUTE(SUBSTITUTE(SUBSTITUTE(SUBSTITUTE(SUBSTITUTE(X75,"|}","--"),"{|","--"),CHAR(10),""),"、",""),"|",""))+IF(AND(OR(I75="EI",I75="EO",I75="EQ"),$AD$1="NESMA"),2,1)))</f>
        <v/>
      </c>
      <c r="O75" s="84">
        <f>IF(I75="EI",IF(OR(X75="估算法",X75="算法类"),"中",IF(X75="无法识别","低",IF(L75&lt;2,IF(N75&lt;16,"低","中"),IF(L75&lt;3,IF(N75&lt;5,"低",IF(N75&lt;16,"中","高")),IF(N75&lt;5,"中","高"))))),IF(OR(I75="EO",I75="EQ"),IF(OR(X75="估算法",X75="算法类"),"中",IF(X75="无法识别","低",IF(L75&lt;2,IF(N75&lt;20,"低","中"),IF(L75&lt;4,IF(N75&lt;6,"低",IF(N75&lt;20,"中","高")),IF(N75&lt;6,"中","高"))))),IF(OR(I75="ILF",I75="EIF"),IF(OR(X75="估算法",X75="算法类",X75="无法识别"),"低",IF(M75&lt;2,IF(N75&lt;51,"低","中"),IF(M75&lt;6,IF(N75&lt;20,"低",IF(N75&lt;51,"中","高")),IF(N75&lt;20,"中","高")))),"不计算")))</f>
        <v/>
      </c>
      <c r="P75" s="142">
        <f>IFERROR(IF(I75="EI",IF(O75="低",3,IF(O75="中",4,6)),IF(I75="EO",IF(O75="低",4,IF(O75="中",5,7)),IF(I75="EQ",IF(O75="低",3,IF(O75="中",4,6)),IF(I75="ILF",IF(O75="低",7,IF(O75="中",10,15)),IF(I75="EIF",IF(O75="低",5,IF(O75="中",7,10)),"不计算")))))*Q75,"不计算")</f>
        <v/>
      </c>
      <c r="Q75" s="142" t="n">
        <v>1</v>
      </c>
      <c r="R75" s="143">
        <f>调整因子!$F$13</f>
        <v/>
      </c>
      <c r="S75" s="70" t="n">
        <v>1</v>
      </c>
      <c r="T75" s="144">
        <f>IFERROR(P75*R75,0)</f>
        <v/>
      </c>
      <c r="U75" s="144">
        <f>T75*S75</f>
        <v/>
      </c>
      <c r="V75" s="81" t="n"/>
      <c r="W75" s="88" t="inlineStr">
        <is>
          <t>弱口令组合管理表</t>
        </is>
      </c>
      <c r="X75" s="88" t="inlineStr">
        <is>
          <t>弱口令组合管理表{ID、弱口令名称、弱口令内容、弱口令内容MD5值、类型、创建时间、创建人、最后修改时间、修改人、备注}</t>
        </is>
      </c>
      <c r="Y75" s="88">
        <f>IF(COUNTIFS(V:V,"*"&amp;H75&amp;"*")&gt;0,"存在","不存在")</f>
        <v/>
      </c>
      <c r="Z75" s="88">
        <f>IF(COUNTIFS(AA:AA,"*"&amp;H75&amp;"*")&gt;0,"存在","不存在")</f>
        <v/>
      </c>
      <c r="AA75" s="88" t="inlineStr">
        <is>
          <t>引擎基本信息表</t>
        </is>
      </c>
    </row>
    <row r="76" hidden="1" ht="32.4" customFormat="1" customHeight="1" s="63">
      <c r="A76" s="69">
        <f>ROW()-1</f>
        <v/>
      </c>
      <c r="B76" s="53" t="n"/>
      <c r="C76" s="78" t="n">
        <v>2025</v>
      </c>
      <c r="D76" s="78" t="inlineStr">
        <is>
          <t>仲光华</t>
        </is>
      </c>
      <c r="E76" s="53" t="n"/>
      <c r="F76" s="53" t="n"/>
      <c r="G76" s="53" t="n"/>
      <c r="H76" s="81" t="inlineStr">
        <is>
          <t>口令字典同步明细记录表</t>
        </is>
      </c>
      <c r="I76" s="76" t="n"/>
      <c r="J76" s="108" t="n"/>
      <c r="K76" s="108" t="inlineStr">
        <is>
          <t>流水/同步记录表</t>
        </is>
      </c>
      <c r="L76" s="83">
        <f>IF(OR(X76="估算法",X76="算法类",X76="无法识别"),"",IF(V76="",IF(OR(I76="EI",I76="EO",I76="EQ"),0,""),LEN(V76)-LEN(SUBSTITUTE(V76,"、",""))+1))</f>
        <v/>
      </c>
      <c r="M76" s="83">
        <f>IF(OR(X76="估算法",X76="算法类",X76="无法识别"),"",IF(W76="",IF(OR(I76="ILF",I76="EIF"),0,""),LEN(W76)-LEN(SUBSTITUTE(W76,"、",""))+1))</f>
        <v/>
      </c>
      <c r="N76" s="83">
        <f>IF(OR(X76="估算法",X76="算法类",X76="无法识别"),"",IF(X76="",IF(OR(I76="ILF",I76="EIF",I76="EI",I76="EO",I76="EQ"),0,""),LEN(X76)-LEN(SUBSTITUTE(SUBSTITUTE(SUBSTITUTE(SUBSTITUTE(SUBSTITUTE(X76,"|}","--"),"{|","--"),CHAR(10),""),"、",""),"|",""))+IF(AND(OR(I76="EI",I76="EO",I76="EQ"),$AD$1="NESMA"),2,1)))</f>
        <v/>
      </c>
      <c r="O76" s="84">
        <f>IF(I76="EI",IF(OR(X76="估算法",X76="算法类"),"中",IF(X76="无法识别","低",IF(L76&lt;2,IF(N76&lt;16,"低","中"),IF(L76&lt;3,IF(N76&lt;5,"低",IF(N76&lt;16,"中","高")),IF(N76&lt;5,"中","高"))))),IF(OR(I76="EO",I76="EQ"),IF(OR(X76="估算法",X76="算法类"),"中",IF(X76="无法识别","低",IF(L76&lt;2,IF(N76&lt;20,"低","中"),IF(L76&lt;4,IF(N76&lt;6,"低",IF(N76&lt;20,"中","高")),IF(N76&lt;6,"中","高"))))),IF(OR(I76="ILF",I76="EIF"),IF(OR(X76="估算法",X76="算法类",X76="无法识别"),"低",IF(M76&lt;2,IF(N76&lt;51,"低","中"),IF(M76&lt;6,IF(N76&lt;20,"低",IF(N76&lt;51,"中","高")),IF(N76&lt;20,"中","高")))),"不计算")))</f>
        <v/>
      </c>
      <c r="P76" s="142">
        <f>IFERROR(IF(I76="EI",IF(O76="低",3,IF(O76="中",4,6)),IF(I76="EO",IF(O76="低",4,IF(O76="中",5,7)),IF(I76="EQ",IF(O76="低",3,IF(O76="中",4,6)),IF(I76="ILF",IF(O76="低",7,IF(O76="中",10,15)),IF(I76="EIF",IF(O76="低",5,IF(O76="中",7,10)),"不计算")))))*Q76,"不计算")</f>
        <v/>
      </c>
      <c r="Q76" s="142" t="n">
        <v>1</v>
      </c>
      <c r="R76" s="143">
        <f>调整因子!$F$13</f>
        <v/>
      </c>
      <c r="S76" s="70" t="n">
        <v>1</v>
      </c>
      <c r="T76" s="144">
        <f>IFERROR(P76*R76,0)</f>
        <v/>
      </c>
      <c r="U76" s="144">
        <f>T76*S76</f>
        <v/>
      </c>
      <c r="V76" s="81" t="n"/>
      <c r="W76" s="88" t="inlineStr">
        <is>
          <t>口令字典同步明细记录表</t>
        </is>
      </c>
      <c r="X76" s="88" t="inlineStr">
        <is>
          <t>口令字典同步明细记录表{ID、扫描节点ID、口令字典ID、口令字典名称、口令字典类型、同步扫描器弱口令ID、同步扫描器时的名称、同步扫描器时的弱口令、同步扫描器时的时间、同步人、备注}</t>
        </is>
      </c>
      <c r="Y76" s="88">
        <f>IF(COUNTIFS(V:V,"*"&amp;H76&amp;"*")&gt;0,"存在","不存在")</f>
        <v/>
      </c>
      <c r="Z76" s="88">
        <f>IF(COUNTIFS(AA:AA,"*"&amp;H76&amp;"*")&gt;0,"存在","不存在")</f>
        <v/>
      </c>
      <c r="AA76" s="88" t="inlineStr">
        <is>
          <t>漏洞概况表</t>
        </is>
      </c>
    </row>
    <row r="77" hidden="1" ht="21.6" customFormat="1" customHeight="1" s="63">
      <c r="A77" s="69">
        <f>ROW()-1</f>
        <v/>
      </c>
      <c r="B77" s="53" t="n"/>
      <c r="C77" s="78" t="n">
        <v>2025</v>
      </c>
      <c r="D77" s="78" t="inlineStr">
        <is>
          <t>仲光华</t>
        </is>
      </c>
      <c r="E77" s="54" t="n"/>
      <c r="F77" s="54" t="n"/>
      <c r="G77" s="54" t="n"/>
      <c r="H77" s="81" t="inlineStr">
        <is>
          <t>弱口令配置表</t>
        </is>
      </c>
      <c r="I77" s="76" t="inlineStr">
        <is>
          <t>ILF</t>
        </is>
      </c>
      <c r="J77" s="108" t="n"/>
      <c r="K77" s="108" t="n"/>
      <c r="L77" s="83">
        <f>IF(OR(X77="估算法",X77="算法类",X77="无法识别"),"",IF(V77="",IF(OR(I77="EI",I77="EO",I77="EQ"),0,""),LEN(V77)-LEN(SUBSTITUTE(V77,"、",""))+1))</f>
        <v/>
      </c>
      <c r="M77" s="83">
        <f>IF(OR(X77="估算法",X77="算法类",X77="无法识别"),"",IF(W77="",IF(OR(I77="ILF",I77="EIF"),0,""),LEN(W77)-LEN(SUBSTITUTE(W77,"、",""))+1))</f>
        <v/>
      </c>
      <c r="N77" s="83">
        <f>IF(OR(X77="估算法",X77="算法类",X77="无法识别"),"",IF(X77="",IF(OR(I77="ILF",I77="EIF",I77="EI",I77="EO",I77="EQ"),0,""),LEN(X77)-LEN(SUBSTITUTE(SUBSTITUTE(SUBSTITUTE(SUBSTITUTE(SUBSTITUTE(X77,"|}","--"),"{|","--"),CHAR(10),""),"、",""),"|",""))+IF(AND(OR(I77="EI",I77="EO",I77="EQ"),$AD$1="NESMA"),2,1)))</f>
        <v/>
      </c>
      <c r="O77" s="84">
        <f>IF(I77="EI",IF(OR(X77="估算法",X77="算法类"),"中",IF(X77="无法识别","低",IF(L77&lt;2,IF(N77&lt;16,"低","中"),IF(L77&lt;3,IF(N77&lt;5,"低",IF(N77&lt;16,"中","高")),IF(N77&lt;5,"中","高"))))),IF(OR(I77="EO",I77="EQ"),IF(OR(X77="估算法",X77="算法类"),"中",IF(X77="无法识别","低",IF(L77&lt;2,IF(N77&lt;20,"低","中"),IF(L77&lt;4,IF(N77&lt;6,"低",IF(N77&lt;20,"中","高")),IF(N77&lt;6,"中","高"))))),IF(OR(I77="ILF",I77="EIF"),IF(OR(X77="估算法",X77="算法类",X77="无法识别"),"低",IF(M77&lt;2,IF(N77&lt;51,"低","中"),IF(M77&lt;6,IF(N77&lt;20,"低",IF(N77&lt;51,"中","高")),IF(N77&lt;20,"中","高")))),"不计算")))</f>
        <v/>
      </c>
      <c r="P77" s="142">
        <f>IFERROR(IF(I77="EI",IF(O77="低",3,IF(O77="中",4,6)),IF(I77="EO",IF(O77="低",4,IF(O77="中",5,7)),IF(I77="EQ",IF(O77="低",3,IF(O77="中",4,6)),IF(I77="ILF",IF(O77="低",7,IF(O77="中",10,15)),IF(I77="EIF",IF(O77="低",5,IF(O77="中",7,10)),"不计算")))))*Q77,"不计算")</f>
        <v/>
      </c>
      <c r="Q77" s="142" t="n">
        <v>1</v>
      </c>
      <c r="R77" s="143">
        <f>调整因子!$F$13</f>
        <v/>
      </c>
      <c r="S77" s="76" t="n">
        <v>1</v>
      </c>
      <c r="T77" s="144">
        <f>IFERROR(P77*R77,0)</f>
        <v/>
      </c>
      <c r="U77" s="144">
        <f>T77*S77</f>
        <v/>
      </c>
      <c r="V77" s="81" t="n"/>
      <c r="W77" s="88" t="inlineStr">
        <is>
          <t>弱口令配置表</t>
        </is>
      </c>
      <c r="X77" s="88" t="inlineStr">
        <is>
          <t>弱口令配置表{ID、弱账号ID、弱密码ID、弱口令组合ID、弱口令名称、扫描节点ID、扫描节点名称、创建人、创建时间、修改人、修改时间、备注信息}</t>
        </is>
      </c>
      <c r="Y77" s="88">
        <f>IF(COUNTIFS(V:V,"*"&amp;H77&amp;"*")&gt;0,"存在","不存在")</f>
        <v/>
      </c>
      <c r="Z77" s="88">
        <f>IF(COUNTIFS(AA:AA,"*"&amp;H77&amp;"*")&gt;0,"存在","不存在")</f>
        <v/>
      </c>
      <c r="AA77" s="88" t="inlineStr">
        <is>
          <t>插件任务实例表</t>
        </is>
      </c>
    </row>
    <row r="78" ht="43.2" customFormat="1" customHeight="1" s="63">
      <c r="A78" s="69">
        <f>ROW()-1</f>
        <v/>
      </c>
      <c r="B78" s="53" t="n"/>
      <c r="C78" s="78" t="n">
        <v>2025</v>
      </c>
      <c r="D78" s="78" t="inlineStr">
        <is>
          <t>张明峰</t>
        </is>
      </c>
      <c r="E78" s="70" t="inlineStr">
        <is>
          <t>产品漏洞关联分析</t>
        </is>
      </c>
      <c r="F78" s="76" t="inlineStr">
        <is>
          <t>产品漏洞信息管理</t>
        </is>
      </c>
      <c r="G78" s="76" t="inlineStr">
        <is>
          <t>漏洞关联分析</t>
        </is>
      </c>
      <c r="H78" s="81" t="inlineStr">
        <is>
          <t>创建产品漏洞预警任务</t>
        </is>
      </c>
      <c r="I78" s="76" t="inlineStr">
        <is>
          <t>EI</t>
        </is>
      </c>
      <c r="J78" s="108" t="n"/>
      <c r="K78" s="108" t="n"/>
      <c r="L78" s="83">
        <f>IF(OR(X78="估算法",X78="算法类",X78="无法识别"),"",IF(V78="",IF(OR(I78="EI",I78="EO",I78="EQ"),0,""),LEN(V78)-LEN(SUBSTITUTE(V78,"、",""))+1))</f>
        <v/>
      </c>
      <c r="M78" s="83">
        <f>IF(OR(X78="估算法",X78="算法类",X78="无法识别"),"",IF(W78="",IF(OR(I78="ILF",I78="EIF"),0,""),LEN(W78)-LEN(SUBSTITUTE(W78,"、",""))+1))</f>
        <v/>
      </c>
      <c r="N78" s="83">
        <f>IF(OR(X78="估算法",X78="算法类",X78="无法识别"),"",IF(X78="",IF(OR(I78="ILF",I78="EIF",I78="EI",I78="EO",I78="EQ"),0,""),LEN(X78)-LEN(SUBSTITUTE(SUBSTITUTE(SUBSTITUTE(SUBSTITUTE(SUBSTITUTE(X78,"|}","--"),"{|","--"),CHAR(10),""),"、",""),"|",""))+IF(AND(OR(I78="EI",I78="EO",I78="EQ"),$AD$1="NESMA"),2,1)))</f>
        <v/>
      </c>
      <c r="O78" s="84">
        <f>IF(I78="EI",IF(OR(X78="估算法",X78="算法类"),"中",IF(X78="无法识别","低",IF(L78&lt;2,IF(N78&lt;16,"低","中"),IF(L78&lt;3,IF(N78&lt;5,"低",IF(N78&lt;16,"中","高")),IF(N78&lt;5,"中","高"))))),IF(OR(I78="EO",I78="EQ"),IF(OR(X78="估算法",X78="算法类"),"中",IF(X78="无法识别","低",IF(L78&lt;2,IF(N78&lt;20,"低","中"),IF(L78&lt;4,IF(N78&lt;6,"低",IF(N78&lt;20,"中","高")),IF(N78&lt;6,"中","高"))))),IF(OR(I78="ILF",I78="EIF"),IF(OR(X78="估算法",X78="算法类",X78="无法识别"),"低",IF(M78&lt;2,IF(N78&lt;51,"低","中"),IF(M78&lt;6,IF(N78&lt;20,"低",IF(N78&lt;51,"中","高")),IF(N78&lt;20,"中","高")))),"不计算")))</f>
        <v/>
      </c>
      <c r="P78" s="142">
        <f>IFERROR(IF(I78="EI",IF(O78="低",3,IF(O78="中",4,6)),IF(I78="EO",IF(O78="低",4,IF(O78="中",5,7)),IF(I78="EQ",IF(O78="低",3,IF(O78="中",4,6)),IF(I78="ILF",IF(O78="低",7,IF(O78="中",10,15)),IF(I78="EIF",IF(O78="低",5,IF(O78="中",7,10)),"不计算")))))*Q78,"不计算")</f>
        <v/>
      </c>
      <c r="Q78" s="142" t="n">
        <v>1</v>
      </c>
      <c r="R78" s="143">
        <f>调整因子!$F$13</f>
        <v/>
      </c>
      <c r="S78" s="70" t="n">
        <v>1</v>
      </c>
      <c r="T78" s="144">
        <f>IFERROR(P78*R78,0)</f>
        <v/>
      </c>
      <c r="U78" s="144">
        <f>T78*S78</f>
        <v/>
      </c>
      <c r="V78" s="88" t="inlineStr">
        <is>
          <t>产品漏洞预警任务表、产品漏洞表、扫描资产表、资产组件表</t>
        </is>
      </c>
      <c r="W78" s="89" t="n"/>
      <c r="X78" s="88" t="inlineStr">
        <is>
          <t>产品漏洞预警任务表{任务ID、任务名称、任务描述、开始时间、结束时间、状态}、产品漏洞表{漏洞ID、漏洞名称、描述、影响程度、发现时间}、扫描资产表{资产ID、IP地址、主机名、操作系统、部门}、资产组件表{组件ID、资产ID、组件名称、版本、安装路径}</t>
        </is>
      </c>
      <c r="Y78" s="88" t="n"/>
      <c r="Z78" s="88" t="n"/>
      <c r="AA78" s="88" t="inlineStr">
        <is>
          <t>部企接口配置表</t>
        </is>
      </c>
    </row>
    <row r="79" ht="10.8" customFormat="1" customHeight="1" s="63">
      <c r="A79" s="69" t="n"/>
      <c r="B79" s="53" t="n"/>
      <c r="C79" s="78" t="n">
        <v>2025</v>
      </c>
      <c r="D79" s="78" t="inlineStr">
        <is>
          <t>张明峰</t>
        </is>
      </c>
      <c r="E79" s="53" t="n"/>
      <c r="F79" s="53" t="n"/>
      <c r="G79" s="53" t="n"/>
      <c r="H79" s="81" t="inlineStr">
        <is>
          <t>查询产品漏洞预警工单列表</t>
        </is>
      </c>
      <c r="I79" s="81" t="inlineStr">
        <is>
          <t>EO</t>
        </is>
      </c>
      <c r="J79" s="92" t="inlineStr">
        <is>
          <t>新增</t>
        </is>
      </c>
      <c r="K79" s="108" t="n"/>
      <c r="L79" s="83" t="n"/>
      <c r="M79" s="83" t="n"/>
      <c r="N79" s="83" t="n"/>
      <c r="O79" s="84" t="n"/>
      <c r="P79" s="142" t="n"/>
      <c r="Q79" s="142" t="n"/>
      <c r="R79" s="143" t="n"/>
      <c r="S79" s="70" t="n"/>
      <c r="T79" s="144" t="n"/>
      <c r="U79" s="144" t="n"/>
      <c r="V79" s="88" t="inlineStr">
        <is>
          <t>产品漏洞预警工单表</t>
        </is>
      </c>
      <c r="W79" s="89" t="n"/>
      <c r="X79" s="88" t="inlineStr">
        <is>
          <t>产品漏洞预警工单表{工单状态、预警任务编号|工单编号、工单名称、工单状态、漏洞数量、资产数量、创建时间、下发时间}</t>
        </is>
      </c>
      <c r="Y79" s="88" t="n"/>
      <c r="Z79" s="88" t="n"/>
      <c r="AA79" s="88" t="n"/>
    </row>
    <row r="80" ht="10.8" customFormat="1" customHeight="1" s="63">
      <c r="A80" s="69" t="n"/>
      <c r="B80" s="53" t="n"/>
      <c r="C80" s="78" t="n">
        <v>2025</v>
      </c>
      <c r="D80" s="78" t="inlineStr">
        <is>
          <t>张明峰</t>
        </is>
      </c>
      <c r="E80" s="53" t="n"/>
      <c r="F80" s="53" t="n"/>
      <c r="G80" s="53" t="n"/>
      <c r="H80" s="81" t="inlineStr">
        <is>
          <t>查询产品漏洞预警工单详情</t>
        </is>
      </c>
      <c r="I80" s="81" t="inlineStr">
        <is>
          <t>EO</t>
        </is>
      </c>
      <c r="J80" s="92" t="inlineStr">
        <is>
          <t>新增</t>
        </is>
      </c>
      <c r="K80" s="108" t="n"/>
      <c r="L80" s="83" t="n"/>
      <c r="M80" s="83" t="n"/>
      <c r="N80" s="83" t="n"/>
      <c r="O80" s="84" t="n"/>
      <c r="P80" s="142" t="n"/>
      <c r="Q80" s="142" t="n"/>
      <c r="R80" s="143" t="n"/>
      <c r="S80" s="70" t="n"/>
      <c r="T80" s="144" t="n"/>
      <c r="U80" s="144" t="n"/>
      <c r="V80" s="88" t="inlineStr">
        <is>
          <t>产品漏洞预警工单表</t>
        </is>
      </c>
      <c r="W80" s="89" t="n"/>
      <c r="X80" s="88" t="inlineStr">
        <is>
          <t>产品漏洞预警工单表{工单编号|工单名称、工单状态、排查范围摘要、漏洞数量、资产数量、处理人、创建时间、下发时间}</t>
        </is>
      </c>
      <c r="Y80" s="88" t="n"/>
      <c r="Z80" s="88" t="n"/>
      <c r="AA80" s="88" t="n"/>
    </row>
    <row r="81" ht="10.8" customFormat="1" customHeight="1" s="63">
      <c r="A81" s="69" t="n"/>
      <c r="B81" s="53" t="n"/>
      <c r="C81" s="78" t="n">
        <v>2025</v>
      </c>
      <c r="D81" s="78" t="inlineStr">
        <is>
          <t>张明峰</t>
        </is>
      </c>
      <c r="E81" s="53" t="n"/>
      <c r="F81" s="53" t="n"/>
      <c r="G81" s="53" t="n"/>
      <c r="H81" s="81" t="inlineStr">
        <is>
          <t>编辑预警工单排查范围</t>
        </is>
      </c>
      <c r="I81" s="81" t="inlineStr">
        <is>
          <t>EI</t>
        </is>
      </c>
      <c r="J81" s="92" t="inlineStr">
        <is>
          <t>新增</t>
        </is>
      </c>
      <c r="K81" s="108" t="n"/>
      <c r="L81" s="83" t="n"/>
      <c r="M81" s="83" t="n"/>
      <c r="N81" s="83" t="n"/>
      <c r="O81" s="84" t="n"/>
      <c r="P81" s="142" t="n"/>
      <c r="Q81" s="142" t="n"/>
      <c r="R81" s="143" t="n"/>
      <c r="S81" s="70" t="n"/>
      <c r="T81" s="144" t="n"/>
      <c r="U81" s="144" t="n"/>
      <c r="V81" s="88" t="inlineStr">
        <is>
          <t>产品漏洞预警工单表、扫描资产表、产品漏洞表</t>
        </is>
      </c>
      <c r="W81" s="89" t="n"/>
      <c r="X81" s="88" t="inlineStr">
        <is>
          <t>产品漏洞预警工单表{工单编号、排查范围摘要|工单编号、排查范围摘要、更新时间}、扫描资产表{资产编号、主机名、操作系统|资产编号、主机名、操作系统、部门}、产品漏洞表{漏洞编号、漏洞名称|漏洞编号、漏洞名称、影响程度}</t>
        </is>
      </c>
      <c r="Y81" s="88" t="n"/>
      <c r="Z81" s="88" t="n"/>
      <c r="AA81" s="88" t="n"/>
    </row>
    <row r="82" ht="10.8" customFormat="1" customHeight="1" s="63">
      <c r="A82" s="69" t="n"/>
      <c r="B82" s="53" t="n"/>
      <c r="C82" s="78" t="n">
        <v>2025</v>
      </c>
      <c r="D82" s="78" t="inlineStr">
        <is>
          <t>张明峰</t>
        </is>
      </c>
      <c r="E82" s="53" t="n"/>
      <c r="F82" s="53" t="n"/>
      <c r="G82" s="53" t="n"/>
      <c r="H82" s="81" t="inlineStr">
        <is>
          <t>查询系统漏洞范围</t>
        </is>
      </c>
      <c r="I82" s="81" t="inlineStr">
        <is>
          <t>EQ</t>
        </is>
      </c>
      <c r="J82" s="92" t="inlineStr">
        <is>
          <t>新增</t>
        </is>
      </c>
      <c r="K82" s="108" t="n"/>
      <c r="L82" s="83" t="n"/>
      <c r="M82" s="83" t="n"/>
      <c r="N82" s="83" t="n"/>
      <c r="O82" s="84" t="n"/>
      <c r="P82" s="142" t="n"/>
      <c r="Q82" s="142" t="n"/>
      <c r="R82" s="143" t="n"/>
      <c r="S82" s="70" t="n"/>
      <c r="T82" s="144" t="n"/>
      <c r="U82" s="144" t="n"/>
      <c r="V82" s="88" t="inlineStr">
        <is>
          <t>系统漏洞结果表、产品漏洞表</t>
        </is>
      </c>
      <c r="W82" s="89" t="n"/>
      <c r="X82" s="88" t="inlineStr">
        <is>
          <t>系统漏洞结果表{任务实例编号|结果编号、漏洞编号、资产编号、检测结果、修复建议}、产品漏洞表{漏洞编号|漏洞编号、漏洞名称、影响程度、发现时间}</t>
        </is>
      </c>
      <c r="Y82" s="88" t="n"/>
      <c r="Z82" s="88" t="n"/>
      <c r="AA82" s="88" t="n"/>
    </row>
    <row r="83" ht="10.8" customFormat="1" customHeight="1" s="63">
      <c r="A83" s="69" t="n"/>
      <c r="B83" s="53" t="n"/>
      <c r="C83" s="78" t="n">
        <v>2025</v>
      </c>
      <c r="D83" s="78" t="inlineStr">
        <is>
          <t>张明峰</t>
        </is>
      </c>
      <c r="E83" s="53" t="n"/>
      <c r="F83" s="53" t="n"/>
      <c r="G83" s="53" t="n"/>
      <c r="H83" s="81" t="inlineStr">
        <is>
          <t>查询资产排查范围</t>
        </is>
      </c>
      <c r="I83" s="81" t="inlineStr">
        <is>
          <t>EQ</t>
        </is>
      </c>
      <c r="J83" s="92" t="inlineStr">
        <is>
          <t>新增</t>
        </is>
      </c>
      <c r="K83" s="108" t="n"/>
      <c r="L83" s="83" t="n"/>
      <c r="M83" s="83" t="n"/>
      <c r="N83" s="83" t="n"/>
      <c r="O83" s="84" t="n"/>
      <c r="P83" s="142" t="n"/>
      <c r="Q83" s="142" t="n"/>
      <c r="R83" s="143" t="n"/>
      <c r="S83" s="70" t="n"/>
      <c r="T83" s="144" t="n"/>
      <c r="U83" s="144" t="n"/>
      <c r="V83" s="88" t="inlineStr">
        <is>
          <t>扫描资产表</t>
        </is>
      </c>
      <c r="W83" s="89" t="n"/>
      <c r="X83" s="88" t="inlineStr">
        <is>
          <t>扫描资产表{任务编号、部门、操作系统|资产编号、主机名、操作系统、部门、IP地址}</t>
        </is>
      </c>
      <c r="Y83" s="88" t="n"/>
      <c r="Z83" s="88" t="n"/>
      <c r="AA83" s="88" t="n"/>
    </row>
    <row r="84" ht="10.8" customFormat="1" customHeight="1" s="63">
      <c r="A84" s="69" t="n"/>
      <c r="B84" s="53" t="n"/>
      <c r="C84" s="78" t="n">
        <v>2025</v>
      </c>
      <c r="D84" s="78" t="inlineStr">
        <is>
          <t>张明峰</t>
        </is>
      </c>
      <c r="E84" s="53" t="n"/>
      <c r="F84" s="53" t="n"/>
      <c r="G84" s="53" t="n"/>
      <c r="H84" s="81" t="inlineStr">
        <is>
          <t>查新产品漏洞范围</t>
        </is>
      </c>
      <c r="I84" s="81" t="inlineStr">
        <is>
          <t>EQ</t>
        </is>
      </c>
      <c r="J84" s="92" t="inlineStr">
        <is>
          <t>新增</t>
        </is>
      </c>
      <c r="K84" s="108" t="n"/>
      <c r="L84" s="83" t="n"/>
      <c r="M84" s="83" t="n"/>
      <c r="N84" s="83" t="n"/>
      <c r="O84" s="84" t="n"/>
      <c r="P84" s="142" t="n"/>
      <c r="Q84" s="142" t="n"/>
      <c r="R84" s="143" t="n"/>
      <c r="S84" s="70" t="n"/>
      <c r="T84" s="144" t="n"/>
      <c r="U84" s="144" t="n"/>
      <c r="V84" s="88" t="inlineStr">
        <is>
          <t>产品漏洞表</t>
        </is>
      </c>
      <c r="W84" s="89" t="n"/>
      <c r="X84" s="88" t="inlineStr">
        <is>
          <t>产品漏洞表{漏洞名称、影响程度|漏洞编号、漏洞名称、描述、影响程度、发现时间}</t>
        </is>
      </c>
      <c r="Y84" s="88" t="n"/>
      <c r="Z84" s="88" t="n"/>
      <c r="AA84" s="88" t="n"/>
    </row>
    <row r="85" ht="21.6" customFormat="1" customHeight="1" s="63">
      <c r="A85" s="69">
        <f>ROW()-1</f>
        <v/>
      </c>
      <c r="B85" s="53" t="n"/>
      <c r="C85" s="78" t="n">
        <v>2025</v>
      </c>
      <c r="D85" s="78" t="inlineStr">
        <is>
          <t>张明峰</t>
        </is>
      </c>
      <c r="E85" s="53" t="n"/>
      <c r="F85" s="53" t="n"/>
      <c r="G85" s="53" t="n"/>
      <c r="H85" s="81" t="inlineStr">
        <is>
          <t>产品漏洞预警工单下发任务</t>
        </is>
      </c>
      <c r="I85" s="76" t="inlineStr">
        <is>
          <t>EI</t>
        </is>
      </c>
      <c r="J85" s="93" t="inlineStr">
        <is>
          <t>修改名称：「产品漏洞预警任务自动化执行」</t>
        </is>
      </c>
      <c r="K85" s="108" t="n"/>
      <c r="L85" s="83">
        <f>IF(OR(X85="估算法",X85="算法类",X85="无法识别"),"",IF(V85="",IF(OR(I85="EI",I85="EO",I85="EQ"),0,""),LEN(V85)-LEN(SUBSTITUTE(V85,"、",""))+1))</f>
        <v/>
      </c>
      <c r="M85" s="83">
        <f>IF(OR(X85="估算法",X85="算法类",X85="无法识别"),"",IF(W85="",IF(OR(I85="ILF",I85="EIF"),0,""),LEN(W85)-LEN(SUBSTITUTE(W85,"、",""))+1))</f>
        <v/>
      </c>
      <c r="N85" s="83">
        <f>IF(OR(X85="估算法",X85="算法类",X85="无法识别"),"",IF(X85="",IF(OR(I85="ILF",I85="EIF",I85="EI",I85="EO",I85="EQ"),0,""),LEN(X85)-LEN(SUBSTITUTE(SUBSTITUTE(SUBSTITUTE(SUBSTITUTE(SUBSTITUTE(X85,"|}","--"),"{|","--"),CHAR(10),""),"、",""),"|",""))+IF(AND(OR(I85="EI",I85="EO",I85="EQ"),$AD$1="NESMA"),2,1)))</f>
        <v/>
      </c>
      <c r="O85" s="84">
        <f>IF(I85="EI",IF(OR(X85="估算法",X85="算法类"),"中",IF(X85="无法识别","低",IF(L85&lt;2,IF(N85&lt;16,"低","中"),IF(L85&lt;3,IF(N85&lt;5,"低",IF(N85&lt;16,"中","高")),IF(N85&lt;5,"中","高"))))),IF(OR(I85="EO",I85="EQ"),IF(OR(X85="估算法",X85="算法类"),"中",IF(X85="无法识别","低",IF(L85&lt;2,IF(N85&lt;20,"低","中"),IF(L85&lt;4,IF(N85&lt;6,"低",IF(N85&lt;20,"中","高")),IF(N85&lt;6,"中","高"))))),IF(OR(I85="ILF",I85="EIF"),IF(OR(X85="估算法",X85="算法类",X85="无法识别"),"低",IF(M85&lt;2,IF(N85&lt;51,"低","中"),IF(M85&lt;6,IF(N85&lt;20,"低",IF(N85&lt;51,"中","高")),IF(N85&lt;20,"中","高")))),"不计算")))</f>
        <v/>
      </c>
      <c r="P85" s="142">
        <f>IFERROR(IF(I85="EI",IF(O85="低",3,IF(O85="中",4,6)),IF(I85="EO",IF(O85="低",4,IF(O85="中",5,7)),IF(I85="EQ",IF(O85="低",3,IF(O85="中",4,6)),IF(I85="ILF",IF(O85="低",7,IF(O85="中",10,15)),IF(I85="EIF",IF(O85="低",5,IF(O85="中",7,10)),"不计算")))))*Q85,"不计算")</f>
        <v/>
      </c>
      <c r="Q85" s="142" t="n">
        <v>1</v>
      </c>
      <c r="R85" s="143">
        <f>调整因子!$F$13</f>
        <v/>
      </c>
      <c r="S85" s="70" t="n">
        <v>1</v>
      </c>
      <c r="T85" s="144">
        <f>IFERROR(P85*R85,0)</f>
        <v/>
      </c>
      <c r="U85" s="144">
        <f>T85*S85</f>
        <v/>
      </c>
      <c r="V85" s="88" t="inlineStr">
        <is>
          <t>产品漏洞预警任务表、任务实例表</t>
        </is>
      </c>
      <c r="W85" s="89" t="n"/>
      <c r="X85" s="88" t="inlineStr">
        <is>
          <t>产品漏洞预警任务表{任务ID、任务名称、任务描述、开始时间、结束时间、状态}、任务实例表{实例ID、任务ID、资产ID、状态、开始时间、结束时间}</t>
        </is>
      </c>
      <c r="Y85" s="88" t="n"/>
      <c r="Z85" s="88" t="n"/>
      <c r="AA85" s="88" t="inlineStr">
        <is>
          <t>部企接口配置表</t>
        </is>
      </c>
    </row>
    <row r="86" ht="32.4" customFormat="1" customHeight="1" s="63">
      <c r="A86" s="69">
        <f>ROW()-1</f>
        <v/>
      </c>
      <c r="B86" s="53" t="n"/>
      <c r="C86" s="78" t="n">
        <v>2025</v>
      </c>
      <c r="D86" s="78" t="inlineStr">
        <is>
          <t>张明峰</t>
        </is>
      </c>
      <c r="E86" s="53" t="n"/>
      <c r="F86" s="53" t="n"/>
      <c r="G86" s="53" t="n"/>
      <c r="H86" s="81" t="inlineStr">
        <is>
          <t>产品漏洞预警任务处置</t>
        </is>
      </c>
      <c r="I86" s="76" t="inlineStr">
        <is>
          <t>EO</t>
        </is>
      </c>
      <c r="J86" s="93" t="inlineStr">
        <is>
          <t>修改名称：「产品漏洞自动化关联分析」</t>
        </is>
      </c>
      <c r="K86" s="108" t="n"/>
      <c r="L86" s="83">
        <f>IF(OR(X86="估算法",X86="算法类",X86="无法识别"),"",IF(V86="",IF(OR(I86="EI",I86="EO",I86="EQ"),0,""),LEN(V86)-LEN(SUBSTITUTE(V86,"、",""))+1))</f>
        <v/>
      </c>
      <c r="M86" s="83">
        <f>IF(OR(X86="估算法",X86="算法类",X86="无法识别"),"",IF(W86="",IF(OR(I86="ILF",I86="EIF"),0,""),LEN(W86)-LEN(SUBSTITUTE(W86,"、",""))+1))</f>
        <v/>
      </c>
      <c r="N86" s="83">
        <f>IF(OR(X86="估算法",X86="算法类",X86="无法识别"),"",IF(X86="",IF(OR(I86="ILF",I86="EIF",I86="EI",I86="EO",I86="EQ"),0,""),LEN(X86)-LEN(SUBSTITUTE(SUBSTITUTE(SUBSTITUTE(SUBSTITUTE(SUBSTITUTE(X86,"|}","--"),"{|","--"),CHAR(10),""),"、",""),"|",""))+IF(AND(OR(I86="EI",I86="EO",I86="EQ"),$AD$1="NESMA"),2,1)))</f>
        <v/>
      </c>
      <c r="O86" s="84">
        <f>IF(I86="EI",IF(OR(X86="估算法",X86="算法类"),"中",IF(X86="无法识别","低",IF(L86&lt;2,IF(N86&lt;16,"低","中"),IF(L86&lt;3,IF(N86&lt;5,"低",IF(N86&lt;16,"中","高")),IF(N86&lt;5,"中","高"))))),IF(OR(I86="EO",I86="EQ"),IF(OR(X86="估算法",X86="算法类"),"中",IF(X86="无法识别","低",IF(L86&lt;2,IF(N86&lt;20,"低","中"),IF(L86&lt;4,IF(N86&lt;6,"低",IF(N86&lt;20,"中","高")),IF(N86&lt;6,"中","高"))))),IF(OR(I86="ILF",I86="EIF"),IF(OR(X86="估算法",X86="算法类",X86="无法识别"),"低",IF(M86&lt;2,IF(N86&lt;51,"低","中"),IF(M86&lt;6,IF(N86&lt;20,"低",IF(N86&lt;51,"中","高")),IF(N86&lt;20,"中","高")))),"不计算")))</f>
        <v/>
      </c>
      <c r="P86" s="142">
        <f>IFERROR(IF(I86="EI",IF(O86="低",3,IF(O86="中",4,6)),IF(I86="EO",IF(O86="低",4,IF(O86="中",5,7)),IF(I86="EQ",IF(O86="低",3,IF(O86="中",4,6)),IF(I86="ILF",IF(O86="低",7,IF(O86="中",10,15)),IF(I86="EIF",IF(O86="低",5,IF(O86="中",7,10)),"不计算")))))*Q86,"不计算")</f>
        <v/>
      </c>
      <c r="Q86" s="142" t="n">
        <v>1</v>
      </c>
      <c r="R86" s="143">
        <f>调整因子!$F$13</f>
        <v/>
      </c>
      <c r="S86" s="76" t="n">
        <v>1</v>
      </c>
      <c r="T86" s="144">
        <f>IFERROR(P86*R86,0)</f>
        <v/>
      </c>
      <c r="U86" s="144">
        <f>T86*S86</f>
        <v/>
      </c>
      <c r="V86" s="88" t="inlineStr">
        <is>
          <t>产品漏洞表、扫描资产表、资产组件表</t>
        </is>
      </c>
      <c r="W86" s="89" t="n"/>
      <c r="X86" s="88" t="inlineStr">
        <is>
          <t>产品漏洞表{漏洞ID、漏洞名称、描述、影响程度、发现时间}、扫描资产表{资产ID、IP地址、主机名、操作系统、部门}、资产组件表{组件ID、资产ID、组件名称、版本、安装路径}</t>
        </is>
      </c>
      <c r="Y86" s="88" t="n"/>
      <c r="Z86" s="88" t="n"/>
      <c r="AA86" s="88" t="inlineStr">
        <is>
          <t>部企接口配置表</t>
        </is>
      </c>
    </row>
    <row r="87" ht="21.6" customFormat="1" customHeight="1" s="63">
      <c r="A87" s="69">
        <f>ROW()-1</f>
        <v/>
      </c>
      <c r="B87" s="53" t="n"/>
      <c r="C87" s="78" t="n">
        <v>2025</v>
      </c>
      <c r="D87" s="78" t="inlineStr">
        <is>
          <t>张明峰</t>
        </is>
      </c>
      <c r="E87" s="53" t="n"/>
      <c r="F87" s="53" t="n"/>
      <c r="G87" s="53" t="n"/>
      <c r="H87" s="81" t="inlineStr">
        <is>
          <t>订阅产品漏洞关联分析结果</t>
        </is>
      </c>
      <c r="I87" s="76" t="inlineStr">
        <is>
          <t>EI</t>
        </is>
      </c>
      <c r="J87" s="108" t="n"/>
      <c r="K87" s="108" t="n"/>
      <c r="L87" s="83">
        <f>IF(OR(X87="估算法",X87="算法类",X87="无法识别"),"",IF(V87="",IF(OR(I87="EI",I87="EO",I87="EQ"),0,""),LEN(V87)-LEN(SUBSTITUTE(V87,"、",""))+1))</f>
        <v/>
      </c>
      <c r="M87" s="83">
        <f>IF(OR(X87="估算法",X87="算法类",X87="无法识别"),"",IF(W87="",IF(OR(I87="ILF",I87="EIF"),0,""),LEN(W87)-LEN(SUBSTITUTE(W87,"、",""))+1))</f>
        <v/>
      </c>
      <c r="N87" s="83">
        <f>IF(OR(X87="估算法",X87="算法类",X87="无法识别"),"",IF(X87="",IF(OR(I87="ILF",I87="EIF",I87="EI",I87="EO",I87="EQ"),0,""),LEN(X87)-LEN(SUBSTITUTE(SUBSTITUTE(SUBSTITUTE(SUBSTITUTE(SUBSTITUTE(X87,"|}","--"),"{|","--"),CHAR(10),""),"、",""),"|",""))+IF(AND(OR(I87="EI",I87="EO",I87="EQ"),$AD$1="NESMA"),2,1)))</f>
        <v/>
      </c>
      <c r="O87" s="84">
        <f>IF(I87="EI",IF(OR(X87="估算法",X87="算法类"),"中",IF(X87="无法识别","低",IF(L87&lt;2,IF(N87&lt;16,"低","中"),IF(L87&lt;3,IF(N87&lt;5,"低",IF(N87&lt;16,"中","高")),IF(N87&lt;5,"中","高"))))),IF(OR(I87="EO",I87="EQ"),IF(OR(X87="估算法",X87="算法类"),"中",IF(X87="无法识别","低",IF(L87&lt;2,IF(N87&lt;20,"低","中"),IF(L87&lt;4,IF(N87&lt;6,"低",IF(N87&lt;20,"中","高")),IF(N87&lt;6,"中","高"))))),IF(OR(I87="ILF",I87="EIF"),IF(OR(X87="估算法",X87="算法类",X87="无法识别"),"低",IF(M87&lt;2,IF(N87&lt;51,"低","中"),IF(M87&lt;6,IF(N87&lt;20,"低",IF(N87&lt;51,"中","高")),IF(N87&lt;20,"中","高")))),"不计算")))</f>
        <v/>
      </c>
      <c r="P87" s="142">
        <f>IFERROR(IF(I87="EI",IF(O87="低",3,IF(O87="中",4,6)),IF(I87="EO",IF(O87="低",4,IF(O87="中",5,7)),IF(I87="EQ",IF(O87="低",3,IF(O87="中",4,6)),IF(I87="ILF",IF(O87="低",7,IF(O87="中",10,15)),IF(I87="EIF",IF(O87="低",5,IF(O87="中",7,10)),"不计算")))))*Q87,"不计算")</f>
        <v/>
      </c>
      <c r="Q87" s="142" t="n">
        <v>1</v>
      </c>
      <c r="R87" s="143">
        <f>调整因子!$F$13</f>
        <v/>
      </c>
      <c r="S87" s="70" t="n">
        <v>1</v>
      </c>
      <c r="T87" s="144">
        <f>IFERROR(P87*R87,0)</f>
        <v/>
      </c>
      <c r="U87" s="144">
        <f>T87*S87</f>
        <v/>
      </c>
      <c r="V87" s="88" t="inlineStr">
        <is>
          <t>关联分析成功资产表、关联分析失败资产表</t>
        </is>
      </c>
      <c r="W87" s="89" t="n"/>
      <c r="X87" s="88" t="inlineStr">
        <is>
          <t>关联分析成功资产表{成功记录ID、资产ID、关联漏洞ID、分析时间}、关联分析失败资产表{失败记录ID、资产ID、失败原因、分析时间}</t>
        </is>
      </c>
      <c r="Y87" s="88" t="n"/>
      <c r="Z87" s="88" t="n"/>
      <c r="AA87" s="76" t="inlineStr">
        <is>
          <t>归属规则设定表</t>
        </is>
      </c>
    </row>
    <row r="88" ht="10.8" customFormat="1" customHeight="1" s="63">
      <c r="A88" s="69">
        <f>ROW()-1</f>
        <v/>
      </c>
      <c r="B88" s="53" t="n"/>
      <c r="C88" s="78" t="n">
        <v>2025</v>
      </c>
      <c r="D88" s="78" t="inlineStr">
        <is>
          <t>张明峰</t>
        </is>
      </c>
      <c r="E88" s="53" t="n"/>
      <c r="F88" s="53" t="n"/>
      <c r="G88" s="53" t="n"/>
      <c r="H88" s="81" t="inlineStr">
        <is>
          <t>订阅产品漏洞预警任务结果</t>
        </is>
      </c>
      <c r="I88" s="76" t="inlineStr">
        <is>
          <t>EI</t>
        </is>
      </c>
      <c r="J88" s="108" t="n"/>
      <c r="K88" s="108" t="n"/>
      <c r="L88" s="83">
        <f>IF(OR(X88="估算法",X88="算法类",X88="无法识别"),"",IF(V88="",IF(OR(I88="EI",I88="EO",I88="EQ"),0,""),LEN(V88)-LEN(SUBSTITUTE(V88,"、",""))+1))</f>
        <v/>
      </c>
      <c r="M88" s="83">
        <f>IF(OR(X88="估算法",X88="算法类",X88="无法识别"),"",IF(W88="",IF(OR(I88="ILF",I88="EIF"),0,""),LEN(W88)-LEN(SUBSTITUTE(W88,"、",""))+1))</f>
        <v/>
      </c>
      <c r="N88" s="83">
        <f>IF(OR(X88="估算法",X88="算法类",X88="无法识别"),"",IF(X88="",IF(OR(I88="ILF",I88="EIF",I88="EI",I88="EO",I88="EQ"),0,""),LEN(X88)-LEN(SUBSTITUTE(SUBSTITUTE(SUBSTITUTE(SUBSTITUTE(SUBSTITUTE(X88,"|}","--"),"{|","--"),CHAR(10),""),"、",""),"|",""))+IF(AND(OR(I88="EI",I88="EO",I88="EQ"),$AD$1="NESMA"),2,1)))</f>
        <v/>
      </c>
      <c r="O88" s="84">
        <f>IF(I88="EI",IF(OR(X88="估算法",X88="算法类"),"中",IF(X88="无法识别","低",IF(L88&lt;2,IF(N88&lt;16,"低","中"),IF(L88&lt;3,IF(N88&lt;5,"低",IF(N88&lt;16,"中","高")),IF(N88&lt;5,"中","高"))))),IF(OR(I88="EO",I88="EQ"),IF(OR(X88="估算法",X88="算法类"),"中",IF(X88="无法识别","低",IF(L88&lt;2,IF(N88&lt;20,"低","中"),IF(L88&lt;4,IF(N88&lt;6,"低",IF(N88&lt;20,"中","高")),IF(N88&lt;6,"中","高"))))),IF(OR(I88="ILF",I88="EIF"),IF(OR(X88="估算法",X88="算法类",X88="无法识别"),"低",IF(M88&lt;2,IF(N88&lt;51,"低","中"),IF(M88&lt;6,IF(N88&lt;20,"低",IF(N88&lt;51,"中","高")),IF(N88&lt;20,"中","高")))),"不计算")))</f>
        <v/>
      </c>
      <c r="P88" s="142">
        <f>IFERROR(IF(I88="EI",IF(O88="低",3,IF(O88="中",4,6)),IF(I88="EO",IF(O88="低",4,IF(O88="中",5,7)),IF(I88="EQ",IF(O88="低",3,IF(O88="中",4,6)),IF(I88="ILF",IF(O88="低",7,IF(O88="中",10,15)),IF(I88="EIF",IF(O88="低",5,IF(O88="中",7,10)),"不计算")))))*Q88,"不计算")</f>
        <v/>
      </c>
      <c r="Q88" s="142" t="n">
        <v>0.333333333333333</v>
      </c>
      <c r="R88" s="143">
        <f>调整因子!$F$13</f>
        <v/>
      </c>
      <c r="S88" s="70" t="n">
        <v>1</v>
      </c>
      <c r="T88" s="144">
        <f>IFERROR(P88*R88,0)</f>
        <v/>
      </c>
      <c r="U88" s="144">
        <f>T88*S88</f>
        <v/>
      </c>
      <c r="V88" s="88" t="inlineStr">
        <is>
          <t>产品漏洞预警任务历史表</t>
        </is>
      </c>
      <c r="W88" s="89" t="n"/>
      <c r="X88" s="88" t="inlineStr">
        <is>
          <t>产品漏洞预警任务历史表{任务ID|历史记录ID、任务ID、执行时间、结果}</t>
        </is>
      </c>
      <c r="Y88" s="88" t="n"/>
      <c r="Z88" s="88" t="n"/>
      <c r="AA88" s="76" t="inlineStr">
        <is>
          <t>归属规则设定表</t>
        </is>
      </c>
    </row>
    <row r="89" ht="10.8" customFormat="1" customHeight="1" s="63">
      <c r="A89" s="69" t="n"/>
      <c r="B89" s="53" t="n"/>
      <c r="C89" s="78" t="n">
        <v>2025</v>
      </c>
      <c r="D89" s="78" t="inlineStr">
        <is>
          <t>张明峰</t>
        </is>
      </c>
      <c r="E89" s="53" t="n"/>
      <c r="F89" s="53" t="n"/>
      <c r="G89" s="53" t="n"/>
      <c r="H89" s="81" t="inlineStr">
        <is>
          <t>查看产品漏洞预警任务列表</t>
        </is>
      </c>
      <c r="I89" s="76" t="inlineStr">
        <is>
          <t>EQ</t>
        </is>
      </c>
      <c r="J89" s="92" t="inlineStr">
        <is>
          <t>新增</t>
        </is>
      </c>
      <c r="K89" s="108" t="n"/>
      <c r="L89" s="83" t="n"/>
      <c r="M89" s="83" t="n"/>
      <c r="N89" s="83" t="n"/>
      <c r="O89" s="84" t="n"/>
      <c r="P89" s="142" t="n"/>
      <c r="Q89" s="142" t="n"/>
      <c r="R89" s="143" t="n"/>
      <c r="S89" s="70" t="n"/>
      <c r="T89" s="144" t="n"/>
      <c r="U89" s="144" t="n"/>
      <c r="V89" s="88" t="inlineStr">
        <is>
          <t>产品漏洞预警任务表</t>
        </is>
      </c>
      <c r="W89" s="89" t="n"/>
      <c r="X89" s="88" t="inlineStr">
        <is>
          <t>产品漏洞预警任务表{任务状态、开始时间|任务编号、任务名称、任务描述、开始时间、结束时间、状态}</t>
        </is>
      </c>
      <c r="Y89" s="88" t="n"/>
      <c r="Z89" s="88" t="n"/>
      <c r="AA89" s="76" t="n"/>
    </row>
    <row r="90" ht="10.8" customFormat="1" customHeight="1" s="63">
      <c r="A90" s="69" t="n"/>
      <c r="B90" s="53" t="n"/>
      <c r="C90" s="78" t="n">
        <v>2025</v>
      </c>
      <c r="D90" s="78" t="inlineStr">
        <is>
          <t>张明峰</t>
        </is>
      </c>
      <c r="E90" s="53" t="n"/>
      <c r="F90" s="53" t="n"/>
      <c r="G90" s="53" t="n"/>
      <c r="H90" s="81" t="inlineStr">
        <is>
          <t>查询预警任务台账</t>
        </is>
      </c>
      <c r="I90" s="81" t="inlineStr">
        <is>
          <t>EQ</t>
        </is>
      </c>
      <c r="J90" s="92" t="inlineStr">
        <is>
          <t>新增</t>
        </is>
      </c>
      <c r="K90" s="108" t="n"/>
      <c r="L90" s="83" t="n"/>
      <c r="M90" s="83" t="n"/>
      <c r="N90" s="83" t="n"/>
      <c r="O90" s="84" t="n"/>
      <c r="P90" s="142" t="n"/>
      <c r="Q90" s="142" t="n"/>
      <c r="R90" s="143" t="n"/>
      <c r="S90" s="70" t="n"/>
      <c r="T90" s="144" t="n"/>
      <c r="U90" s="144" t="n"/>
      <c r="V90" s="88" t="inlineStr">
        <is>
          <t>预警任务台账表</t>
        </is>
      </c>
      <c r="W90" s="89" t="n"/>
      <c r="X90" s="88" t="inlineStr">
        <is>
          <t>预警任务台账表{任务编号、台账类型编码、记录时间|台账编号、任务名称、漏洞数量、资产数量、上报状态}</t>
        </is>
      </c>
      <c r="Y90" s="88" t="n"/>
      <c r="Z90" s="88" t="n"/>
      <c r="AA90" s="76" t="n"/>
    </row>
    <row r="91" ht="10.8" customFormat="1" customHeight="1" s="63">
      <c r="A91" s="69" t="n"/>
      <c r="B91" s="53" t="n"/>
      <c r="C91" s="78" t="n">
        <v>2025</v>
      </c>
      <c r="D91" s="78" t="inlineStr">
        <is>
          <t>张明峰</t>
        </is>
      </c>
      <c r="E91" s="53" t="n"/>
      <c r="F91" s="53" t="n"/>
      <c r="G91" s="53" t="n"/>
      <c r="H91" s="81" t="inlineStr">
        <is>
          <t>查询预警任务台账详情</t>
        </is>
      </c>
      <c r="I91" s="81" t="inlineStr">
        <is>
          <t>EO</t>
        </is>
      </c>
      <c r="J91" s="92" t="inlineStr">
        <is>
          <t>新增</t>
        </is>
      </c>
      <c r="K91" s="108" t="n"/>
      <c r="L91" s="83" t="n"/>
      <c r="M91" s="83" t="n"/>
      <c r="N91" s="83" t="n"/>
      <c r="O91" s="84" t="n"/>
      <c r="P91" s="142" t="n"/>
      <c r="Q91" s="142" t="n"/>
      <c r="R91" s="143" t="n"/>
      <c r="S91" s="70" t="n"/>
      <c r="T91" s="144" t="n"/>
      <c r="U91" s="144" t="n"/>
      <c r="V91" s="88" t="inlineStr">
        <is>
          <t>预警任务台账表</t>
        </is>
      </c>
      <c r="W91" s="89" t="n"/>
      <c r="X91" s="88" t="inlineStr">
        <is>
          <t>预警任务台账表{台账编号|台账编号、任务编号、任务名称、记录时间、漏洞数量、资产数量、碰撞结果摘要、上报状态}</t>
        </is>
      </c>
      <c r="Y91" s="88" t="n"/>
      <c r="Z91" s="88" t="n"/>
      <c r="AA91" s="76" t="n"/>
    </row>
    <row r="92" ht="32.4" customFormat="1" customHeight="1" s="63">
      <c r="A92" s="69">
        <f>ROW()-1</f>
        <v/>
      </c>
      <c r="B92" s="53" t="n"/>
      <c r="C92" s="78" t="n">
        <v>2025</v>
      </c>
      <c r="D92" s="78" t="inlineStr">
        <is>
          <t>张明峰</t>
        </is>
      </c>
      <c r="E92" s="53" t="n"/>
      <c r="F92" s="53" t="n"/>
      <c r="G92" s="53" t="n"/>
      <c r="H92" s="81" t="inlineStr">
        <is>
          <t>查看产品漏洞预警任务详情</t>
        </is>
      </c>
      <c r="I92" s="76" t="inlineStr">
        <is>
          <t>EQ</t>
        </is>
      </c>
      <c r="J92" s="108" t="n"/>
      <c r="K92" s="108" t="n"/>
      <c r="L92" s="83">
        <f>IF(OR(X92="估算法",X92="算法类",X92="无法识别"),"",IF(V92="",IF(OR(I92="EI",I92="EO",I92="EQ"),0,""),LEN(V92)-LEN(SUBSTITUTE(V92,"、",""))+1))</f>
        <v/>
      </c>
      <c r="M92" s="83">
        <f>IF(OR(X92="估算法",X92="算法类",X92="无法识别"),"",IF(W92="",IF(OR(I92="ILF",I92="EIF"),0,""),LEN(W92)-LEN(SUBSTITUTE(W92,"、",""))+1))</f>
        <v/>
      </c>
      <c r="N92" s="83">
        <f>IF(OR(X92="估算法",X92="算法类",X92="无法识别"),"",IF(X92="",IF(OR(I92="ILF",I92="EIF",I92="EI",I92="EO",I92="EQ"),0,""),LEN(X92)-LEN(SUBSTITUTE(SUBSTITUTE(SUBSTITUTE(SUBSTITUTE(SUBSTITUTE(X92,"|}","--"),"{|","--"),CHAR(10),""),"、",""),"|",""))+IF(AND(OR(I92="EI",I92="EO",I92="EQ"),$AD$1="NESMA"),2,1)))</f>
        <v/>
      </c>
      <c r="O92" s="84">
        <f>IF(I92="EI",IF(OR(X92="估算法",X92="算法类"),"中",IF(X92="无法识别","低",IF(L92&lt;2,IF(N92&lt;16,"低","中"),IF(L92&lt;3,IF(N92&lt;5,"低",IF(N92&lt;16,"中","高")),IF(N92&lt;5,"中","高"))))),IF(OR(I92="EO",I92="EQ"),IF(OR(X92="估算法",X92="算法类"),"中",IF(X92="无法识别","低",IF(L92&lt;2,IF(N92&lt;20,"低","中"),IF(L92&lt;4,IF(N92&lt;6,"低",IF(N92&lt;20,"中","高")),IF(N92&lt;6,"中","高"))))),IF(OR(I92="ILF",I92="EIF"),IF(OR(X92="估算法",X92="算法类",X92="无法识别"),"低",IF(M92&lt;2,IF(N92&lt;51,"低","中"),IF(M92&lt;6,IF(N92&lt;20,"低",IF(N92&lt;51,"中","高")),IF(N92&lt;20,"中","高")))),"不计算")))</f>
        <v/>
      </c>
      <c r="P92" s="142">
        <f>IFERROR(IF(I92="EI",IF(O92="低",3,IF(O92="中",4,6)),IF(I92="EO",IF(O92="低",4,IF(O92="中",5,7)),IF(I92="EQ",IF(O92="低",3,IF(O92="中",4,6)),IF(I92="ILF",IF(O92="低",7,IF(O92="中",10,15)),IF(I92="EIF",IF(O92="低",5,IF(O92="中",7,10)),"不计算")))))*Q92,"不计算")</f>
        <v/>
      </c>
      <c r="Q92" s="142" t="n">
        <v>1</v>
      </c>
      <c r="R92" s="143">
        <f>调整因子!$F$13</f>
        <v/>
      </c>
      <c r="S92" s="76" t="n">
        <v>1</v>
      </c>
      <c r="T92" s="144">
        <f>IFERROR(P92*R92,0)</f>
        <v/>
      </c>
      <c r="U92" s="144">
        <f>T92*S92</f>
        <v/>
      </c>
      <c r="V92" s="88" t="inlineStr">
        <is>
          <t>产品漏洞预警任务表、任务实例表、任务生命周期追踪表</t>
        </is>
      </c>
      <c r="W92" s="89" t="n"/>
      <c r="X92" s="88" t="inlineStr">
        <is>
          <t>产品漏洞预警任务表{任务ID|任务名称、任务描述、开始时间、结束时间、状态}、任务实例表{实例ID|任务ID、资产ID、状态、开始时间、结束时间}、任务生命周期追踪表{追踪ID、任务ID、当前状态、状态变更时间}</t>
        </is>
      </c>
      <c r="Y92" s="88" t="n"/>
      <c r="Z92" s="88" t="n"/>
      <c r="AA92" s="76" t="inlineStr">
        <is>
          <t>归属规则设定表</t>
        </is>
      </c>
    </row>
    <row r="93" ht="10.8" customFormat="1" customHeight="1" s="63">
      <c r="A93" s="69">
        <f>ROW()-1</f>
        <v/>
      </c>
      <c r="B93" s="53" t="n"/>
      <c r="C93" s="78" t="n">
        <v>2025</v>
      </c>
      <c r="D93" s="78" t="inlineStr">
        <is>
          <t>张明峰</t>
        </is>
      </c>
      <c r="E93" s="53" t="n"/>
      <c r="F93" s="53" t="n"/>
      <c r="G93" s="53" t="n"/>
      <c r="H93" s="81" t="inlineStr">
        <is>
          <t>产品漏洞预警任务实例状态自动更新</t>
        </is>
      </c>
      <c r="I93" s="76" t="n"/>
      <c r="J93" s="94" t="inlineStr">
        <is>
          <t>删除</t>
        </is>
      </c>
      <c r="K93" s="108" t="inlineStr">
        <is>
          <t>非事务功能</t>
        </is>
      </c>
      <c r="L93" s="83">
        <f>IF(OR(X93="估算法",X93="算法类",X93="无法识别"),"",IF(V93="",IF(OR(I93="EI",I93="EO",I93="EQ"),0,""),LEN(V93)-LEN(SUBSTITUTE(V93,"、",""))+1))</f>
        <v/>
      </c>
      <c r="M93" s="83">
        <f>IF(OR(X93="估算法",X93="算法类",X93="无法识别"),"",IF(W93="",IF(OR(I93="ILF",I93="EIF"),0,""),LEN(W93)-LEN(SUBSTITUTE(W93,"、",""))+1))</f>
        <v/>
      </c>
      <c r="N93" s="83">
        <f>IF(OR(X93="估算法",X93="算法类",X93="无法识别"),"",IF(X93="",IF(OR(I93="ILF",I93="EIF",I93="EI",I93="EO",I93="EQ"),0,""),LEN(X93)-LEN(SUBSTITUTE(SUBSTITUTE(SUBSTITUTE(SUBSTITUTE(SUBSTITUTE(X93,"|}","--"),"{|","--"),CHAR(10),""),"、",""),"|",""))+IF(AND(OR(I93="EI",I93="EO",I93="EQ"),$AD$1="NESMA"),2,1)))</f>
        <v/>
      </c>
      <c r="O93" s="84">
        <f>IF(I93="EI",IF(OR(X93="估算法",X93="算法类"),"中",IF(X93="无法识别","低",IF(L93&lt;2,IF(N93&lt;16,"低","中"),IF(L93&lt;3,IF(N93&lt;5,"低",IF(N93&lt;16,"中","高")),IF(N93&lt;5,"中","高"))))),IF(OR(I93="EO",I93="EQ"),IF(OR(X93="估算法",X93="算法类"),"中",IF(X93="无法识别","低",IF(L93&lt;2,IF(N93&lt;20,"低","中"),IF(L93&lt;4,IF(N93&lt;6,"低",IF(N93&lt;20,"中","高")),IF(N93&lt;6,"中","高"))))),IF(OR(I93="ILF",I93="EIF"),IF(OR(X93="估算法",X93="算法类",X93="无法识别"),"低",IF(M93&lt;2,IF(N93&lt;51,"低","中"),IF(M93&lt;6,IF(N93&lt;20,"低",IF(N93&lt;51,"中","高")),IF(N93&lt;20,"中","高")))),"不计算")))</f>
        <v/>
      </c>
      <c r="P93" s="142">
        <f>IFERROR(IF(I93="EI",IF(O93="低",3,IF(O93="中",4,6)),IF(I93="EO",IF(O93="低",4,IF(O93="中",5,7)),IF(I93="EQ",IF(O93="低",3,IF(O93="中",4,6)),IF(I93="ILF",IF(O93="低",7,IF(O93="中",10,15)),IF(I93="EIF",IF(O93="低",5,IF(O93="中",7,10)),"不计算")))))*Q93,"不计算")</f>
        <v/>
      </c>
      <c r="Q93" s="142" t="n">
        <v>1</v>
      </c>
      <c r="R93" s="143">
        <f>调整因子!$F$13</f>
        <v/>
      </c>
      <c r="S93" s="70" t="n">
        <v>1</v>
      </c>
      <c r="T93" s="144">
        <f>IFERROR(P93*R93,0)</f>
        <v/>
      </c>
      <c r="U93" s="144">
        <f>T93*S93</f>
        <v/>
      </c>
      <c r="V93" s="88" t="inlineStr">
        <is>
          <t>任务实例表</t>
        </is>
      </c>
      <c r="W93" s="89" t="n"/>
      <c r="X93" s="88" t="inlineStr">
        <is>
          <t>任务实例表{实例ID、任务ID、资产ID、状态、开始时间、结束时间}</t>
        </is>
      </c>
      <c r="Y93" s="88" t="n"/>
      <c r="Z93" s="88" t="n"/>
      <c r="AA93" s="76" t="inlineStr">
        <is>
          <t>归属规则设定表</t>
        </is>
      </c>
    </row>
    <row r="94" ht="10.8" customFormat="1" customHeight="1" s="63">
      <c r="A94" s="69">
        <f>ROW()-1</f>
        <v/>
      </c>
      <c r="B94" s="53" t="n"/>
      <c r="C94" s="78" t="n">
        <v>2025</v>
      </c>
      <c r="D94" s="78" t="inlineStr">
        <is>
          <t>张明峰</t>
        </is>
      </c>
      <c r="E94" s="53" t="n"/>
      <c r="F94" s="53" t="n"/>
      <c r="G94" s="53" t="n"/>
      <c r="H94" s="81" t="inlineStr">
        <is>
          <t>查询产品漏洞预警任务实例列表</t>
        </is>
      </c>
      <c r="I94" s="76" t="inlineStr">
        <is>
          <t>EQ</t>
        </is>
      </c>
      <c r="J94" s="108" t="n"/>
      <c r="K94" s="108" t="n"/>
      <c r="L94" s="83">
        <f>IF(OR(X94="估算法",X94="算法类",X94="无法识别"),"",IF(V94="",IF(OR(I94="EI",I94="EO",I94="EQ"),0,""),LEN(V94)-LEN(SUBSTITUTE(V94,"、",""))+1))</f>
        <v/>
      </c>
      <c r="M94" s="83">
        <f>IF(OR(X94="估算法",X94="算法类",X94="无法识别"),"",IF(W94="",IF(OR(I94="ILF",I94="EIF"),0,""),LEN(W94)-LEN(SUBSTITUTE(W94,"、",""))+1))</f>
        <v/>
      </c>
      <c r="N94" s="83">
        <f>IF(OR(X94="估算法",X94="算法类",X94="无法识别"),"",IF(X94="",IF(OR(I94="ILF",I94="EIF",I94="EI",I94="EO",I94="EQ"),0,""),LEN(X94)-LEN(SUBSTITUTE(SUBSTITUTE(SUBSTITUTE(SUBSTITUTE(SUBSTITUTE(X94,"|}","--"),"{|","--"),CHAR(10),""),"、",""),"|",""))+IF(AND(OR(I94="EI",I94="EO",I94="EQ"),$AD$1="NESMA"),2,1)))</f>
        <v/>
      </c>
      <c r="O94" s="84">
        <f>IF(I94="EI",IF(OR(X94="估算法",X94="算法类"),"中",IF(X94="无法识别","低",IF(L94&lt;2,IF(N94&lt;16,"低","中"),IF(L94&lt;3,IF(N94&lt;5,"低",IF(N94&lt;16,"中","高")),IF(N94&lt;5,"中","高"))))),IF(OR(I94="EO",I94="EQ"),IF(OR(X94="估算法",X94="算法类"),"中",IF(X94="无法识别","低",IF(L94&lt;2,IF(N94&lt;20,"低","中"),IF(L94&lt;4,IF(N94&lt;6,"低",IF(N94&lt;20,"中","高")),IF(N94&lt;6,"中","高"))))),IF(OR(I94="ILF",I94="EIF"),IF(OR(X94="估算法",X94="算法类",X94="无法识别"),"低",IF(M94&lt;2,IF(N94&lt;51,"低","中"),IF(M94&lt;6,IF(N94&lt;20,"低",IF(N94&lt;51,"中","高")),IF(N94&lt;20,"中","高")))),"不计算")))</f>
        <v/>
      </c>
      <c r="P94" s="142">
        <f>IFERROR(IF(I94="EI",IF(O94="低",3,IF(O94="中",4,6)),IF(I94="EO",IF(O94="低",4,IF(O94="中",5,7)),IF(I94="EQ",IF(O94="低",3,IF(O94="中",4,6)),IF(I94="ILF",IF(O94="低",7,IF(O94="中",10,15)),IF(I94="EIF",IF(O94="低",5,IF(O94="中",7,10)),"不计算")))))*Q94,"不计算")</f>
        <v/>
      </c>
      <c r="Q94" s="142" t="n">
        <v>1</v>
      </c>
      <c r="R94" s="143">
        <f>调整因子!$F$13</f>
        <v/>
      </c>
      <c r="S94" s="70" t="n">
        <v>1</v>
      </c>
      <c r="T94" s="144">
        <f>IFERROR(P94*R94,0)</f>
        <v/>
      </c>
      <c r="U94" s="144">
        <f>T94*S94</f>
        <v/>
      </c>
      <c r="V94" s="88" t="inlineStr">
        <is>
          <t>任务实例表、产品漏洞预警任务表</t>
        </is>
      </c>
      <c r="W94" s="89" t="n"/>
      <c r="X94" s="88" t="inlineStr">
        <is>
          <t>任务实例表{任务ID|实例ID、任务ID、资产ID、状态、开始时间、结束时间}</t>
        </is>
      </c>
      <c r="Y94" s="88" t="n"/>
      <c r="Z94" s="88" t="n"/>
      <c r="AA94" s="76" t="inlineStr">
        <is>
          <t>自动归属判定表</t>
        </is>
      </c>
    </row>
    <row r="95" ht="21.6" customFormat="1" customHeight="1" s="63">
      <c r="A95" s="69">
        <f>ROW()-1</f>
        <v/>
      </c>
      <c r="B95" s="53" t="n"/>
      <c r="C95" s="78" t="n">
        <v>2025</v>
      </c>
      <c r="D95" s="78" t="inlineStr">
        <is>
          <t>张明峰</t>
        </is>
      </c>
      <c r="E95" s="53" t="n"/>
      <c r="F95" s="53" t="n"/>
      <c r="G95" s="53" t="n"/>
      <c r="H95" s="81" t="inlineStr">
        <is>
          <t>查看产品漏洞预警任务资产概况</t>
        </is>
      </c>
      <c r="I95" s="76" t="inlineStr">
        <is>
          <t>EQ</t>
        </is>
      </c>
      <c r="J95" s="108" t="n"/>
      <c r="K95" s="108" t="n"/>
      <c r="L95" s="83">
        <f>IF(OR(X95="估算法",X95="算法类",X95="无法识别"),"",IF(V95="",IF(OR(I95="EI",I95="EO",I95="EQ"),0,""),LEN(V95)-LEN(SUBSTITUTE(V95,"、",""))+1))</f>
        <v/>
      </c>
      <c r="M95" s="83">
        <f>IF(OR(X95="估算法",X95="算法类",X95="无法识别"),"",IF(W95="",IF(OR(I95="ILF",I95="EIF"),0,""),LEN(W95)-LEN(SUBSTITUTE(W95,"、",""))+1))</f>
        <v/>
      </c>
      <c r="N95" s="83">
        <f>IF(OR(X95="估算法",X95="算法类",X95="无法识别"),"",IF(X95="",IF(OR(I95="ILF",I95="EIF",I95="EI",I95="EO",I95="EQ"),0,""),LEN(X95)-LEN(SUBSTITUTE(SUBSTITUTE(SUBSTITUTE(SUBSTITUTE(SUBSTITUTE(X95,"|}","--"),"{|","--"),CHAR(10),""),"、",""),"|",""))+IF(AND(OR(I95="EI",I95="EO",I95="EQ"),$AD$1="NESMA"),2,1)))</f>
        <v/>
      </c>
      <c r="O95" s="84">
        <f>IF(I95="EI",IF(OR(X95="估算法",X95="算法类"),"中",IF(X95="无法识别","低",IF(L95&lt;2,IF(N95&lt;16,"低","中"),IF(L95&lt;3,IF(N95&lt;5,"低",IF(N95&lt;16,"中","高")),IF(N95&lt;5,"中","高"))))),IF(OR(I95="EO",I95="EQ"),IF(OR(X95="估算法",X95="算法类"),"中",IF(X95="无法识别","低",IF(L95&lt;2,IF(N95&lt;20,"低","中"),IF(L95&lt;4,IF(N95&lt;6,"低",IF(N95&lt;20,"中","高")),IF(N95&lt;6,"中","高"))))),IF(OR(I95="ILF",I95="EIF"),IF(OR(X95="估算法",X95="算法类",X95="无法识别"),"低",IF(M95&lt;2,IF(N95&lt;51,"低","中"),IF(M95&lt;6,IF(N95&lt;20,"低",IF(N95&lt;51,"中","高")),IF(N95&lt;20,"中","高")))),"不计算")))</f>
        <v/>
      </c>
      <c r="P95" s="142">
        <f>IFERROR(IF(I95="EI",IF(O95="低",3,IF(O95="中",4,6)),IF(I95="EO",IF(O95="低",4,IF(O95="中",5,7)),IF(I95="EQ",IF(O95="低",3,IF(O95="中",4,6)),IF(I95="ILF",IF(O95="低",7,IF(O95="中",10,15)),IF(I95="EIF",IF(O95="低",5,IF(O95="中",7,10)),"不计算")))))*Q95,"不计算")</f>
        <v/>
      </c>
      <c r="Q95" s="142" t="n">
        <v>1</v>
      </c>
      <c r="R95" s="143">
        <f>调整因子!$F$13</f>
        <v/>
      </c>
      <c r="S95" s="76" t="n">
        <v>1</v>
      </c>
      <c r="T95" s="144">
        <f>IFERROR(P95*R95,0)</f>
        <v/>
      </c>
      <c r="U95" s="144">
        <f>T95*S95</f>
        <v/>
      </c>
      <c r="V95" s="88" t="inlineStr">
        <is>
          <t>扫描资产表、任务实例表</t>
        </is>
      </c>
      <c r="W95" s="89" t="n"/>
      <c r="X95" s="88" t="inlineStr">
        <is>
          <t>任务实例表{实例ID、任务ID、资产ID、状态、开始时间、结束时间}、扫描资产表{任务ID|资产ID、IP地址、主机名、操作系统、部门}</t>
        </is>
      </c>
      <c r="Y95" s="88" t="n"/>
      <c r="Z95" s="88" t="n"/>
      <c r="AA95" s="79" t="inlineStr">
        <is>
          <t>归属手动设定表</t>
        </is>
      </c>
    </row>
    <row r="96" ht="21.6" customFormat="1" customHeight="1" s="63">
      <c r="A96" s="69">
        <f>ROW()-1</f>
        <v/>
      </c>
      <c r="B96" s="53" t="n"/>
      <c r="C96" s="78" t="n">
        <v>2025</v>
      </c>
      <c r="D96" s="78" t="inlineStr">
        <is>
          <t>张明峰</t>
        </is>
      </c>
      <c r="E96" s="53" t="n"/>
      <c r="F96" s="53" t="n"/>
      <c r="G96" s="53" t="n"/>
      <c r="H96" s="81" t="inlineStr">
        <is>
          <t>导出产品漏洞预警任务资产概况</t>
        </is>
      </c>
      <c r="I96" s="76" t="inlineStr">
        <is>
          <t>EO</t>
        </is>
      </c>
      <c r="J96" s="108" t="n"/>
      <c r="K96" s="108" t="n"/>
      <c r="L96" s="83">
        <f>IF(OR(X96="估算法",X96="算法类",X96="无法识别"),"",IF(V96="",IF(OR(I96="EI",I96="EO",I96="EQ"),0,""),LEN(V96)-LEN(SUBSTITUTE(V96,"、",""))+1))</f>
        <v/>
      </c>
      <c r="M96" s="83">
        <f>IF(OR(X96="估算法",X96="算法类",X96="无法识别"),"",IF(W96="",IF(OR(I96="ILF",I96="EIF"),0,""),LEN(W96)-LEN(SUBSTITUTE(W96,"、",""))+1))</f>
        <v/>
      </c>
      <c r="N96" s="83">
        <f>IF(OR(X96="估算法",X96="算法类",X96="无法识别"),"",IF(X96="",IF(OR(I96="ILF",I96="EIF",I96="EI",I96="EO",I96="EQ"),0,""),LEN(X96)-LEN(SUBSTITUTE(SUBSTITUTE(SUBSTITUTE(SUBSTITUTE(SUBSTITUTE(X96,"|}","--"),"{|","--"),CHAR(10),""),"、",""),"|",""))+IF(AND(OR(I96="EI",I96="EO",I96="EQ"),$AD$1="NESMA"),2,1)))</f>
        <v/>
      </c>
      <c r="O96" s="84">
        <f>IF(I96="EI",IF(OR(X96="估算法",X96="算法类"),"中",IF(X96="无法识别","低",IF(L96&lt;2,IF(N96&lt;16,"低","中"),IF(L96&lt;3,IF(N96&lt;5,"低",IF(N96&lt;16,"中","高")),IF(N96&lt;5,"中","高"))))),IF(OR(I96="EO",I96="EQ"),IF(OR(X96="估算法",X96="算法类"),"中",IF(X96="无法识别","低",IF(L96&lt;2,IF(N96&lt;20,"低","中"),IF(L96&lt;4,IF(N96&lt;6,"低",IF(N96&lt;20,"中","高")),IF(N96&lt;6,"中","高"))))),IF(OR(I96="ILF",I96="EIF"),IF(OR(X96="估算法",X96="算法类",X96="无法识别"),"低",IF(M96&lt;2,IF(N96&lt;51,"低","中"),IF(M96&lt;6,IF(N96&lt;20,"低",IF(N96&lt;51,"中","高")),IF(N96&lt;20,"中","高")))),"不计算")))</f>
        <v/>
      </c>
      <c r="P96" s="142">
        <f>IFERROR(IF(I96="EI",IF(O96="低",3,IF(O96="中",4,6)),IF(I96="EO",IF(O96="低",4,IF(O96="中",5,7)),IF(I96="EQ",IF(O96="低",3,IF(O96="中",4,6)),IF(I96="ILF",IF(O96="低",7,IF(O96="中",10,15)),IF(I96="EIF",IF(O96="低",5,IF(O96="中",7,10)),"不计算")))))*Q96,"不计算")</f>
        <v/>
      </c>
      <c r="Q96" s="142" t="n">
        <v>1</v>
      </c>
      <c r="R96" s="143">
        <f>调整因子!$F$13</f>
        <v/>
      </c>
      <c r="S96" s="70" t="n">
        <v>1</v>
      </c>
      <c r="T96" s="144">
        <f>IFERROR(P96*R96,0)</f>
        <v/>
      </c>
      <c r="U96" s="144">
        <f>T96*S96</f>
        <v/>
      </c>
      <c r="V96" s="88" t="inlineStr">
        <is>
          <t>扫描资产表、任务实例表</t>
        </is>
      </c>
      <c r="W96" s="89" t="n"/>
      <c r="X96" s="88" t="inlineStr">
        <is>
          <t>任务实例表{实例ID、任务ID、资产ID、状态、开始时间、结束时间}、扫描资产表{任务ID|资产ID、IP地址、主机名、操作系统、部门}</t>
        </is>
      </c>
      <c r="Y96" s="88" t="n"/>
      <c r="Z96" s="88" t="n"/>
      <c r="AA96" s="76" t="inlineStr">
        <is>
          <t>漏洞信息详情表、归属手动设定表</t>
        </is>
      </c>
    </row>
    <row r="97" ht="10.8" customFormat="1" customHeight="1" s="63">
      <c r="A97" s="69">
        <f>ROW()-1</f>
        <v/>
      </c>
      <c r="B97" s="53" t="n"/>
      <c r="C97" s="78" t="n">
        <v>2025</v>
      </c>
      <c r="D97" s="78" t="inlineStr">
        <is>
          <t>张明峰</t>
        </is>
      </c>
      <c r="E97" s="53" t="n"/>
      <c r="F97" s="53" t="n"/>
      <c r="G97" s="53" t="n"/>
      <c r="H97" s="81" t="inlineStr">
        <is>
          <t>查看产品漏洞预警任务漏洞概况</t>
        </is>
      </c>
      <c r="I97" s="76" t="inlineStr">
        <is>
          <t>EQ</t>
        </is>
      </c>
      <c r="J97" s="108" t="n"/>
      <c r="K97" s="108" t="n"/>
      <c r="L97" s="83">
        <f>IF(OR(X97="估算法",X97="算法类",X97="无法识别"),"",IF(V97="",IF(OR(I97="EI",I97="EO",I97="EQ"),0,""),LEN(V97)-LEN(SUBSTITUTE(V97,"、",""))+1))</f>
        <v/>
      </c>
      <c r="M97" s="83">
        <f>IF(OR(X97="估算法",X97="算法类",X97="无法识别"),"",IF(W97="",IF(OR(I97="ILF",I97="EIF"),0,""),LEN(W97)-LEN(SUBSTITUTE(W97,"、",""))+1))</f>
        <v/>
      </c>
      <c r="N97" s="83">
        <f>IF(OR(X97="估算法",X97="算法类",X97="无法识别"),"",IF(X97="",IF(OR(I97="ILF",I97="EIF",I97="EI",I97="EO",I97="EQ"),0,""),LEN(X97)-LEN(SUBSTITUTE(SUBSTITUTE(SUBSTITUTE(SUBSTITUTE(SUBSTITUTE(X97,"|}","--"),"{|","--"),CHAR(10),""),"、",""),"|",""))+IF(AND(OR(I97="EI",I97="EO",I97="EQ"),$AD$1="NESMA"),2,1)))</f>
        <v/>
      </c>
      <c r="O97" s="84">
        <f>IF(I97="EI",IF(OR(X97="估算法",X97="算法类"),"中",IF(X97="无法识别","低",IF(L97&lt;2,IF(N97&lt;16,"低","中"),IF(L97&lt;3,IF(N97&lt;5,"低",IF(N97&lt;16,"中","高")),IF(N97&lt;5,"中","高"))))),IF(OR(I97="EO",I97="EQ"),IF(OR(X97="估算法",X97="算法类"),"中",IF(X97="无法识别","低",IF(L97&lt;2,IF(N97&lt;20,"低","中"),IF(L97&lt;4,IF(N97&lt;6,"低",IF(N97&lt;20,"中","高")),IF(N97&lt;6,"中","高"))))),IF(OR(I97="ILF",I97="EIF"),IF(OR(X97="估算法",X97="算法类",X97="无法识别"),"低",IF(M97&lt;2,IF(N97&lt;51,"低","中"),IF(M97&lt;6,IF(N97&lt;20,"低",IF(N97&lt;51,"中","高")),IF(N97&lt;20,"中","高")))),"不计算")))</f>
        <v/>
      </c>
      <c r="P97" s="142">
        <f>IFERROR(IF(I97="EI",IF(O97="低",3,IF(O97="中",4,6)),IF(I97="EO",IF(O97="低",4,IF(O97="中",5,7)),IF(I97="EQ",IF(O97="低",3,IF(O97="中",4,6)),IF(I97="ILF",IF(O97="低",7,IF(O97="中",10,15)),IF(I97="EIF",IF(O97="低",5,IF(O97="中",7,10)),"不计算")))))*Q97,"不计算")</f>
        <v/>
      </c>
      <c r="Q97" s="142" t="n">
        <v>1</v>
      </c>
      <c r="R97" s="143">
        <f>调整因子!$F$13</f>
        <v/>
      </c>
      <c r="S97" s="70" t="n">
        <v>1</v>
      </c>
      <c r="T97" s="144">
        <f>IFERROR(P97*R97,0)</f>
        <v/>
      </c>
      <c r="U97" s="144">
        <f>T97*S97</f>
        <v/>
      </c>
      <c r="V97" s="88" t="inlineStr">
        <is>
          <t>系统漏洞结果表、任务实例表</t>
        </is>
      </c>
      <c r="W97" s="89" t="n"/>
      <c r="X97" s="88" t="inlineStr">
        <is>
          <t>系统漏洞结果表{任务实例ID|结果ID、漏洞ID、资产ID、检测结果、修复建议}</t>
        </is>
      </c>
      <c r="Y97" s="88" t="n"/>
      <c r="Z97" s="88" t="n"/>
      <c r="AA97" s="76" t="inlineStr">
        <is>
          <t>手动补录数据表</t>
        </is>
      </c>
    </row>
    <row r="98" ht="10.8" customFormat="1" customHeight="1" s="63">
      <c r="A98" s="69">
        <f>ROW()-1</f>
        <v/>
      </c>
      <c r="B98" s="53" t="n"/>
      <c r="C98" s="78" t="n">
        <v>2025</v>
      </c>
      <c r="D98" s="78" t="inlineStr">
        <is>
          <t>张明峰</t>
        </is>
      </c>
      <c r="E98" s="53" t="n"/>
      <c r="F98" s="53" t="n"/>
      <c r="G98" s="53" t="n"/>
      <c r="H98" s="81" t="inlineStr">
        <is>
          <t>导出产品漏洞预警任务漏洞结果</t>
        </is>
      </c>
      <c r="I98" s="76" t="inlineStr">
        <is>
          <t>EO</t>
        </is>
      </c>
      <c r="J98" s="108" t="n"/>
      <c r="K98" s="108" t="n"/>
      <c r="L98" s="83">
        <f>IF(OR(X98="估算法",X98="算法类",X98="无法识别"),"",IF(V98="",IF(OR(I98="EI",I98="EO",I98="EQ"),0,""),LEN(V98)-LEN(SUBSTITUTE(V98,"、",""))+1))</f>
        <v/>
      </c>
      <c r="M98" s="83">
        <f>IF(OR(X98="估算法",X98="算法类",X98="无法识别"),"",IF(W98="",IF(OR(I98="ILF",I98="EIF"),0,""),LEN(W98)-LEN(SUBSTITUTE(W98,"、",""))+1))</f>
        <v/>
      </c>
      <c r="N98" s="83">
        <f>IF(OR(X98="估算法",X98="算法类",X98="无法识别"),"",IF(X98="",IF(OR(I98="ILF",I98="EIF",I98="EI",I98="EO",I98="EQ"),0,""),LEN(X98)-LEN(SUBSTITUTE(SUBSTITUTE(SUBSTITUTE(SUBSTITUTE(SUBSTITUTE(X98,"|}","--"),"{|","--"),CHAR(10),""),"、",""),"|",""))+IF(AND(OR(I98="EI",I98="EO",I98="EQ"),$AD$1="NESMA"),2,1)))</f>
        <v/>
      </c>
      <c r="O98" s="84">
        <f>IF(I98="EI",IF(OR(X98="估算法",X98="算法类"),"中",IF(X98="无法识别","低",IF(L98&lt;2,IF(N98&lt;16,"低","中"),IF(L98&lt;3,IF(N98&lt;5,"低",IF(N98&lt;16,"中","高")),IF(N98&lt;5,"中","高"))))),IF(OR(I98="EO",I98="EQ"),IF(OR(X98="估算法",X98="算法类"),"中",IF(X98="无法识别","低",IF(L98&lt;2,IF(N98&lt;20,"低","中"),IF(L98&lt;4,IF(N98&lt;6,"低",IF(N98&lt;20,"中","高")),IF(N98&lt;6,"中","高"))))),IF(OR(I98="ILF",I98="EIF"),IF(OR(X98="估算法",X98="算法类",X98="无法识别"),"低",IF(M98&lt;2,IF(N98&lt;51,"低","中"),IF(M98&lt;6,IF(N98&lt;20,"低",IF(N98&lt;51,"中","高")),IF(N98&lt;20,"中","高")))),"不计算")))</f>
        <v/>
      </c>
      <c r="P98" s="142">
        <f>IFERROR(IF(I98="EI",IF(O98="低",3,IF(O98="中",4,6)),IF(I98="EO",IF(O98="低",4,IF(O98="中",5,7)),IF(I98="EQ",IF(O98="低",3,IF(O98="中",4,6)),IF(I98="ILF",IF(O98="低",7,IF(O98="中",10,15)),IF(I98="EIF",IF(O98="低",5,IF(O98="中",7,10)),"不计算")))))*Q98,"不计算")</f>
        <v/>
      </c>
      <c r="Q98" s="142" t="n">
        <v>1</v>
      </c>
      <c r="R98" s="143">
        <f>调整因子!$F$13</f>
        <v/>
      </c>
      <c r="S98" s="76" t="n">
        <v>1</v>
      </c>
      <c r="T98" s="144">
        <f>IFERROR(P98*R98,0)</f>
        <v/>
      </c>
      <c r="U98" s="144">
        <f>T98*S98</f>
        <v/>
      </c>
      <c r="V98" s="88" t="inlineStr">
        <is>
          <t>系统漏洞结果表、任务实例表</t>
        </is>
      </c>
      <c r="W98" s="89" t="n"/>
      <c r="X98" s="88" t="inlineStr">
        <is>
          <t>系统漏洞结果表{任务实例ID|结果ID、漏洞ID、资产ID、检测结果、修复建议}</t>
        </is>
      </c>
      <c r="Y98" s="88" t="n"/>
      <c r="Z98" s="88" t="n"/>
      <c r="AA98" s="76" t="inlineStr">
        <is>
          <t>资产同步数据表</t>
        </is>
      </c>
    </row>
    <row r="99" ht="21.6" customFormat="1" customHeight="1" s="63">
      <c r="A99" s="69">
        <f>ROW()-1</f>
        <v/>
      </c>
      <c r="B99" s="53" t="n"/>
      <c r="C99" s="78" t="n">
        <v>2025</v>
      </c>
      <c r="D99" s="78" t="inlineStr">
        <is>
          <t>张明峰</t>
        </is>
      </c>
      <c r="E99" s="53" t="n"/>
      <c r="F99" s="53" t="n"/>
      <c r="G99" s="53" t="n"/>
      <c r="H99" s="81" t="inlineStr">
        <is>
          <t>查看产品漏洞预警任务报告</t>
        </is>
      </c>
      <c r="I99" s="76" t="inlineStr">
        <is>
          <t>EQ</t>
        </is>
      </c>
      <c r="J99" s="108" t="n"/>
      <c r="K99" s="108" t="n"/>
      <c r="L99" s="83">
        <f>IF(OR(X99="估算法",X99="算法类",X99="无法识别"),"",IF(V99="",IF(OR(I99="EI",I99="EO",I99="EQ"),0,""),LEN(V99)-LEN(SUBSTITUTE(V99,"、",""))+1))</f>
        <v/>
      </c>
      <c r="M99" s="83">
        <f>IF(OR(X99="估算法",X99="算法类",X99="无法识别"),"",IF(W99="",IF(OR(I99="ILF",I99="EIF"),0,""),LEN(W99)-LEN(SUBSTITUTE(W99,"、",""))+1))</f>
        <v/>
      </c>
      <c r="N99" s="83">
        <f>IF(OR(X99="估算法",X99="算法类",X99="无法识别"),"",IF(X99="",IF(OR(I99="ILF",I99="EIF",I99="EI",I99="EO",I99="EQ"),0,""),LEN(X99)-LEN(SUBSTITUTE(SUBSTITUTE(SUBSTITUTE(SUBSTITUTE(SUBSTITUTE(X99,"|}","--"),"{|","--"),CHAR(10),""),"、",""),"|",""))+IF(AND(OR(I99="EI",I99="EO",I99="EQ"),$AD$1="NESMA"),2,1)))</f>
        <v/>
      </c>
      <c r="O99" s="84">
        <f>IF(I99="EI",IF(OR(X99="估算法",X99="算法类"),"中",IF(X99="无法识别","低",IF(L99&lt;2,IF(N99&lt;16,"低","中"),IF(L99&lt;3,IF(N99&lt;5,"低",IF(N99&lt;16,"中","高")),IF(N99&lt;5,"中","高"))))),IF(OR(I99="EO",I99="EQ"),IF(OR(X99="估算法",X99="算法类"),"中",IF(X99="无法识别","低",IF(L99&lt;2,IF(N99&lt;20,"低","中"),IF(L99&lt;4,IF(N99&lt;6,"低",IF(N99&lt;20,"中","高")),IF(N99&lt;6,"中","高"))))),IF(OR(I99="ILF",I99="EIF"),IF(OR(X99="估算法",X99="算法类",X99="无法识别"),"低",IF(M99&lt;2,IF(N99&lt;51,"低","中"),IF(M99&lt;6,IF(N99&lt;20,"低",IF(N99&lt;51,"中","高")),IF(N99&lt;20,"中","高")))),"不计算")))</f>
        <v/>
      </c>
      <c r="P99" s="142">
        <f>IFERROR(IF(I99="EI",IF(O99="低",3,IF(O99="中",4,6)),IF(I99="EO",IF(O99="低",4,IF(O99="中",5,7)),IF(I99="EQ",IF(O99="低",3,IF(O99="中",4,6)),IF(I99="ILF",IF(O99="低",7,IF(O99="中",10,15)),IF(I99="EIF",IF(O99="低",5,IF(O99="中",7,10)),"不计算")))))*Q99,"不计算")</f>
        <v/>
      </c>
      <c r="Q99" s="142" t="n">
        <v>1</v>
      </c>
      <c r="R99" s="143">
        <f>调整因子!$F$13</f>
        <v/>
      </c>
      <c r="S99" s="70" t="n">
        <v>1</v>
      </c>
      <c r="T99" s="144">
        <f>IFERROR(P99*R99,0)</f>
        <v/>
      </c>
      <c r="U99" s="144">
        <f>T99*S99</f>
        <v/>
      </c>
      <c r="V99" s="88" t="inlineStr">
        <is>
          <t>任务实例表、报告类型表、报告模板表</t>
        </is>
      </c>
      <c r="W99" s="89" t="n"/>
      <c r="X99" s="88" t="inlineStr">
        <is>
          <t>任务实例表{实例ID、任务ID、资产ID、状态、开始时间、结束时间}、报告类型表{类型ID、类型名称、描述}、报告模板表{模板ID、模板名称、内容、创建时间}</t>
        </is>
      </c>
      <c r="Y99" s="88" t="n"/>
      <c r="Z99" s="88" t="n"/>
      <c r="AA99" s="76" t="inlineStr">
        <is>
          <t>资产模型属性表</t>
        </is>
      </c>
    </row>
    <row r="100" ht="32.4" customFormat="1" customHeight="1" s="63">
      <c r="A100" s="69">
        <f>ROW()-1</f>
        <v/>
      </c>
      <c r="B100" s="53" t="n"/>
      <c r="C100" s="78" t="n">
        <v>2025</v>
      </c>
      <c r="D100" s="78" t="inlineStr">
        <is>
          <t>张明峰</t>
        </is>
      </c>
      <c r="E100" s="53" t="n"/>
      <c r="F100" s="53" t="n"/>
      <c r="G100" s="53" t="n"/>
      <c r="H100" s="81" t="inlineStr">
        <is>
          <t>生成产品漏洞预警任务报告</t>
        </is>
      </c>
      <c r="I100" s="76" t="inlineStr">
        <is>
          <t>EO</t>
        </is>
      </c>
      <c r="J100" s="108" t="n"/>
      <c r="K100" s="108" t="n"/>
      <c r="L100" s="83">
        <f>IF(OR(X100="估算法",X100="算法类",X100="无法识别"),"",IF(V100="",IF(OR(I100="EI",I100="EO",I100="EQ"),0,""),LEN(V100)-LEN(SUBSTITUTE(V100,"、",""))+1))</f>
        <v/>
      </c>
      <c r="M100" s="83">
        <f>IF(OR(X100="估算法",X100="算法类",X100="无法识别"),"",IF(W100="",IF(OR(I100="ILF",I100="EIF"),0,""),LEN(W100)-LEN(SUBSTITUTE(W100,"、",""))+1))</f>
        <v/>
      </c>
      <c r="N100" s="83">
        <f>IF(OR(X100="估算法",X100="算法类",X100="无法识别"),"",IF(X100="",IF(OR(I100="ILF",I100="EIF",I100="EI",I100="EO",I100="EQ"),0,""),LEN(X100)-LEN(SUBSTITUTE(SUBSTITUTE(SUBSTITUTE(SUBSTITUTE(SUBSTITUTE(X100,"|}","--"),"{|","--"),CHAR(10),""),"、",""),"|",""))+IF(AND(OR(I100="EI",I100="EO",I100="EQ"),$AD$1="NESMA"),2,1)))</f>
        <v/>
      </c>
      <c r="O100" s="84">
        <f>IF(I100="EI",IF(OR(X100="估算法",X100="算法类"),"中",IF(X100="无法识别","低",IF(L100&lt;2,IF(N100&lt;16,"低","中"),IF(L100&lt;3,IF(N100&lt;5,"低",IF(N100&lt;16,"中","高")),IF(N100&lt;5,"中","高"))))),IF(OR(I100="EO",I100="EQ"),IF(OR(X100="估算法",X100="算法类"),"中",IF(X100="无法识别","低",IF(L100&lt;2,IF(N100&lt;20,"低","中"),IF(L100&lt;4,IF(N100&lt;6,"低",IF(N100&lt;20,"中","高")),IF(N100&lt;6,"中","高"))))),IF(OR(I100="ILF",I100="EIF"),IF(OR(X100="估算法",X100="算法类",X100="无法识别"),"低",IF(M100&lt;2,IF(N100&lt;51,"低","中"),IF(M100&lt;6,IF(N100&lt;20,"低",IF(N100&lt;51,"中","高")),IF(N100&lt;20,"中","高")))),"不计算")))</f>
        <v/>
      </c>
      <c r="P100" s="142">
        <f>IFERROR(IF(I100="EI",IF(O100="低",3,IF(O100="中",4,6)),IF(I100="EO",IF(O100="低",4,IF(O100="中",5,7)),IF(I100="EQ",IF(O100="低",3,IF(O100="中",4,6)),IF(I100="ILF",IF(O100="低",7,IF(O100="中",10,15)),IF(I100="EIF",IF(O100="低",5,IF(O100="中",7,10)),"不计算")))))*Q100,"不计算")</f>
        <v/>
      </c>
      <c r="Q100" s="142" t="n">
        <v>1</v>
      </c>
      <c r="R100" s="143">
        <f>调整因子!$F$13</f>
        <v/>
      </c>
      <c r="S100" s="70" t="n">
        <v>1</v>
      </c>
      <c r="T100" s="144">
        <f>IFERROR(P100*R100,0)</f>
        <v/>
      </c>
      <c r="U100" s="144">
        <f>T100*S100</f>
        <v/>
      </c>
      <c r="V100" s="88" t="inlineStr">
        <is>
          <t>任务实例表、报告类型表、报告模板表、报告生成记录表</t>
        </is>
      </c>
      <c r="W100" s="89" t="n"/>
      <c r="X100" s="88" t="inlineStr">
        <is>
          <t>任务实例表{实例ID、任务ID、资产ID、状态、开始时间、结束时间}、报告类型表{类型ID、类型名称、描述}、报告模板表{模板ID、模板名称、内容、创建时间}、报告生成记录表{记录ID、报告ID、生成时间、生成人}</t>
        </is>
      </c>
      <c r="Y100" s="88" t="n"/>
      <c r="Z100" s="88" t="n"/>
      <c r="AA100" s="76" t="inlineStr">
        <is>
          <t>靶标资产表、靶标资产同步记录表</t>
        </is>
      </c>
    </row>
    <row r="101" ht="21.6" customFormat="1" customHeight="1" s="63">
      <c r="A101" s="69">
        <f>ROW()-1</f>
        <v/>
      </c>
      <c r="B101" s="53" t="n"/>
      <c r="C101" s="78" t="n">
        <v>2025</v>
      </c>
      <c r="D101" s="78" t="inlineStr">
        <is>
          <t>张明峰</t>
        </is>
      </c>
      <c r="E101" s="53" t="n"/>
      <c r="F101" s="53" t="n"/>
      <c r="G101" s="53" t="n"/>
      <c r="H101" s="81" t="inlineStr">
        <is>
          <t>下载产品漏洞预警任务报告</t>
        </is>
      </c>
      <c r="I101" s="76" t="inlineStr">
        <is>
          <t>EO</t>
        </is>
      </c>
      <c r="J101" s="108" t="n"/>
      <c r="K101" s="108" t="n"/>
      <c r="L101" s="83">
        <f>IF(OR(X101="估算法",X101="算法类",X101="无法识别"),"",IF(V101="",IF(OR(I101="EI",I101="EO",I101="EQ"),0,""),LEN(V101)-LEN(SUBSTITUTE(V101,"、",""))+1))</f>
        <v/>
      </c>
      <c r="M101" s="83">
        <f>IF(OR(X101="估算法",X101="算法类",X101="无法识别"),"",IF(W101="",IF(OR(I101="ILF",I101="EIF"),0,""),LEN(W101)-LEN(SUBSTITUTE(W101,"、",""))+1))</f>
        <v/>
      </c>
      <c r="N101" s="83">
        <f>IF(OR(X101="估算法",X101="算法类",X101="无法识别"),"",IF(X101="",IF(OR(I101="ILF",I101="EIF",I101="EI",I101="EO",I101="EQ"),0,""),LEN(X101)-LEN(SUBSTITUTE(SUBSTITUTE(SUBSTITUTE(SUBSTITUTE(SUBSTITUTE(X101,"|}","--"),"{|","--"),CHAR(10),""),"、",""),"|",""))+IF(AND(OR(I101="EI",I101="EO",I101="EQ"),$AD$1="NESMA"),2,1)))</f>
        <v/>
      </c>
      <c r="O101" s="84">
        <f>IF(I101="EI",IF(OR(X101="估算法",X101="算法类"),"中",IF(X101="无法识别","低",IF(L101&lt;2,IF(N101&lt;16,"低","中"),IF(L101&lt;3,IF(N101&lt;5,"低",IF(N101&lt;16,"中","高")),IF(N101&lt;5,"中","高"))))),IF(OR(I101="EO",I101="EQ"),IF(OR(X101="估算法",X101="算法类"),"中",IF(X101="无法识别","低",IF(L101&lt;2,IF(N101&lt;20,"低","中"),IF(L101&lt;4,IF(N101&lt;6,"低",IF(N101&lt;20,"中","高")),IF(N101&lt;6,"中","高"))))),IF(OR(I101="ILF",I101="EIF"),IF(OR(X101="估算法",X101="算法类",X101="无法识别"),"低",IF(M101&lt;2,IF(N101&lt;51,"低","中"),IF(M101&lt;6,IF(N101&lt;20,"低",IF(N101&lt;51,"中","高")),IF(N101&lt;20,"中","高")))),"不计算")))</f>
        <v/>
      </c>
      <c r="P101" s="142">
        <f>IFERROR(IF(I101="EI",IF(O101="低",3,IF(O101="中",4,6)),IF(I101="EO",IF(O101="低",4,IF(O101="中",5,7)),IF(I101="EQ",IF(O101="低",3,IF(O101="中",4,6)),IF(I101="ILF",IF(O101="低",7,IF(O101="中",10,15)),IF(I101="EIF",IF(O101="低",5,IF(O101="中",7,10)),"不计算")))))*Q101,"不计算")</f>
        <v/>
      </c>
      <c r="Q101" s="142" t="n">
        <v>1</v>
      </c>
      <c r="R101" s="143">
        <f>调整因子!$F$13</f>
        <v/>
      </c>
      <c r="S101" s="76" t="n">
        <v>1</v>
      </c>
      <c r="T101" s="144">
        <f>IFERROR(P101*R101,0)</f>
        <v/>
      </c>
      <c r="U101" s="144">
        <f>T101*S101</f>
        <v/>
      </c>
      <c r="V101" s="88" t="inlineStr">
        <is>
          <t>任务实例表、报告生成记录表</t>
        </is>
      </c>
      <c r="W101" s="89" t="n"/>
      <c r="X101" s="88" t="inlineStr">
        <is>
          <t>任务实例表{实例ID、任务ID、资产ID、状态、开始时间、结束时间}、报告生成记录表{记录ID、报告ID、生成时间、生成人}</t>
        </is>
      </c>
      <c r="Y101" s="88" t="n"/>
      <c r="Z101" s="88" t="n"/>
      <c r="AA101" s="76" t="inlineStr">
        <is>
          <t>靶标资产表、靶标资产接收记录表</t>
        </is>
      </c>
    </row>
    <row r="102" ht="21.6" customFormat="1" customHeight="1" s="63">
      <c r="A102" s="69">
        <f>ROW()-1</f>
        <v/>
      </c>
      <c r="B102" s="53" t="n"/>
      <c r="C102" s="78" t="n">
        <v>2025</v>
      </c>
      <c r="D102" s="78" t="inlineStr">
        <is>
          <t>张明峰</t>
        </is>
      </c>
      <c r="E102" s="53" t="n"/>
      <c r="F102" s="53" t="n"/>
      <c r="G102" s="53" t="n"/>
      <c r="H102" s="81" t="inlineStr">
        <is>
          <t>产品漏洞预警任务表</t>
        </is>
      </c>
      <c r="I102" s="76" t="inlineStr">
        <is>
          <t>ILF</t>
        </is>
      </c>
      <c r="J102" s="108" t="n"/>
      <c r="K102" s="108" t="n"/>
      <c r="L102" s="83">
        <f>IF(OR(X102="估算法",X102="算法类",X102="无法识别"),"",IF(V102="",IF(OR(I102="EI",I102="EO",I102="EQ"),0,""),LEN(V102)-LEN(SUBSTITUTE(V102,"、",""))+1))</f>
        <v/>
      </c>
      <c r="M102" s="83">
        <f>IF(OR(X102="估算法",X102="算法类",X102="无法识别"),"",IF(W102="",IF(OR(I102="ILF",I102="EIF"),0,""),LEN(W102)-LEN(SUBSTITUTE(W102,"、",""))+1))</f>
        <v/>
      </c>
      <c r="N102" s="83">
        <f>IF(OR(X102="估算法",X102="算法类",X102="无法识别"),"",IF(X102="",IF(OR(I102="ILF",I102="EIF",I102="EI",I102="EO",I102="EQ"),0,""),LEN(X102)-LEN(SUBSTITUTE(SUBSTITUTE(SUBSTITUTE(SUBSTITUTE(SUBSTITUTE(X102,"|}","--"),"{|","--"),CHAR(10),""),"、",""),"|",""))+IF(AND(OR(I102="EI",I102="EO",I102="EQ"),$AD$1="NESMA"),2,1)))</f>
        <v/>
      </c>
      <c r="O102" s="84">
        <f>IF(I102="EI",IF(OR(X102="估算法",X102="算法类"),"中",IF(X102="无法识别","低",IF(L102&lt;2,IF(N102&lt;16,"低","中"),IF(L102&lt;3,IF(N102&lt;5,"低",IF(N102&lt;16,"中","高")),IF(N102&lt;5,"中","高"))))),IF(OR(I102="EO",I102="EQ"),IF(OR(X102="估算法",X102="算法类"),"中",IF(X102="无法识别","低",IF(L102&lt;2,IF(N102&lt;20,"低","中"),IF(L102&lt;4,IF(N102&lt;6,"低",IF(N102&lt;20,"中","高")),IF(N102&lt;6,"中","高"))))),IF(OR(I102="ILF",I102="EIF"),IF(OR(X102="估算法",X102="算法类",X102="无法识别"),"低",IF(M102&lt;2,IF(N102&lt;51,"低","中"),IF(M102&lt;6,IF(N102&lt;20,"低",IF(N102&lt;51,"中","高")),IF(N102&lt;20,"中","高")))),"不计算")))</f>
        <v/>
      </c>
      <c r="P102" s="142">
        <f>IFERROR(IF(I102="EI",IF(O102="低",3,IF(O102="中",4,6)),IF(I102="EO",IF(O102="低",4,IF(O102="中",5,7)),IF(I102="EQ",IF(O102="低",3,IF(O102="中",4,6)),IF(I102="ILF",IF(O102="低",7,IF(O102="中",10,15)),IF(I102="EIF",IF(O102="低",5,IF(O102="中",7,10)),"不计算")))))*Q102,"不计算")</f>
        <v/>
      </c>
      <c r="Q102" s="142" t="n">
        <v>1</v>
      </c>
      <c r="R102" s="143">
        <f>调整因子!$F$13</f>
        <v/>
      </c>
      <c r="S102" s="70" t="n">
        <v>1</v>
      </c>
      <c r="T102" s="144">
        <f>IFERROR(P102*R102,0)</f>
        <v/>
      </c>
      <c r="U102" s="144">
        <f>T102*S102</f>
        <v/>
      </c>
      <c r="V102" s="89" t="n"/>
      <c r="W102" s="88" t="inlineStr">
        <is>
          <t>产品漏洞预警任务表</t>
        </is>
      </c>
      <c r="X102" s="88" t="inlineStr">
        <is>
          <t>产品漏洞预警任务表{任务ID、任务名称、任务描述、开始时间、结束时间、状态|状态码、提示内容、异常内容、响应头}</t>
        </is>
      </c>
      <c r="Y102" s="88">
        <f>IF(COUNTIFS(V:V,"*"&amp;H102&amp;"*")&gt;0,"存在","不存在")</f>
        <v/>
      </c>
      <c r="Z102" s="88">
        <f>IF(COUNTIFS(AA:AA,"*"&amp;H102&amp;"*")&gt;0,"存在","不存在")</f>
        <v/>
      </c>
      <c r="AA102" s="76" t="inlineStr">
        <is>
          <t>靶标资产表、靶标资产导入记录表、靶标资产同步记录表</t>
        </is>
      </c>
    </row>
    <row r="103" ht="21.6" customFormat="1" customHeight="1" s="63">
      <c r="A103" s="69">
        <f>ROW()-1</f>
        <v/>
      </c>
      <c r="B103" s="53" t="n"/>
      <c r="C103" s="78" t="n">
        <v>2025</v>
      </c>
      <c r="D103" s="78" t="inlineStr">
        <is>
          <t>张明峰</t>
        </is>
      </c>
      <c r="E103" s="53" t="n"/>
      <c r="F103" s="53" t="n"/>
      <c r="G103" s="53" t="n"/>
      <c r="H103" s="81" t="inlineStr">
        <is>
          <t>任务实例表</t>
        </is>
      </c>
      <c r="I103" s="76" t="inlineStr">
        <is>
          <t>ILF</t>
        </is>
      </c>
      <c r="J103" s="108" t="n"/>
      <c r="K103" s="108" t="n"/>
      <c r="L103" s="83">
        <f>IF(OR(X103="估算法",X103="算法类",X103="无法识别"),"",IF(V103="",IF(OR(I103="EI",I103="EO",I103="EQ"),0,""),LEN(V103)-LEN(SUBSTITUTE(V103,"、",""))+1))</f>
        <v/>
      </c>
      <c r="M103" s="83">
        <f>IF(OR(X103="估算法",X103="算法类",X103="无法识别"),"",IF(W103="",IF(OR(I103="ILF",I103="EIF"),0,""),LEN(W103)-LEN(SUBSTITUTE(W103,"、",""))+1))</f>
        <v/>
      </c>
      <c r="N103" s="83">
        <f>IF(OR(X103="估算法",X103="算法类",X103="无法识别"),"",IF(X103="",IF(OR(I103="ILF",I103="EIF",I103="EI",I103="EO",I103="EQ"),0,""),LEN(X103)-LEN(SUBSTITUTE(SUBSTITUTE(SUBSTITUTE(SUBSTITUTE(SUBSTITUTE(X103,"|}","--"),"{|","--"),CHAR(10),""),"、",""),"|",""))+IF(AND(OR(I103="EI",I103="EO",I103="EQ"),$AD$1="NESMA"),2,1)))</f>
        <v/>
      </c>
      <c r="O103" s="84">
        <f>IF(I103="EI",IF(OR(X103="估算法",X103="算法类"),"中",IF(X103="无法识别","低",IF(L103&lt;2,IF(N103&lt;16,"低","中"),IF(L103&lt;3,IF(N103&lt;5,"低",IF(N103&lt;16,"中","高")),IF(N103&lt;5,"中","高"))))),IF(OR(I103="EO",I103="EQ"),IF(OR(X103="估算法",X103="算法类"),"中",IF(X103="无法识别","低",IF(L103&lt;2,IF(N103&lt;20,"低","中"),IF(L103&lt;4,IF(N103&lt;6,"低",IF(N103&lt;20,"中","高")),IF(N103&lt;6,"中","高"))))),IF(OR(I103="ILF",I103="EIF"),IF(OR(X103="估算法",X103="算法类",X103="无法识别"),"低",IF(M103&lt;2,IF(N103&lt;51,"低","中"),IF(M103&lt;6,IF(N103&lt;20,"低",IF(N103&lt;51,"中","高")),IF(N103&lt;20,"中","高")))),"不计算")))</f>
        <v/>
      </c>
      <c r="P103" s="142">
        <f>IFERROR(IF(I103="EI",IF(O103="低",3,IF(O103="中",4,6)),IF(I103="EO",IF(O103="低",4,IF(O103="中",5,7)),IF(I103="EQ",IF(O103="低",3,IF(O103="中",4,6)),IF(I103="ILF",IF(O103="低",7,IF(O103="中",10,15)),IF(I103="EIF",IF(O103="低",5,IF(O103="中",7,10)),"不计算")))))*Q103,"不计算")</f>
        <v/>
      </c>
      <c r="Q103" s="142" t="n">
        <v>1</v>
      </c>
      <c r="R103" s="143">
        <f>调整因子!$F$13</f>
        <v/>
      </c>
      <c r="S103" s="70" t="n">
        <v>1</v>
      </c>
      <c r="T103" s="144">
        <f>IFERROR(P103*R103,0)</f>
        <v/>
      </c>
      <c r="U103" s="144">
        <f>T103*S103</f>
        <v/>
      </c>
      <c r="V103" s="89" t="n"/>
      <c r="W103" s="88" t="inlineStr">
        <is>
          <t>任务实例表</t>
        </is>
      </c>
      <c r="X103" s="88" t="inlineStr">
        <is>
          <t>任务实例表{实例ID、任务ID、资产ID、状态、开始时间、结束时间}</t>
        </is>
      </c>
      <c r="Y103" s="88">
        <f>IF(COUNTIFS(V:V,"*"&amp;H103&amp;"*")&gt;0,"存在","不存在")</f>
        <v/>
      </c>
      <c r="Z103" s="88">
        <f>IF(COUNTIFS(AA:AA,"*"&amp;H103&amp;"*")&gt;0,"存在","不存在")</f>
        <v/>
      </c>
      <c r="AA103" s="76" t="inlineStr">
        <is>
          <t>靶标资产表、靶标资产修改记录表</t>
        </is>
      </c>
    </row>
    <row r="104" ht="21.6" customFormat="1" customHeight="1" s="63">
      <c r="A104" s="69">
        <f>ROW()-1</f>
        <v/>
      </c>
      <c r="B104" s="53" t="n"/>
      <c r="C104" s="78" t="n">
        <v>2025</v>
      </c>
      <c r="D104" s="78" t="inlineStr">
        <is>
          <t>张明峰</t>
        </is>
      </c>
      <c r="E104" s="53" t="n"/>
      <c r="F104" s="53" t="n"/>
      <c r="G104" s="53" t="n"/>
      <c r="H104" s="81" t="inlineStr">
        <is>
          <t>产品漏洞表</t>
        </is>
      </c>
      <c r="I104" s="76" t="inlineStr">
        <is>
          <t>ILF</t>
        </is>
      </c>
      <c r="J104" s="108" t="n"/>
      <c r="K104" s="108" t="n"/>
      <c r="L104" s="83">
        <f>IF(OR(X104="估算法",X104="算法类",X104="无法识别"),"",IF(V104="",IF(OR(I104="EI",I104="EO",I104="EQ"),0,""),LEN(V104)-LEN(SUBSTITUTE(V104,"、",""))+1))</f>
        <v/>
      </c>
      <c r="M104" s="83">
        <f>IF(OR(X104="估算法",X104="算法类",X104="无法识别"),"",IF(W104="",IF(OR(I104="ILF",I104="EIF"),0,""),LEN(W104)-LEN(SUBSTITUTE(W104,"、",""))+1))</f>
        <v/>
      </c>
      <c r="N104" s="83">
        <f>IF(OR(X104="估算法",X104="算法类",X104="无法识别"),"",IF(X104="",IF(OR(I104="ILF",I104="EIF",I104="EI",I104="EO",I104="EQ"),0,""),LEN(X104)-LEN(SUBSTITUTE(SUBSTITUTE(SUBSTITUTE(SUBSTITUTE(SUBSTITUTE(X104,"|}","--"),"{|","--"),CHAR(10),""),"、",""),"|",""))+IF(AND(OR(I104="EI",I104="EO",I104="EQ"),$AD$1="NESMA"),2,1)))</f>
        <v/>
      </c>
      <c r="O104" s="84">
        <f>IF(I104="EI",IF(OR(X104="估算法",X104="算法类"),"中",IF(X104="无法识别","低",IF(L104&lt;2,IF(N104&lt;16,"低","中"),IF(L104&lt;3,IF(N104&lt;5,"低",IF(N104&lt;16,"中","高")),IF(N104&lt;5,"中","高"))))),IF(OR(I104="EO",I104="EQ"),IF(OR(X104="估算法",X104="算法类"),"中",IF(X104="无法识别","低",IF(L104&lt;2,IF(N104&lt;20,"低","中"),IF(L104&lt;4,IF(N104&lt;6,"低",IF(N104&lt;20,"中","高")),IF(N104&lt;6,"中","高"))))),IF(OR(I104="ILF",I104="EIF"),IF(OR(X104="估算法",X104="算法类",X104="无法识别"),"低",IF(M104&lt;2,IF(N104&lt;51,"低","中"),IF(M104&lt;6,IF(N104&lt;20,"低",IF(N104&lt;51,"中","高")),IF(N104&lt;20,"中","高")))),"不计算")))</f>
        <v/>
      </c>
      <c r="P104" s="142">
        <f>IFERROR(IF(I104="EI",IF(O104="低",3,IF(O104="中",4,6)),IF(I104="EO",IF(O104="低",4,IF(O104="中",5,7)),IF(I104="EQ",IF(O104="低",3,IF(O104="中",4,6)),IF(I104="ILF",IF(O104="低",7,IF(O104="中",10,15)),IF(I104="EIF",IF(O104="低",5,IF(O104="中",7,10)),"不计算")))))*Q104,"不计算")</f>
        <v/>
      </c>
      <c r="Q104" s="142" t="n">
        <v>1</v>
      </c>
      <c r="R104" s="143">
        <f>调整因子!$F$13</f>
        <v/>
      </c>
      <c r="S104" s="76" t="n">
        <v>1</v>
      </c>
      <c r="T104" s="144">
        <f>IFERROR(P104*R104,0)</f>
        <v/>
      </c>
      <c r="U104" s="144">
        <f>T104*S104</f>
        <v/>
      </c>
      <c r="V104" s="89" t="n"/>
      <c r="W104" s="88" t="inlineStr">
        <is>
          <t>产品漏洞表</t>
        </is>
      </c>
      <c r="X104" s="88" t="inlineStr">
        <is>
          <t>产品漏洞表{漏洞ID、漏洞名称、描述、影响程度、发现时间|状态码、提示内容、异常内容、响应头}</t>
        </is>
      </c>
      <c r="Y104" s="88">
        <f>IF(COUNTIFS(V:V,"*"&amp;H104&amp;"*")&gt;0,"存在","不存在")</f>
        <v/>
      </c>
      <c r="Z104" s="88">
        <f>IF(COUNTIFS(AA:AA,"*"&amp;H104&amp;"*")&gt;0,"存在","不存在")</f>
        <v/>
      </c>
      <c r="AA104" s="76" t="inlineStr">
        <is>
          <t>靶标资产表、靶标环境调整记录表</t>
        </is>
      </c>
    </row>
    <row r="105" ht="21.6" customFormat="1" customHeight="1" s="63">
      <c r="A105" s="69">
        <f>ROW()-1</f>
        <v/>
      </c>
      <c r="B105" s="53" t="n"/>
      <c r="C105" s="78" t="n">
        <v>2025</v>
      </c>
      <c r="D105" s="78" t="inlineStr">
        <is>
          <t>张明峰</t>
        </is>
      </c>
      <c r="E105" s="53" t="n"/>
      <c r="F105" s="53" t="n"/>
      <c r="G105" s="53" t="n"/>
      <c r="H105" s="81" t="inlineStr">
        <is>
          <t>扫描资产表</t>
        </is>
      </c>
      <c r="I105" s="76" t="inlineStr">
        <is>
          <t>ILF</t>
        </is>
      </c>
      <c r="J105" s="108" t="n"/>
      <c r="K105" s="108" t="n"/>
      <c r="L105" s="83">
        <f>IF(OR(X105="估算法",X105="算法类",X105="无法识别"),"",IF(V105="",IF(OR(I105="EI",I105="EO",I105="EQ"),0,""),LEN(V105)-LEN(SUBSTITUTE(V105,"、",""))+1))</f>
        <v/>
      </c>
      <c r="M105" s="83">
        <f>IF(OR(X105="估算法",X105="算法类",X105="无法识别"),"",IF(W105="",IF(OR(I105="ILF",I105="EIF"),0,""),LEN(W105)-LEN(SUBSTITUTE(W105,"、",""))+1))</f>
        <v/>
      </c>
      <c r="N105" s="83">
        <f>IF(OR(X105="估算法",X105="算法类",X105="无法识别"),"",IF(X105="",IF(OR(I105="ILF",I105="EIF",I105="EI",I105="EO",I105="EQ"),0,""),LEN(X105)-LEN(SUBSTITUTE(SUBSTITUTE(SUBSTITUTE(SUBSTITUTE(SUBSTITUTE(X105,"|}","--"),"{|","--"),CHAR(10),""),"、",""),"|",""))+IF(AND(OR(I105="EI",I105="EO",I105="EQ"),$AD$1="NESMA"),2,1)))</f>
        <v/>
      </c>
      <c r="O105" s="84">
        <f>IF(I105="EI",IF(OR(X105="估算法",X105="算法类"),"中",IF(X105="无法识别","低",IF(L105&lt;2,IF(N105&lt;16,"低","中"),IF(L105&lt;3,IF(N105&lt;5,"低",IF(N105&lt;16,"中","高")),IF(N105&lt;5,"中","高"))))),IF(OR(I105="EO",I105="EQ"),IF(OR(X105="估算法",X105="算法类"),"中",IF(X105="无法识别","低",IF(L105&lt;2,IF(N105&lt;20,"低","中"),IF(L105&lt;4,IF(N105&lt;6,"低",IF(N105&lt;20,"中","高")),IF(N105&lt;6,"中","高"))))),IF(OR(I105="ILF",I105="EIF"),IF(OR(X105="估算法",X105="算法类",X105="无法识别"),"低",IF(M105&lt;2,IF(N105&lt;51,"低","中"),IF(M105&lt;6,IF(N105&lt;20,"低",IF(N105&lt;51,"中","高")),IF(N105&lt;20,"中","高")))),"不计算")))</f>
        <v/>
      </c>
      <c r="P105" s="142">
        <f>IFERROR(IF(I105="EI",IF(O105="低",3,IF(O105="中",4,6)),IF(I105="EO",IF(O105="低",4,IF(O105="中",5,7)),IF(I105="EQ",IF(O105="低",3,IF(O105="中",4,6)),IF(I105="ILF",IF(O105="低",7,IF(O105="中",10,15)),IF(I105="EIF",IF(O105="低",5,IF(O105="中",7,10)),"不计算")))))*Q105,"不计算")</f>
        <v/>
      </c>
      <c r="Q105" s="142" t="n">
        <v>1</v>
      </c>
      <c r="R105" s="143">
        <f>调整因子!$F$13</f>
        <v/>
      </c>
      <c r="S105" s="70" t="n">
        <v>1</v>
      </c>
      <c r="T105" s="144">
        <f>IFERROR(P105*R105,0)</f>
        <v/>
      </c>
      <c r="U105" s="144">
        <f>T105*S105</f>
        <v/>
      </c>
      <c r="V105" s="89" t="n"/>
      <c r="W105" s="88" t="inlineStr">
        <is>
          <t>扫描资产表</t>
        </is>
      </c>
      <c r="X105" s="88" t="inlineStr">
        <is>
          <t>扫描资产表{资产ID、IP地址、主机名、操作系统、部门|状态码、提示内容、异常内容、响应头}</t>
        </is>
      </c>
      <c r="Y105" s="88">
        <f>IF(COUNTIFS(V:V,"*"&amp;H105&amp;"*")&gt;0,"存在","不存在")</f>
        <v/>
      </c>
      <c r="Z105" s="88">
        <f>IF(COUNTIFS(AA:AA,"*"&amp;H105&amp;"*")&gt;0,"存在","不存在")</f>
        <v/>
      </c>
      <c r="AA105" s="76" t="inlineStr">
        <is>
          <t>靶标资产表、靶标环境调整记录表</t>
        </is>
      </c>
    </row>
    <row r="106" ht="21.6" customFormat="1" customHeight="1" s="63">
      <c r="A106" s="69">
        <f>ROW()-1</f>
        <v/>
      </c>
      <c r="B106" s="53" t="n"/>
      <c r="C106" s="78" t="n">
        <v>2025</v>
      </c>
      <c r="D106" s="78" t="inlineStr">
        <is>
          <t>张明峰</t>
        </is>
      </c>
      <c r="E106" s="53" t="n"/>
      <c r="F106" s="53" t="n"/>
      <c r="G106" s="53" t="n"/>
      <c r="H106" s="81" t="inlineStr">
        <is>
          <t>资产组件表</t>
        </is>
      </c>
      <c r="I106" s="76" t="inlineStr">
        <is>
          <t>ILF</t>
        </is>
      </c>
      <c r="J106" s="108" t="n"/>
      <c r="K106" s="108" t="n"/>
      <c r="L106" s="83">
        <f>IF(OR(X106="估算法",X106="算法类",X106="无法识别"),"",IF(V106="",IF(OR(I106="EI",I106="EO",I106="EQ"),0,""),LEN(V106)-LEN(SUBSTITUTE(V106,"、",""))+1))</f>
        <v/>
      </c>
      <c r="M106" s="83">
        <f>IF(OR(X106="估算法",X106="算法类",X106="无法识别"),"",IF(W106="",IF(OR(I106="ILF",I106="EIF"),0,""),LEN(W106)-LEN(SUBSTITUTE(W106,"、",""))+1))</f>
        <v/>
      </c>
      <c r="N106" s="83">
        <f>IF(OR(X106="估算法",X106="算法类",X106="无法识别"),"",IF(X106="",IF(OR(I106="ILF",I106="EIF",I106="EI",I106="EO",I106="EQ"),0,""),LEN(X106)-LEN(SUBSTITUTE(SUBSTITUTE(SUBSTITUTE(SUBSTITUTE(SUBSTITUTE(X106,"|}","--"),"{|","--"),CHAR(10),""),"、",""),"|",""))+IF(AND(OR(I106="EI",I106="EO",I106="EQ"),$AD$1="NESMA"),2,1)))</f>
        <v/>
      </c>
      <c r="O106" s="84">
        <f>IF(I106="EI",IF(OR(X106="估算法",X106="算法类"),"中",IF(X106="无法识别","低",IF(L106&lt;2,IF(N106&lt;16,"低","中"),IF(L106&lt;3,IF(N106&lt;5,"低",IF(N106&lt;16,"中","高")),IF(N106&lt;5,"中","高"))))),IF(OR(I106="EO",I106="EQ"),IF(OR(X106="估算法",X106="算法类"),"中",IF(X106="无法识别","低",IF(L106&lt;2,IF(N106&lt;20,"低","中"),IF(L106&lt;4,IF(N106&lt;6,"低",IF(N106&lt;20,"中","高")),IF(N106&lt;6,"中","高"))))),IF(OR(I106="ILF",I106="EIF"),IF(OR(X106="估算法",X106="算法类",X106="无法识别"),"低",IF(M106&lt;2,IF(N106&lt;51,"低","中"),IF(M106&lt;6,IF(N106&lt;20,"低",IF(N106&lt;51,"中","高")),IF(N106&lt;20,"中","高")))),"不计算")))</f>
        <v/>
      </c>
      <c r="P106" s="142">
        <f>IFERROR(IF(I106="EI",IF(O106="低",3,IF(O106="中",4,6)),IF(I106="EO",IF(O106="低",4,IF(O106="中",5,7)),IF(I106="EQ",IF(O106="低",3,IF(O106="中",4,6)),IF(I106="ILF",IF(O106="低",7,IF(O106="中",10,15)),IF(I106="EIF",IF(O106="低",5,IF(O106="中",7,10)),"不计算")))))*Q106,"不计算")</f>
        <v/>
      </c>
      <c r="Q106" s="142" t="n">
        <v>1</v>
      </c>
      <c r="R106" s="143">
        <f>调整因子!$F$13</f>
        <v/>
      </c>
      <c r="S106" s="70" t="n">
        <v>1</v>
      </c>
      <c r="T106" s="144">
        <f>IFERROR(P106*R106,0)</f>
        <v/>
      </c>
      <c r="U106" s="144">
        <f>T106*S106</f>
        <v/>
      </c>
      <c r="V106" s="89" t="n"/>
      <c r="W106" s="88" t="inlineStr">
        <is>
          <t>资产组件表</t>
        </is>
      </c>
      <c r="X106" s="88" t="inlineStr">
        <is>
          <t>资产组件表{组件ID、资产ID、组件名称、版本、安装路径|状态码、提示内容、异常内容、响应头}</t>
        </is>
      </c>
      <c r="Y106" s="88">
        <f>IF(COUNTIFS(V:V,"*"&amp;H106&amp;"*")&gt;0,"存在","不存在")</f>
        <v/>
      </c>
      <c r="Z106" s="88">
        <f>IF(COUNTIFS(AA:AA,"*"&amp;H106&amp;"*")&gt;0,"存在","不存在")</f>
        <v/>
      </c>
      <c r="AA106" s="88" t="inlineStr">
        <is>
          <t>等效防护策略数据表</t>
        </is>
      </c>
    </row>
    <row r="107" ht="32.4" customFormat="1" customHeight="1" s="63">
      <c r="A107" s="69">
        <f>ROW()-1</f>
        <v/>
      </c>
      <c r="B107" s="53" t="n"/>
      <c r="C107" s="78" t="n">
        <v>2025</v>
      </c>
      <c r="D107" s="78" t="inlineStr">
        <is>
          <t>张明峰</t>
        </is>
      </c>
      <c r="E107" s="53" t="n"/>
      <c r="F107" s="53" t="n"/>
      <c r="G107" s="53" t="n"/>
      <c r="H107" s="81" t="inlineStr">
        <is>
          <t>产品漏洞预警任务历史表</t>
        </is>
      </c>
      <c r="I107" s="76" t="inlineStr">
        <is>
          <t>ILF</t>
        </is>
      </c>
      <c r="J107" s="108" t="n"/>
      <c r="K107" s="108" t="n"/>
      <c r="L107" s="83">
        <f>IF(OR(X107="估算法",X107="算法类",X107="无法识别"),"",IF(V107="",IF(OR(I107="EI",I107="EO",I107="EQ"),0,""),LEN(V107)-LEN(SUBSTITUTE(V107,"、",""))+1))</f>
        <v/>
      </c>
      <c r="M107" s="83">
        <f>IF(OR(X107="估算法",X107="算法类",X107="无法识别"),"",IF(W107="",IF(OR(I107="ILF",I107="EIF"),0,""),LEN(W107)-LEN(SUBSTITUTE(W107,"、",""))+1))</f>
        <v/>
      </c>
      <c r="N107" s="83">
        <f>IF(OR(X107="估算法",X107="算法类",X107="无法识别"),"",IF(X107="",IF(OR(I107="ILF",I107="EIF",I107="EI",I107="EO",I107="EQ"),0,""),LEN(X107)-LEN(SUBSTITUTE(SUBSTITUTE(SUBSTITUTE(SUBSTITUTE(SUBSTITUTE(X107,"|}","--"),"{|","--"),CHAR(10),""),"、",""),"|",""))+IF(AND(OR(I107="EI",I107="EO",I107="EQ"),$AD$1="NESMA"),2,1)))</f>
        <v/>
      </c>
      <c r="O107" s="84">
        <f>IF(I107="EI",IF(OR(X107="估算法",X107="算法类"),"中",IF(X107="无法识别","低",IF(L107&lt;2,IF(N107&lt;16,"低","中"),IF(L107&lt;3,IF(N107&lt;5,"低",IF(N107&lt;16,"中","高")),IF(N107&lt;5,"中","高"))))),IF(OR(I107="EO",I107="EQ"),IF(OR(X107="估算法",X107="算法类"),"中",IF(X107="无法识别","低",IF(L107&lt;2,IF(N107&lt;20,"低","中"),IF(L107&lt;4,IF(N107&lt;6,"低",IF(N107&lt;20,"中","高")),IF(N107&lt;6,"中","高"))))),IF(OR(I107="ILF",I107="EIF"),IF(OR(X107="估算法",X107="算法类",X107="无法识别"),"低",IF(M107&lt;2,IF(N107&lt;51,"低","中"),IF(M107&lt;6,IF(N107&lt;20,"低",IF(N107&lt;51,"中","高")),IF(N107&lt;20,"中","高")))),"不计算")))</f>
        <v/>
      </c>
      <c r="P107" s="142">
        <f>IFERROR(IF(I107="EI",IF(O107="低",3,IF(O107="中",4,6)),IF(I107="EO",IF(O107="低",4,IF(O107="中",5,7)),IF(I107="EQ",IF(O107="低",3,IF(O107="中",4,6)),IF(I107="ILF",IF(O107="低",7,IF(O107="中",10,15)),IF(I107="EIF",IF(O107="低",5,IF(O107="中",7,10)),"不计算")))))*Q107,"不计算")</f>
        <v/>
      </c>
      <c r="Q107" s="142" t="n">
        <v>1</v>
      </c>
      <c r="R107" s="143">
        <f>调整因子!$F$13</f>
        <v/>
      </c>
      <c r="S107" s="76" t="n">
        <v>1</v>
      </c>
      <c r="T107" s="144">
        <f>IFERROR(P107*R107,0)</f>
        <v/>
      </c>
      <c r="U107" s="144">
        <f>T107*S107</f>
        <v/>
      </c>
      <c r="V107" s="89" t="n"/>
      <c r="W107" s="88" t="inlineStr">
        <is>
          <t>产品漏洞预警任务历史表</t>
        </is>
      </c>
      <c r="X107" s="88" t="inlineStr">
        <is>
          <t>产品漏洞预警任务历史表{历史记录ID、任务ID、执行时间、结果|状态码、提示内容、异常内容、响应头}</t>
        </is>
      </c>
      <c r="Y107" s="88">
        <f>IF(COUNTIFS(V:V,"*"&amp;H107&amp;"*")&gt;0,"存在","不存在")</f>
        <v/>
      </c>
      <c r="Z107" s="88">
        <f>IF(COUNTIFS(AA:AA,"*"&amp;H107&amp;"*")&gt;0,"存在","不存在")</f>
        <v/>
      </c>
      <c r="AA107" s="88" t="inlineStr">
        <is>
          <t>安全设备接口配置数据表、安全设备类型数据表、安全设备信息数据表</t>
        </is>
      </c>
    </row>
    <row r="108" ht="32.4" customFormat="1" customHeight="1" s="63">
      <c r="A108" s="69">
        <f>ROW()-1</f>
        <v/>
      </c>
      <c r="B108" s="53" t="n"/>
      <c r="C108" s="78" t="n">
        <v>2025</v>
      </c>
      <c r="D108" s="78" t="inlineStr">
        <is>
          <t>张明峰</t>
        </is>
      </c>
      <c r="E108" s="53" t="n"/>
      <c r="F108" s="53" t="n"/>
      <c r="G108" s="53" t="n"/>
      <c r="H108" s="81" t="inlineStr">
        <is>
          <t>关联分析成功资产表</t>
        </is>
      </c>
      <c r="I108" s="76" t="inlineStr">
        <is>
          <t>ILF</t>
        </is>
      </c>
      <c r="J108" s="108" t="n"/>
      <c r="K108" s="108" t="n"/>
      <c r="L108" s="83">
        <f>IF(OR(X108="估算法",X108="算法类",X108="无法识别"),"",IF(V108="",IF(OR(I108="EI",I108="EO",I108="EQ"),0,""),LEN(V108)-LEN(SUBSTITUTE(V108,"、",""))+1))</f>
        <v/>
      </c>
      <c r="M108" s="83">
        <f>IF(OR(X108="估算法",X108="算法类",X108="无法识别"),"",IF(W108="",IF(OR(I108="ILF",I108="EIF"),0,""),LEN(W108)-LEN(SUBSTITUTE(W108,"、",""))+1))</f>
        <v/>
      </c>
      <c r="N108" s="83">
        <f>IF(OR(X108="估算法",X108="算法类",X108="无法识别"),"",IF(X108="",IF(OR(I108="ILF",I108="EIF",I108="EI",I108="EO",I108="EQ"),0,""),LEN(X108)-LEN(SUBSTITUTE(SUBSTITUTE(SUBSTITUTE(SUBSTITUTE(SUBSTITUTE(X108,"|}","--"),"{|","--"),CHAR(10),""),"、",""),"|",""))+IF(AND(OR(I108="EI",I108="EO",I108="EQ"),$AD$1="NESMA"),2,1)))</f>
        <v/>
      </c>
      <c r="O108" s="84">
        <f>IF(I108="EI",IF(OR(X108="估算法",X108="算法类"),"中",IF(X108="无法识别","低",IF(L108&lt;2,IF(N108&lt;16,"低","中"),IF(L108&lt;3,IF(N108&lt;5,"低",IF(N108&lt;16,"中","高")),IF(N108&lt;5,"中","高"))))),IF(OR(I108="EO",I108="EQ"),IF(OR(X108="估算法",X108="算法类"),"中",IF(X108="无法识别","低",IF(L108&lt;2,IF(N108&lt;20,"低","中"),IF(L108&lt;4,IF(N108&lt;6,"低",IF(N108&lt;20,"中","高")),IF(N108&lt;6,"中","高"))))),IF(OR(I108="ILF",I108="EIF"),IF(OR(X108="估算法",X108="算法类",X108="无法识别"),"低",IF(M108&lt;2,IF(N108&lt;51,"低","中"),IF(M108&lt;6,IF(N108&lt;20,"低",IF(N108&lt;51,"中","高")),IF(N108&lt;20,"中","高")))),"不计算")))</f>
        <v/>
      </c>
      <c r="P108" s="142">
        <f>IFERROR(IF(I108="EI",IF(O108="低",3,IF(O108="中",4,6)),IF(I108="EO",IF(O108="低",4,IF(O108="中",5,7)),IF(I108="EQ",IF(O108="低",3,IF(O108="中",4,6)),IF(I108="ILF",IF(O108="低",7,IF(O108="中",10,15)),IF(I108="EIF",IF(O108="低",5,IF(O108="中",7,10)),"不计算")))))*Q108,"不计算")</f>
        <v/>
      </c>
      <c r="Q108" s="142" t="n">
        <v>1</v>
      </c>
      <c r="R108" s="143">
        <f>调整因子!$F$13</f>
        <v/>
      </c>
      <c r="S108" s="70" t="n">
        <v>1</v>
      </c>
      <c r="T108" s="144">
        <f>IFERROR(P108*R108,0)</f>
        <v/>
      </c>
      <c r="U108" s="144">
        <f>T108*S108</f>
        <v/>
      </c>
      <c r="V108" s="89" t="n"/>
      <c r="W108" s="88" t="inlineStr">
        <is>
          <t>关联分析成功资产表</t>
        </is>
      </c>
      <c r="X108" s="88" t="inlineStr">
        <is>
          <t>关联分析成功资产表{成功记录ID、资产ID、关联漏洞ID、分析时间|状态码、提示内容、异常内容、响应头}</t>
        </is>
      </c>
      <c r="Y108" s="88">
        <f>IF(COUNTIFS(V:V,"*"&amp;H108&amp;"*")&gt;0,"存在","不存在")</f>
        <v/>
      </c>
      <c r="Z108" s="88">
        <f>IF(COUNTIFS(AA:AA,"*"&amp;H108&amp;"*")&gt;0,"存在","不存在")</f>
        <v/>
      </c>
      <c r="AA108" s="88" t="inlineStr">
        <is>
          <t>安全设备接口配置数据表、安全设备类型数据表、安全设备信息数据表</t>
        </is>
      </c>
    </row>
    <row r="109" ht="32.4" customFormat="1" customHeight="1" s="63">
      <c r="A109" s="69">
        <f>ROW()-1</f>
        <v/>
      </c>
      <c r="B109" s="53" t="n"/>
      <c r="C109" s="78" t="n">
        <v>2025</v>
      </c>
      <c r="D109" s="78" t="inlineStr">
        <is>
          <t>张明峰</t>
        </is>
      </c>
      <c r="E109" s="53" t="n"/>
      <c r="F109" s="53" t="n"/>
      <c r="G109" s="53" t="n"/>
      <c r="H109" s="81" t="inlineStr">
        <is>
          <t>关联分析失败资产表</t>
        </is>
      </c>
      <c r="I109" s="76" t="inlineStr">
        <is>
          <t>ILF</t>
        </is>
      </c>
      <c r="J109" s="108" t="n"/>
      <c r="K109" s="108" t="n"/>
      <c r="L109" s="83">
        <f>IF(OR(X109="估算法",X109="算法类",X109="无法识别"),"",IF(V109="",IF(OR(I109="EI",I109="EO",I109="EQ"),0,""),LEN(V109)-LEN(SUBSTITUTE(V109,"、",""))+1))</f>
        <v/>
      </c>
      <c r="M109" s="83">
        <f>IF(OR(X109="估算法",X109="算法类",X109="无法识别"),"",IF(W109="",IF(OR(I109="ILF",I109="EIF"),0,""),LEN(W109)-LEN(SUBSTITUTE(W109,"、",""))+1))</f>
        <v/>
      </c>
      <c r="N109" s="83">
        <f>IF(OR(X109="估算法",X109="算法类",X109="无法识别"),"",IF(X109="",IF(OR(I109="ILF",I109="EIF",I109="EI",I109="EO",I109="EQ"),0,""),LEN(X109)-LEN(SUBSTITUTE(SUBSTITUTE(SUBSTITUTE(SUBSTITUTE(SUBSTITUTE(X109,"|}","--"),"{|","--"),CHAR(10),""),"、",""),"|",""))+IF(AND(OR(I109="EI",I109="EO",I109="EQ"),$AD$1="NESMA"),2,1)))</f>
        <v/>
      </c>
      <c r="O109" s="84">
        <f>IF(I109="EI",IF(OR(X109="估算法",X109="算法类"),"中",IF(X109="无法识别","低",IF(L109&lt;2,IF(N109&lt;16,"低","中"),IF(L109&lt;3,IF(N109&lt;5,"低",IF(N109&lt;16,"中","高")),IF(N109&lt;5,"中","高"))))),IF(OR(I109="EO",I109="EQ"),IF(OR(X109="估算法",X109="算法类"),"中",IF(X109="无法识别","低",IF(L109&lt;2,IF(N109&lt;20,"低","中"),IF(L109&lt;4,IF(N109&lt;6,"低",IF(N109&lt;20,"中","高")),IF(N109&lt;6,"中","高"))))),IF(OR(I109="ILF",I109="EIF"),IF(OR(X109="估算法",X109="算法类",X109="无法识别"),"低",IF(M109&lt;2,IF(N109&lt;51,"低","中"),IF(M109&lt;6,IF(N109&lt;20,"低",IF(N109&lt;51,"中","高")),IF(N109&lt;20,"中","高")))),"不计算")))</f>
        <v/>
      </c>
      <c r="P109" s="142">
        <f>IFERROR(IF(I109="EI",IF(O109="低",3,IF(O109="中",4,6)),IF(I109="EO",IF(O109="低",4,IF(O109="中",5,7)),IF(I109="EQ",IF(O109="低",3,IF(O109="中",4,6)),IF(I109="ILF",IF(O109="低",7,IF(O109="中",10,15)),IF(I109="EIF",IF(O109="低",5,IF(O109="中",7,10)),"不计算")))))*Q109,"不计算")</f>
        <v/>
      </c>
      <c r="Q109" s="142" t="n">
        <v>1</v>
      </c>
      <c r="R109" s="143">
        <f>调整因子!$F$13</f>
        <v/>
      </c>
      <c r="S109" s="70" t="n">
        <v>1</v>
      </c>
      <c r="T109" s="144">
        <f>IFERROR(P109*R109,0)</f>
        <v/>
      </c>
      <c r="U109" s="144">
        <f>T109*S109</f>
        <v/>
      </c>
      <c r="V109" s="89" t="n"/>
      <c r="W109" s="88" t="inlineStr">
        <is>
          <t>关联分析失败资产表</t>
        </is>
      </c>
      <c r="X109" s="88" t="inlineStr">
        <is>
          <t>关联分析失败资产表{失败记录ID、资产ID、失败原因、分析时间|状态码、提示内容、异常内容、响应头}</t>
        </is>
      </c>
      <c r="Y109" s="88">
        <f>IF(COUNTIFS(V:V,"*"&amp;H109&amp;"*")&gt;0,"存在","不存在")</f>
        <v/>
      </c>
      <c r="Z109" s="88">
        <f>IF(COUNTIFS(AA:AA,"*"&amp;H109&amp;"*")&gt;0,"存在","不存在")</f>
        <v/>
      </c>
      <c r="AA109" s="88" t="inlineStr">
        <is>
          <t>安全设备接口配置数据表、安全设备类型数据表、安全设备信息数据表</t>
        </is>
      </c>
    </row>
    <row r="110" ht="10.8" customFormat="1" customHeight="1" s="63">
      <c r="A110" s="69" t="n"/>
      <c r="B110" s="53" t="n"/>
      <c r="C110" s="78" t="n">
        <v>2025</v>
      </c>
      <c r="D110" s="78" t="inlineStr">
        <is>
          <t>张明峰</t>
        </is>
      </c>
      <c r="E110" s="53" t="n"/>
      <c r="F110" s="53" t="n"/>
      <c r="G110" s="53" t="n"/>
      <c r="H110" s="81" t="inlineStr">
        <is>
          <t>漏洞组件表</t>
        </is>
      </c>
      <c r="I110" s="76" t="inlineStr">
        <is>
          <t>ILF</t>
        </is>
      </c>
      <c r="J110" s="92" t="inlineStr">
        <is>
          <t>新增</t>
        </is>
      </c>
      <c r="K110" s="108" t="n"/>
      <c r="L110" s="83" t="n"/>
      <c r="M110" s="83" t="n"/>
      <c r="N110" s="83" t="n"/>
      <c r="O110" s="84" t="n"/>
      <c r="P110" s="142" t="n"/>
      <c r="Q110" s="142" t="n"/>
      <c r="R110" s="143" t="n"/>
      <c r="S110" s="70" t="n"/>
      <c r="T110" s="144" t="n"/>
      <c r="U110" s="144" t="n"/>
      <c r="V110" s="89" t="n"/>
      <c r="W110" s="88" t="inlineStr">
        <is>
          <t>漏洞组件表</t>
        </is>
      </c>
      <c r="X110" s="88" t="inlineStr">
        <is>
          <t>漏洞组件表{组件编号、漏洞编号、组件名称、组件版本、影响范围描述、关联资产编号、关联任务编号、发现时间、更新状态、数据来源}</t>
        </is>
      </c>
      <c r="Y110" s="88" t="n"/>
      <c r="Z110" s="88" t="n"/>
      <c r="AA110" s="88" t="n"/>
    </row>
    <row r="111" ht="10.8" customFormat="1" customHeight="1" s="63">
      <c r="A111" s="69" t="n"/>
      <c r="B111" s="53" t="n"/>
      <c r="C111" s="78" t="n">
        <v>2025</v>
      </c>
      <c r="D111" s="78" t="inlineStr">
        <is>
          <t>张明峰</t>
        </is>
      </c>
      <c r="E111" s="53" t="n"/>
      <c r="F111" s="53" t="n"/>
      <c r="G111" s="53" t="n"/>
      <c r="H111" s="81" t="inlineStr">
        <is>
          <t>预警任务台账表</t>
        </is>
      </c>
      <c r="I111" s="76" t="inlineStr">
        <is>
          <t>ILF</t>
        </is>
      </c>
      <c r="J111" s="92" t="inlineStr">
        <is>
          <t>新增</t>
        </is>
      </c>
      <c r="K111" s="108" t="n"/>
      <c r="L111" s="83" t="n"/>
      <c r="M111" s="83" t="n"/>
      <c r="N111" s="83" t="n"/>
      <c r="O111" s="84" t="n"/>
      <c r="P111" s="142" t="n"/>
      <c r="Q111" s="142" t="n"/>
      <c r="R111" s="143" t="n"/>
      <c r="S111" s="70" t="n"/>
      <c r="T111" s="144" t="n"/>
      <c r="U111" s="144" t="n"/>
      <c r="V111" s="89" t="n"/>
      <c r="W111" s="88" t="inlineStr">
        <is>
          <t>预警任务台账表</t>
        </is>
      </c>
      <c r="X111" s="88" t="inlineStr">
        <is>
          <t>预警任务台账表{台账编号、任务编号、任务名称、台账类型编码、记录时间、漏洞数量、资产数量、碰撞结果摘要、上报状态、部侧指令编号}</t>
        </is>
      </c>
      <c r="Y111" s="88" t="n"/>
      <c r="Z111" s="88" t="n"/>
      <c r="AA111" s="88" t="n"/>
    </row>
    <row r="112" ht="10.8" customFormat="1" customHeight="1" s="63">
      <c r="A112" s="69" t="n"/>
      <c r="B112" s="53" t="n"/>
      <c r="C112" s="78" t="n">
        <v>2025</v>
      </c>
      <c r="D112" s="78" t="inlineStr">
        <is>
          <t>张明峰</t>
        </is>
      </c>
      <c r="E112" s="53" t="n"/>
      <c r="F112" s="53" t="n"/>
      <c r="G112" s="53" t="n"/>
      <c r="H112" s="81" t="inlineStr">
        <is>
          <t>产品漏洞预警工单表</t>
        </is>
      </c>
      <c r="I112" s="76" t="inlineStr">
        <is>
          <t>ILF</t>
        </is>
      </c>
      <c r="J112" s="92" t="inlineStr">
        <is>
          <t>新增</t>
        </is>
      </c>
      <c r="K112" s="108" t="n"/>
      <c r="L112" s="83" t="n"/>
      <c r="M112" s="83" t="n"/>
      <c r="N112" s="83" t="n"/>
      <c r="O112" s="84" t="n"/>
      <c r="P112" s="142" t="n"/>
      <c r="Q112" s="142" t="n"/>
      <c r="R112" s="143" t="n"/>
      <c r="S112" s="70" t="n"/>
      <c r="T112" s="144" t="n"/>
      <c r="U112" s="144" t="n"/>
      <c r="V112" s="89" t="n"/>
      <c r="W112" s="88" t="inlineStr">
        <is>
          <t>产品漏洞预警工单表</t>
        </is>
      </c>
      <c r="X112" s="88" t="inlineStr">
        <is>
          <t>产品漏洞预警工单表{工单编号、工单名称、预警任务编号、工单状态、排查范围摘要、创建时间、下发时间、处理人、漏洞数量、资产数量、更新时间}</t>
        </is>
      </c>
      <c r="Y112" s="88" t="n"/>
      <c r="Z112" s="88" t="n"/>
      <c r="AA112" s="88" t="n"/>
    </row>
    <row r="113" ht="32.4" customFormat="1" customHeight="1" s="63">
      <c r="A113" s="69">
        <f>ROW()-1</f>
        <v/>
      </c>
      <c r="B113" s="53" t="n"/>
      <c r="C113" s="78" t="n">
        <v>2025</v>
      </c>
      <c r="D113" s="78" t="inlineStr">
        <is>
          <t>张明峰</t>
        </is>
      </c>
      <c r="E113" s="53" t="n"/>
      <c r="F113" s="53" t="n"/>
      <c r="G113" s="53" t="n"/>
      <c r="H113" s="81" t="inlineStr">
        <is>
          <t>任务生命周期追踪表</t>
        </is>
      </c>
      <c r="I113" s="76" t="inlineStr">
        <is>
          <t>ILF</t>
        </is>
      </c>
      <c r="J113" s="94" t="inlineStr">
        <is>
          <t>删除</t>
        </is>
      </c>
      <c r="K113" s="108" t="inlineStr">
        <is>
          <t>数据库表未被本系统所维护</t>
        </is>
      </c>
      <c r="L113" s="83">
        <f>IF(OR(X113="估算法",X113="算法类",X113="无法识别"),"",IF(V113="",IF(OR(I113="EI",I113="EO",I113="EQ"),0,""),LEN(V113)-LEN(SUBSTITUTE(V113,"、",""))+1))</f>
        <v/>
      </c>
      <c r="M113" s="83">
        <f>IF(OR(X113="估算法",X113="算法类",X113="无法识别"),"",IF(W113="",IF(OR(I113="ILF",I113="EIF"),0,""),LEN(W113)-LEN(SUBSTITUTE(W113,"、",""))+1))</f>
        <v/>
      </c>
      <c r="N113" s="83">
        <f>IF(OR(X113="估算法",X113="算法类",X113="无法识别"),"",IF(X113="",IF(OR(I113="ILF",I113="EIF",I113="EI",I113="EO",I113="EQ"),0,""),LEN(X113)-LEN(SUBSTITUTE(SUBSTITUTE(SUBSTITUTE(SUBSTITUTE(SUBSTITUTE(X113,"|}","--"),"{|","--"),CHAR(10),""),"、",""),"|",""))+IF(AND(OR(I113="EI",I113="EO",I113="EQ"),$AD$1="NESMA"),2,1)))</f>
        <v/>
      </c>
      <c r="O113" s="84">
        <f>IF(I113="EI",IF(OR(X113="估算法",X113="算法类"),"中",IF(X113="无法识别","低",IF(L113&lt;2,IF(N113&lt;16,"低","中"),IF(L113&lt;3,IF(N113&lt;5,"低",IF(N113&lt;16,"中","高")),IF(N113&lt;5,"中","高"))))),IF(OR(I113="EO",I113="EQ"),IF(OR(X113="估算法",X113="算法类"),"中",IF(X113="无法识别","低",IF(L113&lt;2,IF(N113&lt;20,"低","中"),IF(L113&lt;4,IF(N113&lt;6,"低",IF(N113&lt;20,"中","高")),IF(N113&lt;6,"中","高"))))),IF(OR(I113="ILF",I113="EIF"),IF(OR(X113="估算法",X113="算法类",X113="无法识别"),"低",IF(M113&lt;2,IF(N113&lt;51,"低","中"),IF(M113&lt;6,IF(N113&lt;20,"低",IF(N113&lt;51,"中","高")),IF(N113&lt;20,"中","高")))),"不计算")))</f>
        <v/>
      </c>
      <c r="P113" s="142">
        <f>IFERROR(IF(I113="EI",IF(O113="低",3,IF(O113="中",4,6)),IF(I113="EO",IF(O113="低",4,IF(O113="中",5,7)),IF(I113="EQ",IF(O113="低",3,IF(O113="中",4,6)),IF(I113="ILF",IF(O113="低",7,IF(O113="中",10,15)),IF(I113="EIF",IF(O113="低",5,IF(O113="中",7,10)),"不计算")))))*Q113,"不计算")</f>
        <v/>
      </c>
      <c r="Q113" s="142" t="n">
        <v>0</v>
      </c>
      <c r="R113" s="143">
        <f>调整因子!$F$13</f>
        <v/>
      </c>
      <c r="S113" s="76" t="n">
        <v>1</v>
      </c>
      <c r="T113" s="144">
        <f>IFERROR(P113*R113,0)</f>
        <v/>
      </c>
      <c r="U113" s="144">
        <f>T113*S113</f>
        <v/>
      </c>
      <c r="V113" s="89" t="n"/>
      <c r="W113" s="88" t="inlineStr">
        <is>
          <t>任务生命周期追踪表</t>
        </is>
      </c>
      <c r="X113" s="88" t="inlineStr">
        <is>
          <t>任务生命周期追踪表{追踪ID、任务ID、当前状态、状态变更时间|状态码、提示内容、异常内容、响应头}</t>
        </is>
      </c>
      <c r="Y113" s="88">
        <f>IF(COUNTIFS(V:V,"*"&amp;H113&amp;"*")&gt;0,"存在","不存在")</f>
        <v/>
      </c>
      <c r="Z113" s="88">
        <f>IF(COUNTIFS(AA:AA,"*"&amp;H113&amp;"*")&gt;0,"存在","不存在")</f>
        <v/>
      </c>
      <c r="AA113" s="88" t="inlineStr">
        <is>
          <t>安全设备接口配置数据表、安全设备类型数据表、安全设备信息数据表</t>
        </is>
      </c>
    </row>
    <row r="114" ht="10.8" customFormat="1" customHeight="1" s="63">
      <c r="A114" s="69">
        <f>ROW()-1</f>
        <v/>
      </c>
      <c r="B114" s="53" t="n"/>
      <c r="C114" s="78" t="n">
        <v>2025</v>
      </c>
      <c r="D114" s="78" t="inlineStr">
        <is>
          <t>张明峰</t>
        </is>
      </c>
      <c r="E114" s="53" t="n"/>
      <c r="F114" s="53" t="n"/>
      <c r="G114" s="53" t="n"/>
      <c r="H114" s="81" t="inlineStr">
        <is>
          <t>报告类型表</t>
        </is>
      </c>
      <c r="I114" s="76" t="inlineStr">
        <is>
          <t>ILF</t>
        </is>
      </c>
      <c r="J114" s="94" t="inlineStr">
        <is>
          <t>删除</t>
        </is>
      </c>
      <c r="K114" s="108" t="inlineStr">
        <is>
          <t>数据库表未被本系统所维护</t>
        </is>
      </c>
      <c r="L114" s="83">
        <f>IF(OR(X114="估算法",X114="算法类",X114="无法识别"),"",IF(V114="",IF(OR(I114="EI",I114="EO",I114="EQ"),0,""),LEN(V114)-LEN(SUBSTITUTE(V114,"、",""))+1))</f>
        <v/>
      </c>
      <c r="M114" s="83">
        <f>IF(OR(X114="估算法",X114="算法类",X114="无法识别"),"",IF(W114="",IF(OR(I114="ILF",I114="EIF"),0,""),LEN(W114)-LEN(SUBSTITUTE(W114,"、",""))+1))</f>
        <v/>
      </c>
      <c r="N114" s="83">
        <f>IF(OR(X114="估算法",X114="算法类",X114="无法识别"),"",IF(X114="",IF(OR(I114="ILF",I114="EIF",I114="EI",I114="EO",I114="EQ"),0,""),LEN(X114)-LEN(SUBSTITUTE(SUBSTITUTE(SUBSTITUTE(SUBSTITUTE(SUBSTITUTE(X114,"|}","--"),"{|","--"),CHAR(10),""),"、",""),"|",""))+IF(AND(OR(I114="EI",I114="EO",I114="EQ"),$AD$1="NESMA"),2,1)))</f>
        <v/>
      </c>
      <c r="O114" s="84">
        <f>IF(I114="EI",IF(OR(X114="估算法",X114="算法类"),"中",IF(X114="无法识别","低",IF(L114&lt;2,IF(N114&lt;16,"低","中"),IF(L114&lt;3,IF(N114&lt;5,"低",IF(N114&lt;16,"中","高")),IF(N114&lt;5,"中","高"))))),IF(OR(I114="EO",I114="EQ"),IF(OR(X114="估算法",X114="算法类"),"中",IF(X114="无法识别","低",IF(L114&lt;2,IF(N114&lt;20,"低","中"),IF(L114&lt;4,IF(N114&lt;6,"低",IF(N114&lt;20,"中","高")),IF(N114&lt;6,"中","高"))))),IF(OR(I114="ILF",I114="EIF"),IF(OR(X114="估算法",X114="算法类",X114="无法识别"),"低",IF(M114&lt;2,IF(N114&lt;51,"低","中"),IF(M114&lt;6,IF(N114&lt;20,"低",IF(N114&lt;51,"中","高")),IF(N114&lt;20,"中","高")))),"不计算")))</f>
        <v/>
      </c>
      <c r="P114" s="142">
        <f>IFERROR(IF(I114="EI",IF(O114="低",3,IF(O114="中",4,6)),IF(I114="EO",IF(O114="低",4,IF(O114="中",5,7)),IF(I114="EQ",IF(O114="低",3,IF(O114="中",4,6)),IF(I114="ILF",IF(O114="低",7,IF(O114="中",10,15)),IF(I114="EIF",IF(O114="低",5,IF(O114="中",7,10)),"不计算")))))*Q114,"不计算")</f>
        <v/>
      </c>
      <c r="Q114" s="142" t="n">
        <v>0</v>
      </c>
      <c r="R114" s="143">
        <f>调整因子!$F$13</f>
        <v/>
      </c>
      <c r="S114" s="70" t="n">
        <v>1</v>
      </c>
      <c r="T114" s="144">
        <f>IFERROR(P114*R114,0)</f>
        <v/>
      </c>
      <c r="U114" s="144">
        <f>T114*S114</f>
        <v/>
      </c>
      <c r="V114" s="89" t="n"/>
      <c r="W114" s="88" t="inlineStr">
        <is>
          <t>报告类型表</t>
        </is>
      </c>
      <c r="X114" s="88" t="inlineStr">
        <is>
          <t>报告类型表{类型ID、类型名称、描述}</t>
        </is>
      </c>
      <c r="Y114" s="88">
        <f>IF(COUNTIFS(V:V,"*"&amp;H114&amp;"*")&gt;0,"存在","不存在")</f>
        <v/>
      </c>
      <c r="Z114" s="88">
        <f>IF(COUNTIFS(AA:AA,"*"&amp;H114&amp;"*")&gt;0,"存在","不存在")</f>
        <v/>
      </c>
      <c r="AA114" s="88" t="inlineStr">
        <is>
          <t>响应审计合规结果数据表</t>
        </is>
      </c>
    </row>
    <row r="115" ht="10.8" customFormat="1" customHeight="1" s="63">
      <c r="A115" s="69">
        <f>ROW()-1</f>
        <v/>
      </c>
      <c r="B115" s="53" t="n"/>
      <c r="C115" s="78" t="n">
        <v>2025</v>
      </c>
      <c r="D115" s="78" t="inlineStr">
        <is>
          <t>张明峰</t>
        </is>
      </c>
      <c r="E115" s="53" t="n"/>
      <c r="F115" s="53" t="n"/>
      <c r="G115" s="53" t="n"/>
      <c r="H115" s="81" t="inlineStr">
        <is>
          <t>报告模板表</t>
        </is>
      </c>
      <c r="I115" s="76" t="inlineStr">
        <is>
          <t>ILF</t>
        </is>
      </c>
      <c r="J115" s="108" t="n"/>
      <c r="K115" s="108" t="n"/>
      <c r="L115" s="83">
        <f>IF(OR(X115="估算法",X115="算法类",X115="无法识别"),"",IF(V115="",IF(OR(I115="EI",I115="EO",I115="EQ"),0,""),LEN(V115)-LEN(SUBSTITUTE(V115,"、",""))+1))</f>
        <v/>
      </c>
      <c r="M115" s="83">
        <f>IF(OR(X115="估算法",X115="算法类",X115="无法识别"),"",IF(W115="",IF(OR(I115="ILF",I115="EIF"),0,""),LEN(W115)-LEN(SUBSTITUTE(W115,"、",""))+1))</f>
        <v/>
      </c>
      <c r="N115" s="83">
        <f>IF(OR(X115="估算法",X115="算法类",X115="无法识别"),"",IF(X115="",IF(OR(I115="ILF",I115="EIF",I115="EI",I115="EO",I115="EQ"),0,""),LEN(X115)-LEN(SUBSTITUTE(SUBSTITUTE(SUBSTITUTE(SUBSTITUTE(SUBSTITUTE(X115,"|}","--"),"{|","--"),CHAR(10),""),"、",""),"|",""))+IF(AND(OR(I115="EI",I115="EO",I115="EQ"),$AD$1="NESMA"),2,1)))</f>
        <v/>
      </c>
      <c r="O115" s="84">
        <f>IF(I115="EI",IF(OR(X115="估算法",X115="算法类"),"中",IF(X115="无法识别","低",IF(L115&lt;2,IF(N115&lt;16,"低","中"),IF(L115&lt;3,IF(N115&lt;5,"低",IF(N115&lt;16,"中","高")),IF(N115&lt;5,"中","高"))))),IF(OR(I115="EO",I115="EQ"),IF(OR(X115="估算法",X115="算法类"),"中",IF(X115="无法识别","低",IF(L115&lt;2,IF(N115&lt;20,"低","中"),IF(L115&lt;4,IF(N115&lt;6,"低",IF(N115&lt;20,"中","高")),IF(N115&lt;6,"中","高"))))),IF(OR(I115="ILF",I115="EIF"),IF(OR(X115="估算法",X115="算法类",X115="无法识别"),"低",IF(M115&lt;2,IF(N115&lt;51,"低","中"),IF(M115&lt;6,IF(N115&lt;20,"低",IF(N115&lt;51,"中","高")),IF(N115&lt;20,"中","高")))),"不计算")))</f>
        <v/>
      </c>
      <c r="P115" s="142">
        <f>IFERROR(IF(I115="EI",IF(O115="低",3,IF(O115="中",4,6)),IF(I115="EO",IF(O115="低",4,IF(O115="中",5,7)),IF(I115="EQ",IF(O115="低",3,IF(O115="中",4,6)),IF(I115="ILF",IF(O115="低",7,IF(O115="中",10,15)),IF(I115="EIF",IF(O115="低",5,IF(O115="中",7,10)),"不计算")))))*Q115,"不计算")</f>
        <v/>
      </c>
      <c r="Q115" s="142" t="n">
        <v>1</v>
      </c>
      <c r="R115" s="143">
        <f>调整因子!$F$13</f>
        <v/>
      </c>
      <c r="S115" s="70" t="n">
        <v>1</v>
      </c>
      <c r="T115" s="144">
        <f>IFERROR(P115*R115,0)</f>
        <v/>
      </c>
      <c r="U115" s="144">
        <f>T115*S115</f>
        <v/>
      </c>
      <c r="V115" s="89" t="n"/>
      <c r="W115" s="88" t="inlineStr">
        <is>
          <t>报告模板表</t>
        </is>
      </c>
      <c r="X115" s="88" t="inlineStr">
        <is>
          <t>报告模板表{模板ID、模板名称、内容、创建时间}</t>
        </is>
      </c>
      <c r="Y115" s="88">
        <f>IF(COUNTIFS(V:V,"*"&amp;H115&amp;"*")&gt;0,"存在","不存在")</f>
        <v/>
      </c>
      <c r="Z115" s="88">
        <f>IF(COUNTIFS(AA:AA,"*"&amp;H115&amp;"*")&gt;0,"存在","不存在")</f>
        <v/>
      </c>
      <c r="AA115" s="88" t="inlineStr">
        <is>
          <t>漏洞修复核验工单数据表</t>
        </is>
      </c>
    </row>
    <row r="116" ht="10.8" customFormat="1" customHeight="1" s="63">
      <c r="A116" s="69">
        <f>ROW()-1</f>
        <v/>
      </c>
      <c r="B116" s="53" t="n"/>
      <c r="C116" s="78" t="n">
        <v>2025</v>
      </c>
      <c r="D116" s="78" t="inlineStr">
        <is>
          <t>张明峰</t>
        </is>
      </c>
      <c r="E116" s="53" t="n"/>
      <c r="F116" s="53" t="n"/>
      <c r="G116" s="53" t="n"/>
      <c r="H116" s="81" t="inlineStr">
        <is>
          <t>报告生成记录表</t>
        </is>
      </c>
      <c r="I116" s="76" t="inlineStr">
        <is>
          <t>ILF</t>
        </is>
      </c>
      <c r="J116" s="94" t="inlineStr">
        <is>
          <t>删除</t>
        </is>
      </c>
      <c r="K116" s="108" t="inlineStr">
        <is>
          <t>数据库表未被本系统所维护</t>
        </is>
      </c>
      <c r="L116" s="83">
        <f>IF(OR(X116="估算法",X116="算法类",X116="无法识别"),"",IF(V116="",IF(OR(I116="EI",I116="EO",I116="EQ"),0,""),LEN(V116)-LEN(SUBSTITUTE(V116,"、",""))+1))</f>
        <v/>
      </c>
      <c r="M116" s="83">
        <f>IF(OR(X116="估算法",X116="算法类",X116="无法识别"),"",IF(W116="",IF(OR(I116="ILF",I116="EIF"),0,""),LEN(W116)-LEN(SUBSTITUTE(W116,"、",""))+1))</f>
        <v/>
      </c>
      <c r="N116" s="83">
        <f>IF(OR(X116="估算法",X116="算法类",X116="无法识别"),"",IF(X116="",IF(OR(I116="ILF",I116="EIF",I116="EI",I116="EO",I116="EQ"),0,""),LEN(X116)-LEN(SUBSTITUTE(SUBSTITUTE(SUBSTITUTE(SUBSTITUTE(SUBSTITUTE(X116,"|}","--"),"{|","--"),CHAR(10),""),"、",""),"|",""))+IF(AND(OR(I116="EI",I116="EO",I116="EQ"),$AD$1="NESMA"),2,1)))</f>
        <v/>
      </c>
      <c r="O116" s="84">
        <f>IF(I116="EI",IF(OR(X116="估算法",X116="算法类"),"中",IF(X116="无法识别","低",IF(L116&lt;2,IF(N116&lt;16,"低","中"),IF(L116&lt;3,IF(N116&lt;5,"低",IF(N116&lt;16,"中","高")),IF(N116&lt;5,"中","高"))))),IF(OR(I116="EO",I116="EQ"),IF(OR(X116="估算法",X116="算法类"),"中",IF(X116="无法识别","低",IF(L116&lt;2,IF(N116&lt;20,"低","中"),IF(L116&lt;4,IF(N116&lt;6,"低",IF(N116&lt;20,"中","高")),IF(N116&lt;6,"中","高"))))),IF(OR(I116="ILF",I116="EIF"),IF(OR(X116="估算法",X116="算法类",X116="无法识别"),"低",IF(M116&lt;2,IF(N116&lt;51,"低","中"),IF(M116&lt;6,IF(N116&lt;20,"低",IF(N116&lt;51,"中","高")),IF(N116&lt;20,"中","高")))),"不计算")))</f>
        <v/>
      </c>
      <c r="P116" s="142">
        <f>IFERROR(IF(I116="EI",IF(O116="低",3,IF(O116="中",4,6)),IF(I116="EO",IF(O116="低",4,IF(O116="中",5,7)),IF(I116="EQ",IF(O116="低",3,IF(O116="中",4,6)),IF(I116="ILF",IF(O116="低",7,IF(O116="中",10,15)),IF(I116="EIF",IF(O116="低",5,IF(O116="中",7,10)),"不计算")))))*Q116,"不计算")</f>
        <v/>
      </c>
      <c r="Q116" s="142" t="n">
        <v>0</v>
      </c>
      <c r="R116" s="143">
        <f>调整因子!$F$13</f>
        <v/>
      </c>
      <c r="S116" s="76" t="n">
        <v>1</v>
      </c>
      <c r="T116" s="144">
        <f>IFERROR(P116*R116,0)</f>
        <v/>
      </c>
      <c r="U116" s="144">
        <f>T116*S116</f>
        <v/>
      </c>
      <c r="V116" s="89" t="n"/>
      <c r="W116" s="88" t="inlineStr">
        <is>
          <t>报告生成记录表</t>
        </is>
      </c>
      <c r="X116" s="88" t="inlineStr">
        <is>
          <t>报告生成记录表{记录ID、报告ID、生成时间、生成人}</t>
        </is>
      </c>
      <c r="Y116" s="88">
        <f>IF(COUNTIFS(V:V,"*"&amp;H116&amp;"*")&gt;0,"存在","不存在")</f>
        <v/>
      </c>
      <c r="Z116" s="88">
        <f>IF(COUNTIFS(AA:AA,"*"&amp;H116&amp;"*")&gt;0,"存在","不存在")</f>
        <v/>
      </c>
      <c r="AA116" s="88" t="inlineStr">
        <is>
          <t>漏洞修复核验工单数据表</t>
        </is>
      </c>
    </row>
    <row r="117" ht="10.8" customFormat="1" customHeight="1" s="63">
      <c r="A117" s="69">
        <f>ROW()-1</f>
        <v/>
      </c>
      <c r="B117" s="53" t="n"/>
      <c r="C117" s="78" t="n">
        <v>2025</v>
      </c>
      <c r="D117" s="78" t="inlineStr">
        <is>
          <t>张明峰</t>
        </is>
      </c>
      <c r="E117" s="53" t="n"/>
      <c r="F117" s="53" t="n"/>
      <c r="G117" s="54" t="n"/>
      <c r="H117" s="81" t="inlineStr">
        <is>
          <t>系统漏洞结果表</t>
        </is>
      </c>
      <c r="I117" s="76" t="inlineStr">
        <is>
          <t>ILF</t>
        </is>
      </c>
      <c r="J117" s="94" t="inlineStr">
        <is>
          <t>删除</t>
        </is>
      </c>
      <c r="K117" s="108" t="inlineStr">
        <is>
          <t>数据库表未被本系统所维护</t>
        </is>
      </c>
      <c r="L117" s="83">
        <f>IF(OR(X117="估算法",X117="算法类",X117="无法识别"),"",IF(V117="",IF(OR(I117="EI",I117="EO",I117="EQ"),0,""),LEN(V117)-LEN(SUBSTITUTE(V117,"、",""))+1))</f>
        <v/>
      </c>
      <c r="M117" s="83">
        <f>IF(OR(X117="估算法",X117="算法类",X117="无法识别"),"",IF(W117="",IF(OR(I117="ILF",I117="EIF"),0,""),LEN(W117)-LEN(SUBSTITUTE(W117,"、",""))+1))</f>
        <v/>
      </c>
      <c r="N117" s="83">
        <f>IF(OR(X117="估算法",X117="算法类",X117="无法识别"),"",IF(X117="",IF(OR(I117="ILF",I117="EIF",I117="EI",I117="EO",I117="EQ"),0,""),LEN(X117)-LEN(SUBSTITUTE(SUBSTITUTE(SUBSTITUTE(SUBSTITUTE(SUBSTITUTE(X117,"|}","--"),"{|","--"),CHAR(10),""),"、",""),"|",""))+IF(AND(OR(I117="EI",I117="EO",I117="EQ"),$AD$1="NESMA"),2,1)))</f>
        <v/>
      </c>
      <c r="O117" s="84">
        <f>IF(I117="EI",IF(OR(X117="估算法",X117="算法类"),"中",IF(X117="无法识别","低",IF(L117&lt;2,IF(N117&lt;16,"低","中"),IF(L117&lt;3,IF(N117&lt;5,"低",IF(N117&lt;16,"中","高")),IF(N117&lt;5,"中","高"))))),IF(OR(I117="EO",I117="EQ"),IF(OR(X117="估算法",X117="算法类"),"中",IF(X117="无法识别","低",IF(L117&lt;2,IF(N117&lt;20,"低","中"),IF(L117&lt;4,IF(N117&lt;6,"低",IF(N117&lt;20,"中","高")),IF(N117&lt;6,"中","高"))))),IF(OR(I117="ILF",I117="EIF"),IF(OR(X117="估算法",X117="算法类",X117="无法识别"),"低",IF(M117&lt;2,IF(N117&lt;51,"低","中"),IF(M117&lt;6,IF(N117&lt;20,"低",IF(N117&lt;51,"中","高")),IF(N117&lt;20,"中","高")))),"不计算")))</f>
        <v/>
      </c>
      <c r="P117" s="142">
        <f>IFERROR(IF(I117="EI",IF(O117="低",3,IF(O117="中",4,6)),IF(I117="EO",IF(O117="低",4,IF(O117="中",5,7)),IF(I117="EQ",IF(O117="低",3,IF(O117="中",4,6)),IF(I117="ILF",IF(O117="低",7,IF(O117="中",10,15)),IF(I117="EIF",IF(O117="低",5,IF(O117="中",7,10)),"不计算")))))*Q117,"不计算")</f>
        <v/>
      </c>
      <c r="Q117" s="142" t="n">
        <v>0</v>
      </c>
      <c r="R117" s="143">
        <f>调整因子!$F$13</f>
        <v/>
      </c>
      <c r="S117" s="70" t="n">
        <v>1</v>
      </c>
      <c r="T117" s="144">
        <f>IFERROR(P117*R117,0)</f>
        <v/>
      </c>
      <c r="U117" s="144">
        <f>T117*S117</f>
        <v/>
      </c>
      <c r="V117" s="89" t="n"/>
      <c r="W117" s="88" t="inlineStr">
        <is>
          <t>系统漏洞结果表</t>
        </is>
      </c>
      <c r="X117" s="88" t="inlineStr">
        <is>
          <t>系统漏洞结果表{结果ID、漏洞ID、资产ID、检测结果、修复建议}</t>
        </is>
      </c>
      <c r="Y117" s="88">
        <f>IF(COUNTIFS(V:V,"*"&amp;H117&amp;"*")&gt;0,"存在","不存在")</f>
        <v/>
      </c>
      <c r="Z117" s="88">
        <f>IF(COUNTIFS(AA:AA,"*"&amp;H117&amp;"*")&gt;0,"存在","不存在")</f>
        <v/>
      </c>
      <c r="AA117" s="88" t="inlineStr">
        <is>
          <t>漏洞修复核验工单数据表</t>
        </is>
      </c>
    </row>
    <row r="118" ht="21.6" customFormat="1" customHeight="1" s="63">
      <c r="A118" s="69">
        <f>ROW()-1</f>
        <v/>
      </c>
      <c r="B118" s="53" t="n"/>
      <c r="C118" s="78" t="n">
        <v>2025</v>
      </c>
      <c r="D118" s="78" t="inlineStr">
        <is>
          <t>张明峰</t>
        </is>
      </c>
      <c r="E118" s="53" t="n"/>
      <c r="F118" s="53" t="n"/>
      <c r="G118" s="76" t="inlineStr">
        <is>
          <t>同源纠偏自定义函数配置</t>
        </is>
      </c>
      <c r="H118" s="81" t="inlineStr">
        <is>
          <t>增加自定义函数</t>
        </is>
      </c>
      <c r="I118" s="76" t="inlineStr">
        <is>
          <t>EI</t>
        </is>
      </c>
      <c r="J118" s="108" t="n"/>
      <c r="K118" s="108" t="n"/>
      <c r="L118" s="83">
        <f>IF(OR(X118="估算法",X118="算法类",X118="无法识别"),"",IF(V118="",IF(OR(I118="EI",I118="EO",I118="EQ"),0,""),LEN(V118)-LEN(SUBSTITUTE(V118,"、",""))+1))</f>
        <v/>
      </c>
      <c r="M118" s="83">
        <f>IF(OR(X118="估算法",X118="算法类",X118="无法识别"),"",IF(W118="",IF(OR(I118="ILF",I118="EIF"),0,""),LEN(W118)-LEN(SUBSTITUTE(W118,"、",""))+1))</f>
        <v/>
      </c>
      <c r="N118" s="83">
        <f>IF(OR(X118="估算法",X118="算法类",X118="无法识别"),"",IF(X118="",IF(OR(I118="ILF",I118="EIF",I118="EI",I118="EO",I118="EQ"),0,""),LEN(X118)-LEN(SUBSTITUTE(SUBSTITUTE(SUBSTITUTE(SUBSTITUTE(SUBSTITUTE(X118,"|}","--"),"{|","--"),CHAR(10),""),"、",""),"|",""))+IF(AND(OR(I118="EI",I118="EO",I118="EQ"),$AD$1="NESMA"),2,1)))</f>
        <v/>
      </c>
      <c r="O118" s="84">
        <f>IF(I118="EI",IF(OR(X118="估算法",X118="算法类"),"中",IF(X118="无法识别","低",IF(L118&lt;2,IF(N118&lt;16,"低","中"),IF(L118&lt;3,IF(N118&lt;5,"低",IF(N118&lt;16,"中","高")),IF(N118&lt;5,"中","高"))))),IF(OR(I118="EO",I118="EQ"),IF(OR(X118="估算法",X118="算法类"),"中",IF(X118="无法识别","低",IF(L118&lt;2,IF(N118&lt;20,"低","中"),IF(L118&lt;4,IF(N118&lt;6,"低",IF(N118&lt;20,"中","高")),IF(N118&lt;6,"中","高"))))),IF(OR(I118="ILF",I118="EIF"),IF(OR(X118="估算法",X118="算法类",X118="无法识别"),"低",IF(M118&lt;2,IF(N118&lt;51,"低","中"),IF(M118&lt;6,IF(N118&lt;20,"低",IF(N118&lt;51,"中","高")),IF(N118&lt;20,"中","高")))),"不计算")))</f>
        <v/>
      </c>
      <c r="P118" s="142">
        <f>IFERROR(IF(I118="EI",IF(O118="低",3,IF(O118="中",4,6)),IF(I118="EO",IF(O118="低",4,IF(O118="中",5,7)),IF(I118="EQ",IF(O118="低",3,IF(O118="中",4,6)),IF(I118="ILF",IF(O118="低",7,IF(O118="中",10,15)),IF(I118="EIF",IF(O118="低",5,IF(O118="中",7,10)),"不计算")))))*Q118,"不计算")</f>
        <v/>
      </c>
      <c r="Q118" s="142" t="n">
        <v>1</v>
      </c>
      <c r="R118" s="143">
        <f>调整因子!$F$13</f>
        <v/>
      </c>
      <c r="S118" s="70" t="n">
        <v>1</v>
      </c>
      <c r="T118" s="144">
        <f>IFERROR(P118*R118,0)</f>
        <v/>
      </c>
      <c r="U118" s="144">
        <f>T118*S118</f>
        <v/>
      </c>
      <c r="V118" s="88" t="inlineStr">
        <is>
          <t>函数定义表、函数语言类型表</t>
        </is>
      </c>
      <c r="W118" s="89" t="n"/>
      <c r="X118" s="88" t="inlineStr">
        <is>
          <t>函数定义表{函数ID、函数名称、定义、语言类型ID}、函数语言类型表{语言类型ID、语言名称、描述}</t>
        </is>
      </c>
      <c r="Y118" s="88" t="n"/>
      <c r="Z118" s="88" t="n"/>
      <c r="AA118" s="88" t="inlineStr">
        <is>
          <t>漏洞修复核验工单数据表</t>
        </is>
      </c>
    </row>
    <row r="119" ht="21.6" customFormat="1" customHeight="1" s="63">
      <c r="A119" s="69">
        <f>ROW()-1</f>
        <v/>
      </c>
      <c r="B119" s="53" t="n"/>
      <c r="C119" s="78" t="n">
        <v>2025</v>
      </c>
      <c r="D119" s="78" t="inlineStr">
        <is>
          <t>张明峰</t>
        </is>
      </c>
      <c r="E119" s="53" t="n"/>
      <c r="F119" s="53" t="n"/>
      <c r="G119" s="53" t="n"/>
      <c r="H119" s="81" t="inlineStr">
        <is>
          <t>修改自定义函数</t>
        </is>
      </c>
      <c r="I119" s="76" t="inlineStr">
        <is>
          <t>EI</t>
        </is>
      </c>
      <c r="J119" s="108" t="n"/>
      <c r="K119" s="108" t="n"/>
      <c r="L119" s="83">
        <f>IF(OR(X119="估算法",X119="算法类",X119="无法识别"),"",IF(V119="",IF(OR(I119="EI",I119="EO",I119="EQ"),0,""),LEN(V119)-LEN(SUBSTITUTE(V119,"、",""))+1))</f>
        <v/>
      </c>
      <c r="M119" s="83">
        <f>IF(OR(X119="估算法",X119="算法类",X119="无法识别"),"",IF(W119="",IF(OR(I119="ILF",I119="EIF"),0,""),LEN(W119)-LEN(SUBSTITUTE(W119,"、",""))+1))</f>
        <v/>
      </c>
      <c r="N119" s="83">
        <f>IF(OR(X119="估算法",X119="算法类",X119="无法识别"),"",IF(X119="",IF(OR(I119="ILF",I119="EIF",I119="EI",I119="EO",I119="EQ"),0,""),LEN(X119)-LEN(SUBSTITUTE(SUBSTITUTE(SUBSTITUTE(SUBSTITUTE(SUBSTITUTE(X119,"|}","--"),"{|","--"),CHAR(10),""),"、",""),"|",""))+IF(AND(OR(I119="EI",I119="EO",I119="EQ"),$AD$1="NESMA"),2,1)))</f>
        <v/>
      </c>
      <c r="O119" s="84">
        <f>IF(I119="EI",IF(OR(X119="估算法",X119="算法类"),"中",IF(X119="无法识别","低",IF(L119&lt;2,IF(N119&lt;16,"低","中"),IF(L119&lt;3,IF(N119&lt;5,"低",IF(N119&lt;16,"中","高")),IF(N119&lt;5,"中","高"))))),IF(OR(I119="EO",I119="EQ"),IF(OR(X119="估算法",X119="算法类"),"中",IF(X119="无法识别","低",IF(L119&lt;2,IF(N119&lt;20,"低","中"),IF(L119&lt;4,IF(N119&lt;6,"低",IF(N119&lt;20,"中","高")),IF(N119&lt;6,"中","高"))))),IF(OR(I119="ILF",I119="EIF"),IF(OR(X119="估算法",X119="算法类",X119="无法识别"),"低",IF(M119&lt;2,IF(N119&lt;51,"低","中"),IF(M119&lt;6,IF(N119&lt;20,"低",IF(N119&lt;51,"中","高")),IF(N119&lt;20,"中","高")))),"不计算")))</f>
        <v/>
      </c>
      <c r="P119" s="142">
        <f>IFERROR(IF(I119="EI",IF(O119="低",3,IF(O119="中",4,6)),IF(I119="EO",IF(O119="低",4,IF(O119="中",5,7)),IF(I119="EQ",IF(O119="低",3,IF(O119="中",4,6)),IF(I119="ILF",IF(O119="低",7,IF(O119="中",10,15)),IF(I119="EIF",IF(O119="低",5,IF(O119="中",7,10)),"不计算")))))*Q119,"不计算")</f>
        <v/>
      </c>
      <c r="Q119" s="142" t="n">
        <v>0.333333333333333</v>
      </c>
      <c r="R119" s="143">
        <f>调整因子!$F$13</f>
        <v/>
      </c>
      <c r="S119" s="76" t="n">
        <v>1</v>
      </c>
      <c r="T119" s="144">
        <f>IFERROR(P119*R119,0)</f>
        <v/>
      </c>
      <c r="U119" s="144">
        <f>T119*S119</f>
        <v/>
      </c>
      <c r="V119" s="88" t="inlineStr">
        <is>
          <t>函数语言类型表、函数定义表</t>
        </is>
      </c>
      <c r="W119" s="89" t="n"/>
      <c r="X119" s="88" t="inlineStr">
        <is>
          <t>函数定义表{函数ID|函数名称、定义、语言类型ID}、函数语言类型表{语言类型ID、语言名称、描述}</t>
        </is>
      </c>
      <c r="Y119" s="88" t="n"/>
      <c r="Z119" s="88" t="n"/>
      <c r="AA119" s="88" t="inlineStr">
        <is>
          <t>修复核验策略配置数据表</t>
        </is>
      </c>
    </row>
    <row r="120" ht="10.8" customFormat="1" customHeight="1" s="63">
      <c r="A120" s="69">
        <f>ROW()-1</f>
        <v/>
      </c>
      <c r="B120" s="53" t="n"/>
      <c r="C120" s="78" t="n">
        <v>2025</v>
      </c>
      <c r="D120" s="78" t="inlineStr">
        <is>
          <t>张明峰</t>
        </is>
      </c>
      <c r="E120" s="53" t="n"/>
      <c r="F120" s="53" t="n"/>
      <c r="G120" s="53" t="n"/>
      <c r="H120" s="81" t="inlineStr">
        <is>
          <t>删除自定义函数</t>
        </is>
      </c>
      <c r="I120" s="76" t="inlineStr">
        <is>
          <t>EI</t>
        </is>
      </c>
      <c r="J120" s="108" t="n"/>
      <c r="K120" s="108" t="n"/>
      <c r="L120" s="83">
        <f>IF(OR(X120="估算法",X120="算法类",X120="无法识别"),"",IF(V120="",IF(OR(I120="EI",I120="EO",I120="EQ"),0,""),LEN(V120)-LEN(SUBSTITUTE(V120,"、",""))+1))</f>
        <v/>
      </c>
      <c r="M120" s="83">
        <f>IF(OR(X120="估算法",X120="算法类",X120="无法识别"),"",IF(W120="",IF(OR(I120="ILF",I120="EIF"),0,""),LEN(W120)-LEN(SUBSTITUTE(W120,"、",""))+1))</f>
        <v/>
      </c>
      <c r="N120" s="83">
        <f>IF(OR(X120="估算法",X120="算法类",X120="无法识别"),"",IF(X120="",IF(OR(I120="ILF",I120="EIF",I120="EI",I120="EO",I120="EQ"),0,""),LEN(X120)-LEN(SUBSTITUTE(SUBSTITUTE(SUBSTITUTE(SUBSTITUTE(SUBSTITUTE(X120,"|}","--"),"{|","--"),CHAR(10),""),"、",""),"|",""))+IF(AND(OR(I120="EI",I120="EO",I120="EQ"),$AD$1="NESMA"),2,1)))</f>
        <v/>
      </c>
      <c r="O120" s="84">
        <f>IF(I120="EI",IF(OR(X120="估算法",X120="算法类"),"中",IF(X120="无法识别","低",IF(L120&lt;2,IF(N120&lt;16,"低","中"),IF(L120&lt;3,IF(N120&lt;5,"低",IF(N120&lt;16,"中","高")),IF(N120&lt;5,"中","高"))))),IF(OR(I120="EO",I120="EQ"),IF(OR(X120="估算法",X120="算法类"),"中",IF(X120="无法识别","低",IF(L120&lt;2,IF(N120&lt;20,"低","中"),IF(L120&lt;4,IF(N120&lt;6,"低",IF(N120&lt;20,"中","高")),IF(N120&lt;6,"中","高"))))),IF(OR(I120="ILF",I120="EIF"),IF(OR(X120="估算法",X120="算法类",X120="无法识别"),"低",IF(M120&lt;2,IF(N120&lt;51,"低","中"),IF(M120&lt;6,IF(N120&lt;20,"低",IF(N120&lt;51,"中","高")),IF(N120&lt;20,"中","高")))),"不计算")))</f>
        <v/>
      </c>
      <c r="P120" s="142">
        <f>IFERROR(IF(I120="EI",IF(O120="低",3,IF(O120="中",4,6)),IF(I120="EO",IF(O120="低",4,IF(O120="中",5,7)),IF(I120="EQ",IF(O120="低",3,IF(O120="中",4,6)),IF(I120="ILF",IF(O120="低",7,IF(O120="中",10,15)),IF(I120="EIF",IF(O120="低",5,IF(O120="中",7,10)),"不计算")))))*Q120,"不计算")</f>
        <v/>
      </c>
      <c r="Q120" s="142" t="n">
        <v>0.333333333333333</v>
      </c>
      <c r="R120" s="143">
        <f>调整因子!$F$13</f>
        <v/>
      </c>
      <c r="S120" s="70" t="n">
        <v>1</v>
      </c>
      <c r="T120" s="144">
        <f>IFERROR(P120*R120,0)</f>
        <v/>
      </c>
      <c r="U120" s="144">
        <f>T120*S120</f>
        <v/>
      </c>
      <c r="V120" s="88" t="inlineStr">
        <is>
          <t>函数定义表</t>
        </is>
      </c>
      <c r="W120" s="89" t="n"/>
      <c r="X120" s="88" t="inlineStr">
        <is>
          <t>函数定义表{函数ID}</t>
        </is>
      </c>
      <c r="Y120" s="88" t="n"/>
      <c r="Z120" s="88" t="n"/>
      <c r="AA120" s="88" t="inlineStr">
        <is>
          <t>BAS平台接口调用配置数据表</t>
        </is>
      </c>
    </row>
    <row r="121" ht="21.6" customFormat="1" customHeight="1" s="63">
      <c r="A121" s="69">
        <f>ROW()-1</f>
        <v/>
      </c>
      <c r="B121" s="53" t="n"/>
      <c r="C121" s="78" t="n">
        <v>2025</v>
      </c>
      <c r="D121" s="78" t="inlineStr">
        <is>
          <t>张明峰</t>
        </is>
      </c>
      <c r="E121" s="53" t="n"/>
      <c r="F121" s="53" t="n"/>
      <c r="G121" s="53" t="n"/>
      <c r="H121" s="81" t="inlineStr">
        <is>
          <t>查询自定义函数列表</t>
        </is>
      </c>
      <c r="I121" s="76" t="inlineStr">
        <is>
          <t>EO</t>
        </is>
      </c>
      <c r="J121" s="108" t="n"/>
      <c r="K121" s="108" t="n"/>
      <c r="L121" s="83">
        <f>IF(OR(X121="估算法",X121="算法类",X121="无法识别"),"",IF(V121="",IF(OR(I121="EI",I121="EO",I121="EQ"),0,""),LEN(V121)-LEN(SUBSTITUTE(V121,"、",""))+1))</f>
        <v/>
      </c>
      <c r="M121" s="83">
        <f>IF(OR(X121="估算法",X121="算法类",X121="无法识别"),"",IF(W121="",IF(OR(I121="ILF",I121="EIF"),0,""),LEN(W121)-LEN(SUBSTITUTE(W121,"、",""))+1))</f>
        <v/>
      </c>
      <c r="N121" s="83">
        <f>IF(OR(X121="估算法",X121="算法类",X121="无法识别"),"",IF(X121="",IF(OR(I121="ILF",I121="EIF",I121="EI",I121="EO",I121="EQ"),0,""),LEN(X121)-LEN(SUBSTITUTE(SUBSTITUTE(SUBSTITUTE(SUBSTITUTE(SUBSTITUTE(X121,"|}","--"),"{|","--"),CHAR(10),""),"、",""),"|",""))+IF(AND(OR(I121="EI",I121="EO",I121="EQ"),$AD$1="NESMA"),2,1)))</f>
        <v/>
      </c>
      <c r="O121" s="84">
        <f>IF(I121="EI",IF(OR(X121="估算法",X121="算法类"),"中",IF(X121="无法识别","低",IF(L121&lt;2,IF(N121&lt;16,"低","中"),IF(L121&lt;3,IF(N121&lt;5,"低",IF(N121&lt;16,"中","高")),IF(N121&lt;5,"中","高"))))),IF(OR(I121="EO",I121="EQ"),IF(OR(X121="估算法",X121="算法类"),"中",IF(X121="无法识别","低",IF(L121&lt;2,IF(N121&lt;20,"低","中"),IF(L121&lt;4,IF(N121&lt;6,"低",IF(N121&lt;20,"中","高")),IF(N121&lt;6,"中","高"))))),IF(OR(I121="ILF",I121="EIF"),IF(OR(X121="估算法",X121="算法类",X121="无法识别"),"低",IF(M121&lt;2,IF(N121&lt;51,"低","中"),IF(M121&lt;6,IF(N121&lt;20,"低",IF(N121&lt;51,"中","高")),IF(N121&lt;20,"中","高")))),"不计算")))</f>
        <v/>
      </c>
      <c r="P121" s="142">
        <f>IFERROR(IF(I121="EI",IF(O121="低",3,IF(O121="中",4,6)),IF(I121="EO",IF(O121="低",4,IF(O121="中",5,7)),IF(I121="EQ",IF(O121="低",3,IF(O121="中",4,6)),IF(I121="ILF",IF(O121="低",7,IF(O121="中",10,15)),IF(I121="EIF",IF(O121="低",5,IF(O121="中",7,10)),"不计算")))))*Q121,"不计算")</f>
        <v/>
      </c>
      <c r="Q121" s="142" t="n">
        <v>1</v>
      </c>
      <c r="R121" s="143">
        <f>调整因子!$F$13</f>
        <v/>
      </c>
      <c r="S121" s="70" t="n">
        <v>1</v>
      </c>
      <c r="T121" s="144">
        <f>IFERROR(P121*R121,0)</f>
        <v/>
      </c>
      <c r="U121" s="144">
        <f>T121*S121</f>
        <v/>
      </c>
      <c r="V121" s="88" t="inlineStr">
        <is>
          <t>函数定义表</t>
        </is>
      </c>
      <c r="W121" s="89" t="n"/>
      <c r="X121" s="88" t="inlineStr">
        <is>
          <t>函数定义表{函数名称|函数ID、函数名称、定义、语言类型ID}</t>
        </is>
      </c>
      <c r="Y121" s="88" t="n"/>
      <c r="Z121" s="88" t="n"/>
      <c r="AA121" s="88" t="inlineStr">
        <is>
          <t>漏洞修复核验报告模板配置项数据表</t>
        </is>
      </c>
    </row>
    <row r="122" ht="10.8" customFormat="1" customHeight="1" s="63">
      <c r="A122" s="69">
        <f>ROW()-1</f>
        <v/>
      </c>
      <c r="B122" s="53" t="n"/>
      <c r="C122" s="78" t="n">
        <v>2025</v>
      </c>
      <c r="D122" s="78" t="inlineStr">
        <is>
          <t>张明峰</t>
        </is>
      </c>
      <c r="E122" s="53" t="n"/>
      <c r="F122" s="53" t="n"/>
      <c r="G122" s="53" t="n"/>
      <c r="H122" s="81" t="inlineStr">
        <is>
          <t>函数定义表</t>
        </is>
      </c>
      <c r="I122" s="76" t="inlineStr">
        <is>
          <t>ILF</t>
        </is>
      </c>
      <c r="J122" s="108" t="n"/>
      <c r="K122" s="108" t="n"/>
      <c r="L122" s="83">
        <f>IF(OR(X122="估算法",X122="算法类",X122="无法识别"),"",IF(V122="",IF(OR(I122="EI",I122="EO",I122="EQ"),0,""),LEN(V122)-LEN(SUBSTITUTE(V122,"、",""))+1))</f>
        <v/>
      </c>
      <c r="M122" s="83">
        <f>IF(OR(X122="估算法",X122="算法类",X122="无法识别"),"",IF(W122="",IF(OR(I122="ILF",I122="EIF"),0,""),LEN(W122)-LEN(SUBSTITUTE(W122,"、",""))+1))</f>
        <v/>
      </c>
      <c r="N122" s="83">
        <f>IF(OR(X122="估算法",X122="算法类",X122="无法识别"),"",IF(X122="",IF(OR(I122="ILF",I122="EIF",I122="EI",I122="EO",I122="EQ"),0,""),LEN(X122)-LEN(SUBSTITUTE(SUBSTITUTE(SUBSTITUTE(SUBSTITUTE(SUBSTITUTE(X122,"|}","--"),"{|","--"),CHAR(10),""),"、",""),"|",""))+IF(AND(OR(I122="EI",I122="EO",I122="EQ"),$AD$1="NESMA"),2,1)))</f>
        <v/>
      </c>
      <c r="O122" s="84">
        <f>IF(I122="EI",IF(OR(X122="估算法",X122="算法类"),"中",IF(X122="无法识别","低",IF(L122&lt;2,IF(N122&lt;16,"低","中"),IF(L122&lt;3,IF(N122&lt;5,"低",IF(N122&lt;16,"中","高")),IF(N122&lt;5,"中","高"))))),IF(OR(I122="EO",I122="EQ"),IF(OR(X122="估算法",X122="算法类"),"中",IF(X122="无法识别","低",IF(L122&lt;2,IF(N122&lt;20,"低","中"),IF(L122&lt;4,IF(N122&lt;6,"低",IF(N122&lt;20,"中","高")),IF(N122&lt;6,"中","高"))))),IF(OR(I122="ILF",I122="EIF"),IF(OR(X122="估算法",X122="算法类",X122="无法识别"),"低",IF(M122&lt;2,IF(N122&lt;51,"低","中"),IF(M122&lt;6,IF(N122&lt;20,"低",IF(N122&lt;51,"中","高")),IF(N122&lt;20,"中","高")))),"不计算")))</f>
        <v/>
      </c>
      <c r="P122" s="142">
        <f>IFERROR(IF(I122="EI",IF(O122="低",3,IF(O122="中",4,6)),IF(I122="EO",IF(O122="低",4,IF(O122="中",5,7)),IF(I122="EQ",IF(O122="低",3,IF(O122="中",4,6)),IF(I122="ILF",IF(O122="低",7,IF(O122="中",10,15)),IF(I122="EIF",IF(O122="低",5,IF(O122="中",7,10)),"不计算")))))*Q122,"不计算")</f>
        <v/>
      </c>
      <c r="Q122" s="142" t="n">
        <v>1</v>
      </c>
      <c r="R122" s="143">
        <f>调整因子!$F$13</f>
        <v/>
      </c>
      <c r="S122" s="76" t="n">
        <v>1</v>
      </c>
      <c r="T122" s="144">
        <f>IFERROR(P122*R122,0)</f>
        <v/>
      </c>
      <c r="U122" s="144">
        <f>T122*S122</f>
        <v/>
      </c>
      <c r="V122" s="89" t="n"/>
      <c r="W122" s="88" t="inlineStr">
        <is>
          <t>函数定义表</t>
        </is>
      </c>
      <c r="X122" s="88" t="inlineStr">
        <is>
          <t>函数定义表{函数ID、函数名称、定义、语言类型ID}</t>
        </is>
      </c>
      <c r="Y122" s="88">
        <f>IF(COUNTIFS(V:V,"*"&amp;H122&amp;"*")&gt;0,"存在","不存在")</f>
        <v/>
      </c>
      <c r="Z122" s="88">
        <f>IF(COUNTIFS(AA:AA,"*"&amp;H122&amp;"*")&gt;0,"存在","不存在")</f>
        <v/>
      </c>
      <c r="AA122" s="88" t="inlineStr">
        <is>
          <t>修复核验报告推送规则数据表</t>
        </is>
      </c>
    </row>
    <row r="123" ht="10.8" customFormat="1" customHeight="1" s="63">
      <c r="A123" s="69">
        <f>ROW()-1</f>
        <v/>
      </c>
      <c r="B123" s="53" t="n"/>
      <c r="C123" s="78" t="n">
        <v>2025</v>
      </c>
      <c r="D123" s="78" t="inlineStr">
        <is>
          <t>张明峰</t>
        </is>
      </c>
      <c r="E123" s="53" t="n"/>
      <c r="F123" s="53" t="n"/>
      <c r="G123" s="54" t="n"/>
      <c r="H123" s="81" t="inlineStr">
        <is>
          <t>函数语言类型表</t>
        </is>
      </c>
      <c r="I123" s="76" t="inlineStr">
        <is>
          <t>ILF</t>
        </is>
      </c>
      <c r="J123" s="108" t="n"/>
      <c r="K123" s="108" t="n"/>
      <c r="L123" s="83">
        <f>IF(OR(X123="估算法",X123="算法类",X123="无法识别"),"",IF(V123="",IF(OR(I123="EI",I123="EO",I123="EQ"),0,""),LEN(V123)-LEN(SUBSTITUTE(V123,"、",""))+1))</f>
        <v/>
      </c>
      <c r="M123" s="83">
        <f>IF(OR(X123="估算法",X123="算法类",X123="无法识别"),"",IF(W123="",IF(OR(I123="ILF",I123="EIF"),0,""),LEN(W123)-LEN(SUBSTITUTE(W123,"、",""))+1))</f>
        <v/>
      </c>
      <c r="N123" s="83">
        <f>IF(OR(X123="估算法",X123="算法类",X123="无法识别"),"",IF(X123="",IF(OR(I123="ILF",I123="EIF",I123="EI",I123="EO",I123="EQ"),0,""),LEN(X123)-LEN(SUBSTITUTE(SUBSTITUTE(SUBSTITUTE(SUBSTITUTE(SUBSTITUTE(X123,"|}","--"),"{|","--"),CHAR(10),""),"、",""),"|",""))+IF(AND(OR(I123="EI",I123="EO",I123="EQ"),$AD$1="NESMA"),2,1)))</f>
        <v/>
      </c>
      <c r="O123" s="84">
        <f>IF(I123="EI",IF(OR(X123="估算法",X123="算法类"),"中",IF(X123="无法识别","低",IF(L123&lt;2,IF(N123&lt;16,"低","中"),IF(L123&lt;3,IF(N123&lt;5,"低",IF(N123&lt;16,"中","高")),IF(N123&lt;5,"中","高"))))),IF(OR(I123="EO",I123="EQ"),IF(OR(X123="估算法",X123="算法类"),"中",IF(X123="无法识别","低",IF(L123&lt;2,IF(N123&lt;20,"低","中"),IF(L123&lt;4,IF(N123&lt;6,"低",IF(N123&lt;20,"中","高")),IF(N123&lt;6,"中","高"))))),IF(OR(I123="ILF",I123="EIF"),IF(OR(X123="估算法",X123="算法类",X123="无法识别"),"低",IF(M123&lt;2,IF(N123&lt;51,"低","中"),IF(M123&lt;6,IF(N123&lt;20,"低",IF(N123&lt;51,"中","高")),IF(N123&lt;20,"中","高")))),"不计算")))</f>
        <v/>
      </c>
      <c r="P123" s="142">
        <f>IFERROR(IF(I123="EI",IF(O123="低",3,IF(O123="中",4,6)),IF(I123="EO",IF(O123="低",4,IF(O123="中",5,7)),IF(I123="EQ",IF(O123="低",3,IF(O123="中",4,6)),IF(I123="ILF",IF(O123="低",7,IF(O123="中",10,15)),IF(I123="EIF",IF(O123="低",5,IF(O123="中",7,10)),"不计算")))))*Q123,"不计算")</f>
        <v/>
      </c>
      <c r="Q123" s="142" t="n">
        <v>1</v>
      </c>
      <c r="R123" s="143">
        <f>调整因子!$F$13</f>
        <v/>
      </c>
      <c r="S123" s="70" t="n">
        <v>1</v>
      </c>
      <c r="T123" s="144">
        <f>IFERROR(P123*R123,0)</f>
        <v/>
      </c>
      <c r="U123" s="144">
        <f>T123*S123</f>
        <v/>
      </c>
      <c r="V123" s="89" t="n"/>
      <c r="W123" s="88" t="inlineStr">
        <is>
          <t>函数语言类型表</t>
        </is>
      </c>
      <c r="X123" s="88" t="inlineStr">
        <is>
          <t>函数语言类型表{语言类型ID、语言名称、描述}</t>
        </is>
      </c>
      <c r="Y123" s="88">
        <f>IF(COUNTIFS(V:V,"*"&amp;H123&amp;"*")&gt;0,"存在","不存在")</f>
        <v/>
      </c>
      <c r="Z123" s="88">
        <f>IF(COUNTIFS(AA:AA,"*"&amp;H123&amp;"*")&gt;0,"存在","不存在")</f>
        <v/>
      </c>
      <c r="AA123" s="88" t="inlineStr">
        <is>
          <t>业务场景数据表</t>
        </is>
      </c>
    </row>
    <row r="124" ht="10.8" customFormat="1" customHeight="1" s="63">
      <c r="A124" s="69">
        <f>ROW()-1</f>
        <v/>
      </c>
      <c r="B124" s="53" t="n"/>
      <c r="C124" s="78" t="n">
        <v>2025</v>
      </c>
      <c r="D124" s="78" t="inlineStr">
        <is>
          <t>张明峰</t>
        </is>
      </c>
      <c r="E124" s="53" t="n"/>
      <c r="F124" s="53" t="n"/>
      <c r="G124" s="76" t="inlineStr">
        <is>
          <t>同源纠偏运算符配置</t>
        </is>
      </c>
      <c r="H124" s="81" t="inlineStr">
        <is>
          <t>增加运算符</t>
        </is>
      </c>
      <c r="I124" s="76" t="inlineStr">
        <is>
          <t>EI</t>
        </is>
      </c>
      <c r="J124" s="108" t="n"/>
      <c r="K124" s="108" t="n"/>
      <c r="L124" s="83">
        <f>IF(OR(X124="估算法",X124="算法类",X124="无法识别"),"",IF(V124="",IF(OR(I124="EI",I124="EO",I124="EQ"),0,""),LEN(V124)-LEN(SUBSTITUTE(V124,"、",""))+1))</f>
        <v/>
      </c>
      <c r="M124" s="83">
        <f>IF(OR(X124="估算法",X124="算法类",X124="无法识别"),"",IF(W124="",IF(OR(I124="ILF",I124="EIF"),0,""),LEN(W124)-LEN(SUBSTITUTE(W124,"、",""))+1))</f>
        <v/>
      </c>
      <c r="N124" s="83">
        <f>IF(OR(X124="估算法",X124="算法类",X124="无法识别"),"",IF(X124="",IF(OR(I124="ILF",I124="EIF",I124="EI",I124="EO",I124="EQ"),0,""),LEN(X124)-LEN(SUBSTITUTE(SUBSTITUTE(SUBSTITUTE(SUBSTITUTE(SUBSTITUTE(X124,"|}","--"),"{|","--"),CHAR(10),""),"、",""),"|",""))+IF(AND(OR(I124="EI",I124="EO",I124="EQ"),$AD$1="NESMA"),2,1)))</f>
        <v/>
      </c>
      <c r="O124" s="84">
        <f>IF(I124="EI",IF(OR(X124="估算法",X124="算法类"),"中",IF(X124="无法识别","低",IF(L124&lt;2,IF(N124&lt;16,"低","中"),IF(L124&lt;3,IF(N124&lt;5,"低",IF(N124&lt;16,"中","高")),IF(N124&lt;5,"中","高"))))),IF(OR(I124="EO",I124="EQ"),IF(OR(X124="估算法",X124="算法类"),"中",IF(X124="无法识别","低",IF(L124&lt;2,IF(N124&lt;20,"低","中"),IF(L124&lt;4,IF(N124&lt;6,"低",IF(N124&lt;20,"中","高")),IF(N124&lt;6,"中","高"))))),IF(OR(I124="ILF",I124="EIF"),IF(OR(X124="估算法",X124="算法类",X124="无法识别"),"低",IF(M124&lt;2,IF(N124&lt;51,"低","中"),IF(M124&lt;6,IF(N124&lt;20,"低",IF(N124&lt;51,"中","高")),IF(N124&lt;20,"中","高")))),"不计算")))</f>
        <v/>
      </c>
      <c r="P124" s="142">
        <f>IFERROR(IF(I124="EI",IF(O124="低",3,IF(O124="中",4,6)),IF(I124="EO",IF(O124="低",4,IF(O124="中",5,7)),IF(I124="EQ",IF(O124="低",3,IF(O124="中",4,6)),IF(I124="ILF",IF(O124="低",7,IF(O124="中",10,15)),IF(I124="EIF",IF(O124="低",5,IF(O124="中",7,10)),"不计算")))))*Q124,"不计算")</f>
        <v/>
      </c>
      <c r="Q124" s="142" t="n">
        <v>1</v>
      </c>
      <c r="R124" s="143">
        <f>调整因子!$F$13</f>
        <v/>
      </c>
      <c r="S124" s="70" t="n">
        <v>1</v>
      </c>
      <c r="T124" s="144">
        <f>IFERROR(P124*R124,0)</f>
        <v/>
      </c>
      <c r="U124" s="144">
        <f>T124*S124</f>
        <v/>
      </c>
      <c r="V124" s="88" t="inlineStr">
        <is>
          <t>纠偏运算符表</t>
        </is>
      </c>
      <c r="W124" s="89" t="n"/>
      <c r="X124" s="88" t="inlineStr">
        <is>
          <t>纠偏运算符表{系统标识、运算符、别名、描述}</t>
        </is>
      </c>
      <c r="Y124" s="88" t="n"/>
      <c r="Z124" s="88" t="n"/>
      <c r="AA124" s="88" t="inlineStr">
        <is>
          <t>业务场景数据表</t>
        </is>
      </c>
    </row>
    <row r="125" ht="10.8" customFormat="1" customHeight="1" s="63">
      <c r="A125" s="69">
        <f>ROW()-1</f>
        <v/>
      </c>
      <c r="B125" s="53" t="n"/>
      <c r="C125" s="78" t="n">
        <v>2025</v>
      </c>
      <c r="D125" s="78" t="inlineStr">
        <is>
          <t>张明峰</t>
        </is>
      </c>
      <c r="E125" s="53" t="n"/>
      <c r="F125" s="53" t="n"/>
      <c r="G125" s="53" t="n"/>
      <c r="H125" s="81" t="inlineStr">
        <is>
          <t>修改运算符</t>
        </is>
      </c>
      <c r="I125" s="76" t="inlineStr">
        <is>
          <t>EI</t>
        </is>
      </c>
      <c r="J125" s="108" t="n"/>
      <c r="K125" s="108" t="n"/>
      <c r="L125" s="83">
        <f>IF(OR(X125="估算法",X125="算法类",X125="无法识别"),"",IF(V125="",IF(OR(I125="EI",I125="EO",I125="EQ"),0,""),LEN(V125)-LEN(SUBSTITUTE(V125,"、",""))+1))</f>
        <v/>
      </c>
      <c r="M125" s="83">
        <f>IF(OR(X125="估算法",X125="算法类",X125="无法识别"),"",IF(W125="",IF(OR(I125="ILF",I125="EIF"),0,""),LEN(W125)-LEN(SUBSTITUTE(W125,"、",""))+1))</f>
        <v/>
      </c>
      <c r="N125" s="83">
        <f>IF(OR(X125="估算法",X125="算法类",X125="无法识别"),"",IF(X125="",IF(OR(I125="ILF",I125="EIF",I125="EI",I125="EO",I125="EQ"),0,""),LEN(X125)-LEN(SUBSTITUTE(SUBSTITUTE(SUBSTITUTE(SUBSTITUTE(SUBSTITUTE(X125,"|}","--"),"{|","--"),CHAR(10),""),"、",""),"|",""))+IF(AND(OR(I125="EI",I125="EO",I125="EQ"),$AD$1="NESMA"),2,1)))</f>
        <v/>
      </c>
      <c r="O125" s="84">
        <f>IF(I125="EI",IF(OR(X125="估算法",X125="算法类"),"中",IF(X125="无法识别","低",IF(L125&lt;2,IF(N125&lt;16,"低","中"),IF(L125&lt;3,IF(N125&lt;5,"低",IF(N125&lt;16,"中","高")),IF(N125&lt;5,"中","高"))))),IF(OR(I125="EO",I125="EQ"),IF(OR(X125="估算法",X125="算法类"),"中",IF(X125="无法识别","低",IF(L125&lt;2,IF(N125&lt;20,"低","中"),IF(L125&lt;4,IF(N125&lt;6,"低",IF(N125&lt;20,"中","高")),IF(N125&lt;6,"中","高"))))),IF(OR(I125="ILF",I125="EIF"),IF(OR(X125="估算法",X125="算法类",X125="无法识别"),"低",IF(M125&lt;2,IF(N125&lt;51,"低","中"),IF(M125&lt;6,IF(N125&lt;20,"低",IF(N125&lt;51,"中","高")),IF(N125&lt;20,"中","高")))),"不计算")))</f>
        <v/>
      </c>
      <c r="P125" s="142">
        <f>IFERROR(IF(I125="EI",IF(O125="低",3,IF(O125="中",4,6)),IF(I125="EO",IF(O125="低",4,IF(O125="中",5,7)),IF(I125="EQ",IF(O125="低",3,IF(O125="中",4,6)),IF(I125="ILF",IF(O125="低",7,IF(O125="中",10,15)),IF(I125="EIF",IF(O125="低",5,IF(O125="中",7,10)),"不计算")))))*Q125,"不计算")</f>
        <v/>
      </c>
      <c r="Q125" s="142" t="n">
        <v>0.333333333333333</v>
      </c>
      <c r="R125" s="143">
        <f>调整因子!$F$13</f>
        <v/>
      </c>
      <c r="S125" s="76" t="n">
        <v>1</v>
      </c>
      <c r="T125" s="144">
        <f>IFERROR(P125*R125,0)</f>
        <v/>
      </c>
      <c r="U125" s="144">
        <f>T125*S125</f>
        <v/>
      </c>
      <c r="V125" s="88" t="inlineStr">
        <is>
          <t>纠偏运算符表</t>
        </is>
      </c>
      <c r="W125" s="89" t="n"/>
      <c r="X125" s="88" t="inlineStr">
        <is>
          <t>纠偏运算符表{运算符ID|系统标识、运算符、别名、描述}</t>
        </is>
      </c>
      <c r="Y125" s="88" t="n"/>
      <c r="Z125" s="88" t="n"/>
      <c r="AA125" s="88" t="inlineStr">
        <is>
          <t>业务场景数据表</t>
        </is>
      </c>
    </row>
    <row r="126" ht="10.8" customFormat="1" customHeight="1" s="63">
      <c r="A126" s="69">
        <f>ROW()-1</f>
        <v/>
      </c>
      <c r="B126" s="53" t="n"/>
      <c r="C126" s="78" t="n">
        <v>2025</v>
      </c>
      <c r="D126" s="78" t="inlineStr">
        <is>
          <t>张明峰</t>
        </is>
      </c>
      <c r="E126" s="53" t="n"/>
      <c r="F126" s="53" t="n"/>
      <c r="G126" s="53" t="n"/>
      <c r="H126" s="81" t="inlineStr">
        <is>
          <t>删除运算符</t>
        </is>
      </c>
      <c r="I126" s="76" t="inlineStr">
        <is>
          <t>EI</t>
        </is>
      </c>
      <c r="J126" s="108" t="n"/>
      <c r="K126" s="108" t="n"/>
      <c r="L126" s="83">
        <f>IF(OR(X126="估算法",X126="算法类",X126="无法识别"),"",IF(V126="",IF(OR(I126="EI",I126="EO",I126="EQ"),0,""),LEN(V126)-LEN(SUBSTITUTE(V126,"、",""))+1))</f>
        <v/>
      </c>
      <c r="M126" s="83">
        <f>IF(OR(X126="估算法",X126="算法类",X126="无法识别"),"",IF(W126="",IF(OR(I126="ILF",I126="EIF"),0,""),LEN(W126)-LEN(SUBSTITUTE(W126,"、",""))+1))</f>
        <v/>
      </c>
      <c r="N126" s="83">
        <f>IF(OR(X126="估算法",X126="算法类",X126="无法识别"),"",IF(X126="",IF(OR(I126="ILF",I126="EIF",I126="EI",I126="EO",I126="EQ"),0,""),LEN(X126)-LEN(SUBSTITUTE(SUBSTITUTE(SUBSTITUTE(SUBSTITUTE(SUBSTITUTE(X126,"|}","--"),"{|","--"),CHAR(10),""),"、",""),"|",""))+IF(AND(OR(I126="EI",I126="EO",I126="EQ"),$AD$1="NESMA"),2,1)))</f>
        <v/>
      </c>
      <c r="O126" s="84">
        <f>IF(I126="EI",IF(OR(X126="估算法",X126="算法类"),"中",IF(X126="无法识别","低",IF(L126&lt;2,IF(N126&lt;16,"低","中"),IF(L126&lt;3,IF(N126&lt;5,"低",IF(N126&lt;16,"中","高")),IF(N126&lt;5,"中","高"))))),IF(OR(I126="EO",I126="EQ"),IF(OR(X126="估算法",X126="算法类"),"中",IF(X126="无法识别","低",IF(L126&lt;2,IF(N126&lt;20,"低","中"),IF(L126&lt;4,IF(N126&lt;6,"低",IF(N126&lt;20,"中","高")),IF(N126&lt;6,"中","高"))))),IF(OR(I126="ILF",I126="EIF"),IF(OR(X126="估算法",X126="算法类",X126="无法识别"),"低",IF(M126&lt;2,IF(N126&lt;51,"低","中"),IF(M126&lt;6,IF(N126&lt;20,"低",IF(N126&lt;51,"中","高")),IF(N126&lt;20,"中","高")))),"不计算")))</f>
        <v/>
      </c>
      <c r="P126" s="142">
        <f>IFERROR(IF(I126="EI",IF(O126="低",3,IF(O126="中",4,6)),IF(I126="EO",IF(O126="低",4,IF(O126="中",5,7)),IF(I126="EQ",IF(O126="低",3,IF(O126="中",4,6)),IF(I126="ILF",IF(O126="低",7,IF(O126="中",10,15)),IF(I126="EIF",IF(O126="低",5,IF(O126="中",7,10)),"不计算")))))*Q126,"不计算")</f>
        <v/>
      </c>
      <c r="Q126" s="142" t="n">
        <v>0.333333333333333</v>
      </c>
      <c r="R126" s="143">
        <f>调整因子!$F$13</f>
        <v/>
      </c>
      <c r="S126" s="70" t="n">
        <v>1</v>
      </c>
      <c r="T126" s="144">
        <f>IFERROR(P126*R126,0)</f>
        <v/>
      </c>
      <c r="U126" s="144">
        <f>T126*S126</f>
        <v/>
      </c>
      <c r="V126" s="88" t="inlineStr">
        <is>
          <t>纠偏运算符表</t>
        </is>
      </c>
      <c r="W126" s="89" t="n"/>
      <c r="X126" s="88" t="inlineStr">
        <is>
          <t>纠偏运算符表{运算符ID}</t>
        </is>
      </c>
      <c r="Y126" s="88" t="n"/>
      <c r="Z126" s="88" t="n"/>
      <c r="AA126" s="88" t="inlineStr">
        <is>
          <t>业务场景数据表</t>
        </is>
      </c>
    </row>
    <row r="127" ht="21.6" customFormat="1" customHeight="1" s="63">
      <c r="A127" s="69">
        <f>ROW()-1</f>
        <v/>
      </c>
      <c r="B127" s="53" t="n"/>
      <c r="C127" s="78" t="n">
        <v>2025</v>
      </c>
      <c r="D127" s="78" t="inlineStr">
        <is>
          <t>张明峰</t>
        </is>
      </c>
      <c r="E127" s="53" t="n"/>
      <c r="F127" s="53" t="n"/>
      <c r="G127" s="53" t="n"/>
      <c r="H127" s="81" t="inlineStr">
        <is>
          <t>查询运算符列表</t>
        </is>
      </c>
      <c r="I127" s="76" t="inlineStr">
        <is>
          <t>EO</t>
        </is>
      </c>
      <c r="J127" s="108" t="n"/>
      <c r="K127" s="108" t="n"/>
      <c r="L127" s="83">
        <f>IF(OR(X127="估算法",X127="算法类",X127="无法识别"),"",IF(V127="",IF(OR(I127="EI",I127="EO",I127="EQ"),0,""),LEN(V127)-LEN(SUBSTITUTE(V127,"、",""))+1))</f>
        <v/>
      </c>
      <c r="M127" s="83">
        <f>IF(OR(X127="估算法",X127="算法类",X127="无法识别"),"",IF(W127="",IF(OR(I127="ILF",I127="EIF"),0,""),LEN(W127)-LEN(SUBSTITUTE(W127,"、",""))+1))</f>
        <v/>
      </c>
      <c r="N127" s="83">
        <f>IF(OR(X127="估算法",X127="算法类",X127="无法识别"),"",IF(X127="",IF(OR(I127="ILF",I127="EIF",I127="EI",I127="EO",I127="EQ"),0,""),LEN(X127)-LEN(SUBSTITUTE(SUBSTITUTE(SUBSTITUTE(SUBSTITUTE(SUBSTITUTE(X127,"|}","--"),"{|","--"),CHAR(10),""),"、",""),"|",""))+IF(AND(OR(I127="EI",I127="EO",I127="EQ"),$AD$1="NESMA"),2,1)))</f>
        <v/>
      </c>
      <c r="O127" s="84">
        <f>IF(I127="EI",IF(OR(X127="估算法",X127="算法类"),"中",IF(X127="无法识别","低",IF(L127&lt;2,IF(N127&lt;16,"低","中"),IF(L127&lt;3,IF(N127&lt;5,"低",IF(N127&lt;16,"中","高")),IF(N127&lt;5,"中","高"))))),IF(OR(I127="EO",I127="EQ"),IF(OR(X127="估算法",X127="算法类"),"中",IF(X127="无法识别","低",IF(L127&lt;2,IF(N127&lt;20,"低","中"),IF(L127&lt;4,IF(N127&lt;6,"低",IF(N127&lt;20,"中","高")),IF(N127&lt;6,"中","高"))))),IF(OR(I127="ILF",I127="EIF"),IF(OR(X127="估算法",X127="算法类",X127="无法识别"),"低",IF(M127&lt;2,IF(N127&lt;51,"低","中"),IF(M127&lt;6,IF(N127&lt;20,"低",IF(N127&lt;51,"中","高")),IF(N127&lt;20,"中","高")))),"不计算")))</f>
        <v/>
      </c>
      <c r="P127" s="142">
        <f>IFERROR(IF(I127="EI",IF(O127="低",3,IF(O127="中",4,6)),IF(I127="EO",IF(O127="低",4,IF(O127="中",5,7)),IF(I127="EQ",IF(O127="低",3,IF(O127="中",4,6)),IF(I127="ILF",IF(O127="低",7,IF(O127="中",10,15)),IF(I127="EIF",IF(O127="低",5,IF(O127="中",7,10)),"不计算")))))*Q127,"不计算")</f>
        <v/>
      </c>
      <c r="Q127" s="142" t="n">
        <v>1</v>
      </c>
      <c r="R127" s="143">
        <f>调整因子!$F$13</f>
        <v/>
      </c>
      <c r="S127" s="70" t="n">
        <v>1</v>
      </c>
      <c r="T127" s="144">
        <f>IFERROR(P127*R127,0)</f>
        <v/>
      </c>
      <c r="U127" s="144">
        <f>T127*S127</f>
        <v/>
      </c>
      <c r="V127" s="88" t="inlineStr">
        <is>
          <t>纠偏运算符表</t>
        </is>
      </c>
      <c r="W127" s="89" t="n"/>
      <c r="X127" s="88" t="inlineStr">
        <is>
          <t>纠偏运算符表{系统标识、运算符|运算符ID、系统标识、运算符、别名、描述}</t>
        </is>
      </c>
      <c r="Y127" s="88" t="n"/>
      <c r="Z127" s="88" t="n"/>
      <c r="AA127" s="88" t="inlineStr">
        <is>
          <t>业务场景数据表、执行流程策略数据表</t>
        </is>
      </c>
    </row>
    <row r="128" ht="43.2" customFormat="1" customHeight="1" s="63">
      <c r="A128" s="69">
        <f>ROW()-1</f>
        <v/>
      </c>
      <c r="B128" s="53" t="n"/>
      <c r="C128" s="78" t="n">
        <v>2025</v>
      </c>
      <c r="D128" s="78" t="inlineStr">
        <is>
          <t>张明峰</t>
        </is>
      </c>
      <c r="E128" s="53" t="n"/>
      <c r="F128" s="53" t="n"/>
      <c r="G128" s="54" t="n"/>
      <c r="H128" s="81" t="inlineStr">
        <is>
          <t>纠偏运算符表</t>
        </is>
      </c>
      <c r="I128" s="76" t="inlineStr">
        <is>
          <t>ILF</t>
        </is>
      </c>
      <c r="J128" s="108" t="n"/>
      <c r="K128" s="108" t="n"/>
      <c r="L128" s="83">
        <f>IF(OR(X128="估算法",X128="算法类",X128="无法识别"),"",IF(V128="",IF(OR(I128="EI",I128="EO",I128="EQ"),0,""),LEN(V128)-LEN(SUBSTITUTE(V128,"、",""))+1))</f>
        <v/>
      </c>
      <c r="M128" s="83">
        <f>IF(OR(X128="估算法",X128="算法类",X128="无法识别"),"",IF(W128="",IF(OR(I128="ILF",I128="EIF"),0,""),LEN(W128)-LEN(SUBSTITUTE(W128,"、",""))+1))</f>
        <v/>
      </c>
      <c r="N128" s="83">
        <f>IF(OR(X128="估算法",X128="算法类",X128="无法识别"),"",IF(X128="",IF(OR(I128="ILF",I128="EIF",I128="EI",I128="EO",I128="EQ"),0,""),LEN(X128)-LEN(SUBSTITUTE(SUBSTITUTE(SUBSTITUTE(SUBSTITUTE(SUBSTITUTE(X128,"|}","--"),"{|","--"),CHAR(10),""),"、",""),"|",""))+IF(AND(OR(I128="EI",I128="EO",I128="EQ"),$AD$1="NESMA"),2,1)))</f>
        <v/>
      </c>
      <c r="O128" s="84">
        <f>IF(I128="EI",IF(OR(X128="估算法",X128="算法类"),"中",IF(X128="无法识别","低",IF(L128&lt;2,IF(N128&lt;16,"低","中"),IF(L128&lt;3,IF(N128&lt;5,"低",IF(N128&lt;16,"中","高")),IF(N128&lt;5,"中","高"))))),IF(OR(I128="EO",I128="EQ"),IF(OR(X128="估算法",X128="算法类"),"中",IF(X128="无法识别","低",IF(L128&lt;2,IF(N128&lt;20,"低","中"),IF(L128&lt;4,IF(N128&lt;6,"低",IF(N128&lt;20,"中","高")),IF(N128&lt;6,"中","高"))))),IF(OR(I128="ILF",I128="EIF"),IF(OR(X128="估算法",X128="算法类",X128="无法识别"),"低",IF(M128&lt;2,IF(N128&lt;51,"低","中"),IF(M128&lt;6,IF(N128&lt;20,"低",IF(N128&lt;51,"中","高")),IF(N128&lt;20,"中","高")))),"不计算")))</f>
        <v/>
      </c>
      <c r="P128" s="142">
        <f>IFERROR(IF(I128="EI",IF(O128="低",3,IF(O128="中",4,6)),IF(I128="EO",IF(O128="低",4,IF(O128="中",5,7)),IF(I128="EQ",IF(O128="低",3,IF(O128="中",4,6)),IF(I128="ILF",IF(O128="低",7,IF(O128="中",10,15)),IF(I128="EIF",IF(O128="低",5,IF(O128="中",7,10)),"不计算")))))*Q128,"不计算")</f>
        <v/>
      </c>
      <c r="Q128" s="142" t="n">
        <v>1</v>
      </c>
      <c r="R128" s="143">
        <f>调整因子!$F$13</f>
        <v/>
      </c>
      <c r="S128" s="76" t="n">
        <v>1</v>
      </c>
      <c r="T128" s="144">
        <f>IFERROR(P128*R128,0)</f>
        <v/>
      </c>
      <c r="U128" s="144">
        <f>T128*S128</f>
        <v/>
      </c>
      <c r="V128" s="89" t="n"/>
      <c r="W128" s="88" t="inlineStr">
        <is>
          <t>纠偏运算符表</t>
        </is>
      </c>
      <c r="X128" s="88" t="inlineStr">
        <is>
          <t>纠偏运算符表{运算符ID、系统标识、运算符、别名、描述}</t>
        </is>
      </c>
      <c r="Y128" s="88">
        <f>IF(COUNTIFS(V:V,"*"&amp;H128&amp;"*")&gt;0,"存在","不存在")</f>
        <v/>
      </c>
      <c r="Z128" s="88">
        <f>IF(COUNTIFS(AA:AA,"*"&amp;H128&amp;"*")&gt;0,"存在","不存在")</f>
        <v/>
      </c>
      <c r="AA128" s="88" t="inlineStr">
        <is>
          <t>弱口令扫描任务表、扫描节点表、扫描器表、扫描器版本表、扫描器分类表、安全厂商信息、资产管理表、扫描任务日志表</t>
        </is>
      </c>
    </row>
    <row r="129" ht="43.2" customFormat="1" customHeight="1" s="63">
      <c r="A129" s="69">
        <f>ROW()-1</f>
        <v/>
      </c>
      <c r="B129" s="53" t="n"/>
      <c r="C129" s="78" t="n">
        <v>2025</v>
      </c>
      <c r="D129" s="78" t="inlineStr">
        <is>
          <t>张明峰</t>
        </is>
      </c>
      <c r="E129" s="53" t="n"/>
      <c r="F129" s="53" t="n"/>
      <c r="G129" s="76" t="inlineStr">
        <is>
          <t>资产类型对齐规则配置</t>
        </is>
      </c>
      <c r="H129" s="81" t="inlineStr">
        <is>
          <t>增加资产组件对齐规则</t>
        </is>
      </c>
      <c r="I129" s="76" t="inlineStr">
        <is>
          <t>EI</t>
        </is>
      </c>
      <c r="J129" s="108" t="n"/>
      <c r="K129" s="108" t="n"/>
      <c r="L129" s="83">
        <f>IF(OR(X129="估算法",X129="算法类",X129="无法识别"),"",IF(V129="",IF(OR(I129="EI",I129="EO",I129="EQ"),0,""),LEN(V129)-LEN(SUBSTITUTE(V129,"、",""))+1))</f>
        <v/>
      </c>
      <c r="M129" s="83">
        <f>IF(OR(X129="估算法",X129="算法类",X129="无法识别"),"",IF(W129="",IF(OR(I129="ILF",I129="EIF"),0,""),LEN(W129)-LEN(SUBSTITUTE(W129,"、",""))+1))</f>
        <v/>
      </c>
      <c r="N129" s="83">
        <f>IF(OR(X129="估算法",X129="算法类",X129="无法识别"),"",IF(X129="",IF(OR(I129="ILF",I129="EIF",I129="EI",I129="EO",I129="EQ"),0,""),LEN(X129)-LEN(SUBSTITUTE(SUBSTITUTE(SUBSTITUTE(SUBSTITUTE(SUBSTITUTE(X129,"|}","--"),"{|","--"),CHAR(10),""),"、",""),"|",""))+IF(AND(OR(I129="EI",I129="EO",I129="EQ"),$AD$1="NESMA"),2,1)))</f>
        <v/>
      </c>
      <c r="O129" s="84">
        <f>IF(I129="EI",IF(OR(X129="估算法",X129="算法类"),"中",IF(X129="无法识别","低",IF(L129&lt;2,IF(N129&lt;16,"低","中"),IF(L129&lt;3,IF(N129&lt;5,"低",IF(N129&lt;16,"中","高")),IF(N129&lt;5,"中","高"))))),IF(OR(I129="EO",I129="EQ"),IF(OR(X129="估算法",X129="算法类"),"中",IF(X129="无法识别","低",IF(L129&lt;2,IF(N129&lt;20,"低","中"),IF(L129&lt;4,IF(N129&lt;6,"低",IF(N129&lt;20,"中","高")),IF(N129&lt;6,"中","高"))))),IF(OR(I129="ILF",I129="EIF"),IF(OR(X129="估算法",X129="算法类",X129="无法识别"),"低",IF(M129&lt;2,IF(N129&lt;51,"低","中"),IF(M129&lt;6,IF(N129&lt;20,"低",IF(N129&lt;51,"中","高")),IF(N129&lt;20,"中","高")))),"不计算")))</f>
        <v/>
      </c>
      <c r="P129" s="142">
        <f>IFERROR(IF(I129="EI",IF(O129="低",3,IF(O129="中",4,6)),IF(I129="EO",IF(O129="低",4,IF(O129="中",5,7)),IF(I129="EQ",IF(O129="低",3,IF(O129="中",4,6)),IF(I129="ILF",IF(O129="低",7,IF(O129="中",10,15)),IF(I129="EIF",IF(O129="低",5,IF(O129="中",7,10)),"不计算")))))*Q129,"不计算")</f>
        <v/>
      </c>
      <c r="Q129" s="142" t="n">
        <v>1</v>
      </c>
      <c r="R129" s="143">
        <f>调整因子!$F$13</f>
        <v/>
      </c>
      <c r="S129" s="70" t="n">
        <v>1</v>
      </c>
      <c r="T129" s="144">
        <f>IFERROR(P129*R129,0)</f>
        <v/>
      </c>
      <c r="U129" s="144">
        <f>T129*S129</f>
        <v/>
      </c>
      <c r="V129" s="88" t="inlineStr">
        <is>
          <t>资产类型对齐规则表</t>
        </is>
      </c>
      <c r="W129" s="89" t="n"/>
      <c r="X129" s="88" t="inlineStr">
        <is>
          <t>资产类型对齐规则表{资产组件名称、资产组件厂商、资产组件版本、资产组件类型、对齐方式|规则ID、状态码、提示内容}</t>
        </is>
      </c>
      <c r="Y129" s="88" t="n"/>
      <c r="Z129" s="88" t="n"/>
      <c r="AA129" s="88" t="inlineStr">
        <is>
          <t>弱口令扫描任务表、扫描节点表、扫描器表、扫描器版本表、扫描器分类表、安全厂商信息、资产管理表、扫描任务日志表</t>
        </is>
      </c>
    </row>
    <row r="130" ht="21.6" customFormat="1" customHeight="1" s="63">
      <c r="A130" s="69">
        <f>ROW()-1</f>
        <v/>
      </c>
      <c r="B130" s="53" t="n"/>
      <c r="C130" s="78" t="n">
        <v>2025</v>
      </c>
      <c r="D130" s="78" t="inlineStr">
        <is>
          <t>张明峰</t>
        </is>
      </c>
      <c r="E130" s="53" t="n"/>
      <c r="F130" s="53" t="n"/>
      <c r="G130" s="53" t="n"/>
      <c r="H130" s="81" t="inlineStr">
        <is>
          <t>修改资产组件对齐规则</t>
        </is>
      </c>
      <c r="I130" s="76" t="inlineStr">
        <is>
          <t>EI</t>
        </is>
      </c>
      <c r="J130" s="108" t="n"/>
      <c r="K130" s="108" t="n"/>
      <c r="L130" s="83">
        <f>IF(OR(X130="估算法",X130="算法类",X130="无法识别"),"",IF(V130="",IF(OR(I130="EI",I130="EO",I130="EQ"),0,""),LEN(V130)-LEN(SUBSTITUTE(V130,"、",""))+1))</f>
        <v/>
      </c>
      <c r="M130" s="83">
        <f>IF(OR(X130="估算法",X130="算法类",X130="无法识别"),"",IF(W130="",IF(OR(I130="ILF",I130="EIF"),0,""),LEN(W130)-LEN(SUBSTITUTE(W130,"、",""))+1))</f>
        <v/>
      </c>
      <c r="N130" s="83">
        <f>IF(OR(X130="估算法",X130="算法类",X130="无法识别"),"",IF(X130="",IF(OR(I130="ILF",I130="EIF",I130="EI",I130="EO",I130="EQ"),0,""),LEN(X130)-LEN(SUBSTITUTE(SUBSTITUTE(SUBSTITUTE(SUBSTITUTE(SUBSTITUTE(X130,"|}","--"),"{|","--"),CHAR(10),""),"、",""),"|",""))+IF(AND(OR(I130="EI",I130="EO",I130="EQ"),$AD$1="NESMA"),2,1)))</f>
        <v/>
      </c>
      <c r="O130" s="84">
        <f>IF(I130="EI",IF(OR(X130="估算法",X130="算法类"),"中",IF(X130="无法识别","低",IF(L130&lt;2,IF(N130&lt;16,"低","中"),IF(L130&lt;3,IF(N130&lt;5,"低",IF(N130&lt;16,"中","高")),IF(N130&lt;5,"中","高"))))),IF(OR(I130="EO",I130="EQ"),IF(OR(X130="估算法",X130="算法类"),"中",IF(X130="无法识别","低",IF(L130&lt;2,IF(N130&lt;20,"低","中"),IF(L130&lt;4,IF(N130&lt;6,"低",IF(N130&lt;20,"中","高")),IF(N130&lt;6,"中","高"))))),IF(OR(I130="ILF",I130="EIF"),IF(OR(X130="估算法",X130="算法类",X130="无法识别"),"低",IF(M130&lt;2,IF(N130&lt;51,"低","中"),IF(M130&lt;6,IF(N130&lt;20,"低",IF(N130&lt;51,"中","高")),IF(N130&lt;20,"中","高")))),"不计算")))</f>
        <v/>
      </c>
      <c r="P130" s="142">
        <f>IFERROR(IF(I130="EI",IF(O130="低",3,IF(O130="中",4,6)),IF(I130="EO",IF(O130="低",4,IF(O130="中",5,7)),IF(I130="EQ",IF(O130="低",3,IF(O130="中",4,6)),IF(I130="ILF",IF(O130="低",7,IF(O130="中",10,15)),IF(I130="EIF",IF(O130="低",5,IF(O130="中",7,10)),"不计算")))))*Q130,"不计算")</f>
        <v/>
      </c>
      <c r="Q130" s="142" t="n">
        <v>0.333333333333333</v>
      </c>
      <c r="R130" s="143">
        <f>调整因子!$F$13</f>
        <v/>
      </c>
      <c r="S130" s="70" t="n">
        <v>1</v>
      </c>
      <c r="T130" s="144">
        <f>IFERROR(P130*R130,0)</f>
        <v/>
      </c>
      <c r="U130" s="144">
        <f>T130*S130</f>
        <v/>
      </c>
      <c r="V130" s="88" t="inlineStr">
        <is>
          <t>资产类型对齐规则表</t>
        </is>
      </c>
      <c r="W130" s="89" t="n"/>
      <c r="X130" s="88" t="inlineStr">
        <is>
          <t>资产类型对齐规则表{规则ID、资产组件名称、资产组件厂商、资产组件版本、资产组件类型、对齐方式|规则ID、状态码、提示内容}</t>
        </is>
      </c>
      <c r="Y130" s="88" t="n"/>
      <c r="Z130" s="88" t="n"/>
      <c r="AA130" s="88" t="inlineStr">
        <is>
          <t>弱口令扫描任务表、扫描任务日志表</t>
        </is>
      </c>
    </row>
    <row r="131" ht="32.4" customFormat="1" customHeight="1" s="63">
      <c r="A131" s="69">
        <f>ROW()-1</f>
        <v/>
      </c>
      <c r="B131" s="53" t="n"/>
      <c r="C131" s="78" t="n">
        <v>2025</v>
      </c>
      <c r="D131" s="78" t="inlineStr">
        <is>
          <t>张明峰</t>
        </is>
      </c>
      <c r="E131" s="53" t="n"/>
      <c r="F131" s="53" t="n"/>
      <c r="G131" s="53" t="n"/>
      <c r="H131" s="81" t="inlineStr">
        <is>
          <t>删除资产组件对齐规则</t>
        </is>
      </c>
      <c r="I131" s="76" t="inlineStr">
        <is>
          <t>EI</t>
        </is>
      </c>
      <c r="J131" s="108" t="n"/>
      <c r="K131" s="108" t="n"/>
      <c r="L131" s="83">
        <f>IF(OR(X131="估算法",X131="算法类",X131="无法识别"),"",IF(V131="",IF(OR(I131="EI",I131="EO",I131="EQ"),0,""),LEN(V131)-LEN(SUBSTITUTE(V131,"、",""))+1))</f>
        <v/>
      </c>
      <c r="M131" s="83">
        <f>IF(OR(X131="估算法",X131="算法类",X131="无法识别"),"",IF(W131="",IF(OR(I131="ILF",I131="EIF"),0,""),LEN(W131)-LEN(SUBSTITUTE(W131,"、",""))+1))</f>
        <v/>
      </c>
      <c r="N131" s="83">
        <f>IF(OR(X131="估算法",X131="算法类",X131="无法识别"),"",IF(X131="",IF(OR(I131="ILF",I131="EIF",I131="EI",I131="EO",I131="EQ"),0,""),LEN(X131)-LEN(SUBSTITUTE(SUBSTITUTE(SUBSTITUTE(SUBSTITUTE(SUBSTITUTE(X131,"|}","--"),"{|","--"),CHAR(10),""),"、",""),"|",""))+IF(AND(OR(I131="EI",I131="EO",I131="EQ"),$AD$1="NESMA"),2,1)))</f>
        <v/>
      </c>
      <c r="O131" s="84">
        <f>IF(I131="EI",IF(OR(X131="估算法",X131="算法类"),"中",IF(X131="无法识别","低",IF(L131&lt;2,IF(N131&lt;16,"低","中"),IF(L131&lt;3,IF(N131&lt;5,"低",IF(N131&lt;16,"中","高")),IF(N131&lt;5,"中","高"))))),IF(OR(I131="EO",I131="EQ"),IF(OR(X131="估算法",X131="算法类"),"中",IF(X131="无法识别","低",IF(L131&lt;2,IF(N131&lt;20,"低","中"),IF(L131&lt;4,IF(N131&lt;6,"低",IF(N131&lt;20,"中","高")),IF(N131&lt;6,"中","高"))))),IF(OR(I131="ILF",I131="EIF"),IF(OR(X131="估算法",X131="算法类",X131="无法识别"),"低",IF(M131&lt;2,IF(N131&lt;51,"低","中"),IF(M131&lt;6,IF(N131&lt;20,"低",IF(N131&lt;51,"中","高")),IF(N131&lt;20,"中","高")))),"不计算")))</f>
        <v/>
      </c>
      <c r="P131" s="142">
        <f>IFERROR(IF(I131="EI",IF(O131="低",3,IF(O131="中",4,6)),IF(I131="EO",IF(O131="低",4,IF(O131="中",5,7)),IF(I131="EQ",IF(O131="低",3,IF(O131="中",4,6)),IF(I131="ILF",IF(O131="低",7,IF(O131="中",10,15)),IF(I131="EIF",IF(O131="低",5,IF(O131="中",7,10)),"不计算")))))*Q131,"不计算")</f>
        <v/>
      </c>
      <c r="Q131" s="142" t="n">
        <v>0.333333333333333</v>
      </c>
      <c r="R131" s="143">
        <f>调整因子!$F$13</f>
        <v/>
      </c>
      <c r="S131" s="76" t="n">
        <v>1</v>
      </c>
      <c r="T131" s="144">
        <f>IFERROR(P131*R131,0)</f>
        <v/>
      </c>
      <c r="U131" s="144">
        <f>T131*S131</f>
        <v/>
      </c>
      <c r="V131" s="88" t="inlineStr">
        <is>
          <t>资产类型对齐规则表</t>
        </is>
      </c>
      <c r="W131" s="89" t="n"/>
      <c r="X131" s="88" t="inlineStr">
        <is>
          <t>资产类型对齐规则表{规则ID|规则ID、状态码、提示内容、异常内容、响应头}</t>
        </is>
      </c>
      <c r="Y131" s="88" t="n"/>
      <c r="Z131" s="88" t="n"/>
      <c r="AA131" s="88" t="inlineStr">
        <is>
          <t>弱口令扫描任务表、弱口令扫描任务实例表、扫描节点表、扫描器表、扫描任务日志表</t>
        </is>
      </c>
    </row>
    <row r="132" ht="32.4" customFormat="1" customHeight="1" s="63">
      <c r="A132" s="69">
        <f>ROW()-1</f>
        <v/>
      </c>
      <c r="B132" s="53" t="n"/>
      <c r="C132" s="78" t="n">
        <v>2025</v>
      </c>
      <c r="D132" s="78" t="inlineStr">
        <is>
          <t>张明峰</t>
        </is>
      </c>
      <c r="E132" s="53" t="n"/>
      <c r="F132" s="53" t="n"/>
      <c r="G132" s="53" t="n"/>
      <c r="H132" s="81" t="inlineStr">
        <is>
          <t>查询资产组件对齐规则列表</t>
        </is>
      </c>
      <c r="I132" s="76" t="inlineStr">
        <is>
          <t>EO</t>
        </is>
      </c>
      <c r="J132" s="108" t="n"/>
      <c r="K132" s="108" t="n"/>
      <c r="L132" s="83">
        <f>IF(OR(X132="估算法",X132="算法类",X132="无法识别"),"",IF(V132="",IF(OR(I132="EI",I132="EO",I132="EQ"),0,""),LEN(V132)-LEN(SUBSTITUTE(V132,"、",""))+1))</f>
        <v/>
      </c>
      <c r="M132" s="83">
        <f>IF(OR(X132="估算法",X132="算法类",X132="无法识别"),"",IF(W132="",IF(OR(I132="ILF",I132="EIF"),0,""),LEN(W132)-LEN(SUBSTITUTE(W132,"、",""))+1))</f>
        <v/>
      </c>
      <c r="N132" s="83">
        <f>IF(OR(X132="估算法",X132="算法类",X132="无法识别"),"",IF(X132="",IF(OR(I132="ILF",I132="EIF",I132="EI",I132="EO",I132="EQ"),0,""),LEN(X132)-LEN(SUBSTITUTE(SUBSTITUTE(SUBSTITUTE(SUBSTITUTE(SUBSTITUTE(X132,"|}","--"),"{|","--"),CHAR(10),""),"、",""),"|",""))+IF(AND(OR(I132="EI",I132="EO",I132="EQ"),$AD$1="NESMA"),2,1)))</f>
        <v/>
      </c>
      <c r="O132" s="84">
        <f>IF(I132="EI",IF(OR(X132="估算法",X132="算法类"),"中",IF(X132="无法识别","低",IF(L132&lt;2,IF(N132&lt;16,"低","中"),IF(L132&lt;3,IF(N132&lt;5,"低",IF(N132&lt;16,"中","高")),IF(N132&lt;5,"中","高"))))),IF(OR(I132="EO",I132="EQ"),IF(OR(X132="估算法",X132="算法类"),"中",IF(X132="无法识别","低",IF(L132&lt;2,IF(N132&lt;20,"低","中"),IF(L132&lt;4,IF(N132&lt;6,"低",IF(N132&lt;20,"中","高")),IF(N132&lt;6,"中","高"))))),IF(OR(I132="ILF",I132="EIF"),IF(OR(X132="估算法",X132="算法类",X132="无法识别"),"低",IF(M132&lt;2,IF(N132&lt;51,"低","中"),IF(M132&lt;6,IF(N132&lt;20,"低",IF(N132&lt;51,"中","高")),IF(N132&lt;20,"中","高")))),"不计算")))</f>
        <v/>
      </c>
      <c r="P132" s="142">
        <f>IFERROR(IF(I132="EI",IF(O132="低",3,IF(O132="中",4,6)),IF(I132="EO",IF(O132="低",4,IF(O132="中",5,7)),IF(I132="EQ",IF(O132="低",3,IF(O132="中",4,6)),IF(I132="ILF",IF(O132="低",7,IF(O132="中",10,15)),IF(I132="EIF",IF(O132="低",5,IF(O132="中",7,10)),"不计算")))))*Q132,"不计算")</f>
        <v/>
      </c>
      <c r="Q132" s="142" t="n">
        <v>1</v>
      </c>
      <c r="R132" s="143">
        <f>调整因子!$F$13</f>
        <v/>
      </c>
      <c r="S132" s="70" t="n">
        <v>1</v>
      </c>
      <c r="T132" s="144">
        <f>IFERROR(P132*R132,0)</f>
        <v/>
      </c>
      <c r="U132" s="144">
        <f>T132*S132</f>
        <v/>
      </c>
      <c r="V132" s="88" t="inlineStr">
        <is>
          <t>资产类型对齐规则表</t>
        </is>
      </c>
      <c r="W132" s="89" t="n"/>
      <c r="X132" s="88" t="inlineStr">
        <is>
          <t>资产类型对齐规则表{资产组件名称、资产组件厂商、资产组件版本、资产组件类型|规则ID、资产组件名称、资产组件厂商、资产组件版本、资产组件类型、对齐方式}</t>
        </is>
      </c>
      <c r="Y132" s="88" t="n"/>
      <c r="Z132" s="88" t="n"/>
      <c r="AA132" s="88" t="inlineStr">
        <is>
          <t>弱口令扫描任务表、弱口令扫描任务实例表、扫描节点表、扫描器表、扫描任务日志表</t>
        </is>
      </c>
    </row>
    <row r="133" ht="21.6" customFormat="1" customHeight="1" s="63">
      <c r="A133" s="69">
        <f>ROW()-1</f>
        <v/>
      </c>
      <c r="B133" s="53" t="n"/>
      <c r="C133" s="78" t="n">
        <v>2025</v>
      </c>
      <c r="D133" s="78" t="inlineStr">
        <is>
          <t>张明峰</t>
        </is>
      </c>
      <c r="E133" s="53" t="n"/>
      <c r="F133" s="53" t="n"/>
      <c r="G133" s="54" t="n"/>
      <c r="H133" s="81" t="inlineStr">
        <is>
          <t>资产类型对齐规则表</t>
        </is>
      </c>
      <c r="I133" s="76" t="inlineStr">
        <is>
          <t>ILF</t>
        </is>
      </c>
      <c r="J133" s="108" t="n"/>
      <c r="K133" s="108" t="n"/>
      <c r="L133" s="83">
        <f>IF(OR(X133="估算法",X133="算法类",X133="无法识别"),"",IF(V133="",IF(OR(I133="EI",I133="EO",I133="EQ"),0,""),LEN(V133)-LEN(SUBSTITUTE(V133,"、",""))+1))</f>
        <v/>
      </c>
      <c r="M133" s="83">
        <f>IF(OR(X133="估算法",X133="算法类",X133="无法识别"),"",IF(W133="",IF(OR(I133="ILF",I133="EIF"),0,""),LEN(W133)-LEN(SUBSTITUTE(W133,"、",""))+1))</f>
        <v/>
      </c>
      <c r="N133" s="83">
        <f>IF(OR(X133="估算法",X133="算法类",X133="无法识别"),"",IF(X133="",IF(OR(I133="ILF",I133="EIF",I133="EI",I133="EO",I133="EQ"),0,""),LEN(X133)-LEN(SUBSTITUTE(SUBSTITUTE(SUBSTITUTE(SUBSTITUTE(SUBSTITUTE(X133,"|}","--"),"{|","--"),CHAR(10),""),"、",""),"|",""))+IF(AND(OR(I133="EI",I133="EO",I133="EQ"),$AD$1="NESMA"),2,1)))</f>
        <v/>
      </c>
      <c r="O133" s="84">
        <f>IF(I133="EI",IF(OR(X133="估算法",X133="算法类"),"中",IF(X133="无法识别","低",IF(L133&lt;2,IF(N133&lt;16,"低","中"),IF(L133&lt;3,IF(N133&lt;5,"低",IF(N133&lt;16,"中","高")),IF(N133&lt;5,"中","高"))))),IF(OR(I133="EO",I133="EQ"),IF(OR(X133="估算法",X133="算法类"),"中",IF(X133="无法识别","低",IF(L133&lt;2,IF(N133&lt;20,"低","中"),IF(L133&lt;4,IF(N133&lt;6,"低",IF(N133&lt;20,"中","高")),IF(N133&lt;6,"中","高"))))),IF(OR(I133="ILF",I133="EIF"),IF(OR(X133="估算法",X133="算法类",X133="无法识别"),"低",IF(M133&lt;2,IF(N133&lt;51,"低","中"),IF(M133&lt;6,IF(N133&lt;20,"低",IF(N133&lt;51,"中","高")),IF(N133&lt;20,"中","高")))),"不计算")))</f>
        <v/>
      </c>
      <c r="P133" s="142">
        <f>IFERROR(IF(I133="EI",IF(O133="低",3,IF(O133="中",4,6)),IF(I133="EO",IF(O133="低",4,IF(O133="中",5,7)),IF(I133="EQ",IF(O133="低",3,IF(O133="中",4,6)),IF(I133="ILF",IF(O133="低",7,IF(O133="中",10,15)),IF(I133="EIF",IF(O133="低",5,IF(O133="中",7,10)),"不计算")))))*Q133,"不计算")</f>
        <v/>
      </c>
      <c r="Q133" s="142" t="n">
        <v>1</v>
      </c>
      <c r="R133" s="143">
        <f>调整因子!$F$13</f>
        <v/>
      </c>
      <c r="S133" s="70" t="n">
        <v>1</v>
      </c>
      <c r="T133" s="144">
        <f>IFERROR(P133*R133,0)</f>
        <v/>
      </c>
      <c r="U133" s="144">
        <f>T133*S133</f>
        <v/>
      </c>
      <c r="V133" s="89" t="n"/>
      <c r="W133" s="88" t="inlineStr">
        <is>
          <t>资产类型对齐规则表</t>
        </is>
      </c>
      <c r="X133" s="88" t="inlineStr">
        <is>
          <t>资产类型对齐规则表{规则ID、资产组件名称、资产组件厂商、资产组件版本、资产组件类型、对齐方式}</t>
        </is>
      </c>
      <c r="Y133" s="88">
        <f>IF(COUNTIFS(V:V,"*"&amp;H133&amp;"*")&gt;0,"存在","不存在")</f>
        <v/>
      </c>
      <c r="Z133" s="88">
        <f>IF(COUNTIFS(AA:AA,"*"&amp;H133&amp;"*")&gt;0,"存在","不存在")</f>
        <v/>
      </c>
      <c r="AA133" s="88" t="inlineStr">
        <is>
          <t>POC开发记录信息表</t>
        </is>
      </c>
    </row>
    <row r="134" ht="21.6" customFormat="1" customHeight="1" s="63">
      <c r="A134" s="69">
        <f>ROW()-1</f>
        <v/>
      </c>
      <c r="B134" s="53" t="n"/>
      <c r="C134" s="78" t="n">
        <v>2025</v>
      </c>
      <c r="D134" s="78" t="inlineStr">
        <is>
          <t>张明峰</t>
        </is>
      </c>
      <c r="E134" s="53" t="n"/>
      <c r="F134" s="53" t="n"/>
      <c r="G134" s="76" t="inlineStr">
        <is>
          <t>同源纠偏任务管理</t>
        </is>
      </c>
      <c r="H134" s="81" t="inlineStr">
        <is>
          <t>查询上报资产组件信息</t>
        </is>
      </c>
      <c r="I134" s="76" t="inlineStr">
        <is>
          <t>EQ</t>
        </is>
      </c>
      <c r="J134" s="108" t="n"/>
      <c r="K134" s="108" t="n"/>
      <c r="L134" s="83">
        <f>IF(OR(X134="估算法",X134="算法类",X134="无法识别"),"",IF(V134="",IF(OR(I134="EI",I134="EO",I134="EQ"),0,""),LEN(V134)-LEN(SUBSTITUTE(V134,"、",""))+1))</f>
        <v/>
      </c>
      <c r="M134" s="83">
        <f>IF(OR(X134="估算法",X134="算法类",X134="无法识别"),"",IF(W134="",IF(OR(I134="ILF",I134="EIF"),0,""),LEN(W134)-LEN(SUBSTITUTE(W134,"、",""))+1))</f>
        <v/>
      </c>
      <c r="N134" s="83">
        <f>IF(OR(X134="估算法",X134="算法类",X134="无法识别"),"",IF(X134="",IF(OR(I134="ILF",I134="EIF",I134="EI",I134="EO",I134="EQ"),0,""),LEN(X134)-LEN(SUBSTITUTE(SUBSTITUTE(SUBSTITUTE(SUBSTITUTE(SUBSTITUTE(X134,"|}","--"),"{|","--"),CHAR(10),""),"、",""),"|",""))+IF(AND(OR(I134="EI",I134="EO",I134="EQ"),$AD$1="NESMA"),2,1)))</f>
        <v/>
      </c>
      <c r="O134" s="84">
        <f>IF(I134="EI",IF(OR(X134="估算法",X134="算法类"),"中",IF(X134="无法识别","低",IF(L134&lt;2,IF(N134&lt;16,"低","中"),IF(L134&lt;3,IF(N134&lt;5,"低",IF(N134&lt;16,"中","高")),IF(N134&lt;5,"中","高"))))),IF(OR(I134="EO",I134="EQ"),IF(OR(X134="估算法",X134="算法类"),"中",IF(X134="无法识别","低",IF(L134&lt;2,IF(N134&lt;20,"低","中"),IF(L134&lt;4,IF(N134&lt;6,"低",IF(N134&lt;20,"中","高")),IF(N134&lt;6,"中","高"))))),IF(OR(I134="ILF",I134="EIF"),IF(OR(X134="估算法",X134="算法类",X134="无法识别"),"低",IF(M134&lt;2,IF(N134&lt;51,"低","中"),IF(M134&lt;6,IF(N134&lt;20,"低",IF(N134&lt;51,"中","高")),IF(N134&lt;20,"中","高")))),"不计算")))</f>
        <v/>
      </c>
      <c r="P134" s="142">
        <f>IFERROR(IF(I134="EI",IF(O134="低",3,IF(O134="中",4,6)),IF(I134="EO",IF(O134="低",4,IF(O134="中",5,7)),IF(I134="EQ",IF(O134="低",3,IF(O134="中",4,6)),IF(I134="ILF",IF(O134="低",7,IF(O134="中",10,15)),IF(I134="EIF",IF(O134="低",5,IF(O134="中",7,10)),"不计算")))))*Q134,"不计算")</f>
        <v/>
      </c>
      <c r="Q134" s="142" t="n">
        <v>1</v>
      </c>
      <c r="R134" s="143">
        <f>调整因子!$F$13</f>
        <v/>
      </c>
      <c r="S134" s="76" t="n">
        <v>1</v>
      </c>
      <c r="T134" s="144">
        <f>IFERROR(P134*R134,0)</f>
        <v/>
      </c>
      <c r="U134" s="144">
        <f>T134*S134</f>
        <v/>
      </c>
      <c r="V134" s="88" t="inlineStr">
        <is>
          <t>资产组件表、资产类型表</t>
        </is>
      </c>
      <c r="W134" s="89" t="n"/>
      <c r="X134" s="88" t="inlineStr">
        <is>
          <t>资产类型表{资产类型ID、类型编码、类型状态、类型名称、描述}、资产组件表{组件ID、资产ID、组件名称、版本、安装路径}</t>
        </is>
      </c>
      <c r="Y134" s="88" t="n"/>
      <c r="Z134" s="88" t="n"/>
      <c r="AA134" s="88" t="inlineStr">
        <is>
          <t>POC模板文件</t>
        </is>
      </c>
    </row>
    <row r="135" ht="21.6" customFormat="1" customHeight="1" s="63">
      <c r="A135" s="69">
        <f>ROW()-1</f>
        <v/>
      </c>
      <c r="B135" s="53" t="n"/>
      <c r="C135" s="78" t="n">
        <v>2025</v>
      </c>
      <c r="D135" s="78" t="inlineStr">
        <is>
          <t>张明峰</t>
        </is>
      </c>
      <c r="E135" s="53" t="n"/>
      <c r="F135" s="53" t="n"/>
      <c r="G135" s="53" t="n"/>
      <c r="H135" s="81" t="inlineStr">
        <is>
          <t>查询资产类型对齐规则</t>
        </is>
      </c>
      <c r="I135" s="76" t="inlineStr">
        <is>
          <t>EQ</t>
        </is>
      </c>
      <c r="J135" s="108" t="n"/>
      <c r="K135" s="108" t="n"/>
      <c r="L135" s="83">
        <f>IF(OR(X135="估算法",X135="算法类",X135="无法识别"),"",IF(V135="",IF(OR(I135="EI",I135="EO",I135="EQ"),0,""),LEN(V135)-LEN(SUBSTITUTE(V135,"、",""))+1))</f>
        <v/>
      </c>
      <c r="M135" s="83">
        <f>IF(OR(X135="估算法",X135="算法类",X135="无法识别"),"",IF(W135="",IF(OR(I135="ILF",I135="EIF"),0,""),LEN(W135)-LEN(SUBSTITUTE(W135,"、",""))+1))</f>
        <v/>
      </c>
      <c r="N135" s="83">
        <f>IF(OR(X135="估算法",X135="算法类",X135="无法识别"),"",IF(X135="",IF(OR(I135="ILF",I135="EIF",I135="EI",I135="EO",I135="EQ"),0,""),LEN(X135)-LEN(SUBSTITUTE(SUBSTITUTE(SUBSTITUTE(SUBSTITUTE(SUBSTITUTE(X135,"|}","--"),"{|","--"),CHAR(10),""),"、",""),"|",""))+IF(AND(OR(I135="EI",I135="EO",I135="EQ"),$AD$1="NESMA"),2,1)))</f>
        <v/>
      </c>
      <c r="O135" s="84">
        <f>IF(I135="EI",IF(OR(X135="估算法",X135="算法类"),"中",IF(X135="无法识别","低",IF(L135&lt;2,IF(N135&lt;16,"低","中"),IF(L135&lt;3,IF(N135&lt;5,"低",IF(N135&lt;16,"中","高")),IF(N135&lt;5,"中","高"))))),IF(OR(I135="EO",I135="EQ"),IF(OR(X135="估算法",X135="算法类"),"中",IF(X135="无法识别","低",IF(L135&lt;2,IF(N135&lt;20,"低","中"),IF(L135&lt;4,IF(N135&lt;6,"低",IF(N135&lt;20,"中","高")),IF(N135&lt;6,"中","高"))))),IF(OR(I135="ILF",I135="EIF"),IF(OR(X135="估算法",X135="算法类",X135="无法识别"),"低",IF(M135&lt;2,IF(N135&lt;51,"低","中"),IF(M135&lt;6,IF(N135&lt;20,"低",IF(N135&lt;51,"中","高")),IF(N135&lt;20,"中","高")))),"不计算")))</f>
        <v/>
      </c>
      <c r="P135" s="142">
        <f>IFERROR(IF(I135="EI",IF(O135="低",3,IF(O135="中",4,6)),IF(I135="EO",IF(O135="低",4,IF(O135="中",5,7)),IF(I135="EQ",IF(O135="低",3,IF(O135="中",4,6)),IF(I135="ILF",IF(O135="低",7,IF(O135="中",10,15)),IF(I135="EIF",IF(O135="低",5,IF(O135="中",7,10)),"不计算")))))*Q135,"不计算")</f>
        <v/>
      </c>
      <c r="Q135" s="142" t="n">
        <v>1</v>
      </c>
      <c r="R135" s="143">
        <f>调整因子!$F$13</f>
        <v/>
      </c>
      <c r="S135" s="70" t="n">
        <v>1</v>
      </c>
      <c r="T135" s="144">
        <f>IFERROR(P135*R135,0)</f>
        <v/>
      </c>
      <c r="U135" s="144">
        <f>T135*S135</f>
        <v/>
      </c>
      <c r="V135" s="88" t="inlineStr">
        <is>
          <t>资产类型对齐规则表</t>
        </is>
      </c>
      <c r="W135" s="89" t="n"/>
      <c r="X135" s="88" t="inlineStr">
        <is>
          <t>资产类型对齐规则表{资产组件名称、资产组件厂商、资产组件版本、资产组件类型、对齐方式}</t>
        </is>
      </c>
      <c r="Y135" s="88" t="n"/>
      <c r="Z135" s="88" t="n"/>
      <c r="AA135" s="88" t="inlineStr">
        <is>
          <t>POC开发记录信息表</t>
        </is>
      </c>
    </row>
    <row r="136" ht="21.6" customFormat="1" customHeight="1" s="63">
      <c r="A136" s="69">
        <f>ROW()-1</f>
        <v/>
      </c>
      <c r="B136" s="53" t="n"/>
      <c r="C136" s="78" t="n">
        <v>2025</v>
      </c>
      <c r="D136" s="78" t="inlineStr">
        <is>
          <t>张明峰</t>
        </is>
      </c>
      <c r="E136" s="53" t="n"/>
      <c r="F136" s="53" t="n"/>
      <c r="G136" s="53" t="n"/>
      <c r="H136" s="81" t="inlineStr">
        <is>
          <t>查询漏洞信息和受影响组件</t>
        </is>
      </c>
      <c r="I136" s="76" t="inlineStr">
        <is>
          <t>EQ</t>
        </is>
      </c>
      <c r="J136" s="108" t="n"/>
      <c r="K136" s="108" t="n"/>
      <c r="L136" s="83">
        <f>IF(OR(X136="估算法",X136="算法类",X136="无法识别"),"",IF(V136="",IF(OR(I136="EI",I136="EO",I136="EQ"),0,""),LEN(V136)-LEN(SUBSTITUTE(V136,"、",""))+1))</f>
        <v/>
      </c>
      <c r="M136" s="83">
        <f>IF(OR(X136="估算法",X136="算法类",X136="无法识别"),"",IF(W136="",IF(OR(I136="ILF",I136="EIF"),0,""),LEN(W136)-LEN(SUBSTITUTE(W136,"、",""))+1))</f>
        <v/>
      </c>
      <c r="N136" s="83">
        <f>IF(OR(X136="估算法",X136="算法类",X136="无法识别"),"",IF(X136="",IF(OR(I136="ILF",I136="EIF",I136="EI",I136="EO",I136="EQ"),0,""),LEN(X136)-LEN(SUBSTITUTE(SUBSTITUTE(SUBSTITUTE(SUBSTITUTE(SUBSTITUTE(X136,"|}","--"),"{|","--"),CHAR(10),""),"、",""),"|",""))+IF(AND(OR(I136="EI",I136="EO",I136="EQ"),$AD$1="NESMA"),2,1)))</f>
        <v/>
      </c>
      <c r="O136" s="84">
        <f>IF(I136="EI",IF(OR(X136="估算法",X136="算法类"),"中",IF(X136="无法识别","低",IF(L136&lt;2,IF(N136&lt;16,"低","中"),IF(L136&lt;3,IF(N136&lt;5,"低",IF(N136&lt;16,"中","高")),IF(N136&lt;5,"中","高"))))),IF(OR(I136="EO",I136="EQ"),IF(OR(X136="估算法",X136="算法类"),"中",IF(X136="无法识别","低",IF(L136&lt;2,IF(N136&lt;20,"低","中"),IF(L136&lt;4,IF(N136&lt;6,"低",IF(N136&lt;20,"中","高")),IF(N136&lt;6,"中","高"))))),IF(OR(I136="ILF",I136="EIF"),IF(OR(X136="估算法",X136="算法类",X136="无法识别"),"低",IF(M136&lt;2,IF(N136&lt;51,"低","中"),IF(M136&lt;6,IF(N136&lt;20,"低",IF(N136&lt;51,"中","高")),IF(N136&lt;20,"中","高")))),"不计算")))</f>
        <v/>
      </c>
      <c r="P136" s="142">
        <f>IFERROR(IF(I136="EI",IF(O136="低",3,IF(O136="中",4,6)),IF(I136="EO",IF(O136="低",4,IF(O136="中",5,7)),IF(I136="EQ",IF(O136="低",3,IF(O136="中",4,6)),IF(I136="ILF",IF(O136="低",7,IF(O136="中",10,15)),IF(I136="EIF",IF(O136="低",5,IF(O136="中",7,10)),"不计算")))))*Q136,"不计算")</f>
        <v/>
      </c>
      <c r="Q136" s="142" t="n">
        <v>1</v>
      </c>
      <c r="R136" s="143">
        <f>调整因子!$F$13</f>
        <v/>
      </c>
      <c r="S136" s="70" t="n">
        <v>1</v>
      </c>
      <c r="T136" s="144">
        <f>IFERROR(P136*R136,0)</f>
        <v/>
      </c>
      <c r="U136" s="144">
        <f>T136*S136</f>
        <v/>
      </c>
      <c r="V136" s="88" t="inlineStr">
        <is>
          <t>纠偏结果表、资产组件表</t>
        </is>
      </c>
      <c r="W136" s="89" t="n"/>
      <c r="X136" s="88" t="inlineStr">
        <is>
          <t>纠偏结果表{结果ID、任务ID、资产ID、组件名称、组件版本、组件厂商、状态}、资产组件表{组件ID、资产ID、组件名称、版本、安装路径}</t>
        </is>
      </c>
      <c r="Y136" s="88" t="n"/>
      <c r="Z136" s="88" t="n"/>
      <c r="AA136" s="88" t="inlineStr">
        <is>
          <t>POC开发发现的系统漏洞表</t>
        </is>
      </c>
    </row>
    <row r="137" ht="10.8" customFormat="1" customHeight="1" s="63">
      <c r="A137" s="69">
        <f>ROW()-1</f>
        <v/>
      </c>
      <c r="B137" s="53" t="n"/>
      <c r="C137" s="78" t="n">
        <v>2025</v>
      </c>
      <c r="D137" s="78" t="inlineStr">
        <is>
          <t>张明峰</t>
        </is>
      </c>
      <c r="E137" s="53" t="n"/>
      <c r="F137" s="53" t="n"/>
      <c r="G137" s="53" t="n"/>
      <c r="H137" s="81" t="inlineStr">
        <is>
          <t>启动执行同源纠偏</t>
        </is>
      </c>
      <c r="I137" s="76" t="inlineStr">
        <is>
          <t>EI</t>
        </is>
      </c>
      <c r="J137" s="108" t="n"/>
      <c r="K137" s="108" t="n"/>
      <c r="L137" s="83">
        <f>IF(OR(X137="估算法",X137="算法类",X137="无法识别"),"",IF(V137="",IF(OR(I137="EI",I137="EO",I137="EQ"),0,""),LEN(V137)-LEN(SUBSTITUTE(V137,"、",""))+1))</f>
        <v/>
      </c>
      <c r="M137" s="83">
        <f>IF(OR(X137="估算法",X137="算法类",X137="无法识别"),"",IF(W137="",IF(OR(I137="ILF",I137="EIF"),0,""),LEN(W137)-LEN(SUBSTITUTE(W137,"、",""))+1))</f>
        <v/>
      </c>
      <c r="N137" s="83">
        <f>IF(OR(X137="估算法",X137="算法类",X137="无法识别"),"",IF(X137="",IF(OR(I137="ILF",I137="EIF",I137="EI",I137="EO",I137="EQ"),0,""),LEN(X137)-LEN(SUBSTITUTE(SUBSTITUTE(SUBSTITUTE(SUBSTITUTE(SUBSTITUTE(X137,"|}","--"),"{|","--"),CHAR(10),""),"、",""),"|",""))+IF(AND(OR(I137="EI",I137="EO",I137="EQ"),$AD$1="NESMA"),2,1)))</f>
        <v/>
      </c>
      <c r="O137" s="84">
        <f>IF(I137="EI",IF(OR(X137="估算法",X137="算法类"),"中",IF(X137="无法识别","低",IF(L137&lt;2,IF(N137&lt;16,"低","中"),IF(L137&lt;3,IF(N137&lt;5,"低",IF(N137&lt;16,"中","高")),IF(N137&lt;5,"中","高"))))),IF(OR(I137="EO",I137="EQ"),IF(OR(X137="估算法",X137="算法类"),"中",IF(X137="无法识别","低",IF(L137&lt;2,IF(N137&lt;20,"低","中"),IF(L137&lt;4,IF(N137&lt;6,"低",IF(N137&lt;20,"中","高")),IF(N137&lt;6,"中","高"))))),IF(OR(I137="ILF",I137="EIF"),IF(OR(X137="估算法",X137="算法类",X137="无法识别"),"低",IF(M137&lt;2,IF(N137&lt;51,"低","中"),IF(M137&lt;6,IF(N137&lt;20,"低",IF(N137&lt;51,"中","高")),IF(N137&lt;20,"中","高")))),"不计算")))</f>
        <v/>
      </c>
      <c r="P137" s="142">
        <f>IFERROR(IF(I137="EI",IF(O137="低",3,IF(O137="中",4,6)),IF(I137="EO",IF(O137="低",4,IF(O137="中",5,7)),IF(I137="EQ",IF(O137="低",3,IF(O137="中",4,6)),IF(I137="ILF",IF(O137="低",7,IF(O137="中",10,15)),IF(I137="EIF",IF(O137="低",5,IF(O137="中",7,10)),"不计算")))))*Q137,"不计算")</f>
        <v/>
      </c>
      <c r="Q137" s="142" t="n">
        <v>1</v>
      </c>
      <c r="R137" s="143">
        <f>调整因子!$F$13</f>
        <v/>
      </c>
      <c r="S137" s="76" t="n">
        <v>1</v>
      </c>
      <c r="T137" s="144">
        <f>IFERROR(P137*R137,0)</f>
        <v/>
      </c>
      <c r="U137" s="144">
        <f>T137*S137</f>
        <v/>
      </c>
      <c r="V137" s="88" t="inlineStr">
        <is>
          <t>同源纠偏任务表、纠偏资产表、任务执行实例表</t>
        </is>
      </c>
      <c r="W137" s="89" t="n"/>
      <c r="X137" s="88" t="inlineStr">
        <is>
          <t>同源纠偏任务表{任务ID、任务名称、描述、开始时间、结束时间、状态}、纠偏资产表{任务编号、资产编号、原始名称|资产编号、任务编号、原始名称、对齐后名称、状态}、任务执行实例表{任务编号、资产编号、状态|实例编号、任务编号、资产编号、状态、开始时间、结束时间}</t>
        </is>
      </c>
      <c r="Y137" s="88" t="n"/>
      <c r="Z137" s="88" t="n"/>
      <c r="AA137" s="88" t="inlineStr">
        <is>
          <t>POC开发发现的系统漏洞表</t>
        </is>
      </c>
    </row>
    <row r="138" ht="21.6" customFormat="1" customHeight="1" s="63">
      <c r="A138" s="69">
        <f>ROW()-1</f>
        <v/>
      </c>
      <c r="B138" s="53" t="n"/>
      <c r="C138" s="78" t="n">
        <v>2025</v>
      </c>
      <c r="D138" s="78" t="inlineStr">
        <is>
          <t>张明峰</t>
        </is>
      </c>
      <c r="E138" s="53" t="n"/>
      <c r="F138" s="53" t="n"/>
      <c r="G138" s="53" t="n"/>
      <c r="H138" s="81" t="inlineStr">
        <is>
          <t>删除同源纠偏执行记录</t>
        </is>
      </c>
      <c r="I138" s="76" t="inlineStr">
        <is>
          <t>EI</t>
        </is>
      </c>
      <c r="J138" s="108" t="n"/>
      <c r="K138" s="108" t="n"/>
      <c r="L138" s="83">
        <f>IF(OR(X138="估算法",X138="算法类",X138="无法识别"),"",IF(V138="",IF(OR(I138="EI",I138="EO",I138="EQ"),0,""),LEN(V138)-LEN(SUBSTITUTE(V138,"、",""))+1))</f>
        <v/>
      </c>
      <c r="M138" s="83">
        <f>IF(OR(X138="估算法",X138="算法类",X138="无法识别"),"",IF(W138="",IF(OR(I138="ILF",I138="EIF"),0,""),LEN(W138)-LEN(SUBSTITUTE(W138,"、",""))+1))</f>
        <v/>
      </c>
      <c r="N138" s="83">
        <f>IF(OR(X138="估算法",X138="算法类",X138="无法识别"),"",IF(X138="",IF(OR(I138="ILF",I138="EIF",I138="EI",I138="EO",I138="EQ"),0,""),LEN(X138)-LEN(SUBSTITUTE(SUBSTITUTE(SUBSTITUTE(SUBSTITUTE(SUBSTITUTE(X138,"|}","--"),"{|","--"),CHAR(10),""),"、",""),"|",""))+IF(AND(OR(I138="EI",I138="EO",I138="EQ"),$AD$1="NESMA"),2,1)))</f>
        <v/>
      </c>
      <c r="O138" s="84">
        <f>IF(I138="EI",IF(OR(X138="估算法",X138="算法类"),"中",IF(X138="无法识别","低",IF(L138&lt;2,IF(N138&lt;16,"低","中"),IF(L138&lt;3,IF(N138&lt;5,"低",IF(N138&lt;16,"中","高")),IF(N138&lt;5,"中","高"))))),IF(OR(I138="EO",I138="EQ"),IF(OR(X138="估算法",X138="算法类"),"中",IF(X138="无法识别","低",IF(L138&lt;2,IF(N138&lt;20,"低","中"),IF(L138&lt;4,IF(N138&lt;6,"低",IF(N138&lt;20,"中","高")),IF(N138&lt;6,"中","高"))))),IF(OR(I138="ILF",I138="EIF"),IF(OR(X138="估算法",X138="算法类",X138="无法识别"),"低",IF(M138&lt;2,IF(N138&lt;51,"低","中"),IF(M138&lt;6,IF(N138&lt;20,"低",IF(N138&lt;51,"中","高")),IF(N138&lt;20,"中","高")))),"不计算")))</f>
        <v/>
      </c>
      <c r="P138" s="142">
        <f>IFERROR(IF(I138="EI",IF(O138="低",3,IF(O138="中",4,6)),IF(I138="EO",IF(O138="低",4,IF(O138="中",5,7)),IF(I138="EQ",IF(O138="低",3,IF(O138="中",4,6)),IF(I138="ILF",IF(O138="低",7,IF(O138="中",10,15)),IF(I138="EIF",IF(O138="低",5,IF(O138="中",7,10)),"不计算")))))*Q138,"不计算")</f>
        <v/>
      </c>
      <c r="Q138" s="142" t="n">
        <v>0.333333333333333</v>
      </c>
      <c r="R138" s="143">
        <f>调整因子!$F$13</f>
        <v/>
      </c>
      <c r="S138" s="70" t="n">
        <v>1</v>
      </c>
      <c r="T138" s="144">
        <f>IFERROR(P138*R138,0)</f>
        <v/>
      </c>
      <c r="U138" s="144">
        <f>T138*S138</f>
        <v/>
      </c>
      <c r="V138" s="88" t="inlineStr">
        <is>
          <t>同源纠偏任务表、纠偏结果表</t>
        </is>
      </c>
      <c r="W138" s="89" t="n"/>
      <c r="X138" s="88" t="inlineStr">
        <is>
          <t>同源纠偏任务表{任务ID、任务名称、描述、开始时间、结束时间、状态}、纠偏结果表{结果ID、任务ID、资产ID、组件名称、组件版本、组件厂商、状态}</t>
        </is>
      </c>
      <c r="Y138" s="88" t="n"/>
      <c r="Z138" s="88" t="n"/>
      <c r="AA138" s="88" t="inlineStr">
        <is>
          <t>漏洞挖掘信息表</t>
        </is>
      </c>
    </row>
    <row r="139" ht="21.6" customFormat="1" customHeight="1" s="63">
      <c r="A139" s="69">
        <f>ROW()-1</f>
        <v/>
      </c>
      <c r="B139" s="53" t="n"/>
      <c r="C139" s="78" t="n">
        <v>2025</v>
      </c>
      <c r="D139" s="78" t="inlineStr">
        <is>
          <t>张明峰</t>
        </is>
      </c>
      <c r="E139" s="53" t="n"/>
      <c r="F139" s="53" t="n"/>
      <c r="G139" s="53" t="n"/>
      <c r="H139" s="81" t="inlineStr">
        <is>
          <t>查询同源纠偏执行记录</t>
        </is>
      </c>
      <c r="I139" s="76" t="inlineStr">
        <is>
          <t>EQ</t>
        </is>
      </c>
      <c r="J139" s="108" t="n"/>
      <c r="K139" s="108" t="n"/>
      <c r="L139" s="83">
        <f>IF(OR(X139="估算法",X139="算法类",X139="无法识别"),"",IF(V139="",IF(OR(I139="EI",I139="EO",I139="EQ"),0,""),LEN(V139)-LEN(SUBSTITUTE(V139,"、",""))+1))</f>
        <v/>
      </c>
      <c r="M139" s="83">
        <f>IF(OR(X139="估算法",X139="算法类",X139="无法识别"),"",IF(W139="",IF(OR(I139="ILF",I139="EIF"),0,""),LEN(W139)-LEN(SUBSTITUTE(W139,"、",""))+1))</f>
        <v/>
      </c>
      <c r="N139" s="83">
        <f>IF(OR(X139="估算法",X139="算法类",X139="无法识别"),"",IF(X139="",IF(OR(I139="ILF",I139="EIF",I139="EI",I139="EO",I139="EQ"),0,""),LEN(X139)-LEN(SUBSTITUTE(SUBSTITUTE(SUBSTITUTE(SUBSTITUTE(SUBSTITUTE(X139,"|}","--"),"{|","--"),CHAR(10),""),"、",""),"|",""))+IF(AND(OR(I139="EI",I139="EO",I139="EQ"),$AD$1="NESMA"),2,1)))</f>
        <v/>
      </c>
      <c r="O139" s="84">
        <f>IF(I139="EI",IF(OR(X139="估算法",X139="算法类"),"中",IF(X139="无法识别","低",IF(L139&lt;2,IF(N139&lt;16,"低","中"),IF(L139&lt;3,IF(N139&lt;5,"低",IF(N139&lt;16,"中","高")),IF(N139&lt;5,"中","高"))))),IF(OR(I139="EO",I139="EQ"),IF(OR(X139="估算法",X139="算法类"),"中",IF(X139="无法识别","低",IF(L139&lt;2,IF(N139&lt;20,"低","中"),IF(L139&lt;4,IF(N139&lt;6,"低",IF(N139&lt;20,"中","高")),IF(N139&lt;6,"中","高"))))),IF(OR(I139="ILF",I139="EIF"),IF(OR(X139="估算法",X139="算法类",X139="无法识别"),"低",IF(M139&lt;2,IF(N139&lt;51,"低","中"),IF(M139&lt;6,IF(N139&lt;20,"低",IF(N139&lt;51,"中","高")),IF(N139&lt;20,"中","高")))),"不计算")))</f>
        <v/>
      </c>
      <c r="P139" s="142">
        <f>IFERROR(IF(I139="EI",IF(O139="低",3,IF(O139="中",4,6)),IF(I139="EO",IF(O139="低",4,IF(O139="中",5,7)),IF(I139="EQ",IF(O139="低",3,IF(O139="中",4,6)),IF(I139="ILF",IF(O139="低",7,IF(O139="中",10,15)),IF(I139="EIF",IF(O139="低",5,IF(O139="中",7,10)),"不计算")))))*Q139,"不计算")</f>
        <v/>
      </c>
      <c r="Q139" s="142" t="n">
        <v>1</v>
      </c>
      <c r="R139" s="143">
        <f>调整因子!$F$13</f>
        <v/>
      </c>
      <c r="S139" s="70" t="n">
        <v>1</v>
      </c>
      <c r="T139" s="144">
        <f>IFERROR(P139*R139,0)</f>
        <v/>
      </c>
      <c r="U139" s="144">
        <f>T139*S139</f>
        <v/>
      </c>
      <c r="V139" s="88" t="inlineStr">
        <is>
          <t>纠偏结果表、同源纠偏任务表</t>
        </is>
      </c>
      <c r="W139" s="89" t="n"/>
      <c r="X139" s="88" t="inlineStr">
        <is>
          <t>同源纠偏任务表{任务ID、任务名称、描述、开始时间、结束时间、状态}、纠偏结果表{结果ID、任务ID、资产ID、组件名称、组件版本、组件厂商、状态}</t>
        </is>
      </c>
      <c r="Y139" s="88" t="n"/>
      <c r="Z139" s="88" t="n"/>
      <c r="AA139" s="88" t="inlineStr">
        <is>
          <t>漏洞挖掘导入模板文件</t>
        </is>
      </c>
    </row>
    <row r="140" ht="21.6" customFormat="1" customHeight="1" s="63">
      <c r="A140" s="69">
        <f>ROW()-1</f>
        <v/>
      </c>
      <c r="B140" s="53" t="n"/>
      <c r="C140" s="78" t="n">
        <v>2025</v>
      </c>
      <c r="D140" s="78" t="inlineStr">
        <is>
          <t>张明峰</t>
        </is>
      </c>
      <c r="E140" s="53" t="n"/>
      <c r="F140" s="53" t="n"/>
      <c r="G140" s="53" t="n"/>
      <c r="H140" s="81" t="inlineStr">
        <is>
          <t>查询同源纠偏结果列表</t>
        </is>
      </c>
      <c r="I140" s="76" t="inlineStr">
        <is>
          <t>EQ</t>
        </is>
      </c>
      <c r="J140" s="93" t="inlineStr">
        <is>
          <t>修改「FTR、DET」</t>
        </is>
      </c>
      <c r="K140" s="108" t="inlineStr">
        <is>
          <t>和上行合并，相同查询功能</t>
        </is>
      </c>
      <c r="L140" s="83">
        <f>IF(OR(X140="估算法",X140="算法类",X140="无法识别"),"",IF(V140="",IF(OR(I140="EI",I140="EO",I140="EQ"),0,""),LEN(V140)-LEN(SUBSTITUTE(V140,"、",""))+1))</f>
        <v/>
      </c>
      <c r="M140" s="83">
        <f>IF(OR(X140="估算法",X140="算法类",X140="无法识别"),"",IF(W140="",IF(OR(I140="ILF",I140="EIF"),0,""),LEN(W140)-LEN(SUBSTITUTE(W140,"、",""))+1))</f>
        <v/>
      </c>
      <c r="N140" s="83">
        <f>IF(OR(X140="估算法",X140="算法类",X140="无法识别"),"",IF(X140="",IF(OR(I140="ILF",I140="EIF",I140="EI",I140="EO",I140="EQ"),0,""),LEN(X140)-LEN(SUBSTITUTE(SUBSTITUTE(SUBSTITUTE(SUBSTITUTE(SUBSTITUTE(X140,"|}","--"),"{|","--"),CHAR(10),""),"、",""),"|",""))+IF(AND(OR(I140="EI",I140="EO",I140="EQ"),$AD$1="NESMA"),2,1)))</f>
        <v/>
      </c>
      <c r="O140" s="84">
        <f>IF(I140="EI",IF(OR(X140="估算法",X140="算法类"),"中",IF(X140="无法识别","低",IF(L140&lt;2,IF(N140&lt;16,"低","中"),IF(L140&lt;3,IF(N140&lt;5,"低",IF(N140&lt;16,"中","高")),IF(N140&lt;5,"中","高"))))),IF(OR(I140="EO",I140="EQ"),IF(OR(X140="估算法",X140="算法类"),"中",IF(X140="无法识别","低",IF(L140&lt;2,IF(N140&lt;20,"低","中"),IF(L140&lt;4,IF(N140&lt;6,"低",IF(N140&lt;20,"中","高")),IF(N140&lt;6,"中","高"))))),IF(OR(I140="ILF",I140="EIF"),IF(OR(X140="估算法",X140="算法类",X140="无法识别"),"低",IF(M140&lt;2,IF(N140&lt;51,"低","中"),IF(M140&lt;6,IF(N140&lt;20,"低",IF(N140&lt;51,"中","高")),IF(N140&lt;20,"中","高")))),"不计算")))</f>
        <v/>
      </c>
      <c r="P140" s="142">
        <f>IFERROR(IF(I140="EI",IF(O140="低",3,IF(O140="中",4,6)),IF(I140="EO",IF(O140="低",4,IF(O140="中",5,7)),IF(I140="EQ",IF(O140="低",3,IF(O140="中",4,6)),IF(I140="ILF",IF(O140="低",7,IF(O140="中",10,15)),IF(I140="EIF",IF(O140="低",5,IF(O140="中",7,10)),"不计算")))))*Q140,"不计算")</f>
        <v/>
      </c>
      <c r="Q140" s="142" t="n">
        <v>1</v>
      </c>
      <c r="R140" s="143">
        <f>调整因子!$F$13</f>
        <v/>
      </c>
      <c r="S140" s="76" t="n">
        <v>1</v>
      </c>
      <c r="T140" s="144">
        <f>IFERROR(P140*R140,0)</f>
        <v/>
      </c>
      <c r="U140" s="144">
        <f>T140*S140</f>
        <v/>
      </c>
      <c r="V140" s="88" t="inlineStr">
        <is>
          <t>同源纠偏任务表、纠偏结果表</t>
        </is>
      </c>
      <c r="W140" s="89" t="n"/>
      <c r="X140" s="88" t="inlineStr">
        <is>
          <t>同源纠偏任务表{任务ID、任务名称、描述、开始时间、结束时间、状态}、纠偏结果表{结果ID、任务ID、资产ID、组件名称、组件版本、组件厂商、状态}</t>
        </is>
      </c>
      <c r="Y140" s="88" t="n"/>
      <c r="Z140" s="88" t="n"/>
      <c r="AA140" s="88" t="inlineStr">
        <is>
          <t>漏洞挖掘信息表</t>
        </is>
      </c>
    </row>
    <row r="141" ht="10.8" customFormat="1" customHeight="1" s="63">
      <c r="A141" s="69">
        <f>ROW()-1</f>
        <v/>
      </c>
      <c r="B141" s="53" t="n"/>
      <c r="C141" s="78" t="n">
        <v>2025</v>
      </c>
      <c r="D141" s="78" t="inlineStr">
        <is>
          <t>张明峰</t>
        </is>
      </c>
      <c r="E141" s="53" t="n"/>
      <c r="F141" s="53" t="n"/>
      <c r="G141" s="53" t="n"/>
      <c r="H141" s="81" t="inlineStr">
        <is>
          <t>资产类型表</t>
        </is>
      </c>
      <c r="I141" s="76" t="inlineStr">
        <is>
          <t>ILF</t>
        </is>
      </c>
      <c r="J141" s="94" t="inlineStr">
        <is>
          <t>删除</t>
        </is>
      </c>
      <c r="K141" s="108" t="inlineStr">
        <is>
          <t>数据库表未被本系统所维护</t>
        </is>
      </c>
      <c r="L141" s="83">
        <f>IF(OR(X141="估算法",X141="算法类",X141="无法识别"),"",IF(V141="",IF(OR(I141="EI",I141="EO",I141="EQ"),0,""),LEN(V141)-LEN(SUBSTITUTE(V141,"、",""))+1))</f>
        <v/>
      </c>
      <c r="M141" s="83">
        <f>IF(OR(X141="估算法",X141="算法类",X141="无法识别"),"",IF(W141="",IF(OR(I141="ILF",I141="EIF"),0,""),LEN(W141)-LEN(SUBSTITUTE(W141,"、",""))+1))</f>
        <v/>
      </c>
      <c r="N141" s="83">
        <f>IF(OR(X141="估算法",X141="算法类",X141="无法识别"),"",IF(X141="",IF(OR(I141="ILF",I141="EIF",I141="EI",I141="EO",I141="EQ"),0,""),LEN(X141)-LEN(SUBSTITUTE(SUBSTITUTE(SUBSTITUTE(SUBSTITUTE(SUBSTITUTE(X141,"|}","--"),"{|","--"),CHAR(10),""),"、",""),"|",""))+IF(AND(OR(I141="EI",I141="EO",I141="EQ"),$AD$1="NESMA"),2,1)))</f>
        <v/>
      </c>
      <c r="O141" s="84">
        <f>IF(I141="EI",IF(OR(X141="估算法",X141="算法类"),"中",IF(X141="无法识别","低",IF(L141&lt;2,IF(N141&lt;16,"低","中"),IF(L141&lt;3,IF(N141&lt;5,"低",IF(N141&lt;16,"中","高")),IF(N141&lt;5,"中","高"))))),IF(OR(I141="EO",I141="EQ"),IF(OR(X141="估算法",X141="算法类"),"中",IF(X141="无法识别","低",IF(L141&lt;2,IF(N141&lt;20,"低","中"),IF(L141&lt;4,IF(N141&lt;6,"低",IF(N141&lt;20,"中","高")),IF(N141&lt;6,"中","高"))))),IF(OR(I141="ILF",I141="EIF"),IF(OR(X141="估算法",X141="算法类",X141="无法识别"),"低",IF(M141&lt;2,IF(N141&lt;51,"低","中"),IF(M141&lt;6,IF(N141&lt;20,"低",IF(N141&lt;51,"中","高")),IF(N141&lt;20,"中","高")))),"不计算")))</f>
        <v/>
      </c>
      <c r="P141" s="142">
        <f>IFERROR(IF(I141="EI",IF(O141="低",3,IF(O141="中",4,6)),IF(I141="EO",IF(O141="低",4,IF(O141="中",5,7)),IF(I141="EQ",IF(O141="低",3,IF(O141="中",4,6)),IF(I141="ILF",IF(O141="低",7,IF(O141="中",10,15)),IF(I141="EIF",IF(O141="低",5,IF(O141="中",7,10)),"不计算")))))*Q141,"不计算")</f>
        <v/>
      </c>
      <c r="Q141" s="142" t="n">
        <v>0</v>
      </c>
      <c r="R141" s="143">
        <f>调整因子!$F$13</f>
        <v/>
      </c>
      <c r="S141" s="70" t="n">
        <v>1</v>
      </c>
      <c r="T141" s="144">
        <f>IFERROR(P141*R141,0)</f>
        <v/>
      </c>
      <c r="U141" s="144">
        <f>T141*S141</f>
        <v/>
      </c>
      <c r="V141" s="89" t="n"/>
      <c r="W141" s="88" t="inlineStr">
        <is>
          <t>资产类型表</t>
        </is>
      </c>
      <c r="X141" s="88" t="inlineStr">
        <is>
          <t>资产类型表{资产类型ID、类型编码、类型状态、类型名称、描述}</t>
        </is>
      </c>
      <c r="Y141" s="88">
        <f>IF(COUNTIFS(V:V,"*"&amp;H141&amp;"*")&gt;0,"存在","不存在")</f>
        <v/>
      </c>
      <c r="Z141" s="88">
        <f>IF(COUNTIFS(AA:AA,"*"&amp;H141&amp;"*")&gt;0,"存在","不存在")</f>
        <v/>
      </c>
      <c r="AA141" s="88" t="inlineStr">
        <is>
          <t>漏洞挖掘信息表</t>
        </is>
      </c>
    </row>
    <row r="142" ht="10.8" customFormat="1" customHeight="1" s="63">
      <c r="A142" s="69">
        <f>ROW()-1</f>
        <v/>
      </c>
      <c r="B142" s="53" t="n"/>
      <c r="C142" s="78" t="n">
        <v>2025</v>
      </c>
      <c r="D142" s="78" t="inlineStr">
        <is>
          <t>张明峰</t>
        </is>
      </c>
      <c r="E142" s="53" t="n"/>
      <c r="F142" s="53" t="n"/>
      <c r="G142" s="53" t="n"/>
      <c r="H142" s="81" t="inlineStr">
        <is>
          <t>同源纠偏任务表</t>
        </is>
      </c>
      <c r="I142" s="76" t="inlineStr">
        <is>
          <t>ILF</t>
        </is>
      </c>
      <c r="J142" s="108" t="n"/>
      <c r="K142" s="108" t="n"/>
      <c r="L142" s="83">
        <f>IF(OR(X142="估算法",X142="算法类",X142="无法识别"),"",IF(V142="",IF(OR(I142="EI",I142="EO",I142="EQ"),0,""),LEN(V142)-LEN(SUBSTITUTE(V142,"、",""))+1))</f>
        <v/>
      </c>
      <c r="M142" s="83">
        <f>IF(OR(X142="估算法",X142="算法类",X142="无法识别"),"",IF(W142="",IF(OR(I142="ILF",I142="EIF"),0,""),LEN(W142)-LEN(SUBSTITUTE(W142,"、",""))+1))</f>
        <v/>
      </c>
      <c r="N142" s="83">
        <f>IF(OR(X142="估算法",X142="算法类",X142="无法识别"),"",IF(X142="",IF(OR(I142="ILF",I142="EIF",I142="EI",I142="EO",I142="EQ"),0,""),LEN(X142)-LEN(SUBSTITUTE(SUBSTITUTE(SUBSTITUTE(SUBSTITUTE(SUBSTITUTE(X142,"|}","--"),"{|","--"),CHAR(10),""),"、",""),"|",""))+IF(AND(OR(I142="EI",I142="EO",I142="EQ"),$AD$1="NESMA"),2,1)))</f>
        <v/>
      </c>
      <c r="O142" s="84">
        <f>IF(I142="EI",IF(OR(X142="估算法",X142="算法类"),"中",IF(X142="无法识别","低",IF(L142&lt;2,IF(N142&lt;16,"低","中"),IF(L142&lt;3,IF(N142&lt;5,"低",IF(N142&lt;16,"中","高")),IF(N142&lt;5,"中","高"))))),IF(OR(I142="EO",I142="EQ"),IF(OR(X142="估算法",X142="算法类"),"中",IF(X142="无法识别","低",IF(L142&lt;2,IF(N142&lt;20,"低","中"),IF(L142&lt;4,IF(N142&lt;6,"低",IF(N142&lt;20,"中","高")),IF(N142&lt;6,"中","高"))))),IF(OR(I142="ILF",I142="EIF"),IF(OR(X142="估算法",X142="算法类",X142="无法识别"),"低",IF(M142&lt;2,IF(N142&lt;51,"低","中"),IF(M142&lt;6,IF(N142&lt;20,"低",IF(N142&lt;51,"中","高")),IF(N142&lt;20,"中","高")))),"不计算")))</f>
        <v/>
      </c>
      <c r="P142" s="142">
        <f>IFERROR(IF(I142="EI",IF(O142="低",3,IF(O142="中",4,6)),IF(I142="EO",IF(O142="低",4,IF(O142="中",5,7)),IF(I142="EQ",IF(O142="低",3,IF(O142="中",4,6)),IF(I142="ILF",IF(O142="低",7,IF(O142="中",10,15)),IF(I142="EIF",IF(O142="低",5,IF(O142="中",7,10)),"不计算")))))*Q142,"不计算")</f>
        <v/>
      </c>
      <c r="Q142" s="142" t="n">
        <v>1</v>
      </c>
      <c r="R142" s="143">
        <f>调整因子!$F$13</f>
        <v/>
      </c>
      <c r="S142" s="70" t="n">
        <v>1</v>
      </c>
      <c r="T142" s="144">
        <f>IFERROR(P142*R142,0)</f>
        <v/>
      </c>
      <c r="U142" s="144">
        <f>T142*S142</f>
        <v/>
      </c>
      <c r="V142" s="89" t="n"/>
      <c r="W142" s="88" t="inlineStr">
        <is>
          <t>同源纠偏任务表</t>
        </is>
      </c>
      <c r="X142" s="88" t="inlineStr">
        <is>
          <t>同源纠偏任务表{任务ID、任务名称、描述、开始时间、结束时间、状态}</t>
        </is>
      </c>
      <c r="Y142" s="88">
        <f>IF(COUNTIFS(V:V,"*"&amp;H142&amp;"*")&gt;0,"存在","不存在")</f>
        <v/>
      </c>
      <c r="Z142" s="88">
        <f>IF(COUNTIFS(AA:AA,"*"&amp;H142&amp;"*")&gt;0,"存在","不存在")</f>
        <v/>
      </c>
      <c r="AA142" s="88" t="inlineStr">
        <is>
          <t>渗透测试信息表</t>
        </is>
      </c>
    </row>
    <row r="143" ht="10.8" customFormat="1" customHeight="1" s="63">
      <c r="A143" s="69">
        <f>ROW()-1</f>
        <v/>
      </c>
      <c r="B143" s="53" t="n"/>
      <c r="C143" s="78" t="n">
        <v>2025</v>
      </c>
      <c r="D143" s="78" t="inlineStr">
        <is>
          <t>张明峰</t>
        </is>
      </c>
      <c r="E143" s="53" t="n"/>
      <c r="F143" s="53" t="n"/>
      <c r="G143" s="53" t="n"/>
      <c r="H143" s="81" t="inlineStr">
        <is>
          <t>纠偏资产表</t>
        </is>
      </c>
      <c r="I143" s="76" t="inlineStr">
        <is>
          <t>ILF</t>
        </is>
      </c>
      <c r="J143" s="108" t="inlineStr">
        <is>
          <t>添加引用「启动执行同源纠偏」</t>
        </is>
      </c>
      <c r="K143" s="108" t="inlineStr">
        <is>
          <t>数据库表未被本系统所使用</t>
        </is>
      </c>
      <c r="L143" s="83">
        <f>IF(OR(X143="估算法",X143="算法类",X143="无法识别"),"",IF(V143="",IF(OR(I143="EI",I143="EO",I143="EQ"),0,""),LEN(V143)-LEN(SUBSTITUTE(V143,"、",""))+1))</f>
        <v/>
      </c>
      <c r="M143" s="83">
        <f>IF(OR(X143="估算法",X143="算法类",X143="无法识别"),"",IF(W143="",IF(OR(I143="ILF",I143="EIF"),0,""),LEN(W143)-LEN(SUBSTITUTE(W143,"、",""))+1))</f>
        <v/>
      </c>
      <c r="N143" s="83">
        <f>IF(OR(X143="估算法",X143="算法类",X143="无法识别"),"",IF(X143="",IF(OR(I143="ILF",I143="EIF",I143="EI",I143="EO",I143="EQ"),0,""),LEN(X143)-LEN(SUBSTITUTE(SUBSTITUTE(SUBSTITUTE(SUBSTITUTE(SUBSTITUTE(X143,"|}","--"),"{|","--"),CHAR(10),""),"、",""),"|",""))+IF(AND(OR(I143="EI",I143="EO",I143="EQ"),$AD$1="NESMA"),2,1)))</f>
        <v/>
      </c>
      <c r="O143" s="84">
        <f>IF(I143="EI",IF(OR(X143="估算法",X143="算法类"),"中",IF(X143="无法识别","低",IF(L143&lt;2,IF(N143&lt;16,"低","中"),IF(L143&lt;3,IF(N143&lt;5,"低",IF(N143&lt;16,"中","高")),IF(N143&lt;5,"中","高"))))),IF(OR(I143="EO",I143="EQ"),IF(OR(X143="估算法",X143="算法类"),"中",IF(X143="无法识别","低",IF(L143&lt;2,IF(N143&lt;20,"低","中"),IF(L143&lt;4,IF(N143&lt;6,"低",IF(N143&lt;20,"中","高")),IF(N143&lt;6,"中","高"))))),IF(OR(I143="ILF",I143="EIF"),IF(OR(X143="估算法",X143="算法类",X143="无法识别"),"低",IF(M143&lt;2,IF(N143&lt;51,"低","中"),IF(M143&lt;6,IF(N143&lt;20,"低",IF(N143&lt;51,"中","高")),IF(N143&lt;20,"中","高")))),"不计算")))</f>
        <v/>
      </c>
      <c r="P143" s="142">
        <f>IFERROR(IF(I143="EI",IF(O143="低",3,IF(O143="中",4,6)),IF(I143="EO",IF(O143="低",4,IF(O143="中",5,7)),IF(I143="EQ",IF(O143="低",3,IF(O143="中",4,6)),IF(I143="ILF",IF(O143="低",7,IF(O143="中",10,15)),IF(I143="EIF",IF(O143="低",5,IF(O143="中",7,10)),"不计算")))))*Q143,"不计算")</f>
        <v/>
      </c>
      <c r="Q143" s="142" t="n">
        <v>1</v>
      </c>
      <c r="R143" s="143">
        <f>调整因子!$F$13</f>
        <v/>
      </c>
      <c r="S143" s="76" t="n">
        <v>1</v>
      </c>
      <c r="T143" s="144">
        <f>IFERROR(P143*R143,0)</f>
        <v/>
      </c>
      <c r="U143" s="144">
        <f>T143*S143</f>
        <v/>
      </c>
      <c r="V143" s="89" t="n"/>
      <c r="W143" s="88" t="inlineStr">
        <is>
          <t>纠偏资产表</t>
        </is>
      </c>
      <c r="X143" s="88" t="inlineStr">
        <is>
          <t>纠偏资产表{资产ID、任务ID、原始名称、对齐后名称、状态}</t>
        </is>
      </c>
      <c r="Y143" s="88">
        <f>IF(COUNTIFS(V:V,"*"&amp;H143&amp;"*")&gt;0,"存在","不存在")</f>
        <v/>
      </c>
      <c r="Z143" s="88">
        <f>IF(COUNTIFS(AA:AA,"*"&amp;H143&amp;"*")&gt;0,"存在","不存在")</f>
        <v/>
      </c>
      <c r="AA143" s="88" t="inlineStr">
        <is>
          <t>渗透测试导入模板文件表</t>
        </is>
      </c>
    </row>
    <row r="144" ht="10.8" customFormat="1" customHeight="1" s="63">
      <c r="A144" s="69">
        <f>ROW()-1</f>
        <v/>
      </c>
      <c r="B144" s="53" t="n"/>
      <c r="C144" s="78" t="n">
        <v>2025</v>
      </c>
      <c r="D144" s="78" t="inlineStr">
        <is>
          <t>张明峰</t>
        </is>
      </c>
      <c r="E144" s="53" t="n"/>
      <c r="F144" s="53" t="n"/>
      <c r="G144" s="53" t="n"/>
      <c r="H144" s="81" t="inlineStr">
        <is>
          <t>资产组件表</t>
        </is>
      </c>
      <c r="I144" s="76" t="n"/>
      <c r="J144" s="94" t="inlineStr">
        <is>
          <t>删除</t>
        </is>
      </c>
      <c r="K144" s="108" t="inlineStr">
        <is>
          <t>重复数据库表</t>
        </is>
      </c>
      <c r="L144" s="83">
        <f>IF(OR(X144="估算法",X144="算法类",X144="无法识别"),"",IF(V144="",IF(OR(I144="EI",I144="EO",I144="EQ"),0,""),LEN(V144)-LEN(SUBSTITUTE(V144,"、",""))+1))</f>
        <v/>
      </c>
      <c r="M144" s="83">
        <f>IF(OR(X144="估算法",X144="算法类",X144="无法识别"),"",IF(W144="",IF(OR(I144="ILF",I144="EIF"),0,""),LEN(W144)-LEN(SUBSTITUTE(W144,"、",""))+1))</f>
        <v/>
      </c>
      <c r="N144" s="83">
        <f>IF(OR(X144="估算法",X144="算法类",X144="无法识别"),"",IF(X144="",IF(OR(I144="ILF",I144="EIF",I144="EI",I144="EO",I144="EQ"),0,""),LEN(X144)-LEN(SUBSTITUTE(SUBSTITUTE(SUBSTITUTE(SUBSTITUTE(SUBSTITUTE(X144,"|}","--"),"{|","--"),CHAR(10),""),"、",""),"|",""))+IF(AND(OR(I144="EI",I144="EO",I144="EQ"),$AD$1="NESMA"),2,1)))</f>
        <v/>
      </c>
      <c r="O144" s="84">
        <f>IF(I144="EI",IF(OR(X144="估算法",X144="算法类"),"中",IF(X144="无法识别","低",IF(L144&lt;2,IF(N144&lt;16,"低","中"),IF(L144&lt;3,IF(N144&lt;5,"低",IF(N144&lt;16,"中","高")),IF(N144&lt;5,"中","高"))))),IF(OR(I144="EO",I144="EQ"),IF(OR(X144="估算法",X144="算法类"),"中",IF(X144="无法识别","低",IF(L144&lt;2,IF(N144&lt;20,"低","中"),IF(L144&lt;4,IF(N144&lt;6,"低",IF(N144&lt;20,"中","高")),IF(N144&lt;6,"中","高"))))),IF(OR(I144="ILF",I144="EIF"),IF(OR(X144="估算法",X144="算法类",X144="无法识别"),"低",IF(M144&lt;2,IF(N144&lt;51,"低","中"),IF(M144&lt;6,IF(N144&lt;20,"低",IF(N144&lt;51,"中","高")),IF(N144&lt;20,"中","高")))),"不计算")))</f>
        <v/>
      </c>
      <c r="P144" s="142">
        <f>IFERROR(IF(I144="EI",IF(O144="低",3,IF(O144="中",4,6)),IF(I144="EO",IF(O144="低",4,IF(O144="中",5,7)),IF(I144="EQ",IF(O144="低",3,IF(O144="中",4,6)),IF(I144="ILF",IF(O144="低",7,IF(O144="中",10,15)),IF(I144="EIF",IF(O144="低",5,IF(O144="中",7,10)),"不计算")))))*Q144,"不计算")</f>
        <v/>
      </c>
      <c r="Q144" s="142" t="n">
        <v>1</v>
      </c>
      <c r="R144" s="143">
        <f>调整因子!$F$13</f>
        <v/>
      </c>
      <c r="S144" s="70" t="n">
        <v>1</v>
      </c>
      <c r="T144" s="144">
        <f>IFERROR(P144*R144,0)</f>
        <v/>
      </c>
      <c r="U144" s="144">
        <f>T144*S144</f>
        <v/>
      </c>
      <c r="V144" s="89" t="n"/>
      <c r="W144" s="88" t="inlineStr">
        <is>
          <t>资产组件表</t>
        </is>
      </c>
      <c r="X144" s="88" t="inlineStr">
        <is>
          <t>资产组件表{组件ID、资产ID、组件名称、版本、安装路径}</t>
        </is>
      </c>
      <c r="Y144" s="88">
        <f>IF(COUNTIFS(V:V,"*"&amp;H144&amp;"*")&gt;0,"存在","不存在")</f>
        <v/>
      </c>
      <c r="Z144" s="88">
        <f>IF(COUNTIFS(AA:AA,"*"&amp;H144&amp;"*")&gt;0,"存在","不存在")</f>
        <v/>
      </c>
      <c r="AA144" s="88" t="inlineStr">
        <is>
          <t>渗透测试发现的系统漏洞表</t>
        </is>
      </c>
    </row>
    <row r="145" ht="10.8" customFormat="1" customHeight="1" s="63">
      <c r="A145" s="69">
        <f>ROW()-1</f>
        <v/>
      </c>
      <c r="B145" s="53" t="n"/>
      <c r="C145" s="78" t="n">
        <v>2025</v>
      </c>
      <c r="D145" s="78" t="inlineStr">
        <is>
          <t>张明峰</t>
        </is>
      </c>
      <c r="E145" s="53" t="n"/>
      <c r="F145" s="53" t="n"/>
      <c r="G145" s="53" t="n"/>
      <c r="H145" s="81" t="inlineStr">
        <is>
          <t>任务执行实例表</t>
        </is>
      </c>
      <c r="I145" s="76" t="inlineStr">
        <is>
          <t>ILF</t>
        </is>
      </c>
      <c r="J145" s="108" t="inlineStr">
        <is>
          <t>添加引用「启动执行同源纠偏」</t>
        </is>
      </c>
      <c r="K145" s="108" t="inlineStr">
        <is>
          <t>数据库表未被本系统所使用</t>
        </is>
      </c>
      <c r="L145" s="83">
        <f>IF(OR(X145="估算法",X145="算法类",X145="无法识别"),"",IF(V145="",IF(OR(I145="EI",I145="EO",I145="EQ"),0,""),LEN(V145)-LEN(SUBSTITUTE(V145,"、",""))+1))</f>
        <v/>
      </c>
      <c r="M145" s="83">
        <f>IF(OR(X145="估算法",X145="算法类",X145="无法识别"),"",IF(W145="",IF(OR(I145="ILF",I145="EIF"),0,""),LEN(W145)-LEN(SUBSTITUTE(W145,"、",""))+1))</f>
        <v/>
      </c>
      <c r="N145" s="83">
        <f>IF(OR(X145="估算法",X145="算法类",X145="无法识别"),"",IF(X145="",IF(OR(I145="ILF",I145="EIF",I145="EI",I145="EO",I145="EQ"),0,""),LEN(X145)-LEN(SUBSTITUTE(SUBSTITUTE(SUBSTITUTE(SUBSTITUTE(SUBSTITUTE(X145,"|}","--"),"{|","--"),CHAR(10),""),"、",""),"|",""))+IF(AND(OR(I145="EI",I145="EO",I145="EQ"),$AD$1="NESMA"),2,1)))</f>
        <v/>
      </c>
      <c r="O145" s="84">
        <f>IF(I145="EI",IF(OR(X145="估算法",X145="算法类"),"中",IF(X145="无法识别","低",IF(L145&lt;2,IF(N145&lt;16,"低","中"),IF(L145&lt;3,IF(N145&lt;5,"低",IF(N145&lt;16,"中","高")),IF(N145&lt;5,"中","高"))))),IF(OR(I145="EO",I145="EQ"),IF(OR(X145="估算法",X145="算法类"),"中",IF(X145="无法识别","低",IF(L145&lt;2,IF(N145&lt;20,"低","中"),IF(L145&lt;4,IF(N145&lt;6,"低",IF(N145&lt;20,"中","高")),IF(N145&lt;6,"中","高"))))),IF(OR(I145="ILF",I145="EIF"),IF(OR(X145="估算法",X145="算法类",X145="无法识别"),"低",IF(M145&lt;2,IF(N145&lt;51,"低","中"),IF(M145&lt;6,IF(N145&lt;20,"低",IF(N145&lt;51,"中","高")),IF(N145&lt;20,"中","高")))),"不计算")))</f>
        <v/>
      </c>
      <c r="P145" s="142">
        <f>IFERROR(IF(I145="EI",IF(O145="低",3,IF(O145="中",4,6)),IF(I145="EO",IF(O145="低",4,IF(O145="中",5,7)),IF(I145="EQ",IF(O145="低",3,IF(O145="中",4,6)),IF(I145="ILF",IF(O145="低",7,IF(O145="中",10,15)),IF(I145="EIF",IF(O145="低",5,IF(O145="中",7,10)),"不计算")))))*Q145,"不计算")</f>
        <v/>
      </c>
      <c r="Q145" s="142" t="n">
        <v>1</v>
      </c>
      <c r="R145" s="143">
        <f>调整因子!$F$13</f>
        <v/>
      </c>
      <c r="S145" s="70" t="n">
        <v>1</v>
      </c>
      <c r="T145" s="144">
        <f>IFERROR(P145*R145,0)</f>
        <v/>
      </c>
      <c r="U145" s="144">
        <f>T145*S145</f>
        <v/>
      </c>
      <c r="V145" s="89" t="n"/>
      <c r="W145" s="88" t="inlineStr">
        <is>
          <t>任务执行实例表</t>
        </is>
      </c>
      <c r="X145" s="88" t="inlineStr">
        <is>
          <t>任务执行实例表{实例ID、任务ID、资产ID、状态、开始时间、结束时间}</t>
        </is>
      </c>
      <c r="Y145" s="88">
        <f>IF(COUNTIFS(V:V,"*"&amp;H145&amp;"*")&gt;0,"存在","不存在")</f>
        <v/>
      </c>
      <c r="Z145" s="88">
        <f>IF(COUNTIFS(AA:AA,"*"&amp;H145&amp;"*")&gt;0,"存在","不存在")</f>
        <v/>
      </c>
      <c r="AA145" s="88" t="inlineStr">
        <is>
          <t>渗透测试信息表</t>
        </is>
      </c>
    </row>
    <row r="146" ht="10.8" customFormat="1" customHeight="1" s="63">
      <c r="A146" s="69">
        <f>ROW()-1</f>
        <v/>
      </c>
      <c r="B146" s="53" t="n"/>
      <c r="C146" s="78" t="n">
        <v>2025</v>
      </c>
      <c r="D146" s="78" t="inlineStr">
        <is>
          <t>张明峰</t>
        </is>
      </c>
      <c r="E146" s="53" t="n"/>
      <c r="F146" s="53" t="n"/>
      <c r="G146" s="54" t="n"/>
      <c r="H146" s="81" t="inlineStr">
        <is>
          <t>纠偏结果表</t>
        </is>
      </c>
      <c r="I146" s="76" t="inlineStr">
        <is>
          <t>ILF</t>
        </is>
      </c>
      <c r="J146" s="108" t="n"/>
      <c r="K146" s="108" t="n"/>
      <c r="L146" s="83">
        <f>IF(OR(X146="估算法",X146="算法类",X146="无法识别"),"",IF(V146="",IF(OR(I146="EI",I146="EO",I146="EQ"),0,""),LEN(V146)-LEN(SUBSTITUTE(V146,"、",""))+1))</f>
        <v/>
      </c>
      <c r="M146" s="83">
        <f>IF(OR(X146="估算法",X146="算法类",X146="无法识别"),"",IF(W146="",IF(OR(I146="ILF",I146="EIF"),0,""),LEN(W146)-LEN(SUBSTITUTE(W146,"、",""))+1))</f>
        <v/>
      </c>
      <c r="N146" s="83">
        <f>IF(OR(X146="估算法",X146="算法类",X146="无法识别"),"",IF(X146="",IF(OR(I146="ILF",I146="EIF",I146="EI",I146="EO",I146="EQ"),0,""),LEN(X146)-LEN(SUBSTITUTE(SUBSTITUTE(SUBSTITUTE(SUBSTITUTE(SUBSTITUTE(X146,"|}","--"),"{|","--"),CHAR(10),""),"、",""),"|",""))+IF(AND(OR(I146="EI",I146="EO",I146="EQ"),$AD$1="NESMA"),2,1)))</f>
        <v/>
      </c>
      <c r="O146" s="84">
        <f>IF(I146="EI",IF(OR(X146="估算法",X146="算法类"),"中",IF(X146="无法识别","低",IF(L146&lt;2,IF(N146&lt;16,"低","中"),IF(L146&lt;3,IF(N146&lt;5,"低",IF(N146&lt;16,"中","高")),IF(N146&lt;5,"中","高"))))),IF(OR(I146="EO",I146="EQ"),IF(OR(X146="估算法",X146="算法类"),"中",IF(X146="无法识别","低",IF(L146&lt;2,IF(N146&lt;20,"低","中"),IF(L146&lt;4,IF(N146&lt;6,"低",IF(N146&lt;20,"中","高")),IF(N146&lt;6,"中","高"))))),IF(OR(I146="ILF",I146="EIF"),IF(OR(X146="估算法",X146="算法类",X146="无法识别"),"低",IF(M146&lt;2,IF(N146&lt;51,"低","中"),IF(M146&lt;6,IF(N146&lt;20,"低",IF(N146&lt;51,"中","高")),IF(N146&lt;20,"中","高")))),"不计算")))</f>
        <v/>
      </c>
      <c r="P146" s="142">
        <f>IFERROR(IF(I146="EI",IF(O146="低",3,IF(O146="中",4,6)),IF(I146="EO",IF(O146="低",4,IF(O146="中",5,7)),IF(I146="EQ",IF(O146="低",3,IF(O146="中",4,6)),IF(I146="ILF",IF(O146="低",7,IF(O146="中",10,15)),IF(I146="EIF",IF(O146="低",5,IF(O146="中",7,10)),"不计算")))))*Q146,"不计算")</f>
        <v/>
      </c>
      <c r="Q146" s="142" t="n">
        <v>1</v>
      </c>
      <c r="R146" s="143">
        <f>调整因子!$F$13</f>
        <v/>
      </c>
      <c r="S146" s="76" t="n">
        <v>1</v>
      </c>
      <c r="T146" s="144">
        <f>IFERROR(P146*R146,0)</f>
        <v/>
      </c>
      <c r="U146" s="144">
        <f>T146*S146</f>
        <v/>
      </c>
      <c r="V146" s="89" t="n"/>
      <c r="W146" s="88" t="inlineStr">
        <is>
          <t>纠偏结果表</t>
        </is>
      </c>
      <c r="X146" s="88" t="inlineStr">
        <is>
          <t>纠偏结果表{结果ID、任务ID、资产ID、组件名称、组件版本、组件厂商、状态}</t>
        </is>
      </c>
      <c r="Y146" s="88">
        <f>IF(COUNTIFS(V:V,"*"&amp;H146&amp;"*")&gt;0,"存在","不存在")</f>
        <v/>
      </c>
      <c r="Z146" s="88">
        <f>IF(COUNTIFS(AA:AA,"*"&amp;H146&amp;"*")&gt;0,"存在","不存在")</f>
        <v/>
      </c>
      <c r="AA146" s="88" t="inlineStr">
        <is>
          <t>渗透测试信息表</t>
        </is>
      </c>
    </row>
    <row r="147" ht="21.6" customFormat="1" customHeight="1" s="63">
      <c r="A147" s="69">
        <f>ROW()-1</f>
        <v/>
      </c>
      <c r="B147" s="53" t="n"/>
      <c r="C147" s="78" t="n">
        <v>2025</v>
      </c>
      <c r="D147" s="78" t="inlineStr">
        <is>
          <t>张明峰</t>
        </is>
      </c>
      <c r="E147" s="53" t="n"/>
      <c r="F147" s="53" t="n"/>
      <c r="G147" s="76" t="inlineStr">
        <is>
          <t>漏洞指纹信息管理</t>
        </is>
      </c>
      <c r="H147" s="81" t="inlineStr">
        <is>
          <t>启动或停止同步指纹信息自动化收集</t>
        </is>
      </c>
      <c r="I147" s="76" t="inlineStr">
        <is>
          <t>EI</t>
        </is>
      </c>
      <c r="J147" s="108" t="n"/>
      <c r="K147" s="108" t="n"/>
      <c r="L147" s="83">
        <f>IF(OR(X147="估算法",X147="算法类",X147="无法识别"),"",IF(V147="",IF(OR(I147="EI",I147="EO",I147="EQ"),0,""),LEN(V147)-LEN(SUBSTITUTE(V147,"、",""))+1))</f>
        <v/>
      </c>
      <c r="M147" s="83">
        <f>IF(OR(X147="估算法",X147="算法类",X147="无法识别"),"",IF(W147="",IF(OR(I147="ILF",I147="EIF"),0,""),LEN(W147)-LEN(SUBSTITUTE(W147,"、",""))+1))</f>
        <v/>
      </c>
      <c r="N147" s="83">
        <f>IF(OR(X147="估算法",X147="算法类",X147="无法识别"),"",IF(X147="",IF(OR(I147="ILF",I147="EIF",I147="EI",I147="EO",I147="EQ"),0,""),LEN(X147)-LEN(SUBSTITUTE(SUBSTITUTE(SUBSTITUTE(SUBSTITUTE(SUBSTITUTE(X147,"|}","--"),"{|","--"),CHAR(10),""),"、",""),"|",""))+IF(AND(OR(I147="EI",I147="EO",I147="EQ"),$AD$1="NESMA"),2,1)))</f>
        <v/>
      </c>
      <c r="O147" s="84">
        <f>IF(I147="EI",IF(OR(X147="估算法",X147="算法类"),"中",IF(X147="无法识别","低",IF(L147&lt;2,IF(N147&lt;16,"低","中"),IF(L147&lt;3,IF(N147&lt;5,"低",IF(N147&lt;16,"中","高")),IF(N147&lt;5,"中","高"))))),IF(OR(I147="EO",I147="EQ"),IF(OR(X147="估算法",X147="算法类"),"中",IF(X147="无法识别","低",IF(L147&lt;2,IF(N147&lt;20,"低","中"),IF(L147&lt;4,IF(N147&lt;6,"低",IF(N147&lt;20,"中","高")),IF(N147&lt;6,"中","高"))))),IF(OR(I147="ILF",I147="EIF"),IF(OR(X147="估算法",X147="算法类",X147="无法识别"),"低",IF(M147&lt;2,IF(N147&lt;51,"低","中"),IF(M147&lt;6,IF(N147&lt;20,"低",IF(N147&lt;51,"中","高")),IF(N147&lt;20,"中","高")))),"不计算")))</f>
        <v/>
      </c>
      <c r="P147" s="142">
        <f>IFERROR(IF(I147="EI",IF(O147="低",3,IF(O147="中",4,6)),IF(I147="EO",IF(O147="低",4,IF(O147="中",5,7)),IF(I147="EQ",IF(O147="低",3,IF(O147="中",4,6)),IF(I147="ILF",IF(O147="低",7,IF(O147="中",10,15)),IF(I147="EIF",IF(O147="低",5,IF(O147="中",7,10)),"不计算")))))*Q147,"不计算")</f>
        <v/>
      </c>
      <c r="Q147" s="142" t="n">
        <v>1</v>
      </c>
      <c r="R147" s="143">
        <f>调整因子!$F$13</f>
        <v/>
      </c>
      <c r="S147" s="70" t="n">
        <v>1</v>
      </c>
      <c r="T147" s="144">
        <f>IFERROR(P147*R147,0)</f>
        <v/>
      </c>
      <c r="U147" s="144">
        <f>T147*S147</f>
        <v/>
      </c>
      <c r="V147" s="88" t="inlineStr">
        <is>
          <t>漏洞指纹同步接口文件、漏洞指纹启动或停止记录表</t>
        </is>
      </c>
      <c r="W147" s="89" t="n"/>
      <c r="X147" s="88" t="inlineStr">
        <is>
          <t>漏洞指纹同步接口文件{文件ID、任务ID、文件路径、上传时间}、漏洞指纹启动或停止记录表{记录ID、操作类型、操作时间、操作人}</t>
        </is>
      </c>
      <c r="Y147" s="88" t="n"/>
      <c r="Z147" s="88" t="n"/>
      <c r="AA147" s="88" t="inlineStr">
        <is>
          <t>台账上报内容表</t>
        </is>
      </c>
    </row>
    <row r="148" ht="21.6" customFormat="1" customHeight="1" s="63">
      <c r="A148" s="69">
        <f>ROW()-1</f>
        <v/>
      </c>
      <c r="B148" s="53" t="n"/>
      <c r="C148" s="78" t="n">
        <v>2025</v>
      </c>
      <c r="D148" s="78" t="inlineStr">
        <is>
          <t>张明峰</t>
        </is>
      </c>
      <c r="E148" s="53" t="n"/>
      <c r="F148" s="53" t="n"/>
      <c r="G148" s="53" t="n"/>
      <c r="H148" s="81" t="inlineStr">
        <is>
          <t>修改漏洞指纹信息收集配置信息</t>
        </is>
      </c>
      <c r="I148" s="70" t="inlineStr">
        <is>
          <t>EI</t>
        </is>
      </c>
      <c r="J148" s="108" t="n"/>
      <c r="K148" s="108" t="n"/>
      <c r="L148" s="83">
        <f>IF(OR(X148="估算法",X148="算法类",X148="无法识别"),"",IF(V148="",IF(OR(I148="EI",I148="EO",I148="EQ"),0,""),LEN(V148)-LEN(SUBSTITUTE(V148,"、",""))+1))</f>
        <v/>
      </c>
      <c r="M148" s="83">
        <f>IF(OR(X148="估算法",X148="算法类",X148="无法识别"),"",IF(W148="",IF(OR(I148="ILF",I148="EIF"),0,""),LEN(W148)-LEN(SUBSTITUTE(W148,"、",""))+1))</f>
        <v/>
      </c>
      <c r="N148" s="83">
        <f>IF(OR(X148="估算法",X148="算法类",X148="无法识别"),"",IF(X148="",IF(OR(I148="ILF",I148="EIF",I148="EI",I148="EO",I148="EQ"),0,""),LEN(X148)-LEN(SUBSTITUTE(SUBSTITUTE(SUBSTITUTE(SUBSTITUTE(SUBSTITUTE(X148,"|}","--"),"{|","--"),CHAR(10),""),"、",""),"|",""))+IF(AND(OR(I148="EI",I148="EO",I148="EQ"),$AD$1="NESMA"),2,1)))</f>
        <v/>
      </c>
      <c r="O148" s="84">
        <f>IF(I148="EI",IF(OR(X148="估算法",X148="算法类"),"中",IF(X148="无法识别","低",IF(L148&lt;2,IF(N148&lt;16,"低","中"),IF(L148&lt;3,IF(N148&lt;5,"低",IF(N148&lt;16,"中","高")),IF(N148&lt;5,"中","高"))))),IF(OR(I148="EO",I148="EQ"),IF(OR(X148="估算法",X148="算法类"),"中",IF(X148="无法识别","低",IF(L148&lt;2,IF(N148&lt;20,"低","中"),IF(L148&lt;4,IF(N148&lt;6,"低",IF(N148&lt;20,"中","高")),IF(N148&lt;6,"中","高"))))),IF(OR(I148="ILF",I148="EIF"),IF(OR(X148="估算法",X148="算法类",X148="无法识别"),"低",IF(M148&lt;2,IF(N148&lt;51,"低","中"),IF(M148&lt;6,IF(N148&lt;20,"低",IF(N148&lt;51,"中","高")),IF(N148&lt;20,"中","高")))),"不计算")))</f>
        <v/>
      </c>
      <c r="P148" s="142">
        <f>IFERROR(IF(I148="EI",IF(O148="低",3,IF(O148="中",4,6)),IF(I148="EO",IF(O148="低",4,IF(O148="中",5,7)),IF(I148="EQ",IF(O148="低",3,IF(O148="中",4,6)),IF(I148="ILF",IF(O148="低",7,IF(O148="中",10,15)),IF(I148="EIF",IF(O148="低",5,IF(O148="中",7,10)),"不计算")))))*Q148,"不计算")</f>
        <v/>
      </c>
      <c r="Q148" s="142" t="n">
        <v>0.333333333333333</v>
      </c>
      <c r="R148" s="143">
        <f>调整因子!$F$13</f>
        <v/>
      </c>
      <c r="S148" s="70" t="n">
        <v>1</v>
      </c>
      <c r="T148" s="144">
        <f>IFERROR(P148*R148,0)</f>
        <v/>
      </c>
      <c r="U148" s="144">
        <f>T148*S148</f>
        <v/>
      </c>
      <c r="V148" s="88" t="inlineStr">
        <is>
          <t>漏洞指纹同步配置表、漏洞指纹同步类型表</t>
        </is>
      </c>
      <c r="W148" s="89" t="n"/>
      <c r="X148" s="88" t="inlineStr">
        <is>
          <t>漏洞指纹同步配置表{配置ID、配置名称、配置参数、创建时间}、漏洞指纹同步类型表{类型ID、类型名称、描述}</t>
        </is>
      </c>
      <c r="Y148" s="88" t="n"/>
      <c r="Z148" s="88" t="n"/>
      <c r="AA148" s="88" t="inlineStr">
        <is>
          <t>台账上报内容表</t>
        </is>
      </c>
    </row>
    <row r="149" ht="10.8" customFormat="1" customHeight="1" s="63">
      <c r="A149" s="69">
        <f>ROW()-1</f>
        <v/>
      </c>
      <c r="B149" s="53" t="n"/>
      <c r="C149" s="78" t="n">
        <v>2025</v>
      </c>
      <c r="D149" s="78" t="inlineStr">
        <is>
          <t>张明峰</t>
        </is>
      </c>
      <c r="E149" s="53" t="n"/>
      <c r="F149" s="53" t="n"/>
      <c r="G149" s="53" t="n"/>
      <c r="H149" s="81" t="inlineStr">
        <is>
          <t>查询漏洞指纹信息收集记录</t>
        </is>
      </c>
      <c r="I149" s="76" t="inlineStr">
        <is>
          <t>EO</t>
        </is>
      </c>
      <c r="J149" s="108" t="n"/>
      <c r="K149" s="108" t="n"/>
      <c r="L149" s="83">
        <f>IF(OR(X149="估算法",X149="算法类",X149="无法识别"),"",IF(V149="",IF(OR(I149="EI",I149="EO",I149="EQ"),0,""),LEN(V149)-LEN(SUBSTITUTE(V149,"、",""))+1))</f>
        <v/>
      </c>
      <c r="M149" s="83">
        <f>IF(OR(X149="估算法",X149="算法类",X149="无法识别"),"",IF(W149="",IF(OR(I149="ILF",I149="EIF"),0,""),LEN(W149)-LEN(SUBSTITUTE(W149,"、",""))+1))</f>
        <v/>
      </c>
      <c r="N149" s="83">
        <f>IF(OR(X149="估算法",X149="算法类",X149="无法识别"),"",IF(X149="",IF(OR(I149="ILF",I149="EIF",I149="EI",I149="EO",I149="EQ"),0,""),LEN(X149)-LEN(SUBSTITUTE(SUBSTITUTE(SUBSTITUTE(SUBSTITUTE(SUBSTITUTE(X149,"|}","--"),"{|","--"),CHAR(10),""),"、",""),"|",""))+IF(AND(OR(I149="EI",I149="EO",I149="EQ"),$AD$1="NESMA"),2,1)))</f>
        <v/>
      </c>
      <c r="O149" s="84">
        <f>IF(I149="EI",IF(OR(X149="估算法",X149="算法类"),"中",IF(X149="无法识别","低",IF(L149&lt;2,IF(N149&lt;16,"低","中"),IF(L149&lt;3,IF(N149&lt;5,"低",IF(N149&lt;16,"中","高")),IF(N149&lt;5,"中","高"))))),IF(OR(I149="EO",I149="EQ"),IF(OR(X149="估算法",X149="算法类"),"中",IF(X149="无法识别","低",IF(L149&lt;2,IF(N149&lt;20,"低","中"),IF(L149&lt;4,IF(N149&lt;6,"低",IF(N149&lt;20,"中","高")),IF(N149&lt;6,"中","高"))))),IF(OR(I149="ILF",I149="EIF"),IF(OR(X149="估算法",X149="算法类",X149="无法识别"),"低",IF(M149&lt;2,IF(N149&lt;51,"低","中"),IF(M149&lt;6,IF(N149&lt;20,"低",IF(N149&lt;51,"中","高")),IF(N149&lt;20,"中","高")))),"不计算")))</f>
        <v/>
      </c>
      <c r="P149" s="142">
        <f>IFERROR(IF(I149="EI",IF(O149="低",3,IF(O149="中",4,6)),IF(I149="EO",IF(O149="低",4,IF(O149="中",5,7)),IF(I149="EQ",IF(O149="低",3,IF(O149="中",4,6)),IF(I149="ILF",IF(O149="低",7,IF(O149="中",10,15)),IF(I149="EIF",IF(O149="低",5,IF(O149="中",7,10)),"不计算")))))*Q149,"不计算")</f>
        <v/>
      </c>
      <c r="Q149" s="142" t="n">
        <v>1</v>
      </c>
      <c r="R149" s="143">
        <f>调整因子!$F$13</f>
        <v/>
      </c>
      <c r="S149" s="76" t="n">
        <v>1</v>
      </c>
      <c r="T149" s="144">
        <f>IFERROR(P149*R149,0)</f>
        <v/>
      </c>
      <c r="U149" s="144">
        <f>T149*S149</f>
        <v/>
      </c>
      <c r="V149" s="88" t="inlineStr">
        <is>
          <t>漏洞指纹启动或停止记录表</t>
        </is>
      </c>
      <c r="W149" s="89" t="n"/>
      <c r="X149" s="88" t="inlineStr">
        <is>
          <t>漏洞指纹启动或停止记录表{记录ID、操作类型、操作时间、操作人}</t>
        </is>
      </c>
      <c r="Y149" s="88" t="n"/>
      <c r="Z149" s="88" t="n"/>
      <c r="AA149" s="88" t="inlineStr">
        <is>
          <t>台账上报内容表</t>
        </is>
      </c>
    </row>
    <row r="150" ht="54" customFormat="1" customHeight="1" s="63">
      <c r="A150" s="69">
        <f>ROW()-1</f>
        <v/>
      </c>
      <c r="B150" s="53" t="n"/>
      <c r="C150" s="78" t="n">
        <v>2025</v>
      </c>
      <c r="D150" s="78" t="inlineStr">
        <is>
          <t>张明峰</t>
        </is>
      </c>
      <c r="E150" s="53" t="n"/>
      <c r="F150" s="53" t="n"/>
      <c r="G150" s="53" t="n"/>
      <c r="H150" s="81" t="inlineStr">
        <is>
          <t>删除漏洞指纹信息收集记录</t>
        </is>
      </c>
      <c r="I150" s="76" t="inlineStr">
        <is>
          <t>EI</t>
        </is>
      </c>
      <c r="J150" s="108" t="n"/>
      <c r="K150" s="108" t="n"/>
      <c r="L150" s="83">
        <f>IF(OR(X150="估算法",X150="算法类",X150="无法识别"),"",IF(V150="",IF(OR(I150="EI",I150="EO",I150="EQ"),0,""),LEN(V150)-LEN(SUBSTITUTE(V150,"、",""))+1))</f>
        <v/>
      </c>
      <c r="M150" s="83">
        <f>IF(OR(X150="估算法",X150="算法类",X150="无法识别"),"",IF(W150="",IF(OR(I150="ILF",I150="EIF"),0,""),LEN(W150)-LEN(SUBSTITUTE(W150,"、",""))+1))</f>
        <v/>
      </c>
      <c r="N150" s="83">
        <f>IF(OR(X150="估算法",X150="算法类",X150="无法识别"),"",IF(X150="",IF(OR(I150="ILF",I150="EIF",I150="EI",I150="EO",I150="EQ"),0,""),LEN(X150)-LEN(SUBSTITUTE(SUBSTITUTE(SUBSTITUTE(SUBSTITUTE(SUBSTITUTE(X150,"|}","--"),"{|","--"),CHAR(10),""),"、",""),"|",""))+IF(AND(OR(I150="EI",I150="EO",I150="EQ"),$AD$1="NESMA"),2,1)))</f>
        <v/>
      </c>
      <c r="O150" s="84">
        <f>IF(I150="EI",IF(OR(X150="估算法",X150="算法类"),"中",IF(X150="无法识别","低",IF(L150&lt;2,IF(N150&lt;16,"低","中"),IF(L150&lt;3,IF(N150&lt;5,"低",IF(N150&lt;16,"中","高")),IF(N150&lt;5,"中","高"))))),IF(OR(I150="EO",I150="EQ"),IF(OR(X150="估算法",X150="算法类"),"中",IF(X150="无法识别","低",IF(L150&lt;2,IF(N150&lt;20,"低","中"),IF(L150&lt;4,IF(N150&lt;6,"低",IF(N150&lt;20,"中","高")),IF(N150&lt;6,"中","高"))))),IF(OR(I150="ILF",I150="EIF"),IF(OR(X150="估算法",X150="算法类",X150="无法识别"),"低",IF(M150&lt;2,IF(N150&lt;51,"低","中"),IF(M150&lt;6,IF(N150&lt;20,"低",IF(N150&lt;51,"中","高")),IF(N150&lt;20,"中","高")))),"不计算")))</f>
        <v/>
      </c>
      <c r="P150" s="142">
        <f>IFERROR(IF(I150="EI",IF(O150="低",3,IF(O150="中",4,6)),IF(I150="EO",IF(O150="低",4,IF(O150="中",5,7)),IF(I150="EQ",IF(O150="低",3,IF(O150="中",4,6)),IF(I150="ILF",IF(O150="低",7,IF(O150="中",10,15)),IF(I150="EIF",IF(O150="低",5,IF(O150="中",7,10)),"不计算")))))*Q150,"不计算")</f>
        <v/>
      </c>
      <c r="Q150" s="142" t="n">
        <v>0.333333333333333</v>
      </c>
      <c r="R150" s="143">
        <f>调整因子!$F$13</f>
        <v/>
      </c>
      <c r="S150" s="70" t="n">
        <v>1</v>
      </c>
      <c r="T150" s="144">
        <f>IFERROR(P150*R150,0)</f>
        <v/>
      </c>
      <c r="U150" s="144">
        <f>T150*S150</f>
        <v/>
      </c>
      <c r="V150" s="88" t="inlineStr">
        <is>
          <t>漏洞指纹启动或停止记录表</t>
        </is>
      </c>
      <c r="W150" s="89" t="n"/>
      <c r="X150" s="88" t="inlineStr">
        <is>
          <t>漏洞指纹启动或停止记录表{记录ID、操作类型、操作时间、操作人}</t>
        </is>
      </c>
      <c r="Y150" s="88" t="n"/>
      <c r="Z150" s="88" t="n"/>
      <c r="AA150" s="88" t="inlineStr">
        <is>
          <t>漏洞扫描设备规划、扫描节点表、扫描器表、扫描器版本表、扫描器分类表、安全厂商信息、资产管理表、漏洞扫描设备规划历史表</t>
        </is>
      </c>
    </row>
    <row r="151" ht="54" customFormat="1" customHeight="1" s="63">
      <c r="A151" s="69">
        <f>ROW()-1</f>
        <v/>
      </c>
      <c r="B151" s="53" t="n"/>
      <c r="C151" s="78" t="n">
        <v>2025</v>
      </c>
      <c r="D151" s="78" t="inlineStr">
        <is>
          <t>张明峰</t>
        </is>
      </c>
      <c r="E151" s="53" t="n"/>
      <c r="F151" s="53" t="n"/>
      <c r="G151" s="53" t="n"/>
      <c r="H151" s="81" t="inlineStr">
        <is>
          <t>漏洞指纹同步接口文件</t>
        </is>
      </c>
      <c r="I151" s="76" t="inlineStr">
        <is>
          <t>EIF</t>
        </is>
      </c>
      <c r="J151" s="108" t="n"/>
      <c r="K151" s="108" t="n"/>
      <c r="L151" s="83">
        <f>IF(OR(X151="估算法",X151="算法类",X151="无法识别"),"",IF(V151="",IF(OR(I151="EI",I151="EO",I151="EQ"),0,""),LEN(V151)-LEN(SUBSTITUTE(V151,"、",""))+1))</f>
        <v/>
      </c>
      <c r="M151" s="83">
        <f>IF(OR(X151="估算法",X151="算法类",X151="无法识别"),"",IF(W151="",IF(OR(I151="ILF",I151="EIF"),0,""),LEN(W151)-LEN(SUBSTITUTE(W151,"、",""))+1))</f>
        <v/>
      </c>
      <c r="N151" s="83">
        <f>IF(OR(X151="估算法",X151="算法类",X151="无法识别"),"",IF(X151="",IF(OR(I151="ILF",I151="EIF",I151="EI",I151="EO",I151="EQ"),0,""),LEN(X151)-LEN(SUBSTITUTE(SUBSTITUTE(SUBSTITUTE(SUBSTITUTE(SUBSTITUTE(X151,"|}","--"),"{|","--"),CHAR(10),""),"、",""),"|",""))+IF(AND(OR(I151="EI",I151="EO",I151="EQ"),$AD$1="NESMA"),2,1)))</f>
        <v/>
      </c>
      <c r="O151" s="84">
        <f>IF(I151="EI",IF(OR(X151="估算法",X151="算法类"),"中",IF(X151="无法识别","低",IF(L151&lt;2,IF(N151&lt;16,"低","中"),IF(L151&lt;3,IF(N151&lt;5,"低",IF(N151&lt;16,"中","高")),IF(N151&lt;5,"中","高"))))),IF(OR(I151="EO",I151="EQ"),IF(OR(X151="估算法",X151="算法类"),"中",IF(X151="无法识别","低",IF(L151&lt;2,IF(N151&lt;20,"低","中"),IF(L151&lt;4,IF(N151&lt;6,"低",IF(N151&lt;20,"中","高")),IF(N151&lt;6,"中","高"))))),IF(OR(I151="ILF",I151="EIF"),IF(OR(X151="估算法",X151="算法类",X151="无法识别"),"低",IF(M151&lt;2,IF(N151&lt;51,"低","中"),IF(M151&lt;6,IF(N151&lt;20,"低",IF(N151&lt;51,"中","高")),IF(N151&lt;20,"中","高")))),"不计算")))</f>
        <v/>
      </c>
      <c r="P151" s="142">
        <f>IFERROR(IF(I151="EI",IF(O151="低",3,IF(O151="中",4,6)),IF(I151="EO",IF(O151="低",4,IF(O151="中",5,7)),IF(I151="EQ",IF(O151="低",3,IF(O151="中",4,6)),IF(I151="ILF",IF(O151="低",7,IF(O151="中",10,15)),IF(I151="EIF",IF(O151="低",5,IF(O151="中",7,10)),"不计算")))))*Q151,"不计算")</f>
        <v/>
      </c>
      <c r="Q151" s="142" t="n">
        <v>1</v>
      </c>
      <c r="R151" s="143">
        <f>调整因子!$F$13</f>
        <v/>
      </c>
      <c r="S151" s="70" t="n">
        <v>1</v>
      </c>
      <c r="T151" s="144">
        <f>IFERROR(P151*R151,0)</f>
        <v/>
      </c>
      <c r="U151" s="144">
        <f>T151*S151</f>
        <v/>
      </c>
      <c r="V151" s="89" t="n"/>
      <c r="W151" s="76" t="inlineStr">
        <is>
          <t>漏洞指纹同步接口文件</t>
        </is>
      </c>
      <c r="X151" s="88" t="inlineStr">
        <is>
          <t>漏洞指纹同步接口文件{文件ID、任务ID、文件路径、上传时间}</t>
        </is>
      </c>
      <c r="Y151" s="88">
        <f>IF(COUNTIFS(V:V,"*"&amp;H151&amp;"*")&gt;0,"存在","不存在")</f>
        <v/>
      </c>
      <c r="Z151" s="88">
        <f>IF(COUNTIFS(AA:AA,"*"&amp;H151&amp;"*")&gt;0,"存在","不存在")</f>
        <v/>
      </c>
      <c r="AA151" s="88" t="inlineStr">
        <is>
          <t>漏洞扫描设备规划、扫描节点表、扫描器表、扫描器版本表、扫描器分类表、安全厂商信息、资产管理表、漏洞扫描设备规划历史表</t>
        </is>
      </c>
    </row>
    <row r="152" ht="21.6" customFormat="1" customHeight="1" s="63">
      <c r="A152" s="69">
        <f>ROW()-1</f>
        <v/>
      </c>
      <c r="B152" s="53" t="n"/>
      <c r="C152" s="78" t="n">
        <v>2025</v>
      </c>
      <c r="D152" s="78" t="inlineStr">
        <is>
          <t>张明峰</t>
        </is>
      </c>
      <c r="E152" s="53" t="n"/>
      <c r="F152" s="53" t="n"/>
      <c r="G152" s="53" t="n"/>
      <c r="H152" s="81" t="inlineStr">
        <is>
          <t>漏洞指纹启动或停止记录表</t>
        </is>
      </c>
      <c r="I152" s="76" t="inlineStr">
        <is>
          <t>ILF</t>
        </is>
      </c>
      <c r="J152" s="108" t="n"/>
      <c r="K152" s="108" t="n"/>
      <c r="L152" s="83">
        <f>IF(OR(X152="估算法",X152="算法类",X152="无法识别"),"",IF(V152="",IF(OR(I152="EI",I152="EO",I152="EQ"),0,""),LEN(V152)-LEN(SUBSTITUTE(V152,"、",""))+1))</f>
        <v/>
      </c>
      <c r="M152" s="83">
        <f>IF(OR(X152="估算法",X152="算法类",X152="无法识别"),"",IF(W152="",IF(OR(I152="ILF",I152="EIF"),0,""),LEN(W152)-LEN(SUBSTITUTE(W152,"、",""))+1))</f>
        <v/>
      </c>
      <c r="N152" s="83">
        <f>IF(OR(X152="估算法",X152="算法类",X152="无法识别"),"",IF(X152="",IF(OR(I152="ILF",I152="EIF",I152="EI",I152="EO",I152="EQ"),0,""),LEN(X152)-LEN(SUBSTITUTE(SUBSTITUTE(SUBSTITUTE(SUBSTITUTE(SUBSTITUTE(X152,"|}","--"),"{|","--"),CHAR(10),""),"、",""),"|",""))+IF(AND(OR(I152="EI",I152="EO",I152="EQ"),$AD$1="NESMA"),2,1)))</f>
        <v/>
      </c>
      <c r="O152" s="84">
        <f>IF(I152="EI",IF(OR(X152="估算法",X152="算法类"),"中",IF(X152="无法识别","低",IF(L152&lt;2,IF(N152&lt;16,"低","中"),IF(L152&lt;3,IF(N152&lt;5,"低",IF(N152&lt;16,"中","高")),IF(N152&lt;5,"中","高"))))),IF(OR(I152="EO",I152="EQ"),IF(OR(X152="估算法",X152="算法类"),"中",IF(X152="无法识别","低",IF(L152&lt;2,IF(N152&lt;20,"低","中"),IF(L152&lt;4,IF(N152&lt;6,"低",IF(N152&lt;20,"中","高")),IF(N152&lt;6,"中","高"))))),IF(OR(I152="ILF",I152="EIF"),IF(OR(X152="估算法",X152="算法类",X152="无法识别"),"低",IF(M152&lt;2,IF(N152&lt;51,"低","中"),IF(M152&lt;6,IF(N152&lt;20,"低",IF(N152&lt;51,"中","高")),IF(N152&lt;20,"中","高")))),"不计算")))</f>
        <v/>
      </c>
      <c r="P152" s="142">
        <f>IFERROR(IF(I152="EI",IF(O152="低",3,IF(O152="中",4,6)),IF(I152="EO",IF(O152="低",4,IF(O152="中",5,7)),IF(I152="EQ",IF(O152="低",3,IF(O152="中",4,6)),IF(I152="ILF",IF(O152="低",7,IF(O152="中",10,15)),IF(I152="EIF",IF(O152="低",5,IF(O152="中",7,10)),"不计算")))))*Q152,"不计算")</f>
        <v/>
      </c>
      <c r="Q152" s="142" t="n">
        <v>1</v>
      </c>
      <c r="R152" s="143">
        <f>调整因子!$F$13</f>
        <v/>
      </c>
      <c r="S152" s="76" t="n">
        <v>1</v>
      </c>
      <c r="T152" s="144">
        <f>IFERROR(P152*R152,0)</f>
        <v/>
      </c>
      <c r="U152" s="144">
        <f>T152*S152</f>
        <v/>
      </c>
      <c r="V152" s="89" t="n"/>
      <c r="W152" s="88" t="inlineStr">
        <is>
          <t>漏洞指纹启动或停止记录表</t>
        </is>
      </c>
      <c r="X152" s="88" t="inlineStr">
        <is>
          <t>漏洞指纹启动或停止记录表{记录ID、操作类型、操作时间、操作人}</t>
        </is>
      </c>
      <c r="Y152" s="88">
        <f>IF(COUNTIFS(V:V,"*"&amp;H152&amp;"*")&gt;0,"存在","不存在")</f>
        <v/>
      </c>
      <c r="Z152" s="88">
        <f>IF(COUNTIFS(AA:AA,"*"&amp;H152&amp;"*")&gt;0,"存在","不存在")</f>
        <v/>
      </c>
      <c r="AA152" s="88" t="inlineStr">
        <is>
          <t>漏洞扫描设备规划、漏洞扫描设备规划历史表</t>
        </is>
      </c>
    </row>
    <row r="153" ht="21.6" customFormat="1" customHeight="1" s="63">
      <c r="A153" s="69">
        <f>ROW()-1</f>
        <v/>
      </c>
      <c r="B153" s="53" t="n"/>
      <c r="C153" s="78" t="n">
        <v>2025</v>
      </c>
      <c r="D153" s="78" t="inlineStr">
        <is>
          <t>张明峰</t>
        </is>
      </c>
      <c r="E153" s="53" t="n"/>
      <c r="F153" s="53" t="n"/>
      <c r="G153" s="53" t="n"/>
      <c r="H153" s="81" t="inlineStr">
        <is>
          <t>漏洞指纹同步配置表</t>
        </is>
      </c>
      <c r="I153" s="76" t="inlineStr">
        <is>
          <t>ILF</t>
        </is>
      </c>
      <c r="J153" s="108" t="n"/>
      <c r="K153" s="108" t="n"/>
      <c r="L153" s="83">
        <f>IF(OR(X153="估算法",X153="算法类",X153="无法识别"),"",IF(V153="",IF(OR(I153="EI",I153="EO",I153="EQ"),0,""),LEN(V153)-LEN(SUBSTITUTE(V153,"、",""))+1))</f>
        <v/>
      </c>
      <c r="M153" s="83">
        <f>IF(OR(X153="估算法",X153="算法类",X153="无法识别"),"",IF(W153="",IF(OR(I153="ILF",I153="EIF"),0,""),LEN(W153)-LEN(SUBSTITUTE(W153,"、",""))+1))</f>
        <v/>
      </c>
      <c r="N153" s="83">
        <f>IF(OR(X153="估算法",X153="算法类",X153="无法识别"),"",IF(X153="",IF(OR(I153="ILF",I153="EIF",I153="EI",I153="EO",I153="EQ"),0,""),LEN(X153)-LEN(SUBSTITUTE(SUBSTITUTE(SUBSTITUTE(SUBSTITUTE(SUBSTITUTE(X153,"|}","--"),"{|","--"),CHAR(10),""),"、",""),"|",""))+IF(AND(OR(I153="EI",I153="EO",I153="EQ"),$AD$1="NESMA"),2,1)))</f>
        <v/>
      </c>
      <c r="O153" s="84">
        <f>IF(I153="EI",IF(OR(X153="估算法",X153="算法类"),"中",IF(X153="无法识别","低",IF(L153&lt;2,IF(N153&lt;16,"低","中"),IF(L153&lt;3,IF(N153&lt;5,"低",IF(N153&lt;16,"中","高")),IF(N153&lt;5,"中","高"))))),IF(OR(I153="EO",I153="EQ"),IF(OR(X153="估算法",X153="算法类"),"中",IF(X153="无法识别","低",IF(L153&lt;2,IF(N153&lt;20,"低","中"),IF(L153&lt;4,IF(N153&lt;6,"低",IF(N153&lt;20,"中","高")),IF(N153&lt;6,"中","高"))))),IF(OR(I153="ILF",I153="EIF"),IF(OR(X153="估算法",X153="算法类",X153="无法识别"),"低",IF(M153&lt;2,IF(N153&lt;51,"低","中"),IF(M153&lt;6,IF(N153&lt;20,"低",IF(N153&lt;51,"中","高")),IF(N153&lt;20,"中","高")))),"不计算")))</f>
        <v/>
      </c>
      <c r="P153" s="142">
        <f>IFERROR(IF(I153="EI",IF(O153="低",3,IF(O153="中",4,6)),IF(I153="EO",IF(O153="低",4,IF(O153="中",5,7)),IF(I153="EQ",IF(O153="低",3,IF(O153="中",4,6)),IF(I153="ILF",IF(O153="低",7,IF(O153="中",10,15)),IF(I153="EIF",IF(O153="低",5,IF(O153="中",7,10)),"不计算")))))*Q153,"不计算")</f>
        <v/>
      </c>
      <c r="Q153" s="142" t="n">
        <v>1</v>
      </c>
      <c r="R153" s="143">
        <f>调整因子!$F$13</f>
        <v/>
      </c>
      <c r="S153" s="70" t="n">
        <v>1</v>
      </c>
      <c r="T153" s="144">
        <f>IFERROR(P153*R153,0)</f>
        <v/>
      </c>
      <c r="U153" s="144">
        <f>T153*S153</f>
        <v/>
      </c>
      <c r="V153" s="89" t="n"/>
      <c r="W153" s="88" t="inlineStr">
        <is>
          <t>漏洞指纹同步配置表</t>
        </is>
      </c>
      <c r="X153" s="88" t="inlineStr">
        <is>
          <t>漏洞指纹同步配置表{配置ID、配置名称、配置参数、创建时间}</t>
        </is>
      </c>
      <c r="Y153" s="88">
        <f>IF(COUNTIFS(V:V,"*"&amp;H153&amp;"*")&gt;0,"存在","不存在")</f>
        <v/>
      </c>
      <c r="Z153" s="88">
        <f>IF(COUNTIFS(AA:AA,"*"&amp;H153&amp;"*")&gt;0,"存在","不存在")</f>
        <v/>
      </c>
      <c r="AA153" s="88" t="inlineStr">
        <is>
          <t>漏洞扫描设备规划、漏洞扫描设备规划历史表</t>
        </is>
      </c>
    </row>
    <row r="154" ht="43.2" customFormat="1" customHeight="1" s="63">
      <c r="A154" s="69">
        <f>ROW()-1</f>
        <v/>
      </c>
      <c r="B154" s="53" t="n"/>
      <c r="C154" s="78" t="n">
        <v>2025</v>
      </c>
      <c r="D154" s="78" t="inlineStr">
        <is>
          <t>张明峰</t>
        </is>
      </c>
      <c r="E154" s="53" t="n"/>
      <c r="F154" s="53" t="n"/>
      <c r="G154" s="54" t="n"/>
      <c r="H154" s="81" t="inlineStr">
        <is>
          <t>漏洞指纹同步类型表</t>
        </is>
      </c>
      <c r="I154" s="76" t="inlineStr">
        <is>
          <t>ILF</t>
        </is>
      </c>
      <c r="J154" s="108" t="n"/>
      <c r="K154" s="108" t="n"/>
      <c r="L154" s="83">
        <f>IF(OR(X154="估算法",X154="算法类",X154="无法识别"),"",IF(V154="",IF(OR(I154="EI",I154="EO",I154="EQ"),0,""),LEN(V154)-LEN(SUBSTITUTE(V154,"、",""))+1))</f>
        <v/>
      </c>
      <c r="M154" s="83">
        <f>IF(OR(X154="估算法",X154="算法类",X154="无法识别"),"",IF(W154="",IF(OR(I154="ILF",I154="EIF"),0,""),LEN(W154)-LEN(SUBSTITUTE(W154,"、",""))+1))</f>
        <v/>
      </c>
      <c r="N154" s="83">
        <f>IF(OR(X154="估算法",X154="算法类",X154="无法识别"),"",IF(X154="",IF(OR(I154="ILF",I154="EIF",I154="EI",I154="EO",I154="EQ"),0,""),LEN(X154)-LEN(SUBSTITUTE(SUBSTITUTE(SUBSTITUTE(SUBSTITUTE(SUBSTITUTE(X154,"|}","--"),"{|","--"),CHAR(10),""),"、",""),"|",""))+IF(AND(OR(I154="EI",I154="EO",I154="EQ"),$AD$1="NESMA"),2,1)))</f>
        <v/>
      </c>
      <c r="O154" s="84">
        <f>IF(I154="EI",IF(OR(X154="估算法",X154="算法类"),"中",IF(X154="无法识别","低",IF(L154&lt;2,IF(N154&lt;16,"低","中"),IF(L154&lt;3,IF(N154&lt;5,"低",IF(N154&lt;16,"中","高")),IF(N154&lt;5,"中","高"))))),IF(OR(I154="EO",I154="EQ"),IF(OR(X154="估算法",X154="算法类"),"中",IF(X154="无法识别","低",IF(L154&lt;2,IF(N154&lt;20,"低","中"),IF(L154&lt;4,IF(N154&lt;6,"低",IF(N154&lt;20,"中","高")),IF(N154&lt;6,"中","高"))))),IF(OR(I154="ILF",I154="EIF"),IF(OR(X154="估算法",X154="算法类",X154="无法识别"),"低",IF(M154&lt;2,IF(N154&lt;51,"低","中"),IF(M154&lt;6,IF(N154&lt;20,"低",IF(N154&lt;51,"中","高")),IF(N154&lt;20,"中","高")))),"不计算")))</f>
        <v/>
      </c>
      <c r="P154" s="142">
        <f>IFERROR(IF(I154="EI",IF(O154="低",3,IF(O154="中",4,6)),IF(I154="EO",IF(O154="低",4,IF(O154="中",5,7)),IF(I154="EQ",IF(O154="低",3,IF(O154="中",4,6)),IF(I154="ILF",IF(O154="低",7,IF(O154="中",10,15)),IF(I154="EIF",IF(O154="低",5,IF(O154="中",7,10)),"不计算")))))*Q154,"不计算")</f>
        <v/>
      </c>
      <c r="Q154" s="142" t="n">
        <v>1</v>
      </c>
      <c r="R154" s="143">
        <f>调整因子!$F$13</f>
        <v/>
      </c>
      <c r="S154" s="70" t="n">
        <v>1</v>
      </c>
      <c r="T154" s="144">
        <f>IFERROR(P154*R154,0)</f>
        <v/>
      </c>
      <c r="U154" s="144">
        <f>T154*S154</f>
        <v/>
      </c>
      <c r="V154" s="89" t="n"/>
      <c r="W154" s="88" t="inlineStr">
        <is>
          <t>漏洞指纹同步类型表</t>
        </is>
      </c>
      <c r="X154" s="88" t="inlineStr">
        <is>
          <t>漏洞指纹同步类型表{类型ID、类型名称、描述}</t>
        </is>
      </c>
      <c r="Y154" s="88">
        <f>IF(COUNTIFS(V:V,"*"&amp;H154&amp;"*")&gt;0,"存在","不存在")</f>
        <v/>
      </c>
      <c r="Z154" s="88">
        <f>IF(COUNTIFS(AA:AA,"*"&amp;H154&amp;"*")&gt;0,"存在","不存在")</f>
        <v/>
      </c>
      <c r="AA154" s="88" t="inlineStr">
        <is>
          <t>POC引擎规划、扫描节点表、扫描器表、扫描器版本表、扫描器分类表、安全厂商信息、资产管理表、POC引擎规划历史记录表</t>
        </is>
      </c>
    </row>
    <row r="155" ht="43.2" customFormat="1" customHeight="1" s="63">
      <c r="A155" s="69">
        <f>ROW()-1</f>
        <v/>
      </c>
      <c r="B155" s="53" t="n"/>
      <c r="C155" s="78" t="n">
        <v>2025</v>
      </c>
      <c r="D155" s="78" t="inlineStr">
        <is>
          <t>张明峰</t>
        </is>
      </c>
      <c r="E155" s="53" t="n"/>
      <c r="F155" s="53" t="n"/>
      <c r="G155" s="76" t="inlineStr">
        <is>
          <t>漏洞指纹信息全貌</t>
        </is>
      </c>
      <c r="H155" s="81" t="inlineStr">
        <is>
          <t>查询漏洞指纹类型树</t>
        </is>
      </c>
      <c r="I155" s="76" t="inlineStr">
        <is>
          <t>EQ</t>
        </is>
      </c>
      <c r="J155" s="108" t="n"/>
      <c r="K155" s="108" t="n"/>
      <c r="L155" s="83">
        <f>IF(OR(X155="估算法",X155="算法类",X155="无法识别"),"",IF(V155="",IF(OR(I155="EI",I155="EO",I155="EQ"),0,""),LEN(V155)-LEN(SUBSTITUTE(V155,"、",""))+1))</f>
        <v/>
      </c>
      <c r="M155" s="83">
        <f>IF(OR(X155="估算法",X155="算法类",X155="无法识别"),"",IF(W155="",IF(OR(I155="ILF",I155="EIF"),0,""),LEN(W155)-LEN(SUBSTITUTE(W155,"、",""))+1))</f>
        <v/>
      </c>
      <c r="N155" s="83">
        <f>IF(OR(X155="估算法",X155="算法类",X155="无法识别"),"",IF(X155="",IF(OR(I155="ILF",I155="EIF",I155="EI",I155="EO",I155="EQ"),0,""),LEN(X155)-LEN(SUBSTITUTE(SUBSTITUTE(SUBSTITUTE(SUBSTITUTE(SUBSTITUTE(X155,"|}","--"),"{|","--"),CHAR(10),""),"、",""),"|",""))+IF(AND(OR(I155="EI",I155="EO",I155="EQ"),$AD$1="NESMA"),2,1)))</f>
        <v/>
      </c>
      <c r="O155" s="84">
        <f>IF(I155="EI",IF(OR(X155="估算法",X155="算法类"),"中",IF(X155="无法识别","低",IF(L155&lt;2,IF(N155&lt;16,"低","中"),IF(L155&lt;3,IF(N155&lt;5,"低",IF(N155&lt;16,"中","高")),IF(N155&lt;5,"中","高"))))),IF(OR(I155="EO",I155="EQ"),IF(OR(X155="估算法",X155="算法类"),"中",IF(X155="无法识别","低",IF(L155&lt;2,IF(N155&lt;20,"低","中"),IF(L155&lt;4,IF(N155&lt;6,"低",IF(N155&lt;20,"中","高")),IF(N155&lt;6,"中","高"))))),IF(OR(I155="ILF",I155="EIF"),IF(OR(X155="估算法",X155="算法类",X155="无法识别"),"低",IF(M155&lt;2,IF(N155&lt;51,"低","中"),IF(M155&lt;6,IF(N155&lt;20,"低",IF(N155&lt;51,"中","高")),IF(N155&lt;20,"中","高")))),"不计算")))</f>
        <v/>
      </c>
      <c r="P155" s="142">
        <f>IFERROR(IF(I155="EI",IF(O155="低",3,IF(O155="中",4,6)),IF(I155="EO",IF(O155="低",4,IF(O155="中",5,7)),IF(I155="EQ",IF(O155="低",3,IF(O155="中",4,6)),IF(I155="ILF",IF(O155="低",7,IF(O155="中",10,15)),IF(I155="EIF",IF(O155="低",5,IF(O155="中",7,10)),"不计算")))))*Q155,"不计算")</f>
        <v/>
      </c>
      <c r="Q155" s="142" t="n">
        <v>1</v>
      </c>
      <c r="R155" s="143">
        <f>调整因子!$F$13</f>
        <v/>
      </c>
      <c r="S155" s="76" t="n">
        <v>1</v>
      </c>
      <c r="T155" s="144">
        <f>IFERROR(P155*R155,0)</f>
        <v/>
      </c>
      <c r="U155" s="144">
        <f>T155*S155</f>
        <v/>
      </c>
      <c r="V155" s="88" t="inlineStr">
        <is>
          <t>漏洞指纹类型表</t>
        </is>
      </c>
      <c r="W155" s="89" t="n"/>
      <c r="X155" s="88" t="inlineStr">
        <is>
          <t>漏洞指纹类型表{指纹类型ID、类型名称、描述}</t>
        </is>
      </c>
      <c r="Y155" s="88" t="n"/>
      <c r="Z155" s="88" t="n"/>
      <c r="AA155" s="88" t="inlineStr">
        <is>
          <t>POC引擎规划、扫描节点表、扫描器表、扫描器版本表、扫描器分类表、安全厂商信息、资产管理表、POC引擎规划历史记录表</t>
        </is>
      </c>
    </row>
    <row r="156" ht="21.6" customFormat="1" customHeight="1" s="63">
      <c r="A156" s="69">
        <f>ROW()-1</f>
        <v/>
      </c>
      <c r="B156" s="53" t="n"/>
      <c r="C156" s="78" t="n">
        <v>2025</v>
      </c>
      <c r="D156" s="78" t="inlineStr">
        <is>
          <t>张明峰</t>
        </is>
      </c>
      <c r="E156" s="53" t="n"/>
      <c r="F156" s="53" t="n"/>
      <c r="G156" s="53" t="n"/>
      <c r="H156" s="81" t="inlineStr">
        <is>
          <t>查询漏洞指纹动态属性表头</t>
        </is>
      </c>
      <c r="I156" s="76" t="inlineStr">
        <is>
          <t>EQ</t>
        </is>
      </c>
      <c r="J156" s="93" t="inlineStr">
        <is>
          <t>修改类型「EQ -&gt; EO」</t>
        </is>
      </c>
      <c r="K156" s="108" t="n"/>
      <c r="L156" s="83">
        <f>IF(OR(X156="估算法",X156="算法类",X156="无法识别"),"",IF(V156="",IF(OR(I156="EI",I156="EO",I156="EQ"),0,""),LEN(V156)-LEN(SUBSTITUTE(V156,"、",""))+1))</f>
        <v/>
      </c>
      <c r="M156" s="83">
        <f>IF(OR(X156="估算法",X156="算法类",X156="无法识别"),"",IF(W156="",IF(OR(I156="ILF",I156="EIF"),0,""),LEN(W156)-LEN(SUBSTITUTE(W156,"、",""))+1))</f>
        <v/>
      </c>
      <c r="N156" s="83">
        <f>IF(OR(X156="估算法",X156="算法类",X156="无法识别"),"",IF(X156="",IF(OR(I156="ILF",I156="EIF",I156="EI",I156="EO",I156="EQ"),0,""),LEN(X156)-LEN(SUBSTITUTE(SUBSTITUTE(SUBSTITUTE(SUBSTITUTE(SUBSTITUTE(X156,"|}","--"),"{|","--"),CHAR(10),""),"、",""),"|",""))+IF(AND(OR(I156="EI",I156="EO",I156="EQ"),$AD$1="NESMA"),2,1)))</f>
        <v/>
      </c>
      <c r="O156" s="84">
        <f>IF(I156="EI",IF(OR(X156="估算法",X156="算法类"),"中",IF(X156="无法识别","低",IF(L156&lt;2,IF(N156&lt;16,"低","中"),IF(L156&lt;3,IF(N156&lt;5,"低",IF(N156&lt;16,"中","高")),IF(N156&lt;5,"中","高"))))),IF(OR(I156="EO",I156="EQ"),IF(OR(X156="估算法",X156="算法类"),"中",IF(X156="无法识别","低",IF(L156&lt;2,IF(N156&lt;20,"低","中"),IF(L156&lt;4,IF(N156&lt;6,"低",IF(N156&lt;20,"中","高")),IF(N156&lt;6,"中","高"))))),IF(OR(I156="ILF",I156="EIF"),IF(OR(X156="估算法",X156="算法类",X156="无法识别"),"低",IF(M156&lt;2,IF(N156&lt;51,"低","中"),IF(M156&lt;6,IF(N156&lt;20,"低",IF(N156&lt;51,"中","高")),IF(N156&lt;20,"中","高")))),"不计算")))</f>
        <v/>
      </c>
      <c r="P156" s="142">
        <f>IFERROR(IF(I156="EI",IF(O156="低",3,IF(O156="中",4,6)),IF(I156="EO",IF(O156="低",4,IF(O156="中",5,7)),IF(I156="EQ",IF(O156="低",3,IF(O156="中",4,6)),IF(I156="ILF",IF(O156="低",7,IF(O156="中",10,15)),IF(I156="EIF",IF(O156="低",5,IF(O156="中",7,10)),"不计算")))))*Q156,"不计算")</f>
        <v/>
      </c>
      <c r="Q156" s="142" t="n">
        <v>1</v>
      </c>
      <c r="R156" s="143">
        <f>调整因子!$F$13</f>
        <v/>
      </c>
      <c r="S156" s="70" t="n">
        <v>1</v>
      </c>
      <c r="T156" s="144">
        <f>IFERROR(P156*R156,0)</f>
        <v/>
      </c>
      <c r="U156" s="144">
        <f>T156*S156</f>
        <v/>
      </c>
      <c r="V156" s="88" t="inlineStr">
        <is>
          <t>漏洞指纹属性分类表、漏洞指纹动态属性表</t>
        </is>
      </c>
      <c r="W156" s="89" t="n"/>
      <c r="X156" s="88" t="inlineStr">
        <is>
          <t>漏洞指纹属性分类表{分类ID、分类名称、描述}、漏洞指纹动态属性表{属性ID、指纹ID、属性名称、值、更新时间}</t>
        </is>
      </c>
      <c r="Y156" s="88" t="n"/>
      <c r="Z156" s="88" t="n"/>
      <c r="AA156" s="88" t="inlineStr">
        <is>
          <t>POC引擎规划、POC引擎规划历史记录表</t>
        </is>
      </c>
    </row>
    <row r="157" ht="21.6" customFormat="1" customHeight="1" s="63">
      <c r="A157" s="69">
        <f>ROW()-1</f>
        <v/>
      </c>
      <c r="B157" s="53" t="n"/>
      <c r="C157" s="78" t="n">
        <v>2025</v>
      </c>
      <c r="D157" s="78" t="inlineStr">
        <is>
          <t>张明峰</t>
        </is>
      </c>
      <c r="E157" s="53" t="n"/>
      <c r="F157" s="53" t="n"/>
      <c r="G157" s="53" t="n"/>
      <c r="H157" s="81" t="inlineStr">
        <is>
          <t>查询漏洞指纹信息列表</t>
        </is>
      </c>
      <c r="I157" s="76" t="inlineStr">
        <is>
          <t>EQ</t>
        </is>
      </c>
      <c r="J157" s="81" t="n"/>
      <c r="K157" s="108" t="n"/>
      <c r="L157" s="83">
        <f>IF(OR(X157="估算法",X157="算法类",X157="无法识别"),"",IF(V157="",IF(OR(I157="EI",I157="EO",I157="EQ"),0,""),LEN(V157)-LEN(SUBSTITUTE(V157,"、",""))+1))</f>
        <v/>
      </c>
      <c r="M157" s="83">
        <f>IF(OR(X157="估算法",X157="算法类",X157="无法识别"),"",IF(W157="",IF(OR(I157="ILF",I157="EIF"),0,""),LEN(W157)-LEN(SUBSTITUTE(W157,"、",""))+1))</f>
        <v/>
      </c>
      <c r="N157" s="83">
        <f>IF(OR(X157="估算法",X157="算法类",X157="无法识别"),"",IF(X157="",IF(OR(I157="ILF",I157="EIF",I157="EI",I157="EO",I157="EQ"),0,""),LEN(X157)-LEN(SUBSTITUTE(SUBSTITUTE(SUBSTITUTE(SUBSTITUTE(SUBSTITUTE(X157,"|}","--"),"{|","--"),CHAR(10),""),"、",""),"|",""))+IF(AND(OR(I157="EI",I157="EO",I157="EQ"),$AD$1="NESMA"),2,1)))</f>
        <v/>
      </c>
      <c r="O157" s="84">
        <f>IF(I157="EI",IF(OR(X157="估算法",X157="算法类"),"中",IF(X157="无法识别","低",IF(L157&lt;2,IF(N157&lt;16,"低","中"),IF(L157&lt;3,IF(N157&lt;5,"低",IF(N157&lt;16,"中","高")),IF(N157&lt;5,"中","高"))))),IF(OR(I157="EO",I157="EQ"),IF(OR(X157="估算法",X157="算法类"),"中",IF(X157="无法识别","低",IF(L157&lt;2,IF(N157&lt;20,"低","中"),IF(L157&lt;4,IF(N157&lt;6,"低",IF(N157&lt;20,"中","高")),IF(N157&lt;6,"中","高"))))),IF(OR(I157="ILF",I157="EIF"),IF(OR(X157="估算法",X157="算法类",X157="无法识别"),"低",IF(M157&lt;2,IF(N157&lt;51,"低","中"),IF(M157&lt;6,IF(N157&lt;20,"低",IF(N157&lt;51,"中","高")),IF(N157&lt;20,"中","高")))),"不计算")))</f>
        <v/>
      </c>
      <c r="P157" s="142">
        <f>IFERROR(IF(I157="EI",IF(O157="低",3,IF(O157="中",4,6)),IF(I157="EO",IF(O157="低",4,IF(O157="中",5,7)),IF(I157="EQ",IF(O157="低",3,IF(O157="中",4,6)),IF(I157="ILF",IF(O157="低",7,IF(O157="中",10,15)),IF(I157="EIF",IF(O157="低",5,IF(O157="中",7,10)),"不计算")))))*Q157,"不计算")</f>
        <v/>
      </c>
      <c r="Q157" s="142" t="n">
        <v>0.333333333333333</v>
      </c>
      <c r="R157" s="143">
        <f>调整因子!$F$13</f>
        <v/>
      </c>
      <c r="S157" s="70" t="n">
        <v>1</v>
      </c>
      <c r="T157" s="144">
        <f>IFERROR(P157*R157,0)</f>
        <v/>
      </c>
      <c r="U157" s="144">
        <f>T157*S157</f>
        <v/>
      </c>
      <c r="V157" s="88" t="inlineStr">
        <is>
          <t>漏洞指纹信息表</t>
        </is>
      </c>
      <c r="W157" s="89" t="n"/>
      <c r="X157" s="88" t="inlineStr">
        <is>
          <t>漏洞指纹信息表{指纹ID、漏洞ID、资产ID、详细信息、创建时间}</t>
        </is>
      </c>
      <c r="Y157" s="88" t="n"/>
      <c r="Z157" s="88" t="n"/>
      <c r="AA157" s="88" t="inlineStr">
        <is>
          <t>POC引擎规划、POC引擎规划历史记录表</t>
        </is>
      </c>
    </row>
    <row r="158" ht="54" customFormat="1" customHeight="1" s="63">
      <c r="A158" s="69">
        <f>ROW()-1</f>
        <v/>
      </c>
      <c r="B158" s="53" t="n"/>
      <c r="C158" s="78" t="n">
        <v>2025</v>
      </c>
      <c r="D158" s="78" t="inlineStr">
        <is>
          <t>张明峰</t>
        </is>
      </c>
      <c r="E158" s="53" t="n"/>
      <c r="F158" s="53" t="n"/>
      <c r="G158" s="53" t="n"/>
      <c r="H158" s="81" t="inlineStr">
        <is>
          <t>查询漏洞指纹信息影响资产</t>
        </is>
      </c>
      <c r="I158" s="76" t="inlineStr">
        <is>
          <t>EQ</t>
        </is>
      </c>
      <c r="J158" s="93" t="inlineStr">
        <is>
          <t>修改类型「EQ -&gt; EO」</t>
        </is>
      </c>
      <c r="K158" s="108" t="n"/>
      <c r="L158" s="83">
        <f>IF(OR(X158="估算法",X158="算法类",X158="无法识别"),"",IF(V158="",IF(OR(I158="EI",I158="EO",I158="EQ"),0,""),LEN(V158)-LEN(SUBSTITUTE(V158,"、",""))+1))</f>
        <v/>
      </c>
      <c r="M158" s="83">
        <f>IF(OR(X158="估算法",X158="算法类",X158="无法识别"),"",IF(W158="",IF(OR(I158="ILF",I158="EIF"),0,""),LEN(W158)-LEN(SUBSTITUTE(W158,"、",""))+1))</f>
        <v/>
      </c>
      <c r="N158" s="83">
        <f>IF(OR(X158="估算法",X158="算法类",X158="无法识别"),"",IF(X158="",IF(OR(I158="ILF",I158="EIF",I158="EI",I158="EO",I158="EQ"),0,""),LEN(X158)-LEN(SUBSTITUTE(SUBSTITUTE(SUBSTITUTE(SUBSTITUTE(SUBSTITUTE(X158,"|}","--"),"{|","--"),CHAR(10),""),"、",""),"|",""))+IF(AND(OR(I158="EI",I158="EO",I158="EQ"),$AD$1="NESMA"),2,1)))</f>
        <v/>
      </c>
      <c r="O158" s="84">
        <f>IF(I158="EI",IF(OR(X158="估算法",X158="算法类"),"中",IF(X158="无法识别","低",IF(L158&lt;2,IF(N158&lt;16,"低","中"),IF(L158&lt;3,IF(N158&lt;5,"低",IF(N158&lt;16,"中","高")),IF(N158&lt;5,"中","高"))))),IF(OR(I158="EO",I158="EQ"),IF(OR(X158="估算法",X158="算法类"),"中",IF(X158="无法识别","低",IF(L158&lt;2,IF(N158&lt;20,"低","中"),IF(L158&lt;4,IF(N158&lt;6,"低",IF(N158&lt;20,"中","高")),IF(N158&lt;6,"中","高"))))),IF(OR(I158="ILF",I158="EIF"),IF(OR(X158="估算法",X158="算法类",X158="无法识别"),"低",IF(M158&lt;2,IF(N158&lt;51,"低","中"),IF(M158&lt;6,IF(N158&lt;20,"低",IF(N158&lt;51,"中","高")),IF(N158&lt;20,"中","高")))),"不计算")))</f>
        <v/>
      </c>
      <c r="P158" s="142">
        <f>IFERROR(IF(I158="EI",IF(O158="低",3,IF(O158="中",4,6)),IF(I158="EO",IF(O158="低",4,IF(O158="中",5,7)),IF(I158="EQ",IF(O158="低",3,IF(O158="中",4,6)),IF(I158="ILF",IF(O158="低",7,IF(O158="中",10,15)),IF(I158="EIF",IF(O158="低",5,IF(O158="中",7,10)),"不计算")))))*Q158,"不计算")</f>
        <v/>
      </c>
      <c r="Q158" s="142" t="n">
        <v>0.333333333333333</v>
      </c>
      <c r="R158" s="143">
        <f>调整因子!$F$13</f>
        <v/>
      </c>
      <c r="S158" s="76" t="n">
        <v>1</v>
      </c>
      <c r="T158" s="144">
        <f>IFERROR(P158*R158,0)</f>
        <v/>
      </c>
      <c r="U158" s="144">
        <f>T158*S158</f>
        <v/>
      </c>
      <c r="V158" s="88" t="inlineStr">
        <is>
          <t>漏洞指纹数据仓库表</t>
        </is>
      </c>
      <c r="W158" s="89" t="n"/>
      <c r="X158" s="88" t="inlineStr">
        <is>
          <t>漏洞指纹数据仓库表{数据ID、指纹ID、数据内容、存储位置、创建时间}</t>
        </is>
      </c>
      <c r="Y158" s="88" t="n"/>
      <c r="Z158" s="88" t="n"/>
      <c r="AA158" s="88" t="inlineStr">
        <is>
          <t>等效防护设备规划、扫描节点表、扫描器表、扫描器版本表、扫描器分类表、安全厂商信息、资产管理表、等效防护设备规划历史记录表</t>
        </is>
      </c>
    </row>
    <row r="159" ht="54" customFormat="1" customHeight="1" s="63">
      <c r="A159" s="69">
        <f>ROW()-1</f>
        <v/>
      </c>
      <c r="B159" s="53" t="n"/>
      <c r="C159" s="78" t="n">
        <v>2025</v>
      </c>
      <c r="D159" s="78" t="inlineStr">
        <is>
          <t>张明峰</t>
        </is>
      </c>
      <c r="E159" s="53" t="n"/>
      <c r="F159" s="53" t="n"/>
      <c r="G159" s="53" t="n"/>
      <c r="H159" s="81" t="inlineStr">
        <is>
          <t>漏洞指纹类型表</t>
        </is>
      </c>
      <c r="I159" s="76" t="inlineStr">
        <is>
          <t>ILF</t>
        </is>
      </c>
      <c r="J159" s="94" t="inlineStr">
        <is>
          <t>删除</t>
        </is>
      </c>
      <c r="K159" s="108" t="inlineStr">
        <is>
          <t>数据库表未被本系统所维护</t>
        </is>
      </c>
      <c r="L159" s="83">
        <f>IF(OR(X159="估算法",X159="算法类",X159="无法识别"),"",IF(V159="",IF(OR(I159="EI",I159="EO",I159="EQ"),0,""),LEN(V159)-LEN(SUBSTITUTE(V159,"、",""))+1))</f>
        <v/>
      </c>
      <c r="M159" s="83">
        <f>IF(OR(X159="估算法",X159="算法类",X159="无法识别"),"",IF(W159="",IF(OR(I159="ILF",I159="EIF"),0,""),LEN(W159)-LEN(SUBSTITUTE(W159,"、",""))+1))</f>
        <v/>
      </c>
      <c r="N159" s="83">
        <f>IF(OR(X159="估算法",X159="算法类",X159="无法识别"),"",IF(X159="",IF(OR(I159="ILF",I159="EIF",I159="EI",I159="EO",I159="EQ"),0,""),LEN(X159)-LEN(SUBSTITUTE(SUBSTITUTE(SUBSTITUTE(SUBSTITUTE(SUBSTITUTE(X159,"|}","--"),"{|","--"),CHAR(10),""),"、",""),"|",""))+IF(AND(OR(I159="EI",I159="EO",I159="EQ"),$AD$1="NESMA"),2,1)))</f>
        <v/>
      </c>
      <c r="O159" s="84">
        <f>IF(I159="EI",IF(OR(X159="估算法",X159="算法类"),"中",IF(X159="无法识别","低",IF(L159&lt;2,IF(N159&lt;16,"低","中"),IF(L159&lt;3,IF(N159&lt;5,"低",IF(N159&lt;16,"中","高")),IF(N159&lt;5,"中","高"))))),IF(OR(I159="EO",I159="EQ"),IF(OR(X159="估算法",X159="算法类"),"中",IF(X159="无法识别","低",IF(L159&lt;2,IF(N159&lt;20,"低","中"),IF(L159&lt;4,IF(N159&lt;6,"低",IF(N159&lt;20,"中","高")),IF(N159&lt;6,"中","高"))))),IF(OR(I159="ILF",I159="EIF"),IF(OR(X159="估算法",X159="算法类",X159="无法识别"),"低",IF(M159&lt;2,IF(N159&lt;51,"低","中"),IF(M159&lt;6,IF(N159&lt;20,"低",IF(N159&lt;51,"中","高")),IF(N159&lt;20,"中","高")))),"不计算")))</f>
        <v/>
      </c>
      <c r="P159" s="142">
        <f>IFERROR(IF(I159="EI",IF(O159="低",3,IF(O159="中",4,6)),IF(I159="EO",IF(O159="低",4,IF(O159="中",5,7)),IF(I159="EQ",IF(O159="低",3,IF(O159="中",4,6)),IF(I159="ILF",IF(O159="低",7,IF(O159="中",10,15)),IF(I159="EIF",IF(O159="低",5,IF(O159="中",7,10)),"不计算")))))*Q159,"不计算")</f>
        <v/>
      </c>
      <c r="Q159" s="142" t="n">
        <v>0</v>
      </c>
      <c r="R159" s="143">
        <f>调整因子!$F$13</f>
        <v/>
      </c>
      <c r="S159" s="70" t="n">
        <v>1</v>
      </c>
      <c r="T159" s="144">
        <f>IFERROR(P159*R159,0)</f>
        <v/>
      </c>
      <c r="U159" s="144">
        <f>T159*S159</f>
        <v/>
      </c>
      <c r="V159" s="89" t="n"/>
      <c r="W159" s="88" t="inlineStr">
        <is>
          <t>漏洞指纹类型表</t>
        </is>
      </c>
      <c r="X159" s="88" t="inlineStr">
        <is>
          <t>漏洞指纹类型表{指纹类型ID、类型名称、描述}</t>
        </is>
      </c>
      <c r="Y159" s="88">
        <f>IF(COUNTIFS(V:V,"*"&amp;H159&amp;"*")&gt;0,"存在","不存在")</f>
        <v/>
      </c>
      <c r="Z159" s="88">
        <f>IF(COUNTIFS(AA:AA,"*"&amp;H159&amp;"*")&gt;0,"存在","不存在")</f>
        <v/>
      </c>
      <c r="AA159" s="88" t="inlineStr">
        <is>
          <t>等效防护设备规划、扫描节点表、扫描器表、扫描器版本表、扫描器分类表、安全厂商信息、资产管理表、等效防护设备规划历史记录表</t>
        </is>
      </c>
    </row>
    <row r="160" ht="21.6" customFormat="1" customHeight="1" s="63">
      <c r="A160" s="69">
        <f>ROW()-1</f>
        <v/>
      </c>
      <c r="B160" s="53" t="n"/>
      <c r="C160" s="78" t="n">
        <v>2025</v>
      </c>
      <c r="D160" s="78" t="inlineStr">
        <is>
          <t>张明峰</t>
        </is>
      </c>
      <c r="E160" s="53" t="n"/>
      <c r="F160" s="53" t="n"/>
      <c r="G160" s="53" t="n"/>
      <c r="H160" s="81" t="inlineStr">
        <is>
          <t>漏洞指纹属性分类表</t>
        </is>
      </c>
      <c r="I160" s="76" t="inlineStr">
        <is>
          <t>ILF</t>
        </is>
      </c>
      <c r="J160" s="94" t="inlineStr">
        <is>
          <t>删除</t>
        </is>
      </c>
      <c r="K160" s="108" t="inlineStr">
        <is>
          <t>数据库表未被本系统所维护</t>
        </is>
      </c>
      <c r="L160" s="83">
        <f>IF(OR(X160="估算法",X160="算法类",X160="无法识别"),"",IF(V160="",IF(OR(I160="EI",I160="EO",I160="EQ"),0,""),LEN(V160)-LEN(SUBSTITUTE(V160,"、",""))+1))</f>
        <v/>
      </c>
      <c r="M160" s="83">
        <f>IF(OR(X160="估算法",X160="算法类",X160="无法识别"),"",IF(W160="",IF(OR(I160="ILF",I160="EIF"),0,""),LEN(W160)-LEN(SUBSTITUTE(W160,"、",""))+1))</f>
        <v/>
      </c>
      <c r="N160" s="83">
        <f>IF(OR(X160="估算法",X160="算法类",X160="无法识别"),"",IF(X160="",IF(OR(I160="ILF",I160="EIF",I160="EI",I160="EO",I160="EQ"),0,""),LEN(X160)-LEN(SUBSTITUTE(SUBSTITUTE(SUBSTITUTE(SUBSTITUTE(SUBSTITUTE(X160,"|}","--"),"{|","--"),CHAR(10),""),"、",""),"|",""))+IF(AND(OR(I160="EI",I160="EO",I160="EQ"),$AD$1="NESMA"),2,1)))</f>
        <v/>
      </c>
      <c r="O160" s="84">
        <f>IF(I160="EI",IF(OR(X160="估算法",X160="算法类"),"中",IF(X160="无法识别","低",IF(L160&lt;2,IF(N160&lt;16,"低","中"),IF(L160&lt;3,IF(N160&lt;5,"低",IF(N160&lt;16,"中","高")),IF(N160&lt;5,"中","高"))))),IF(OR(I160="EO",I160="EQ"),IF(OR(X160="估算法",X160="算法类"),"中",IF(X160="无法识别","低",IF(L160&lt;2,IF(N160&lt;20,"低","中"),IF(L160&lt;4,IF(N160&lt;6,"低",IF(N160&lt;20,"中","高")),IF(N160&lt;6,"中","高"))))),IF(OR(I160="ILF",I160="EIF"),IF(OR(X160="估算法",X160="算法类",X160="无法识别"),"低",IF(M160&lt;2,IF(N160&lt;51,"低","中"),IF(M160&lt;6,IF(N160&lt;20,"低",IF(N160&lt;51,"中","高")),IF(N160&lt;20,"中","高")))),"不计算")))</f>
        <v/>
      </c>
      <c r="P160" s="142">
        <f>IFERROR(IF(I160="EI",IF(O160="低",3,IF(O160="中",4,6)),IF(I160="EO",IF(O160="低",4,IF(O160="中",5,7)),IF(I160="EQ",IF(O160="低",3,IF(O160="中",4,6)),IF(I160="ILF",IF(O160="低",7,IF(O160="中",10,15)),IF(I160="EIF",IF(O160="低",5,IF(O160="中",7,10)),"不计算")))))*Q160,"不计算")</f>
        <v/>
      </c>
      <c r="Q160" s="142" t="n">
        <v>0</v>
      </c>
      <c r="R160" s="143">
        <f>调整因子!$F$13</f>
        <v/>
      </c>
      <c r="S160" s="70" t="n">
        <v>1</v>
      </c>
      <c r="T160" s="144">
        <f>IFERROR(P160*R160,0)</f>
        <v/>
      </c>
      <c r="U160" s="144">
        <f>T160*S160</f>
        <v/>
      </c>
      <c r="V160" s="89" t="n"/>
      <c r="W160" s="88" t="inlineStr">
        <is>
          <t>漏洞指纹属性分类表</t>
        </is>
      </c>
      <c r="X160" s="88" t="inlineStr">
        <is>
          <t>漏洞指纹属性分类表{分类ID、分类名称、描述}</t>
        </is>
      </c>
      <c r="Y160" s="88">
        <f>IF(COUNTIFS(V:V,"*"&amp;H160&amp;"*")&gt;0,"存在","不存在")</f>
        <v/>
      </c>
      <c r="Z160" s="88">
        <f>IF(COUNTIFS(AA:AA,"*"&amp;H160&amp;"*")&gt;0,"存在","不存在")</f>
        <v/>
      </c>
      <c r="AA160" s="88" t="inlineStr">
        <is>
          <t>等效防护设备规划、等效防护设备规划历史记录表</t>
        </is>
      </c>
    </row>
    <row r="161" ht="21.6" customFormat="1" customHeight="1" s="63">
      <c r="A161" s="69">
        <f>ROW()-1</f>
        <v/>
      </c>
      <c r="B161" s="53" t="n"/>
      <c r="C161" s="78" t="n">
        <v>2025</v>
      </c>
      <c r="D161" s="78" t="inlineStr">
        <is>
          <t>张明峰</t>
        </is>
      </c>
      <c r="E161" s="53" t="n"/>
      <c r="F161" s="53" t="n"/>
      <c r="G161" s="53" t="n"/>
      <c r="H161" s="81" t="inlineStr">
        <is>
          <t>漏洞指纹动态属性表</t>
        </is>
      </c>
      <c r="I161" s="76" t="inlineStr">
        <is>
          <t>ILF</t>
        </is>
      </c>
      <c r="J161" s="94" t="inlineStr">
        <is>
          <t>删除</t>
        </is>
      </c>
      <c r="K161" s="108" t="inlineStr">
        <is>
          <t>数据库表未被本系统所维护</t>
        </is>
      </c>
      <c r="L161" s="83">
        <f>IF(OR(X161="估算法",X161="算法类",X161="无法识别"),"",IF(V161="",IF(OR(I161="EI",I161="EO",I161="EQ"),0,""),LEN(V161)-LEN(SUBSTITUTE(V161,"、",""))+1))</f>
        <v/>
      </c>
      <c r="M161" s="83">
        <f>IF(OR(X161="估算法",X161="算法类",X161="无法识别"),"",IF(W161="",IF(OR(I161="ILF",I161="EIF"),0,""),LEN(W161)-LEN(SUBSTITUTE(W161,"、",""))+1))</f>
        <v/>
      </c>
      <c r="N161" s="83">
        <f>IF(OR(X161="估算法",X161="算法类",X161="无法识别"),"",IF(X161="",IF(OR(I161="ILF",I161="EIF",I161="EI",I161="EO",I161="EQ"),0,""),LEN(X161)-LEN(SUBSTITUTE(SUBSTITUTE(SUBSTITUTE(SUBSTITUTE(SUBSTITUTE(X161,"|}","--"),"{|","--"),CHAR(10),""),"、",""),"|",""))+IF(AND(OR(I161="EI",I161="EO",I161="EQ"),$AD$1="NESMA"),2,1)))</f>
        <v/>
      </c>
      <c r="O161" s="84">
        <f>IF(I161="EI",IF(OR(X161="估算法",X161="算法类"),"中",IF(X161="无法识别","低",IF(L161&lt;2,IF(N161&lt;16,"低","中"),IF(L161&lt;3,IF(N161&lt;5,"低",IF(N161&lt;16,"中","高")),IF(N161&lt;5,"中","高"))))),IF(OR(I161="EO",I161="EQ"),IF(OR(X161="估算法",X161="算法类"),"中",IF(X161="无法识别","低",IF(L161&lt;2,IF(N161&lt;20,"低","中"),IF(L161&lt;4,IF(N161&lt;6,"低",IF(N161&lt;20,"中","高")),IF(N161&lt;6,"中","高"))))),IF(OR(I161="ILF",I161="EIF"),IF(OR(X161="估算法",X161="算法类",X161="无法识别"),"低",IF(M161&lt;2,IF(N161&lt;51,"低","中"),IF(M161&lt;6,IF(N161&lt;20,"低",IF(N161&lt;51,"中","高")),IF(N161&lt;20,"中","高")))),"不计算")))</f>
        <v/>
      </c>
      <c r="P161" s="142">
        <f>IFERROR(IF(I161="EI",IF(O161="低",3,IF(O161="中",4,6)),IF(I161="EO",IF(O161="低",4,IF(O161="中",5,7)),IF(I161="EQ",IF(O161="低",3,IF(O161="中",4,6)),IF(I161="ILF",IF(O161="低",7,IF(O161="中",10,15)),IF(I161="EIF",IF(O161="低",5,IF(O161="中",7,10)),"不计算")))))*Q161,"不计算")</f>
        <v/>
      </c>
      <c r="Q161" s="142" t="n">
        <v>0</v>
      </c>
      <c r="R161" s="143">
        <f>调整因子!$F$13</f>
        <v/>
      </c>
      <c r="S161" s="76" t="n">
        <v>1</v>
      </c>
      <c r="T161" s="144">
        <f>IFERROR(P161*R161,0)</f>
        <v/>
      </c>
      <c r="U161" s="144">
        <f>T161*S161</f>
        <v/>
      </c>
      <c r="V161" s="89" t="n"/>
      <c r="W161" s="88" t="inlineStr">
        <is>
          <t>漏洞指纹动态属性表</t>
        </is>
      </c>
      <c r="X161" s="88" t="inlineStr">
        <is>
          <t>漏洞指纹动态属性表{属性ID、指纹ID、属性名称、值、更新时间}</t>
        </is>
      </c>
      <c r="Y161" s="88">
        <f>IF(COUNTIFS(V:V,"*"&amp;H161&amp;"*")&gt;0,"存在","不存在")</f>
        <v/>
      </c>
      <c r="Z161" s="88">
        <f>IF(COUNTIFS(AA:AA,"*"&amp;H161&amp;"*")&gt;0,"存在","不存在")</f>
        <v/>
      </c>
      <c r="AA161" s="88" t="inlineStr">
        <is>
          <t>等效防护设备规划、等效防护设备规划历史记录表</t>
        </is>
      </c>
    </row>
    <row r="162" ht="10.8" customFormat="1" customHeight="1" s="63">
      <c r="A162" s="69">
        <f>ROW()-1</f>
        <v/>
      </c>
      <c r="B162" s="53" t="n"/>
      <c r="C162" s="78" t="n">
        <v>2025</v>
      </c>
      <c r="D162" s="78" t="inlineStr">
        <is>
          <t>张明峰</t>
        </is>
      </c>
      <c r="E162" s="53" t="n"/>
      <c r="F162" s="53" t="n"/>
      <c r="G162" s="53" t="n"/>
      <c r="H162" s="81" t="inlineStr">
        <is>
          <t>漏洞指纹信息表</t>
        </is>
      </c>
      <c r="I162" s="76" t="inlineStr">
        <is>
          <t>ILF</t>
        </is>
      </c>
      <c r="J162" s="94" t="inlineStr">
        <is>
          <t>删除</t>
        </is>
      </c>
      <c r="K162" s="108" t="inlineStr">
        <is>
          <t>数据库表未被本系统所维护</t>
        </is>
      </c>
      <c r="L162" s="83">
        <f>IF(OR(X162="估算法",X162="算法类",X162="无法识别"),"",IF(V162="",IF(OR(I162="EI",I162="EO",I162="EQ"),0,""),LEN(V162)-LEN(SUBSTITUTE(V162,"、",""))+1))</f>
        <v/>
      </c>
      <c r="M162" s="83">
        <f>IF(OR(X162="估算法",X162="算法类",X162="无法识别"),"",IF(W162="",IF(OR(I162="ILF",I162="EIF"),0,""),LEN(W162)-LEN(SUBSTITUTE(W162,"、",""))+1))</f>
        <v/>
      </c>
      <c r="N162" s="83">
        <f>IF(OR(X162="估算法",X162="算法类",X162="无法识别"),"",IF(X162="",IF(OR(I162="ILF",I162="EIF",I162="EI",I162="EO",I162="EQ"),0,""),LEN(X162)-LEN(SUBSTITUTE(SUBSTITUTE(SUBSTITUTE(SUBSTITUTE(SUBSTITUTE(X162,"|}","--"),"{|","--"),CHAR(10),""),"、",""),"|",""))+IF(AND(OR(I162="EI",I162="EO",I162="EQ"),$AD$1="NESMA"),2,1)))</f>
        <v/>
      </c>
      <c r="O162" s="84">
        <f>IF(I162="EI",IF(OR(X162="估算法",X162="算法类"),"中",IF(X162="无法识别","低",IF(L162&lt;2,IF(N162&lt;16,"低","中"),IF(L162&lt;3,IF(N162&lt;5,"低",IF(N162&lt;16,"中","高")),IF(N162&lt;5,"中","高"))))),IF(OR(I162="EO",I162="EQ"),IF(OR(X162="估算法",X162="算法类"),"中",IF(X162="无法识别","低",IF(L162&lt;2,IF(N162&lt;20,"低","中"),IF(L162&lt;4,IF(N162&lt;6,"低",IF(N162&lt;20,"中","高")),IF(N162&lt;6,"中","高"))))),IF(OR(I162="ILF",I162="EIF"),IF(OR(X162="估算法",X162="算法类",X162="无法识别"),"低",IF(M162&lt;2,IF(N162&lt;51,"低","中"),IF(M162&lt;6,IF(N162&lt;20,"低",IF(N162&lt;51,"中","高")),IF(N162&lt;20,"中","高")))),"不计算")))</f>
        <v/>
      </c>
      <c r="P162" s="142">
        <f>IFERROR(IF(I162="EI",IF(O162="低",3,IF(O162="中",4,6)),IF(I162="EO",IF(O162="低",4,IF(O162="中",5,7)),IF(I162="EQ",IF(O162="低",3,IF(O162="中",4,6)),IF(I162="ILF",IF(O162="低",7,IF(O162="中",10,15)),IF(I162="EIF",IF(O162="低",5,IF(O162="中",7,10)),"不计算")))))*Q162,"不计算")</f>
        <v/>
      </c>
      <c r="Q162" s="142" t="n">
        <v>0</v>
      </c>
      <c r="R162" s="143">
        <f>调整因子!$F$13</f>
        <v/>
      </c>
      <c r="S162" s="70" t="n">
        <v>1</v>
      </c>
      <c r="T162" s="144">
        <f>IFERROR(P162*R162,0)</f>
        <v/>
      </c>
      <c r="U162" s="144">
        <f>T162*S162</f>
        <v/>
      </c>
      <c r="V162" s="89" t="n"/>
      <c r="W162" s="88" t="inlineStr">
        <is>
          <t>漏洞指纹信息表</t>
        </is>
      </c>
      <c r="X162" s="88" t="inlineStr">
        <is>
          <t>漏洞指纹信息表{指纹ID、漏洞ID、资产ID、详细信息、创建时间}</t>
        </is>
      </c>
      <c r="Y162" s="88">
        <f>IF(COUNTIFS(V:V,"*"&amp;H162&amp;"*")&gt;0,"存在","不存在")</f>
        <v/>
      </c>
      <c r="Z162" s="88">
        <f>IF(COUNTIFS(AA:AA,"*"&amp;H162&amp;"*")&gt;0,"存在","不存在")</f>
        <v/>
      </c>
      <c r="AA162" s="88" t="inlineStr">
        <is>
          <t>任务分配策略表</t>
        </is>
      </c>
    </row>
    <row r="163" ht="10.8" customFormat="1" customHeight="1" s="63">
      <c r="A163" s="69">
        <f>ROW()-1</f>
        <v/>
      </c>
      <c r="B163" s="53" t="n"/>
      <c r="C163" s="78" t="n">
        <v>2025</v>
      </c>
      <c r="D163" s="78" t="inlineStr">
        <is>
          <t>张明峰</t>
        </is>
      </c>
      <c r="E163" s="54" t="n"/>
      <c r="F163" s="54" t="n"/>
      <c r="G163" s="54" t="n"/>
      <c r="H163" s="81" t="inlineStr">
        <is>
          <t>漏洞指纹数据仓库表</t>
        </is>
      </c>
      <c r="I163" s="76" t="inlineStr">
        <is>
          <t>ILF</t>
        </is>
      </c>
      <c r="J163" s="94" t="inlineStr">
        <is>
          <t>删除</t>
        </is>
      </c>
      <c r="K163" s="108" t="inlineStr">
        <is>
          <t>数据库表未被本系统所维护</t>
        </is>
      </c>
      <c r="L163" s="83">
        <f>IF(OR(X163="估算法",X163="算法类",X163="无法识别"),"",IF(V163="",IF(OR(I163="EI",I163="EO",I163="EQ"),0,""),LEN(V163)-LEN(SUBSTITUTE(V163,"、",""))+1))</f>
        <v/>
      </c>
      <c r="M163" s="83">
        <f>IF(OR(X163="估算法",X163="算法类",X163="无法识别"),"",IF(W163="",IF(OR(I163="ILF",I163="EIF"),0,""),LEN(W163)-LEN(SUBSTITUTE(W163,"、",""))+1))</f>
        <v/>
      </c>
      <c r="N163" s="83">
        <f>IF(OR(X163="估算法",X163="算法类",X163="无法识别"),"",IF(X163="",IF(OR(I163="ILF",I163="EIF",I163="EI",I163="EO",I163="EQ"),0,""),LEN(X163)-LEN(SUBSTITUTE(SUBSTITUTE(SUBSTITUTE(SUBSTITUTE(SUBSTITUTE(X163,"|}","--"),"{|","--"),CHAR(10),""),"、",""),"|",""))+IF(AND(OR(I163="EI",I163="EO",I163="EQ"),$AD$1="NESMA"),2,1)))</f>
        <v/>
      </c>
      <c r="O163" s="84">
        <f>IF(I163="EI",IF(OR(X163="估算法",X163="算法类"),"中",IF(X163="无法识别","低",IF(L163&lt;2,IF(N163&lt;16,"低","中"),IF(L163&lt;3,IF(N163&lt;5,"低",IF(N163&lt;16,"中","高")),IF(N163&lt;5,"中","高"))))),IF(OR(I163="EO",I163="EQ"),IF(OR(X163="估算法",X163="算法类"),"中",IF(X163="无法识别","低",IF(L163&lt;2,IF(N163&lt;20,"低","中"),IF(L163&lt;4,IF(N163&lt;6,"低",IF(N163&lt;20,"中","高")),IF(N163&lt;6,"中","高"))))),IF(OR(I163="ILF",I163="EIF"),IF(OR(X163="估算法",X163="算法类",X163="无法识别"),"低",IF(M163&lt;2,IF(N163&lt;51,"低","中"),IF(M163&lt;6,IF(N163&lt;20,"低",IF(N163&lt;51,"中","高")),IF(N163&lt;20,"中","高")))),"不计算")))</f>
        <v/>
      </c>
      <c r="P163" s="142">
        <f>IFERROR(IF(I163="EI",IF(O163="低",3,IF(O163="中",4,6)),IF(I163="EO",IF(O163="低",4,IF(O163="中",5,7)),IF(I163="EQ",IF(O163="低",3,IF(O163="中",4,6)),IF(I163="ILF",IF(O163="低",7,IF(O163="中",10,15)),IF(I163="EIF",IF(O163="低",5,IF(O163="中",7,10)),"不计算")))))*Q163,"不计算")</f>
        <v/>
      </c>
      <c r="Q163" s="142" t="n">
        <v>0</v>
      </c>
      <c r="R163" s="143">
        <f>调整因子!$F$13</f>
        <v/>
      </c>
      <c r="S163" s="70" t="n">
        <v>1</v>
      </c>
      <c r="T163" s="144">
        <f>IFERROR(P163*R163,0)</f>
        <v/>
      </c>
      <c r="U163" s="144">
        <f>T163*S163</f>
        <v/>
      </c>
      <c r="V163" s="89" t="n"/>
      <c r="W163" s="88" t="inlineStr">
        <is>
          <t>漏洞指纹数据仓库表</t>
        </is>
      </c>
      <c r="X163" s="88" t="inlineStr">
        <is>
          <t>漏洞指纹数据仓库表{数据ID、指纹ID、数据内容、存储位置、创建时间}</t>
        </is>
      </c>
      <c r="Y163" s="88">
        <f>IF(COUNTIFS(V:V,"*"&amp;H163&amp;"*")&gt;0,"存在","不存在")</f>
        <v/>
      </c>
      <c r="Z163" s="88">
        <f>IF(COUNTIFS(AA:AA,"*"&amp;H163&amp;"*")&gt;0,"存在","不存在")</f>
        <v/>
      </c>
      <c r="AA163" s="88" t="inlineStr">
        <is>
          <t>任务分配策略表</t>
        </is>
      </c>
    </row>
    <row r="164" hidden="1" ht="21.6" customFormat="1" customHeight="1" s="63">
      <c r="A164" s="69">
        <f>ROW()-1</f>
        <v/>
      </c>
      <c r="B164" s="53" t="n"/>
      <c r="C164" s="78" t="n">
        <v>2025</v>
      </c>
      <c r="D164" s="78" t="inlineStr">
        <is>
          <t>窦鹏岐</t>
        </is>
      </c>
      <c r="E164" s="70" t="inlineStr">
        <is>
          <t>数据同步</t>
        </is>
      </c>
      <c r="F164" s="79" t="inlineStr">
        <is>
          <t>VEX数据上报及接收</t>
        </is>
      </c>
      <c r="G164" s="79" t="inlineStr">
        <is>
          <t>VEX数据接口</t>
        </is>
      </c>
      <c r="H164" s="80" t="inlineStr">
        <is>
          <t>上传VEX文档</t>
        </is>
      </c>
      <c r="I164" s="81" t="inlineStr">
        <is>
          <t>EI</t>
        </is>
      </c>
      <c r="J164" s="95" t="n"/>
      <c r="K164" s="95" t="n"/>
      <c r="L164" s="83">
        <f>IF(OR(X164="估算法",X164="算法类",X164="无法识别"),"",IF(V164="",IF(OR(I164="EI",I164="EO",I164="EQ"),0,""),LEN(V164)-LEN(SUBSTITUTE(V164,"、",""))+1))</f>
        <v/>
      </c>
      <c r="M164" s="83">
        <f>IF(OR(X164="估算法",X164="算法类",X164="无法识别"),"",IF(W164="",IF(OR(I164="ILF",I164="EIF"),0,""),LEN(W164)-LEN(SUBSTITUTE(W164,"、",""))+1))</f>
        <v/>
      </c>
      <c r="N164" s="83">
        <f>IF(OR(X164="估算法",X164="算法类",X164="无法识别"),"",IF(X164="",IF(OR(I164="ILF",I164="EIF",I164="EI",I164="EO",I164="EQ"),0,""),LEN(X164)-LEN(SUBSTITUTE(SUBSTITUTE(SUBSTITUTE(SUBSTITUTE(SUBSTITUTE(X164,"|}","--"),"{|","--"),CHAR(10),""),"、",""),"|",""))+IF(AND(OR(I164="EI",I164="EO",I164="EQ"),$AD$1="NESMA"),2,1)))</f>
        <v/>
      </c>
      <c r="O164" s="84">
        <f>IF(I164="EI",IF(OR(X164="估算法",X164="算法类"),"中",IF(X164="无法识别","低",IF(L164&lt;2,IF(N164&lt;16,"低","中"),IF(L164&lt;3,IF(N164&lt;5,"低",IF(N164&lt;16,"中","高")),IF(N164&lt;5,"中","高"))))),IF(OR(I164="EO",I164="EQ"),IF(OR(X164="估算法",X164="算法类"),"中",IF(X164="无法识别","低",IF(L164&lt;2,IF(N164&lt;20,"低","中"),IF(L164&lt;4,IF(N164&lt;6,"低",IF(N164&lt;20,"中","高")),IF(N164&lt;6,"中","高"))))),IF(OR(I164="ILF",I164="EIF"),IF(OR(X164="估算法",X164="算法类",X164="无法识别"),"低",IF(M164&lt;2,IF(N164&lt;51,"低","中"),IF(M164&lt;6,IF(N164&lt;20,"低",IF(N164&lt;51,"中","高")),IF(N164&lt;20,"中","高")))),"不计算")))</f>
        <v/>
      </c>
      <c r="P164" s="142">
        <f>IFERROR(IF(I164="EI",IF(O164="低",3,IF(O164="中",4,6)),IF(I164="EO",IF(O164="低",4,IF(O164="中",5,7)),IF(I164="EQ",IF(O164="低",3,IF(O164="中",4,6)),IF(I164="ILF",IF(O164="低",7,IF(O164="中",10,15)),IF(I164="EIF",IF(O164="低",5,IF(O164="中",7,10)),"不计算")))))*Q164,"不计算")</f>
        <v/>
      </c>
      <c r="Q164" s="142" t="n">
        <v>1</v>
      </c>
      <c r="R164" s="143">
        <f>调整因子!$F$13</f>
        <v/>
      </c>
      <c r="S164" s="76" t="n">
        <v>1</v>
      </c>
      <c r="T164" s="144">
        <f>IFERROR(P164*R164,0)</f>
        <v/>
      </c>
      <c r="U164" s="144">
        <f>T164*S164</f>
        <v/>
      </c>
      <c r="V164" s="76" t="inlineStr">
        <is>
          <t>VEX 文档上传记录表</t>
        </is>
      </c>
      <c r="W164" s="81" t="n"/>
      <c r="X164" s="76" t="inlineStr">
        <is>
          <t>VEX 文档上传记录表{主键 id 、VEX 文档基本信息表主键 id （用于关联对应的文档）、上传者、上传时间、上传状态 （如成功、失败等）、上传位置}</t>
        </is>
      </c>
      <c r="Y164" s="88" t="n"/>
      <c r="Z164" s="88" t="n"/>
      <c r="AA164" s="88" t="inlineStr">
        <is>
          <t>任务分配策略表</t>
        </is>
      </c>
    </row>
    <row r="165" hidden="1" ht="21.6" customFormat="1" customHeight="1" s="63">
      <c r="A165" s="69">
        <f>ROW()-1</f>
        <v/>
      </c>
      <c r="B165" s="53" t="n"/>
      <c r="C165" s="78" t="n">
        <v>2025</v>
      </c>
      <c r="D165" s="78" t="inlineStr">
        <is>
          <t>窦鹏岐</t>
        </is>
      </c>
      <c r="E165" s="53" t="n"/>
      <c r="F165" s="53" t="n"/>
      <c r="G165" s="53" t="n"/>
      <c r="H165" s="80" t="inlineStr">
        <is>
          <t>接收VEX文档</t>
        </is>
      </c>
      <c r="I165" s="81" t="inlineStr">
        <is>
          <t>EI</t>
        </is>
      </c>
      <c r="J165" s="95" t="n"/>
      <c r="K165" s="95" t="n"/>
      <c r="L165" s="83">
        <f>IF(OR(X165="估算法",X165="算法类",X165="无法识别"),"",IF(V165="",IF(OR(I165="EI",I165="EO",I165="EQ"),0,""),LEN(V165)-LEN(SUBSTITUTE(V165,"、",""))+1))</f>
        <v/>
      </c>
      <c r="M165" s="83">
        <f>IF(OR(X165="估算法",X165="算法类",X165="无法识别"),"",IF(W165="",IF(OR(I165="ILF",I165="EIF"),0,""),LEN(W165)-LEN(SUBSTITUTE(W165,"、",""))+1))</f>
        <v/>
      </c>
      <c r="N165" s="83">
        <f>IF(OR(X165="估算法",X165="算法类",X165="无法识别"),"",IF(X165="",IF(OR(I165="ILF",I165="EIF",I165="EI",I165="EO",I165="EQ"),0,""),LEN(X165)-LEN(SUBSTITUTE(SUBSTITUTE(SUBSTITUTE(SUBSTITUTE(SUBSTITUTE(X165,"|}","--"),"{|","--"),CHAR(10),""),"、",""),"|",""))+IF(AND(OR(I165="EI",I165="EO",I165="EQ"),$AD$1="NESMA"),2,1)))</f>
        <v/>
      </c>
      <c r="O165" s="84">
        <f>IF(I165="EI",IF(OR(X165="估算法",X165="算法类"),"中",IF(X165="无法识别","低",IF(L165&lt;2,IF(N165&lt;16,"低","中"),IF(L165&lt;3,IF(N165&lt;5,"低",IF(N165&lt;16,"中","高")),IF(N165&lt;5,"中","高"))))),IF(OR(I165="EO",I165="EQ"),IF(OR(X165="估算法",X165="算法类"),"中",IF(X165="无法识别","低",IF(L165&lt;2,IF(N165&lt;20,"低","中"),IF(L165&lt;4,IF(N165&lt;6,"低",IF(N165&lt;20,"中","高")),IF(N165&lt;6,"中","高"))))),IF(OR(I165="ILF",I165="EIF"),IF(OR(X165="估算法",X165="算法类",X165="无法识别"),"低",IF(M165&lt;2,IF(N165&lt;51,"低","中"),IF(M165&lt;6,IF(N165&lt;20,"低",IF(N165&lt;51,"中","高")),IF(N165&lt;20,"中","高")))),"不计算")))</f>
        <v/>
      </c>
      <c r="P165" s="142">
        <f>IFERROR(IF(I165="EI",IF(O165="低",3,IF(O165="中",4,6)),IF(I165="EO",IF(O165="低",4,IF(O165="中",5,7)),IF(I165="EQ",IF(O165="低",3,IF(O165="中",4,6)),IF(I165="ILF",IF(O165="低",7,IF(O165="中",10,15)),IF(I165="EIF",IF(O165="低",5,IF(O165="中",7,10)),"不计算")))))*Q165,"不计算")</f>
        <v/>
      </c>
      <c r="Q165" s="142" t="n">
        <v>1</v>
      </c>
      <c r="R165" s="143">
        <f>调整因子!$F$13</f>
        <v/>
      </c>
      <c r="S165" s="70" t="n">
        <v>1</v>
      </c>
      <c r="T165" s="144">
        <f>IFERROR(P165*R165,0)</f>
        <v/>
      </c>
      <c r="U165" s="144">
        <f>T165*S165</f>
        <v/>
      </c>
      <c r="V165" s="76" t="inlineStr">
        <is>
          <t>VEX 文档接收记录表</t>
        </is>
      </c>
      <c r="W165" s="81" t="n"/>
      <c r="X165" s="76" t="inlineStr">
        <is>
          <t>VEX 文档接收记录表{主键 id 、VEX 文档基本信息表主键 id （用于关联对应的文档）、接收来源、接收时间、接收状态 （如成功、失败等）}</t>
        </is>
      </c>
      <c r="Y165" s="88" t="n"/>
      <c r="Z165" s="88" t="n"/>
      <c r="AA165" s="88" t="inlineStr">
        <is>
          <t>自动化执行步骤表</t>
        </is>
      </c>
    </row>
    <row r="166" hidden="1" ht="21.6" customFormat="1" customHeight="1" s="63">
      <c r="A166" s="69">
        <f>ROW()-1</f>
        <v/>
      </c>
      <c r="B166" s="53" t="n"/>
      <c r="C166" s="78" t="n">
        <v>2025</v>
      </c>
      <c r="D166" s="78" t="inlineStr">
        <is>
          <t>窦鹏岐</t>
        </is>
      </c>
      <c r="E166" s="53" t="n"/>
      <c r="F166" s="53" t="n"/>
      <c r="G166" s="53" t="n"/>
      <c r="H166" s="80" t="inlineStr">
        <is>
          <t>显示VEX文档信息</t>
        </is>
      </c>
      <c r="I166" s="81" t="inlineStr">
        <is>
          <t>EQ</t>
        </is>
      </c>
      <c r="J166" s="95" t="n"/>
      <c r="K166" s="95" t="n"/>
      <c r="L166" s="83">
        <f>IF(OR(X166="估算法",X166="算法类",X166="无法识别"),"",IF(V166="",IF(OR(I166="EI",I166="EO",I166="EQ"),0,""),LEN(V166)-LEN(SUBSTITUTE(V166,"、",""))+1))</f>
        <v/>
      </c>
      <c r="M166" s="83">
        <f>IF(OR(X166="估算法",X166="算法类",X166="无法识别"),"",IF(W166="",IF(OR(I166="ILF",I166="EIF"),0,""),LEN(W166)-LEN(SUBSTITUTE(W166,"、",""))+1))</f>
        <v/>
      </c>
      <c r="N166" s="83">
        <f>IF(OR(X166="估算法",X166="算法类",X166="无法识别"),"",IF(X166="",IF(OR(I166="ILF",I166="EIF",I166="EI",I166="EO",I166="EQ"),0,""),LEN(X166)-LEN(SUBSTITUTE(SUBSTITUTE(SUBSTITUTE(SUBSTITUTE(SUBSTITUTE(X166,"|}","--"),"{|","--"),CHAR(10),""),"、",""),"|",""))+IF(AND(OR(I166="EI",I166="EO",I166="EQ"),$AD$1="NESMA"),2,1)))</f>
        <v/>
      </c>
      <c r="O166" s="84">
        <f>IF(I166="EI",IF(OR(X166="估算法",X166="算法类"),"中",IF(X166="无法识别","低",IF(L166&lt;2,IF(N166&lt;16,"低","中"),IF(L166&lt;3,IF(N166&lt;5,"低",IF(N166&lt;16,"中","高")),IF(N166&lt;5,"中","高"))))),IF(OR(I166="EO",I166="EQ"),IF(OR(X166="估算法",X166="算法类"),"中",IF(X166="无法识别","低",IF(L166&lt;2,IF(N166&lt;20,"低","中"),IF(L166&lt;4,IF(N166&lt;6,"低",IF(N166&lt;20,"中","高")),IF(N166&lt;6,"中","高"))))),IF(OR(I166="ILF",I166="EIF"),IF(OR(X166="估算法",X166="算法类",X166="无法识别"),"低",IF(M166&lt;2,IF(N166&lt;51,"低","中"),IF(M166&lt;6,IF(N166&lt;20,"低",IF(N166&lt;51,"中","高")),IF(N166&lt;20,"中","高")))),"不计算")))</f>
        <v/>
      </c>
      <c r="P166" s="142">
        <f>IFERROR(IF(I166="EI",IF(O166="低",3,IF(O166="中",4,6)),IF(I166="EO",IF(O166="低",4,IF(O166="中",5,7)),IF(I166="EQ",IF(O166="低",3,IF(O166="中",4,6)),IF(I166="ILF",IF(O166="低",7,IF(O166="中",10,15)),IF(I166="EIF",IF(O166="低",5,IF(O166="中",7,10)),"不计算")))))*Q166,"不计算")</f>
        <v/>
      </c>
      <c r="Q166" s="142" t="n">
        <v>1</v>
      </c>
      <c r="R166" s="143">
        <f>调整因子!$F$13</f>
        <v/>
      </c>
      <c r="S166" s="70" t="n">
        <v>1</v>
      </c>
      <c r="T166" s="144">
        <f>IFERROR(P166*R166,0)</f>
        <v/>
      </c>
      <c r="U166" s="144">
        <f>T166*S166</f>
        <v/>
      </c>
      <c r="V166" s="76" t="inlineStr">
        <is>
          <t>VEX文档展示记录表</t>
        </is>
      </c>
      <c r="W166" s="81" t="n"/>
      <c r="X166" s="76" t="inlineStr">
        <is>
          <t>VEX文档展示记录表{主键 id 、VEX 文档基本信息表主键 id （用于关联对应的文档）、展示用户 id 、展示时间、展示详情 （如展示的文档部分信息等}</t>
        </is>
      </c>
      <c r="Y166" s="88" t="n"/>
      <c r="Z166" s="88" t="n"/>
      <c r="AA166" s="88" t="inlineStr">
        <is>
          <t>自动化执行步骤表</t>
        </is>
      </c>
    </row>
    <row r="167" hidden="1" ht="21.6" customFormat="1" customHeight="1" s="63">
      <c r="A167" s="69">
        <f>ROW()-1</f>
        <v/>
      </c>
      <c r="B167" s="53" t="n"/>
      <c r="C167" s="78" t="n">
        <v>2025</v>
      </c>
      <c r="D167" s="78" t="inlineStr">
        <is>
          <t>窦鹏岐</t>
        </is>
      </c>
      <c r="E167" s="53" t="n"/>
      <c r="F167" s="53" t="n"/>
      <c r="G167" s="53" t="n"/>
      <c r="H167" s="80" t="inlineStr">
        <is>
          <t>VEX 文档上传记录表</t>
        </is>
      </c>
      <c r="I167" s="81" t="n"/>
      <c r="J167" s="95" t="n"/>
      <c r="K167" s="95" t="inlineStr">
        <is>
          <t>非ILF</t>
        </is>
      </c>
      <c r="L167" s="83">
        <f>IF(OR(X167="估算法",X167="算法类",X167="无法识别"),"",IF(V167="",IF(OR(I167="EI",I167="EO",I167="EQ"),0,""),LEN(V167)-LEN(SUBSTITUTE(V167,"、",""))+1))</f>
        <v/>
      </c>
      <c r="M167" s="83">
        <f>IF(OR(X167="估算法",X167="算法类",X167="无法识别"),"",IF(W167="",IF(OR(I167="ILF",I167="EIF"),0,""),LEN(W167)-LEN(SUBSTITUTE(W167,"、",""))+1))</f>
        <v/>
      </c>
      <c r="N167" s="83">
        <f>IF(OR(X167="估算法",X167="算法类",X167="无法识别"),"",IF(X167="",IF(OR(I167="ILF",I167="EIF",I167="EI",I167="EO",I167="EQ"),0,""),LEN(X167)-LEN(SUBSTITUTE(SUBSTITUTE(SUBSTITUTE(SUBSTITUTE(SUBSTITUTE(X167,"|}","--"),"{|","--"),CHAR(10),""),"、",""),"|",""))+IF(AND(OR(I167="EI",I167="EO",I167="EQ"),$AD$1="NESMA"),2,1)))</f>
        <v/>
      </c>
      <c r="O167" s="84">
        <f>IF(I167="EI",IF(OR(X167="估算法",X167="算法类"),"中",IF(X167="无法识别","低",IF(L167&lt;2,IF(N167&lt;16,"低","中"),IF(L167&lt;3,IF(N167&lt;5,"低",IF(N167&lt;16,"中","高")),IF(N167&lt;5,"中","高"))))),IF(OR(I167="EO",I167="EQ"),IF(OR(X167="估算法",X167="算法类"),"中",IF(X167="无法识别","低",IF(L167&lt;2,IF(N167&lt;20,"低","中"),IF(L167&lt;4,IF(N167&lt;6,"低",IF(N167&lt;20,"中","高")),IF(N167&lt;6,"中","高"))))),IF(OR(I167="ILF",I167="EIF"),IF(OR(X167="估算法",X167="算法类",X167="无法识别"),"低",IF(M167&lt;2,IF(N167&lt;51,"低","中"),IF(M167&lt;6,IF(N167&lt;20,"低",IF(N167&lt;51,"中","高")),IF(N167&lt;20,"中","高")))),"不计算")))</f>
        <v/>
      </c>
      <c r="P167" s="142">
        <f>IFERROR(IF(I167="EI",IF(O167="低",3,IF(O167="中",4,6)),IF(I167="EO",IF(O167="低",4,IF(O167="中",5,7)),IF(I167="EQ",IF(O167="低",3,IF(O167="中",4,6)),IF(I167="ILF",IF(O167="低",7,IF(O167="中",10,15)),IF(I167="EIF",IF(O167="低",5,IF(O167="中",7,10)),"不计算")))))*Q167,"不计算")</f>
        <v/>
      </c>
      <c r="Q167" s="142" t="n">
        <v>0</v>
      </c>
      <c r="R167" s="143">
        <f>调整因子!$F$13</f>
        <v/>
      </c>
      <c r="S167" s="76" t="n">
        <v>1</v>
      </c>
      <c r="T167" s="144">
        <f>IFERROR(P167*R167,0)</f>
        <v/>
      </c>
      <c r="U167" s="144">
        <f>T167*S167</f>
        <v/>
      </c>
      <c r="V167" s="81" t="n"/>
      <c r="W167" s="76" t="inlineStr">
        <is>
          <t>VEX 文档上传记录表</t>
        </is>
      </c>
      <c r="X167" s="76" t="inlineStr">
        <is>
          <t>VEX 文档上传记录表{主键 id 、VEX 文档基本信息表主键 id （用于关联对应的文档）、上传者、上传时间、上传状态 （如成功、失败等）、上传位置}</t>
        </is>
      </c>
      <c r="Y167" s="88">
        <f>IF(COUNTIFS(V:V,"*"&amp;H167&amp;"*")&gt;0,"存在","不存在")</f>
        <v/>
      </c>
      <c r="Z167" s="88">
        <f>IF(COUNTIFS(AA:AA,"*"&amp;H167&amp;"*")&gt;0,"存在","不存在")</f>
        <v/>
      </c>
      <c r="AA167" s="88" t="inlineStr">
        <is>
          <t>自动化执行步骤表</t>
        </is>
      </c>
    </row>
    <row r="168" hidden="1" ht="21.6" customFormat="1" customHeight="1" s="63">
      <c r="A168" s="69">
        <f>ROW()-1</f>
        <v/>
      </c>
      <c r="B168" s="53" t="n"/>
      <c r="C168" s="78" t="n">
        <v>2025</v>
      </c>
      <c r="D168" s="78" t="inlineStr">
        <is>
          <t>窦鹏岐</t>
        </is>
      </c>
      <c r="E168" s="53" t="n"/>
      <c r="F168" s="53" t="n"/>
      <c r="G168" s="53" t="n"/>
      <c r="H168" s="80" t="inlineStr">
        <is>
          <t>VEX 文档接收记录表</t>
        </is>
      </c>
      <c r="I168" s="81" t="n"/>
      <c r="J168" s="95" t="n"/>
      <c r="K168" s="95" t="inlineStr">
        <is>
          <t>非ILF</t>
        </is>
      </c>
      <c r="L168" s="83">
        <f>IF(OR(X168="估算法",X168="算法类",X168="无法识别"),"",IF(V168="",IF(OR(I168="EI",I168="EO",I168="EQ"),0,""),LEN(V168)-LEN(SUBSTITUTE(V168,"、",""))+1))</f>
        <v/>
      </c>
      <c r="M168" s="83">
        <f>IF(OR(X168="估算法",X168="算法类",X168="无法识别"),"",IF(W168="",IF(OR(I168="ILF",I168="EIF"),0,""),LEN(W168)-LEN(SUBSTITUTE(W168,"、",""))+1))</f>
        <v/>
      </c>
      <c r="N168" s="83">
        <f>IF(OR(X168="估算法",X168="算法类",X168="无法识别"),"",IF(X168="",IF(OR(I168="ILF",I168="EIF",I168="EI",I168="EO",I168="EQ"),0,""),LEN(X168)-LEN(SUBSTITUTE(SUBSTITUTE(SUBSTITUTE(SUBSTITUTE(SUBSTITUTE(X168,"|}","--"),"{|","--"),CHAR(10),""),"、",""),"|",""))+IF(AND(OR(I168="EI",I168="EO",I168="EQ"),$AD$1="NESMA"),2,1)))</f>
        <v/>
      </c>
      <c r="O168" s="84">
        <f>IF(I168="EI",IF(OR(X168="估算法",X168="算法类"),"中",IF(X168="无法识别","低",IF(L168&lt;2,IF(N168&lt;16,"低","中"),IF(L168&lt;3,IF(N168&lt;5,"低",IF(N168&lt;16,"中","高")),IF(N168&lt;5,"中","高"))))),IF(OR(I168="EO",I168="EQ"),IF(OR(X168="估算法",X168="算法类"),"中",IF(X168="无法识别","低",IF(L168&lt;2,IF(N168&lt;20,"低","中"),IF(L168&lt;4,IF(N168&lt;6,"低",IF(N168&lt;20,"中","高")),IF(N168&lt;6,"中","高"))))),IF(OR(I168="ILF",I168="EIF"),IF(OR(X168="估算法",X168="算法类",X168="无法识别"),"低",IF(M168&lt;2,IF(N168&lt;51,"低","中"),IF(M168&lt;6,IF(N168&lt;20,"低",IF(N168&lt;51,"中","高")),IF(N168&lt;20,"中","高")))),"不计算")))</f>
        <v/>
      </c>
      <c r="P168" s="142">
        <f>IFERROR(IF(I168="EI",IF(O168="低",3,IF(O168="中",4,6)),IF(I168="EO",IF(O168="低",4,IF(O168="中",5,7)),IF(I168="EQ",IF(O168="低",3,IF(O168="中",4,6)),IF(I168="ILF",IF(O168="低",7,IF(O168="中",10,15)),IF(I168="EIF",IF(O168="低",5,IF(O168="中",7,10)),"不计算")))))*Q168,"不计算")</f>
        <v/>
      </c>
      <c r="Q168" s="142" t="n">
        <v>0</v>
      </c>
      <c r="R168" s="143">
        <f>调整因子!$F$13</f>
        <v/>
      </c>
      <c r="S168" s="70" t="n">
        <v>1</v>
      </c>
      <c r="T168" s="144">
        <f>IFERROR(P168*R168,0)</f>
        <v/>
      </c>
      <c r="U168" s="144">
        <f>T168*S168</f>
        <v/>
      </c>
      <c r="V168" s="81" t="n"/>
      <c r="W168" s="76" t="inlineStr">
        <is>
          <t>VEX 文档接收记录表</t>
        </is>
      </c>
      <c r="X168" s="76" t="inlineStr">
        <is>
          <t>VEX 文档接收记录表{主键 id 、VEX 文档基本信息表主键 id （用于关联对应的文档）、接收来源、接收时间、接收状态 （如成功、失败等）}</t>
        </is>
      </c>
      <c r="Y168" s="88">
        <f>IF(COUNTIFS(V:V,"*"&amp;H168&amp;"*")&gt;0,"存在","不存在")</f>
        <v/>
      </c>
      <c r="Z168" s="88">
        <f>IF(COUNTIFS(AA:AA,"*"&amp;H168&amp;"*")&gt;0,"存在","不存在")</f>
        <v/>
      </c>
      <c r="AA168" s="76" t="inlineStr">
        <is>
          <t>工单状态记录表</t>
        </is>
      </c>
    </row>
    <row r="169" hidden="1" ht="21.6" customFormat="1" customHeight="1" s="63">
      <c r="A169" s="69">
        <f>ROW()-1</f>
        <v/>
      </c>
      <c r="B169" s="53" t="n"/>
      <c r="C169" s="78" t="n">
        <v>2025</v>
      </c>
      <c r="D169" s="78" t="inlineStr">
        <is>
          <t>窦鹏岐</t>
        </is>
      </c>
      <c r="E169" s="53" t="n"/>
      <c r="F169" s="54" t="n"/>
      <c r="G169" s="54" t="n"/>
      <c r="H169" s="80" t="inlineStr">
        <is>
          <t>VEX文档展示记录表</t>
        </is>
      </c>
      <c r="I169" s="81" t="inlineStr">
        <is>
          <t>ILF</t>
        </is>
      </c>
      <c r="J169" s="108" t="n"/>
      <c r="K169" s="108" t="inlineStr">
        <is>
          <t>数据库表未被本系统所维护</t>
        </is>
      </c>
      <c r="L169" s="83">
        <f>IF(OR(X169="估算法",X169="算法类",X169="无法识别"),"",IF(V169="",IF(OR(I169="EI",I169="EO",I169="EQ"),0,""),LEN(V169)-LEN(SUBSTITUTE(V169,"、",""))+1))</f>
        <v/>
      </c>
      <c r="M169" s="83">
        <f>IF(OR(X169="估算法",X169="算法类",X169="无法识别"),"",IF(W169="",IF(OR(I169="ILF",I169="EIF"),0,""),LEN(W169)-LEN(SUBSTITUTE(W169,"、",""))+1))</f>
        <v/>
      </c>
      <c r="N169" s="83">
        <f>IF(OR(X169="估算法",X169="算法类",X169="无法识别"),"",IF(X169="",IF(OR(I169="ILF",I169="EIF",I169="EI",I169="EO",I169="EQ"),0,""),LEN(X169)-LEN(SUBSTITUTE(SUBSTITUTE(SUBSTITUTE(SUBSTITUTE(SUBSTITUTE(X169,"|}","--"),"{|","--"),CHAR(10),""),"、",""),"|",""))+IF(AND(OR(I169="EI",I169="EO",I169="EQ"),$AD$1="NESMA"),2,1)))</f>
        <v/>
      </c>
      <c r="O169" s="84">
        <f>IF(I169="EI",IF(OR(X169="估算法",X169="算法类"),"中",IF(X169="无法识别","低",IF(L169&lt;2,IF(N169&lt;16,"低","中"),IF(L169&lt;3,IF(N169&lt;5,"低",IF(N169&lt;16,"中","高")),IF(N169&lt;5,"中","高"))))),IF(OR(I169="EO",I169="EQ"),IF(OR(X169="估算法",X169="算法类"),"中",IF(X169="无法识别","低",IF(L169&lt;2,IF(N169&lt;20,"低","中"),IF(L169&lt;4,IF(N169&lt;6,"低",IF(N169&lt;20,"中","高")),IF(N169&lt;6,"中","高"))))),IF(OR(I169="ILF",I169="EIF"),IF(OR(X169="估算法",X169="算法类",X169="无法识别"),"低",IF(M169&lt;2,IF(N169&lt;51,"低","中"),IF(M169&lt;6,IF(N169&lt;20,"低",IF(N169&lt;51,"中","高")),IF(N169&lt;20,"中","高")))),"不计算")))</f>
        <v/>
      </c>
      <c r="P169" s="142">
        <f>IFERROR(IF(I169="EI",IF(O169="低",3,IF(O169="中",4,6)),IF(I169="EO",IF(O169="低",4,IF(O169="中",5,7)),IF(I169="EQ",IF(O169="低",3,IF(O169="中",4,6)),IF(I169="ILF",IF(O169="低",7,IF(O169="中",10,15)),IF(I169="EIF",IF(O169="低",5,IF(O169="中",7,10)),"不计算")))))*Q169,"不计算")</f>
        <v/>
      </c>
      <c r="Q169" s="142" t="n">
        <v>0</v>
      </c>
      <c r="R169" s="143">
        <f>调整因子!$F$13</f>
        <v/>
      </c>
      <c r="S169" s="70" t="n">
        <v>1</v>
      </c>
      <c r="T169" s="144">
        <f>IFERROR(P169*R169,0)</f>
        <v/>
      </c>
      <c r="U169" s="144">
        <f>T169*S169</f>
        <v/>
      </c>
      <c r="V169" s="81" t="n"/>
      <c r="W169" s="76" t="inlineStr">
        <is>
          <t>VEX文档展示记录表</t>
        </is>
      </c>
      <c r="X169" s="76" t="inlineStr">
        <is>
          <t>VEX文档展示记录表{主键 id 、VEX 文档基本信息表主键 id （用于关联对应的文档）、展示用户 id 、展示时间、展示详情 （如展示的文档部分信息等}</t>
        </is>
      </c>
      <c r="Y169" s="88">
        <f>IF(COUNTIFS(V:V,"*"&amp;H169&amp;"*")&gt;0,"存在","不存在")</f>
        <v/>
      </c>
      <c r="Z169" s="88">
        <f>IF(COUNTIFS(AA:AA,"*"&amp;H169&amp;"*")&gt;0,"存在","不存在")</f>
        <v/>
      </c>
      <c r="AA169" s="76" t="inlineStr">
        <is>
          <t>工单状态记录表</t>
        </is>
      </c>
    </row>
    <row r="170" hidden="1" ht="54" customFormat="1" customHeight="1" s="63">
      <c r="A170" s="69">
        <f>ROW()-1</f>
        <v/>
      </c>
      <c r="B170" s="53" t="n"/>
      <c r="C170" s="78" t="n">
        <v>2025</v>
      </c>
      <c r="D170" s="78" t="inlineStr">
        <is>
          <t>蔡云飞</t>
        </is>
      </c>
      <c r="E170" s="53" t="n"/>
      <c r="F170" s="79" t="inlineStr">
        <is>
          <t>漏洞修复状态同步</t>
        </is>
      </c>
      <c r="G170" s="79" t="inlineStr">
        <is>
          <t>漏洞修复状态同步接口</t>
        </is>
      </c>
      <c r="H170" s="80" t="inlineStr">
        <is>
          <t>漏洞修复状态查询</t>
        </is>
      </c>
      <c r="I170" s="76" t="inlineStr">
        <is>
          <t>EQ</t>
        </is>
      </c>
      <c r="J170" s="95" t="n"/>
      <c r="K170" s="95" t="n"/>
      <c r="L170" s="83">
        <f>IF(OR(X170="估算法",X170="算法类",X170="无法识别"),"",IF(V170="",IF(OR(I170="EI",I170="EO",I170="EQ"),0,""),LEN(V170)-LEN(SUBSTITUTE(V170,"、",""))+1))</f>
        <v/>
      </c>
      <c r="M170" s="83">
        <f>IF(OR(X170="估算法",X170="算法类",X170="无法识别"),"",IF(W170="",IF(OR(I170="ILF",I170="EIF"),0,""),LEN(W170)-LEN(SUBSTITUTE(W170,"、",""))+1))</f>
        <v/>
      </c>
      <c r="N170" s="83">
        <f>IF(OR(X170="估算法",X170="算法类",X170="无法识别"),"",IF(X170="",IF(OR(I170="ILF",I170="EIF",I170="EI",I170="EO",I170="EQ"),0,""),LEN(X170)-LEN(SUBSTITUTE(SUBSTITUTE(SUBSTITUTE(SUBSTITUTE(SUBSTITUTE(X170,"|}","--"),"{|","--"),CHAR(10),""),"、",""),"|",""))+IF(AND(OR(I170="EI",I170="EO",I170="EQ"),$AD$1="NESMA"),2,1)))</f>
        <v/>
      </c>
      <c r="O170" s="84">
        <f>IF(I170="EI",IF(OR(X170="估算法",X170="算法类"),"中",IF(X170="无法识别","低",IF(L170&lt;2,IF(N170&lt;16,"低","中"),IF(L170&lt;3,IF(N170&lt;5,"低",IF(N170&lt;16,"中","高")),IF(N170&lt;5,"中","高"))))),IF(OR(I170="EO",I170="EQ"),IF(OR(X170="估算法",X170="算法类"),"中",IF(X170="无法识别","低",IF(L170&lt;2,IF(N170&lt;20,"低","中"),IF(L170&lt;4,IF(N170&lt;6,"低",IF(N170&lt;20,"中","高")),IF(N170&lt;6,"中","高"))))),IF(OR(I170="ILF",I170="EIF"),IF(OR(X170="估算法",X170="算法类",X170="无法识别"),"低",IF(M170&lt;2,IF(N170&lt;51,"低","中"),IF(M170&lt;6,IF(N170&lt;20,"低",IF(N170&lt;51,"中","高")),IF(N170&lt;20,"中","高")))),"不计算")))</f>
        <v/>
      </c>
      <c r="P170" s="142">
        <f>IFERROR(IF(I170="EI",IF(O170="低",3,IF(O170="中",4,6)),IF(I170="EO",IF(O170="低",4,IF(O170="中",5,7)),IF(I170="EQ",IF(O170="低",3,IF(O170="中",4,6)),IF(I170="ILF",IF(O170="低",7,IF(O170="中",10,15)),IF(I170="EIF",IF(O170="低",5,IF(O170="中",7,10)),"不计算")))))*Q170,"不计算")</f>
        <v/>
      </c>
      <c r="Q170" s="142" t="n">
        <v>1</v>
      </c>
      <c r="R170" s="143">
        <f>调整因子!$F$13</f>
        <v/>
      </c>
      <c r="S170" s="76" t="n">
        <v>1</v>
      </c>
      <c r="T170" s="144">
        <f>IFERROR(P170*R170,0)</f>
        <v/>
      </c>
      <c r="U170" s="144">
        <f>T170*S170</f>
        <v/>
      </c>
      <c r="V170" s="88" t="inlineStr">
        <is>
          <t>漏洞修复状态表</t>
        </is>
      </c>
      <c r="W170" s="89" t="n"/>
      <c r="X170" s="88" t="inlineStr">
        <is>
          <t>漏洞修复状态表
{记录ID、漏洞编号、漏洞名称、漏洞等级、资产ID、资产名称、资产IP、组件名称、组件版本、组件类型、CPE名称、修复状态、修复方式、修复来源、修复时间、责任人、修复工具、修复耗时、更新时间、备注
}</t>
        </is>
      </c>
      <c r="Y170" s="88" t="n"/>
      <c r="Z170" s="88" t="n"/>
      <c r="AA170" s="76" t="inlineStr">
        <is>
          <t>异常捕捉规则表</t>
        </is>
      </c>
    </row>
    <row r="171" hidden="1" ht="54" customFormat="1" customHeight="1" s="63">
      <c r="A171" s="69">
        <f>ROW()-1</f>
        <v/>
      </c>
      <c r="B171" s="53" t="n"/>
      <c r="C171" s="78" t="n">
        <v>2025</v>
      </c>
      <c r="D171" s="78" t="inlineStr">
        <is>
          <t>蔡云飞</t>
        </is>
      </c>
      <c r="E171" s="53" t="n"/>
      <c r="F171" s="53" t="n"/>
      <c r="G171" s="53" t="n"/>
      <c r="H171" s="80" t="inlineStr">
        <is>
          <t>漏洞修复状态更新</t>
        </is>
      </c>
      <c r="I171" s="76" t="n"/>
      <c r="J171" s="95" t="n"/>
      <c r="K171" s="95" t="inlineStr">
        <is>
          <t>非事务功能</t>
        </is>
      </c>
      <c r="L171" s="83">
        <f>IF(OR(X171="估算法",X171="算法类",X171="无法识别"),"",IF(V171="",IF(OR(I171="EI",I171="EO",I171="EQ"),0,""),LEN(V171)-LEN(SUBSTITUTE(V171,"、",""))+1))</f>
        <v/>
      </c>
      <c r="M171" s="83">
        <f>IF(OR(X171="估算法",X171="算法类",X171="无法识别"),"",IF(W171="",IF(OR(I171="ILF",I171="EIF"),0,""),LEN(W171)-LEN(SUBSTITUTE(W171,"、",""))+1))</f>
        <v/>
      </c>
      <c r="N171" s="83">
        <f>IF(OR(X171="估算法",X171="算法类",X171="无法识别"),"",IF(X171="",IF(OR(I171="ILF",I171="EIF",I171="EI",I171="EO",I171="EQ"),0,""),LEN(X171)-LEN(SUBSTITUTE(SUBSTITUTE(SUBSTITUTE(SUBSTITUTE(SUBSTITUTE(X171,"|}","--"),"{|","--"),CHAR(10),""),"、",""),"|",""))+IF(AND(OR(I171="EI",I171="EO",I171="EQ"),$AD$1="NESMA"),2,1)))</f>
        <v/>
      </c>
      <c r="O171" s="84">
        <f>IF(I171="EI",IF(OR(X171="估算法",X171="算法类"),"中",IF(X171="无法识别","低",IF(L171&lt;2,IF(N171&lt;16,"低","中"),IF(L171&lt;3,IF(N171&lt;5,"低",IF(N171&lt;16,"中","高")),IF(N171&lt;5,"中","高"))))),IF(OR(I171="EO",I171="EQ"),IF(OR(X171="估算法",X171="算法类"),"中",IF(X171="无法识别","低",IF(L171&lt;2,IF(N171&lt;20,"低","中"),IF(L171&lt;4,IF(N171&lt;6,"低",IF(N171&lt;20,"中","高")),IF(N171&lt;6,"中","高"))))),IF(OR(I171="ILF",I171="EIF"),IF(OR(X171="估算法",X171="算法类",X171="无法识别"),"低",IF(M171&lt;2,IF(N171&lt;51,"低","中"),IF(M171&lt;6,IF(N171&lt;20,"低",IF(N171&lt;51,"中","高")),IF(N171&lt;20,"中","高")))),"不计算")))</f>
        <v/>
      </c>
      <c r="P171" s="142">
        <f>IFERROR(IF(I171="EI",IF(O171="低",3,IF(O171="中",4,6)),IF(I171="EO",IF(O171="低",4,IF(O171="中",5,7)),IF(I171="EQ",IF(O171="低",3,IF(O171="中",4,6)),IF(I171="ILF",IF(O171="低",7,IF(O171="中",10,15)),IF(I171="EIF",IF(O171="低",5,IF(O171="中",7,10)),"不计算")))))*Q171,"不计算")</f>
        <v/>
      </c>
      <c r="Q171" s="142" t="n">
        <v>1</v>
      </c>
      <c r="R171" s="143">
        <f>调整因子!$F$13</f>
        <v/>
      </c>
      <c r="S171" s="70" t="n">
        <v>1</v>
      </c>
      <c r="T171" s="144">
        <f>IFERROR(P171*R171,0)</f>
        <v/>
      </c>
      <c r="U171" s="144">
        <f>T171*S171</f>
        <v/>
      </c>
      <c r="V171" s="88" t="inlineStr">
        <is>
          <t>漏洞修复状态表</t>
        </is>
      </c>
      <c r="W171" s="89" t="n"/>
      <c r="X171" s="88" t="inlineStr">
        <is>
          <t>漏洞修复状态表
{记录ID、漏洞编号、漏洞名称、漏洞等级、资产ID、资产名称、资产IP、组件名称、组件版本、组件类型、CPE名称、修复状态、修复方式、修复来源、修复时间、责任人、修复工具、修复耗时、更新时间、备注
}</t>
        </is>
      </c>
      <c r="Y171" s="88" t="n"/>
      <c r="Z171" s="88" t="n"/>
      <c r="AA171" s="76" t="inlineStr">
        <is>
          <t>异常捕捉规则表</t>
        </is>
      </c>
    </row>
    <row r="172" hidden="1" ht="54" customFormat="1" customHeight="1" s="63">
      <c r="A172" s="69">
        <f>ROW()-1</f>
        <v/>
      </c>
      <c r="B172" s="53" t="n"/>
      <c r="C172" s="78" t="n">
        <v>2025</v>
      </c>
      <c r="D172" s="78" t="inlineStr">
        <is>
          <t>蔡云飞</t>
        </is>
      </c>
      <c r="E172" s="53" t="n"/>
      <c r="F172" s="53" t="n"/>
      <c r="G172" s="53" t="n"/>
      <c r="H172" s="81" t="inlineStr">
        <is>
          <t>漏洞修复状态同步至资产管理平台</t>
        </is>
      </c>
      <c r="I172" s="76" t="inlineStr">
        <is>
          <t>EO</t>
        </is>
      </c>
      <c r="J172" s="95" t="n"/>
      <c r="K172" s="95" t="n"/>
      <c r="L172" s="83">
        <f>IF(OR(X172="估算法",X172="算法类",X172="无法识别"),"",IF(V172="",IF(OR(I172="EI",I172="EO",I172="EQ"),0,""),LEN(V172)-LEN(SUBSTITUTE(V172,"、",""))+1))</f>
        <v/>
      </c>
      <c r="M172" s="83">
        <f>IF(OR(X172="估算法",X172="算法类",X172="无法识别"),"",IF(W172="",IF(OR(I172="ILF",I172="EIF"),0,""),LEN(W172)-LEN(SUBSTITUTE(W172,"、",""))+1))</f>
        <v/>
      </c>
      <c r="N172" s="83">
        <f>IF(OR(X172="估算法",X172="算法类",X172="无法识别"),"",IF(X172="",IF(OR(I172="ILF",I172="EIF",I172="EI",I172="EO",I172="EQ"),0,""),LEN(X172)-LEN(SUBSTITUTE(SUBSTITUTE(SUBSTITUTE(SUBSTITUTE(SUBSTITUTE(X172,"|}","--"),"{|","--"),CHAR(10),""),"、",""),"|",""))+IF(AND(OR(I172="EI",I172="EO",I172="EQ"),$AD$1="NESMA"),2,1)))</f>
        <v/>
      </c>
      <c r="O172" s="84">
        <f>IF(I172="EI",IF(OR(X172="估算法",X172="算法类"),"中",IF(X172="无法识别","低",IF(L172&lt;2,IF(N172&lt;16,"低","中"),IF(L172&lt;3,IF(N172&lt;5,"低",IF(N172&lt;16,"中","高")),IF(N172&lt;5,"中","高"))))),IF(OR(I172="EO",I172="EQ"),IF(OR(X172="估算法",X172="算法类"),"中",IF(X172="无法识别","低",IF(L172&lt;2,IF(N172&lt;20,"低","中"),IF(L172&lt;4,IF(N172&lt;6,"低",IF(N172&lt;20,"中","高")),IF(N172&lt;6,"中","高"))))),IF(OR(I172="ILF",I172="EIF"),IF(OR(X172="估算法",X172="算法类",X172="无法识别"),"低",IF(M172&lt;2,IF(N172&lt;51,"低","中"),IF(M172&lt;6,IF(N172&lt;20,"低",IF(N172&lt;51,"中","高")),IF(N172&lt;20,"中","高")))),"不计算")))</f>
        <v/>
      </c>
      <c r="P172" s="142">
        <f>IFERROR(IF(I172="EI",IF(O172="低",3,IF(O172="中",4,6)),IF(I172="EO",IF(O172="低",4,IF(O172="中",5,7)),IF(I172="EQ",IF(O172="低",3,IF(O172="中",4,6)),IF(I172="ILF",IF(O172="低",7,IF(O172="中",10,15)),IF(I172="EIF",IF(O172="低",5,IF(O172="中",7,10)),"不计算")))))*Q172,"不计算")</f>
        <v/>
      </c>
      <c r="Q172" s="142" t="n">
        <v>1</v>
      </c>
      <c r="R172" s="143">
        <f>调整因子!$F$13</f>
        <v/>
      </c>
      <c r="S172" s="70" t="n">
        <v>1</v>
      </c>
      <c r="T172" s="144">
        <f>IFERROR(P172*R172,0)</f>
        <v/>
      </c>
      <c r="U172" s="144">
        <f>T172*S172</f>
        <v/>
      </c>
      <c r="V172" s="88" t="inlineStr">
        <is>
          <t>漏洞修复状态表</t>
        </is>
      </c>
      <c r="W172" s="89" t="n"/>
      <c r="X172" s="88" t="inlineStr">
        <is>
          <t>漏洞修复状态表
{记录ID、漏洞编号、漏洞名称、漏洞等级、资产ID、资产名称、资产IP、组件名称、组件版本、组件类型、CPE名称、修复状态、修复方式、修复来源、修复时间、责任人、修复工具、修复耗时、更新时间、备注
}</t>
        </is>
      </c>
      <c r="Y172" s="88" t="n"/>
      <c r="Z172" s="88" t="n"/>
      <c r="AA172" s="76" t="inlineStr">
        <is>
          <t>上报批次记录表、上报结果表、上报状态记录表</t>
        </is>
      </c>
    </row>
    <row r="173" hidden="1" ht="54" customFormat="1" customHeight="1" s="63">
      <c r="A173" s="69">
        <f>ROW()-1</f>
        <v/>
      </c>
      <c r="B173" s="53" t="n"/>
      <c r="C173" s="78" t="n">
        <v>2025</v>
      </c>
      <c r="D173" s="78" t="inlineStr">
        <is>
          <t>蔡云飞</t>
        </is>
      </c>
      <c r="E173" s="53" t="n"/>
      <c r="F173" s="53" t="n"/>
      <c r="G173" s="53" t="n"/>
      <c r="H173" s="81" t="inlineStr">
        <is>
          <t>漏洞修复状态同步结果查询</t>
        </is>
      </c>
      <c r="I173" s="76" t="inlineStr">
        <is>
          <t>EQ</t>
        </is>
      </c>
      <c r="J173" s="95" t="n"/>
      <c r="K173" s="95" t="n"/>
      <c r="L173" s="83">
        <f>IF(OR(X173="估算法",X173="算法类",X173="无法识别"),"",IF(V173="",IF(OR(I173="EI",I173="EO",I173="EQ"),0,""),LEN(V173)-LEN(SUBSTITUTE(V173,"、",""))+1))</f>
        <v/>
      </c>
      <c r="M173" s="83">
        <f>IF(OR(X173="估算法",X173="算法类",X173="无法识别"),"",IF(W173="",IF(OR(I173="ILF",I173="EIF"),0,""),LEN(W173)-LEN(SUBSTITUTE(W173,"、",""))+1))</f>
        <v/>
      </c>
      <c r="N173" s="83">
        <f>IF(OR(X173="估算法",X173="算法类",X173="无法识别"),"",IF(X173="",IF(OR(I173="ILF",I173="EIF",I173="EI",I173="EO",I173="EQ"),0,""),LEN(X173)-LEN(SUBSTITUTE(SUBSTITUTE(SUBSTITUTE(SUBSTITUTE(SUBSTITUTE(X173,"|}","--"),"{|","--"),CHAR(10),""),"、",""),"|",""))+IF(AND(OR(I173="EI",I173="EO",I173="EQ"),$AD$1="NESMA"),2,1)))</f>
        <v/>
      </c>
      <c r="O173" s="84">
        <f>IF(I173="EI",IF(OR(X173="估算法",X173="算法类"),"中",IF(X173="无法识别","低",IF(L173&lt;2,IF(N173&lt;16,"低","中"),IF(L173&lt;3,IF(N173&lt;5,"低",IF(N173&lt;16,"中","高")),IF(N173&lt;5,"中","高"))))),IF(OR(I173="EO",I173="EQ"),IF(OR(X173="估算法",X173="算法类"),"中",IF(X173="无法识别","低",IF(L173&lt;2,IF(N173&lt;20,"低","中"),IF(L173&lt;4,IF(N173&lt;6,"低",IF(N173&lt;20,"中","高")),IF(N173&lt;6,"中","高"))))),IF(OR(I173="ILF",I173="EIF"),IF(OR(X173="估算法",X173="算法类",X173="无法识别"),"低",IF(M173&lt;2,IF(N173&lt;51,"低","中"),IF(M173&lt;6,IF(N173&lt;20,"低",IF(N173&lt;51,"中","高")),IF(N173&lt;20,"中","高")))),"不计算")))</f>
        <v/>
      </c>
      <c r="P173" s="142">
        <f>IFERROR(IF(I173="EI",IF(O173="低",3,IF(O173="中",4,6)),IF(I173="EO",IF(O173="低",4,IF(O173="中",5,7)),IF(I173="EQ",IF(O173="低",3,IF(O173="中",4,6)),IF(I173="ILF",IF(O173="低",7,IF(O173="中",10,15)),IF(I173="EIF",IF(O173="低",5,IF(O173="中",7,10)),"不计算")))))*Q173,"不计算")</f>
        <v/>
      </c>
      <c r="Q173" s="142" t="n">
        <v>1</v>
      </c>
      <c r="R173" s="143">
        <f>调整因子!$F$13</f>
        <v/>
      </c>
      <c r="S173" s="76" t="n">
        <v>1</v>
      </c>
      <c r="T173" s="144">
        <f>IFERROR(P173*R173,0)</f>
        <v/>
      </c>
      <c r="U173" s="144">
        <f>T173*S173</f>
        <v/>
      </c>
      <c r="V173" s="88" t="inlineStr">
        <is>
          <t>漏洞修复状态表</t>
        </is>
      </c>
      <c r="W173" s="89" t="n"/>
      <c r="X173" s="88" t="inlineStr">
        <is>
          <t>漏洞修复状态表
{记录ID、漏洞编号、漏洞名称、漏洞等级、资产ID、资产名称、资产IP、组件名称、组件版本、组件类型、CPE名称、修复状态、修复方式、修复来源、修复时间、责任人、修复工具、修复耗时、更新时间、备注
}</t>
        </is>
      </c>
      <c r="Y173" s="88" t="n"/>
      <c r="Z173" s="88" t="n"/>
      <c r="AA173" s="76" t="inlineStr">
        <is>
          <t>上报批次记录表、上报结果表、上报状态记录表、状态变化日志表</t>
        </is>
      </c>
    </row>
    <row r="174" hidden="1" ht="54" customFormat="1" customHeight="1" s="63">
      <c r="A174" s="69">
        <f>ROW()-1</f>
        <v/>
      </c>
      <c r="B174" s="53" t="n"/>
      <c r="C174" s="78" t="n">
        <v>2025</v>
      </c>
      <c r="D174" s="78" t="inlineStr">
        <is>
          <t>蔡云飞</t>
        </is>
      </c>
      <c r="E174" s="53" t="n"/>
      <c r="F174" s="53" t="n"/>
      <c r="G174" s="53" t="n"/>
      <c r="H174" s="81" t="inlineStr">
        <is>
          <t>漏洞修复状态表</t>
        </is>
      </c>
      <c r="I174" s="76" t="inlineStr">
        <is>
          <t>ILF</t>
        </is>
      </c>
      <c r="J174" s="108" t="n"/>
      <c r="K174" s="108" t="inlineStr">
        <is>
          <t>数据库表未被本系统所维护</t>
        </is>
      </c>
      <c r="L174" s="83">
        <f>IF(OR(X174="估算法",X174="算法类",X174="无法识别"),"",IF(V174="",IF(OR(I174="EI",I174="EO",I174="EQ"),0,""),LEN(V174)-LEN(SUBSTITUTE(V174,"、",""))+1))</f>
        <v/>
      </c>
      <c r="M174" s="83">
        <f>IF(OR(X174="估算法",X174="算法类",X174="无法识别"),"",IF(W174="",IF(OR(I174="ILF",I174="EIF"),0,""),LEN(W174)-LEN(SUBSTITUTE(W174,"、",""))+1))</f>
        <v/>
      </c>
      <c r="N174" s="83">
        <f>IF(OR(X174="估算法",X174="算法类",X174="无法识别"),"",IF(X174="",IF(OR(I174="ILF",I174="EIF",I174="EI",I174="EO",I174="EQ"),0,""),LEN(X174)-LEN(SUBSTITUTE(SUBSTITUTE(SUBSTITUTE(SUBSTITUTE(SUBSTITUTE(X174,"|}","--"),"{|","--"),CHAR(10),""),"、",""),"|",""))+IF(AND(OR(I174="EI",I174="EO",I174="EQ"),$AD$1="NESMA"),2,1)))</f>
        <v/>
      </c>
      <c r="O174" s="84">
        <f>IF(I174="EI",IF(OR(X174="估算法",X174="算法类"),"中",IF(X174="无法识别","低",IF(L174&lt;2,IF(N174&lt;16,"低","中"),IF(L174&lt;3,IF(N174&lt;5,"低",IF(N174&lt;16,"中","高")),IF(N174&lt;5,"中","高"))))),IF(OR(I174="EO",I174="EQ"),IF(OR(X174="估算法",X174="算法类"),"中",IF(X174="无法识别","低",IF(L174&lt;2,IF(N174&lt;20,"低","中"),IF(L174&lt;4,IF(N174&lt;6,"低",IF(N174&lt;20,"中","高")),IF(N174&lt;6,"中","高"))))),IF(OR(I174="ILF",I174="EIF"),IF(OR(X174="估算法",X174="算法类",X174="无法识别"),"低",IF(M174&lt;2,IF(N174&lt;51,"低","中"),IF(M174&lt;6,IF(N174&lt;20,"低",IF(N174&lt;51,"中","高")),IF(N174&lt;20,"中","高")))),"不计算")))</f>
        <v/>
      </c>
      <c r="P174" s="142">
        <f>IFERROR(IF(I174="EI",IF(O174="低",3,IF(O174="中",4,6)),IF(I174="EO",IF(O174="低",4,IF(O174="中",5,7)),IF(I174="EQ",IF(O174="低",3,IF(O174="中",4,6)),IF(I174="ILF",IF(O174="低",7,IF(O174="中",10,15)),IF(I174="EIF",IF(O174="低",5,IF(O174="中",7,10)),"不计算")))))*Q174,"不计算")</f>
        <v/>
      </c>
      <c r="Q174" s="142" t="n">
        <v>0</v>
      </c>
      <c r="R174" s="143">
        <f>调整因子!$F$13</f>
        <v/>
      </c>
      <c r="S174" s="70" t="n">
        <v>1</v>
      </c>
      <c r="T174" s="144">
        <f>IFERROR(P174*R174,0)</f>
        <v/>
      </c>
      <c r="U174" s="144">
        <f>T174*S174</f>
        <v/>
      </c>
      <c r="V174" s="89" t="n"/>
      <c r="W174" s="88" t="inlineStr">
        <is>
          <t>漏洞修复状态表</t>
        </is>
      </c>
      <c r="X174" s="88" t="inlineStr">
        <is>
          <t>漏洞修复状态表
{记录ID、漏洞编号、漏洞名称、漏洞等级、资产ID、资产名称、资产IP、组件名称、组件版本、组件类型、CPE名称、修复状态、修复方式、修复来源、修复时间、责任人、修复工具、修复耗时、更新时间、备注
}</t>
        </is>
      </c>
      <c r="Y174" s="88">
        <f>IF(COUNTIFS(V:V,"*"&amp;H174&amp;"*")&gt;0,"存在","不存在")</f>
        <v/>
      </c>
      <c r="Z174" s="88">
        <f>IF(COUNTIFS(AA:AA,"*"&amp;H174&amp;"*")&gt;0,"存在","不存在")</f>
        <v/>
      </c>
      <c r="AA174" s="76" t="inlineStr">
        <is>
          <t>上报批次记录表、上报结果表、上报状态记录表、状态变化日志表</t>
        </is>
      </c>
    </row>
    <row r="175" hidden="1" ht="32.4" customFormat="1" customHeight="1" s="63">
      <c r="A175" s="69">
        <f>ROW()-1</f>
        <v/>
      </c>
      <c r="B175" s="53" t="n"/>
      <c r="C175" s="78" t="n">
        <v>2025</v>
      </c>
      <c r="D175" s="78" t="inlineStr">
        <is>
          <t>蔡云飞</t>
        </is>
      </c>
      <c r="E175" s="53" t="n"/>
      <c r="F175" s="53" t="n"/>
      <c r="G175" s="53" t="n"/>
      <c r="H175" s="81" t="inlineStr">
        <is>
          <t>漏洞修复状态变更记录表</t>
        </is>
      </c>
      <c r="I175" s="76" t="n"/>
      <c r="J175" s="108" t="n"/>
      <c r="K175" s="108" t="inlineStr">
        <is>
          <t>数据库表未被本系统所使用</t>
        </is>
      </c>
      <c r="L175" s="83">
        <f>IF(OR(X175="估算法",X175="算法类",X175="无法识别"),"",IF(V175="",IF(OR(I175="EI",I175="EO",I175="EQ"),0,""),LEN(V175)-LEN(SUBSTITUTE(V175,"、",""))+1))</f>
        <v/>
      </c>
      <c r="M175" s="83">
        <f>IF(OR(X175="估算法",X175="算法类",X175="无法识别"),"",IF(W175="",IF(OR(I175="ILF",I175="EIF"),0,""),LEN(W175)-LEN(SUBSTITUTE(W175,"、",""))+1))</f>
        <v/>
      </c>
      <c r="N175" s="83">
        <f>IF(OR(X175="估算法",X175="算法类",X175="无法识别"),"",IF(X175="",IF(OR(I175="ILF",I175="EIF",I175="EI",I175="EO",I175="EQ"),0,""),LEN(X175)-LEN(SUBSTITUTE(SUBSTITUTE(SUBSTITUTE(SUBSTITUTE(SUBSTITUTE(X175,"|}","--"),"{|","--"),CHAR(10),""),"、",""),"|",""))+IF(AND(OR(I175="EI",I175="EO",I175="EQ"),$AD$1="NESMA"),2,1)))</f>
        <v/>
      </c>
      <c r="O175" s="84">
        <f>IF(I175="EI",IF(OR(X175="估算法",X175="算法类"),"中",IF(X175="无法识别","低",IF(L175&lt;2,IF(N175&lt;16,"低","中"),IF(L175&lt;3,IF(N175&lt;5,"低",IF(N175&lt;16,"中","高")),IF(N175&lt;5,"中","高"))))),IF(OR(I175="EO",I175="EQ"),IF(OR(X175="估算法",X175="算法类"),"中",IF(X175="无法识别","低",IF(L175&lt;2,IF(N175&lt;20,"低","中"),IF(L175&lt;4,IF(N175&lt;6,"低",IF(N175&lt;20,"中","高")),IF(N175&lt;6,"中","高"))))),IF(OR(I175="ILF",I175="EIF"),IF(OR(X175="估算法",X175="算法类",X175="无法识别"),"低",IF(M175&lt;2,IF(N175&lt;51,"低","中"),IF(M175&lt;6,IF(N175&lt;20,"低",IF(N175&lt;51,"中","高")),IF(N175&lt;20,"中","高")))),"不计算")))</f>
        <v/>
      </c>
      <c r="P175" s="142">
        <f>IFERROR(IF(I175="EI",IF(O175="低",3,IF(O175="中",4,6)),IF(I175="EO",IF(O175="低",4,IF(O175="中",5,7)),IF(I175="EQ",IF(O175="低",3,IF(O175="中",4,6)),IF(I175="ILF",IF(O175="低",7,IF(O175="中",10,15)),IF(I175="EIF",IF(O175="低",5,IF(O175="中",7,10)),"不计算")))))*Q175,"不计算")</f>
        <v/>
      </c>
      <c r="Q175" s="142" t="n">
        <v>1</v>
      </c>
      <c r="R175" s="143">
        <f>调整因子!$F$13</f>
        <v/>
      </c>
      <c r="S175" s="70" t="n">
        <v>1</v>
      </c>
      <c r="T175" s="144">
        <f>IFERROR(P175*R175,0)</f>
        <v/>
      </c>
      <c r="U175" s="144">
        <f>T175*S175</f>
        <v/>
      </c>
      <c r="V175" s="89" t="n"/>
      <c r="W175" s="88" t="inlineStr">
        <is>
          <t>漏洞修复状态变更记录表</t>
        </is>
      </c>
      <c r="X175" s="88" t="inlineStr">
        <is>
          <t>漏洞修复状态变更记录表
{变更ID、记录ID、原状态、新状态、变更人、变更时间、变更原因、来源系统、备注}</t>
        </is>
      </c>
      <c r="Y175" s="88">
        <f>IF(COUNTIFS(V:V,"*"&amp;H175&amp;"*")&gt;0,"存在","不存在")</f>
        <v/>
      </c>
      <c r="Z175" s="88">
        <f>IF(COUNTIFS(AA:AA,"*"&amp;H175&amp;"*")&gt;0,"存在","不存在")</f>
        <v/>
      </c>
      <c r="AA175" s="76" t="inlineStr">
        <is>
          <t>上报批次记录表、上报结果表</t>
        </is>
      </c>
    </row>
    <row r="176" hidden="1" ht="32.4" customFormat="1" customHeight="1" s="63">
      <c r="A176" s="69">
        <f>ROW()-1</f>
        <v/>
      </c>
      <c r="B176" s="53" t="n"/>
      <c r="C176" s="78" t="n">
        <v>2025</v>
      </c>
      <c r="D176" s="78" t="inlineStr">
        <is>
          <t>蔡云飞</t>
        </is>
      </c>
      <c r="E176" s="53" t="n"/>
      <c r="F176" s="54" t="n"/>
      <c r="G176" s="54" t="n"/>
      <c r="H176" s="81" t="inlineStr">
        <is>
          <t>漏洞修复状态同步记录表</t>
        </is>
      </c>
      <c r="I176" s="76" t="n"/>
      <c r="J176" s="108" t="n"/>
      <c r="K176" s="108" t="inlineStr">
        <is>
          <t>数据库表未被本系统所使用</t>
        </is>
      </c>
      <c r="L176" s="83">
        <f>IF(OR(X176="估算法",X176="算法类",X176="无法识别"),"",IF(V176="",IF(OR(I176="EI",I176="EO",I176="EQ"),0,""),LEN(V176)-LEN(SUBSTITUTE(V176,"、",""))+1))</f>
        <v/>
      </c>
      <c r="M176" s="83">
        <f>IF(OR(X176="估算法",X176="算法类",X176="无法识别"),"",IF(W176="",IF(OR(I176="ILF",I176="EIF"),0,""),LEN(W176)-LEN(SUBSTITUTE(W176,"、",""))+1))</f>
        <v/>
      </c>
      <c r="N176" s="83">
        <f>IF(OR(X176="估算法",X176="算法类",X176="无法识别"),"",IF(X176="",IF(OR(I176="ILF",I176="EIF",I176="EI",I176="EO",I176="EQ"),0,""),LEN(X176)-LEN(SUBSTITUTE(SUBSTITUTE(SUBSTITUTE(SUBSTITUTE(SUBSTITUTE(X176,"|}","--"),"{|","--"),CHAR(10),""),"、",""),"|",""))+IF(AND(OR(I176="EI",I176="EO",I176="EQ"),$AD$1="NESMA"),2,1)))</f>
        <v/>
      </c>
      <c r="O176" s="84">
        <f>IF(I176="EI",IF(OR(X176="估算法",X176="算法类"),"中",IF(X176="无法识别","低",IF(L176&lt;2,IF(N176&lt;16,"低","中"),IF(L176&lt;3,IF(N176&lt;5,"低",IF(N176&lt;16,"中","高")),IF(N176&lt;5,"中","高"))))),IF(OR(I176="EO",I176="EQ"),IF(OR(X176="估算法",X176="算法类"),"中",IF(X176="无法识别","低",IF(L176&lt;2,IF(N176&lt;20,"低","中"),IF(L176&lt;4,IF(N176&lt;6,"低",IF(N176&lt;20,"中","高")),IF(N176&lt;6,"中","高"))))),IF(OR(I176="ILF",I176="EIF"),IF(OR(X176="估算法",X176="算法类",X176="无法识别"),"低",IF(M176&lt;2,IF(N176&lt;51,"低","中"),IF(M176&lt;6,IF(N176&lt;20,"低",IF(N176&lt;51,"中","高")),IF(N176&lt;20,"中","高")))),"不计算")))</f>
        <v/>
      </c>
      <c r="P176" s="142">
        <f>IFERROR(IF(I176="EI",IF(O176="低",3,IF(O176="中",4,6)),IF(I176="EO",IF(O176="低",4,IF(O176="中",5,7)),IF(I176="EQ",IF(O176="低",3,IF(O176="中",4,6)),IF(I176="ILF",IF(O176="低",7,IF(O176="中",10,15)),IF(I176="EIF",IF(O176="低",5,IF(O176="中",7,10)),"不计算")))))*Q176,"不计算")</f>
        <v/>
      </c>
      <c r="Q176" s="142" t="n">
        <v>1</v>
      </c>
      <c r="R176" s="143">
        <f>调整因子!$F$13</f>
        <v/>
      </c>
      <c r="S176" s="76" t="n">
        <v>1</v>
      </c>
      <c r="T176" s="144">
        <f>IFERROR(P176*R176,0)</f>
        <v/>
      </c>
      <c r="U176" s="144">
        <f>T176*S176</f>
        <v/>
      </c>
      <c r="V176" s="89" t="n"/>
      <c r="W176" s="88" t="inlineStr">
        <is>
          <t>漏洞修复状态同步记录表</t>
        </is>
      </c>
      <c r="X176" s="88" t="inlineStr">
        <is>
          <t>漏洞修复状态同步记录表
{同步ID、同步批次号、记录ID、漏洞编号、资产ID、同步目标系统、同步时间、同步状态、响应内容、备注}</t>
        </is>
      </c>
      <c r="Y176" s="88">
        <f>IF(COUNTIFS(V:V,"*"&amp;H176&amp;"*")&gt;0,"存在","不存在")</f>
        <v/>
      </c>
      <c r="Z176" s="88">
        <f>IF(COUNTIFS(AA:AA,"*"&amp;H176&amp;"*")&gt;0,"存在","不存在")</f>
        <v/>
      </c>
      <c r="AA176" s="96" t="inlineStr">
        <is>
          <t>数据清洗任务表、资产同步任务表、同步任务调度表、任务统计数据表、任务趋势分析表</t>
        </is>
      </c>
    </row>
    <row r="177" hidden="1" ht="43.2" customFormat="1" customHeight="1" s="63">
      <c r="A177" s="69">
        <f>ROW()-1</f>
        <v/>
      </c>
      <c r="B177" s="53" t="n"/>
      <c r="C177" s="78" t="n">
        <v>2025</v>
      </c>
      <c r="D177" s="78" t="inlineStr">
        <is>
          <t>蔡云飞</t>
        </is>
      </c>
      <c r="E177" s="53" t="n"/>
      <c r="F177" s="79" t="inlineStr">
        <is>
          <t>数据一致性保障</t>
        </is>
      </c>
      <c r="G177" s="79" t="inlineStr">
        <is>
          <t>数据一致性校验任务</t>
        </is>
      </c>
      <c r="H177" s="80" t="inlineStr">
        <is>
          <t>数据一致性审批查询</t>
        </is>
      </c>
      <c r="I177" s="76" t="inlineStr">
        <is>
          <t>EQ</t>
        </is>
      </c>
      <c r="J177" s="95" t="n"/>
      <c r="K177" s="95" t="n"/>
      <c r="L177" s="83">
        <f>IF(OR(X177="估算法",X177="算法类",X177="无法识别"),"",IF(V177="",IF(OR(I177="EI",I177="EO",I177="EQ"),0,""),LEN(V177)-LEN(SUBSTITUTE(V177,"、",""))+1))</f>
        <v/>
      </c>
      <c r="M177" s="83">
        <f>IF(OR(X177="估算法",X177="算法类",X177="无法识别"),"",IF(W177="",IF(OR(I177="ILF",I177="EIF"),0,""),LEN(W177)-LEN(SUBSTITUTE(W177,"、",""))+1))</f>
        <v/>
      </c>
      <c r="N177" s="83">
        <f>IF(OR(X177="估算法",X177="算法类",X177="无法识别"),"",IF(X177="",IF(OR(I177="ILF",I177="EIF",I177="EI",I177="EO",I177="EQ"),0,""),LEN(X177)-LEN(SUBSTITUTE(SUBSTITUTE(SUBSTITUTE(SUBSTITUTE(SUBSTITUTE(X177,"|}","--"),"{|","--"),CHAR(10),""),"、",""),"|",""))+IF(AND(OR(I177="EI",I177="EO",I177="EQ"),$AD$1="NESMA"),2,1)))</f>
        <v/>
      </c>
      <c r="O177" s="84">
        <f>IF(I177="EI",IF(OR(X177="估算法",X177="算法类"),"中",IF(X177="无法识别","低",IF(L177&lt;2,IF(N177&lt;16,"低","中"),IF(L177&lt;3,IF(N177&lt;5,"低",IF(N177&lt;16,"中","高")),IF(N177&lt;5,"中","高"))))),IF(OR(I177="EO",I177="EQ"),IF(OR(X177="估算法",X177="算法类"),"中",IF(X177="无法识别","低",IF(L177&lt;2,IF(N177&lt;20,"低","中"),IF(L177&lt;4,IF(N177&lt;6,"低",IF(N177&lt;20,"中","高")),IF(N177&lt;6,"中","高"))))),IF(OR(I177="ILF",I177="EIF"),IF(OR(X177="估算法",X177="算法类",X177="无法识别"),"低",IF(M177&lt;2,IF(N177&lt;51,"低","中"),IF(M177&lt;6,IF(N177&lt;20,"低",IF(N177&lt;51,"中","高")),IF(N177&lt;20,"中","高")))),"不计算")))</f>
        <v/>
      </c>
      <c r="P177" s="142">
        <f>IFERROR(IF(I177="EI",IF(O177="低",3,IF(O177="中",4,6)),IF(I177="EO",IF(O177="低",4,IF(O177="中",5,7)),IF(I177="EQ",IF(O177="低",3,IF(O177="中",4,6)),IF(I177="ILF",IF(O177="低",7,IF(O177="中",10,15)),IF(I177="EIF",IF(O177="低",5,IF(O177="中",7,10)),"不计算")))))*Q177,"不计算")</f>
        <v/>
      </c>
      <c r="Q177" s="142" t="n">
        <v>1</v>
      </c>
      <c r="R177" s="143">
        <f>调整因子!$F$13</f>
        <v/>
      </c>
      <c r="S177" s="70" t="n">
        <v>1</v>
      </c>
      <c r="T177" s="144">
        <f>IFERROR(P177*R177,0)</f>
        <v/>
      </c>
      <c r="U177" s="144">
        <f>T177*S177</f>
        <v/>
      </c>
      <c r="V177" s="88" t="inlineStr">
        <is>
          <t>数据一致性审批表</t>
        </is>
      </c>
      <c r="W177" s="89" t="n"/>
      <c r="X177" s="88"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Y177" s="88" t="n"/>
      <c r="Z177" s="88" t="n"/>
      <c r="AA177" s="96" t="inlineStr">
        <is>
          <t>数据清洗任务表、资产同步任务表、同步任务调度表、任务统计数据表</t>
        </is>
      </c>
    </row>
    <row r="178" hidden="1" ht="43.2" customFormat="1" customHeight="1" s="63">
      <c r="A178" s="69">
        <f>ROW()-1</f>
        <v/>
      </c>
      <c r="B178" s="53" t="n"/>
      <c r="C178" s="78" t="n">
        <v>2025</v>
      </c>
      <c r="D178" s="78" t="inlineStr">
        <is>
          <t>蔡云飞</t>
        </is>
      </c>
      <c r="E178" s="53" t="n"/>
      <c r="F178" s="53" t="n"/>
      <c r="G178" s="53" t="n"/>
      <c r="H178" s="80" t="inlineStr">
        <is>
          <t>数据一致性审批创建</t>
        </is>
      </c>
      <c r="I178" s="76" t="inlineStr">
        <is>
          <t>EI</t>
        </is>
      </c>
      <c r="J178" s="95" t="n"/>
      <c r="K178" s="95" t="n"/>
      <c r="L178" s="83">
        <f>IF(OR(X178="估算法",X178="算法类",X178="无法识别"),"",IF(V178="",IF(OR(I178="EI",I178="EO",I178="EQ"),0,""),LEN(V178)-LEN(SUBSTITUTE(V178,"、",""))+1))</f>
        <v/>
      </c>
      <c r="M178" s="83">
        <f>IF(OR(X178="估算法",X178="算法类",X178="无法识别"),"",IF(W178="",IF(OR(I178="ILF",I178="EIF"),0,""),LEN(W178)-LEN(SUBSTITUTE(W178,"、",""))+1))</f>
        <v/>
      </c>
      <c r="N178" s="83">
        <f>IF(OR(X178="估算法",X178="算法类",X178="无法识别"),"",IF(X178="",IF(OR(I178="ILF",I178="EIF",I178="EI",I178="EO",I178="EQ"),0,""),LEN(X178)-LEN(SUBSTITUTE(SUBSTITUTE(SUBSTITUTE(SUBSTITUTE(SUBSTITUTE(X178,"|}","--"),"{|","--"),CHAR(10),""),"、",""),"|",""))+IF(AND(OR(I178="EI",I178="EO",I178="EQ"),$AD$1="NESMA"),2,1)))</f>
        <v/>
      </c>
      <c r="O178" s="84">
        <f>IF(I178="EI",IF(OR(X178="估算法",X178="算法类"),"中",IF(X178="无法识别","低",IF(L178&lt;2,IF(N178&lt;16,"低","中"),IF(L178&lt;3,IF(N178&lt;5,"低",IF(N178&lt;16,"中","高")),IF(N178&lt;5,"中","高"))))),IF(OR(I178="EO",I178="EQ"),IF(OR(X178="估算法",X178="算法类"),"中",IF(X178="无法识别","低",IF(L178&lt;2,IF(N178&lt;20,"低","中"),IF(L178&lt;4,IF(N178&lt;6,"低",IF(N178&lt;20,"中","高")),IF(N178&lt;6,"中","高"))))),IF(OR(I178="ILF",I178="EIF"),IF(OR(X178="估算法",X178="算法类",X178="无法识别"),"低",IF(M178&lt;2,IF(N178&lt;51,"低","中"),IF(M178&lt;6,IF(N178&lt;20,"低",IF(N178&lt;51,"中","高")),IF(N178&lt;20,"中","高")))),"不计算")))</f>
        <v/>
      </c>
      <c r="P178" s="142">
        <f>IFERROR(IF(I178="EI",IF(O178="低",3,IF(O178="中",4,6)),IF(I178="EO",IF(O178="低",4,IF(O178="中",5,7)),IF(I178="EQ",IF(O178="低",3,IF(O178="中",4,6)),IF(I178="ILF",IF(O178="低",7,IF(O178="中",10,15)),IF(I178="EIF",IF(O178="低",5,IF(O178="中",7,10)),"不计算")))))*Q178,"不计算")</f>
        <v/>
      </c>
      <c r="Q178" s="142" t="n">
        <v>1</v>
      </c>
      <c r="R178" s="143">
        <f>调整因子!$F$13</f>
        <v/>
      </c>
      <c r="S178" s="70" t="n">
        <v>1</v>
      </c>
      <c r="T178" s="144">
        <f>IFERROR(P178*R178,0)</f>
        <v/>
      </c>
      <c r="U178" s="144">
        <f>T178*S178</f>
        <v/>
      </c>
      <c r="V178" s="88" t="inlineStr">
        <is>
          <t>数据一致性审批表</t>
        </is>
      </c>
      <c r="W178" s="89" t="n"/>
      <c r="X178" s="88"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Y178" s="88" t="n"/>
      <c r="Z178" s="88" t="n"/>
      <c r="AA178" s="96" t="inlineStr">
        <is>
          <t>数据清洗任务表、资产同步任务表、同步任务调度表</t>
        </is>
      </c>
    </row>
    <row r="179" hidden="1" ht="43.2" customFormat="1" customHeight="1" s="63">
      <c r="A179" s="69">
        <f>ROW()-1</f>
        <v/>
      </c>
      <c r="B179" s="53" t="n"/>
      <c r="C179" s="78" t="n">
        <v>2025</v>
      </c>
      <c r="D179" s="78" t="inlineStr">
        <is>
          <t>蔡云飞</t>
        </is>
      </c>
      <c r="E179" s="53" t="n"/>
      <c r="F179" s="53" t="n"/>
      <c r="G179" s="53" t="n"/>
      <c r="H179" s="80" t="inlineStr">
        <is>
          <t>数据一致性审批启动</t>
        </is>
      </c>
      <c r="I179" s="76" t="inlineStr">
        <is>
          <t>EI</t>
        </is>
      </c>
      <c r="J179" s="95" t="n"/>
      <c r="K179" s="95" t="n"/>
      <c r="L179" s="83">
        <f>IF(OR(X179="估算法",X179="算法类",X179="无法识别"),"",IF(V179="",IF(OR(I179="EI",I179="EO",I179="EQ"),0,""),LEN(V179)-LEN(SUBSTITUTE(V179,"、",""))+1))</f>
        <v/>
      </c>
      <c r="M179" s="83">
        <f>IF(OR(X179="估算法",X179="算法类",X179="无法识别"),"",IF(W179="",IF(OR(I179="ILF",I179="EIF"),0,""),LEN(W179)-LEN(SUBSTITUTE(W179,"、",""))+1))</f>
        <v/>
      </c>
      <c r="N179" s="83">
        <f>IF(OR(X179="估算法",X179="算法类",X179="无法识别"),"",IF(X179="",IF(OR(I179="ILF",I179="EIF",I179="EI",I179="EO",I179="EQ"),0,""),LEN(X179)-LEN(SUBSTITUTE(SUBSTITUTE(SUBSTITUTE(SUBSTITUTE(SUBSTITUTE(X179,"|}","--"),"{|","--"),CHAR(10),""),"、",""),"|",""))+IF(AND(OR(I179="EI",I179="EO",I179="EQ"),$AD$1="NESMA"),2,1)))</f>
        <v/>
      </c>
      <c r="O179" s="84">
        <f>IF(I179="EI",IF(OR(X179="估算法",X179="算法类"),"中",IF(X179="无法识别","低",IF(L179&lt;2,IF(N179&lt;16,"低","中"),IF(L179&lt;3,IF(N179&lt;5,"低",IF(N179&lt;16,"中","高")),IF(N179&lt;5,"中","高"))))),IF(OR(I179="EO",I179="EQ"),IF(OR(X179="估算法",X179="算法类"),"中",IF(X179="无法识别","低",IF(L179&lt;2,IF(N179&lt;20,"低","中"),IF(L179&lt;4,IF(N179&lt;6,"低",IF(N179&lt;20,"中","高")),IF(N179&lt;6,"中","高"))))),IF(OR(I179="ILF",I179="EIF"),IF(OR(X179="估算法",X179="算法类",X179="无法识别"),"低",IF(M179&lt;2,IF(N179&lt;51,"低","中"),IF(M179&lt;6,IF(N179&lt;20,"低",IF(N179&lt;51,"中","高")),IF(N179&lt;20,"中","高")))),"不计算")))</f>
        <v/>
      </c>
      <c r="P179" s="142">
        <f>IFERROR(IF(I179="EI",IF(O179="低",3,IF(O179="中",4,6)),IF(I179="EO",IF(O179="低",4,IF(O179="中",5,7)),IF(I179="EQ",IF(O179="低",3,IF(O179="中",4,6)),IF(I179="ILF",IF(O179="低",7,IF(O179="中",10,15)),IF(I179="EIF",IF(O179="低",5,IF(O179="中",7,10)),"不计算")))))*Q179,"不计算")</f>
        <v/>
      </c>
      <c r="Q179" s="142" t="n">
        <v>1</v>
      </c>
      <c r="R179" s="143">
        <f>调整因子!$F$13</f>
        <v/>
      </c>
      <c r="S179" s="76" t="n">
        <v>1</v>
      </c>
      <c r="T179" s="144">
        <f>IFERROR(P179*R179,0)</f>
        <v/>
      </c>
      <c r="U179" s="144">
        <f>T179*S179</f>
        <v/>
      </c>
      <c r="V179" s="88" t="inlineStr">
        <is>
          <t>数据一致性审批表</t>
        </is>
      </c>
      <c r="W179" s="89" t="n"/>
      <c r="X179" s="88"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Y179" s="88" t="n"/>
      <c r="Z179" s="88" t="n"/>
      <c r="AA179" s="96" t="inlineStr">
        <is>
          <t>数据清洗任务表、资产同步任务表、同步任务调度表</t>
        </is>
      </c>
    </row>
    <row r="180" hidden="1" ht="43.2" customFormat="1" customHeight="1" s="63">
      <c r="A180" s="69">
        <f>ROW()-1</f>
        <v/>
      </c>
      <c r="B180" s="53" t="n"/>
      <c r="C180" s="78" t="n">
        <v>2025</v>
      </c>
      <c r="D180" s="78" t="inlineStr">
        <is>
          <t>蔡云飞</t>
        </is>
      </c>
      <c r="E180" s="53" t="n"/>
      <c r="F180" s="53" t="n"/>
      <c r="G180" s="53" t="n"/>
      <c r="H180" s="80" t="inlineStr">
        <is>
          <t>数据一致性审批结果收集</t>
        </is>
      </c>
      <c r="I180" s="76" t="n"/>
      <c r="J180" s="95" t="n"/>
      <c r="K180" s="95" t="inlineStr">
        <is>
          <t>和上行合并，相同审批流程</t>
        </is>
      </c>
      <c r="L180" s="83">
        <f>IF(OR(X180="估算法",X180="算法类",X180="无法识别"),"",IF(V180="",IF(OR(I180="EI",I180="EO",I180="EQ"),0,""),LEN(V180)-LEN(SUBSTITUTE(V180,"、",""))+1))</f>
        <v/>
      </c>
      <c r="M180" s="83">
        <f>IF(OR(X180="估算法",X180="算法类",X180="无法识别"),"",IF(W180="",IF(OR(I180="ILF",I180="EIF"),0,""),LEN(W180)-LEN(SUBSTITUTE(W180,"、",""))+1))</f>
        <v/>
      </c>
      <c r="N180" s="83">
        <f>IF(OR(X180="估算法",X180="算法类",X180="无法识别"),"",IF(X180="",IF(OR(I180="ILF",I180="EIF",I180="EI",I180="EO",I180="EQ"),0,""),LEN(X180)-LEN(SUBSTITUTE(SUBSTITUTE(SUBSTITUTE(SUBSTITUTE(SUBSTITUTE(X180,"|}","--"),"{|","--"),CHAR(10),""),"、",""),"|",""))+IF(AND(OR(I180="EI",I180="EO",I180="EQ"),$AD$1="NESMA"),2,1)))</f>
        <v/>
      </c>
      <c r="O180" s="84">
        <f>IF(I180="EI",IF(OR(X180="估算法",X180="算法类"),"中",IF(X180="无法识别","低",IF(L180&lt;2,IF(N180&lt;16,"低","中"),IF(L180&lt;3,IF(N180&lt;5,"低",IF(N180&lt;16,"中","高")),IF(N180&lt;5,"中","高"))))),IF(OR(I180="EO",I180="EQ"),IF(OR(X180="估算法",X180="算法类"),"中",IF(X180="无法识别","低",IF(L180&lt;2,IF(N180&lt;20,"低","中"),IF(L180&lt;4,IF(N180&lt;6,"低",IF(N180&lt;20,"中","高")),IF(N180&lt;6,"中","高"))))),IF(OR(I180="ILF",I180="EIF"),IF(OR(X180="估算法",X180="算法类",X180="无法识别"),"低",IF(M180&lt;2,IF(N180&lt;51,"低","中"),IF(M180&lt;6,IF(N180&lt;20,"低",IF(N180&lt;51,"中","高")),IF(N180&lt;20,"中","高")))),"不计算")))</f>
        <v/>
      </c>
      <c r="P180" s="142">
        <f>IFERROR(IF(I180="EI",IF(O180="低",3,IF(O180="中",4,6)),IF(I180="EO",IF(O180="低",4,IF(O180="中",5,7)),IF(I180="EQ",IF(O180="低",3,IF(O180="中",4,6)),IF(I180="ILF",IF(O180="低",7,IF(O180="中",10,15)),IF(I180="EIF",IF(O180="低",5,IF(O180="中",7,10)),"不计算")))))*Q180,"不计算")</f>
        <v/>
      </c>
      <c r="Q180" s="142" t="n">
        <v>1</v>
      </c>
      <c r="R180" s="143">
        <f>调整因子!$F$13</f>
        <v/>
      </c>
      <c r="S180" s="70" t="n">
        <v>1</v>
      </c>
      <c r="T180" s="144">
        <f>IFERROR(P180*R180,0)</f>
        <v/>
      </c>
      <c r="U180" s="144">
        <f>T180*S180</f>
        <v/>
      </c>
      <c r="V180" s="88" t="inlineStr">
        <is>
          <t>数据一致性审批表</t>
        </is>
      </c>
      <c r="W180" s="89" t="n"/>
      <c r="X180" s="88"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Y180" s="88" t="n"/>
      <c r="Z180" s="88" t="n"/>
      <c r="AA180" s="96" t="inlineStr">
        <is>
          <t>数据清洗任务表、资产同步任务表、同步任务调度表</t>
        </is>
      </c>
    </row>
    <row r="181" hidden="1" ht="43.2" customFormat="1" customHeight="1" s="63">
      <c r="A181" s="69">
        <f>ROW()-1</f>
        <v/>
      </c>
      <c r="B181" s="53" t="n"/>
      <c r="C181" s="78" t="n">
        <v>2025</v>
      </c>
      <c r="D181" s="78" t="inlineStr">
        <is>
          <t>蔡云飞</t>
        </is>
      </c>
      <c r="E181" s="53" t="n"/>
      <c r="F181" s="53" t="n"/>
      <c r="G181" s="53" t="n"/>
      <c r="H181" s="81" t="inlineStr">
        <is>
          <t>数据一致性审批表</t>
        </is>
      </c>
      <c r="I181" s="76" t="inlineStr">
        <is>
          <t>ILF</t>
        </is>
      </c>
      <c r="J181" s="95" t="n"/>
      <c r="K181" s="95" t="n"/>
      <c r="L181" s="83">
        <f>IF(OR(X181="估算法",X181="算法类",X181="无法识别"),"",IF(V181="",IF(OR(I181="EI",I181="EO",I181="EQ"),0,""),LEN(V181)-LEN(SUBSTITUTE(V181,"、",""))+1))</f>
        <v/>
      </c>
      <c r="M181" s="83">
        <f>IF(OR(X181="估算法",X181="算法类",X181="无法识别"),"",IF(W181="",IF(OR(I181="ILF",I181="EIF"),0,""),LEN(W181)-LEN(SUBSTITUTE(W181,"、",""))+1))</f>
        <v/>
      </c>
      <c r="N181" s="83">
        <f>IF(OR(X181="估算法",X181="算法类",X181="无法识别"),"",IF(X181="",IF(OR(I181="ILF",I181="EIF",I181="EI",I181="EO",I181="EQ"),0,""),LEN(X181)-LEN(SUBSTITUTE(SUBSTITUTE(SUBSTITUTE(SUBSTITUTE(SUBSTITUTE(X181,"|}","--"),"{|","--"),CHAR(10),""),"、",""),"|",""))+IF(AND(OR(I181="EI",I181="EO",I181="EQ"),$AD$1="NESMA"),2,1)))</f>
        <v/>
      </c>
      <c r="O181" s="84">
        <f>IF(I181="EI",IF(OR(X181="估算法",X181="算法类"),"中",IF(X181="无法识别","低",IF(L181&lt;2,IF(N181&lt;16,"低","中"),IF(L181&lt;3,IF(N181&lt;5,"低",IF(N181&lt;16,"中","高")),IF(N181&lt;5,"中","高"))))),IF(OR(I181="EO",I181="EQ"),IF(OR(X181="估算法",X181="算法类"),"中",IF(X181="无法识别","低",IF(L181&lt;2,IF(N181&lt;20,"低","中"),IF(L181&lt;4,IF(N181&lt;6,"低",IF(N181&lt;20,"中","高")),IF(N181&lt;6,"中","高"))))),IF(OR(I181="ILF",I181="EIF"),IF(OR(X181="估算法",X181="算法类",X181="无法识别"),"低",IF(M181&lt;2,IF(N181&lt;51,"低","中"),IF(M181&lt;6,IF(N181&lt;20,"低",IF(N181&lt;51,"中","高")),IF(N181&lt;20,"中","高")))),"不计算")))</f>
        <v/>
      </c>
      <c r="P181" s="142">
        <f>IFERROR(IF(I181="EI",IF(O181="低",3,IF(O181="中",4,6)),IF(I181="EO",IF(O181="低",4,IF(O181="中",5,7)),IF(I181="EQ",IF(O181="低",3,IF(O181="中",4,6)),IF(I181="ILF",IF(O181="低",7,IF(O181="中",10,15)),IF(I181="EIF",IF(O181="低",5,IF(O181="中",7,10)),"不计算")))))*Q181,"不计算")</f>
        <v/>
      </c>
      <c r="Q181" s="142" t="n">
        <v>1</v>
      </c>
      <c r="R181" s="143">
        <f>调整因子!$F$13</f>
        <v/>
      </c>
      <c r="S181" s="70" t="n">
        <v>1</v>
      </c>
      <c r="T181" s="144">
        <f>IFERROR(P181*R181,0)</f>
        <v/>
      </c>
      <c r="U181" s="144">
        <f>T181*S181</f>
        <v/>
      </c>
      <c r="V181" s="89" t="n"/>
      <c r="W181" s="88" t="inlineStr">
        <is>
          <t>数据一致性审批表</t>
        </is>
      </c>
      <c r="X181" s="88"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Y181" s="88">
        <f>IF(COUNTIFS(V:V,"*"&amp;H181&amp;"*")&gt;0,"存在","不存在")</f>
        <v/>
      </c>
      <c r="Z181" s="88">
        <f>IF(COUNTIFS(AA:AA,"*"&amp;H181&amp;"*")&gt;0,"存在","不存在")</f>
        <v/>
      </c>
      <c r="AA181" s="96" t="inlineStr">
        <is>
          <t>数据清洗任务表、资产同步任务表、同步任务调度表</t>
        </is>
      </c>
    </row>
    <row r="182" hidden="1" ht="32.4" customFormat="1" customHeight="1" s="63">
      <c r="A182" s="69">
        <f>ROW()-1</f>
        <v/>
      </c>
      <c r="B182" s="53" t="n"/>
      <c r="C182" s="78" t="n">
        <v>2025</v>
      </c>
      <c r="D182" s="78" t="inlineStr">
        <is>
          <t>蔡云飞</t>
        </is>
      </c>
      <c r="E182" s="53" t="n"/>
      <c r="F182" s="53" t="n"/>
      <c r="G182" s="53" t="n"/>
      <c r="H182" s="81" t="inlineStr">
        <is>
          <t>数据一致性审批流程表</t>
        </is>
      </c>
      <c r="I182" s="76" t="n"/>
      <c r="J182" s="108" t="n"/>
      <c r="K182" s="108" t="inlineStr">
        <is>
          <t>数据库表未被本系统所使用</t>
        </is>
      </c>
      <c r="L182" s="83">
        <f>IF(OR(X182="估算法",X182="算法类",X182="无法识别"),"",IF(V182="",IF(OR(I182="EI",I182="EO",I182="EQ"),0,""),LEN(V182)-LEN(SUBSTITUTE(V182,"、",""))+1))</f>
        <v/>
      </c>
      <c r="M182" s="83">
        <f>IF(OR(X182="估算法",X182="算法类",X182="无法识别"),"",IF(W182="",IF(OR(I182="ILF",I182="EIF"),0,""),LEN(W182)-LEN(SUBSTITUTE(W182,"、",""))+1))</f>
        <v/>
      </c>
      <c r="N182" s="83">
        <f>IF(OR(X182="估算法",X182="算法类",X182="无法识别"),"",IF(X182="",IF(OR(I182="ILF",I182="EIF",I182="EI",I182="EO",I182="EQ"),0,""),LEN(X182)-LEN(SUBSTITUTE(SUBSTITUTE(SUBSTITUTE(SUBSTITUTE(SUBSTITUTE(X182,"|}","--"),"{|","--"),CHAR(10),""),"、",""),"|",""))+IF(AND(OR(I182="EI",I182="EO",I182="EQ"),$AD$1="NESMA"),2,1)))</f>
        <v/>
      </c>
      <c r="O182" s="84">
        <f>IF(I182="EI",IF(OR(X182="估算法",X182="算法类"),"中",IF(X182="无法识别","低",IF(L182&lt;2,IF(N182&lt;16,"低","中"),IF(L182&lt;3,IF(N182&lt;5,"低",IF(N182&lt;16,"中","高")),IF(N182&lt;5,"中","高"))))),IF(OR(I182="EO",I182="EQ"),IF(OR(X182="估算法",X182="算法类"),"中",IF(X182="无法识别","低",IF(L182&lt;2,IF(N182&lt;20,"低","中"),IF(L182&lt;4,IF(N182&lt;6,"低",IF(N182&lt;20,"中","高")),IF(N182&lt;6,"中","高"))))),IF(OR(I182="ILF",I182="EIF"),IF(OR(X182="估算法",X182="算法类",X182="无法识别"),"低",IF(M182&lt;2,IF(N182&lt;51,"低","中"),IF(M182&lt;6,IF(N182&lt;20,"低",IF(N182&lt;51,"中","高")),IF(N182&lt;20,"中","高")))),"不计算")))</f>
        <v/>
      </c>
      <c r="P182" s="142">
        <f>IFERROR(IF(I182="EI",IF(O182="低",3,IF(O182="中",4,6)),IF(I182="EO",IF(O182="低",4,IF(O182="中",5,7)),IF(I182="EQ",IF(O182="低",3,IF(O182="中",4,6)),IF(I182="ILF",IF(O182="低",7,IF(O182="中",10,15)),IF(I182="EIF",IF(O182="低",5,IF(O182="中",7,10)),"不计算")))))*Q182,"不计算")</f>
        <v/>
      </c>
      <c r="Q182" s="142" t="n">
        <v>1</v>
      </c>
      <c r="R182" s="143">
        <f>调整因子!$F$13</f>
        <v/>
      </c>
      <c r="S182" s="76" t="n">
        <v>1</v>
      </c>
      <c r="T182" s="144">
        <f>IFERROR(P182*R182,0)</f>
        <v/>
      </c>
      <c r="U182" s="144">
        <f>T182*S182</f>
        <v/>
      </c>
      <c r="V182" s="89" t="n"/>
      <c r="W182" s="88" t="inlineStr">
        <is>
          <t>数据一致性审批流程表</t>
        </is>
      </c>
      <c r="X182" s="88" t="inlineStr">
        <is>
          <t>数据一致性审批流程表
{流程ID、任务ID、节点序号、审批人、审批角色、审批状态、审批意见、审批时间、处理结果、处理时间、备注}</t>
        </is>
      </c>
      <c r="Y182" s="88">
        <f>IF(COUNTIFS(V:V,"*"&amp;H182&amp;"*")&gt;0,"存在","不存在")</f>
        <v/>
      </c>
      <c r="Z182" s="88">
        <f>IF(COUNTIFS(AA:AA,"*"&amp;H182&amp;"*")&gt;0,"存在","不存在")</f>
        <v/>
      </c>
      <c r="AA182" s="96" t="inlineStr">
        <is>
          <t>推送规则表、提醒规则表、脱敏规则表</t>
        </is>
      </c>
    </row>
    <row r="183" hidden="1" ht="32.4" customFormat="1" customHeight="1" s="63">
      <c r="A183" s="69">
        <f>ROW()-1</f>
        <v/>
      </c>
      <c r="B183" s="53" t="n"/>
      <c r="C183" s="78" t="n">
        <v>2025</v>
      </c>
      <c r="D183" s="78" t="inlineStr">
        <is>
          <t>蔡云飞</t>
        </is>
      </c>
      <c r="E183" s="54" t="n"/>
      <c r="F183" s="54" t="n"/>
      <c r="G183" s="54" t="n"/>
      <c r="H183" s="81" t="inlineStr">
        <is>
          <t>数据一致性审批结果表</t>
        </is>
      </c>
      <c r="I183" s="76" t="n"/>
      <c r="J183" s="108" t="n"/>
      <c r="K183" s="108" t="inlineStr">
        <is>
          <t>数据库表未被本系统所使用</t>
        </is>
      </c>
      <c r="L183" s="83">
        <f>IF(OR(X183="估算法",X183="算法类",X183="无法识别"),"",IF(V183="",IF(OR(I183="EI",I183="EO",I183="EQ"),0,""),LEN(V183)-LEN(SUBSTITUTE(V183,"、",""))+1))</f>
        <v/>
      </c>
      <c r="M183" s="83">
        <f>IF(OR(X183="估算法",X183="算法类",X183="无法识别"),"",IF(W183="",IF(OR(I183="ILF",I183="EIF"),0,""),LEN(W183)-LEN(SUBSTITUTE(W183,"、",""))+1))</f>
        <v/>
      </c>
      <c r="N183" s="83">
        <f>IF(OR(X183="估算法",X183="算法类",X183="无法识别"),"",IF(X183="",IF(OR(I183="ILF",I183="EIF",I183="EI",I183="EO",I183="EQ"),0,""),LEN(X183)-LEN(SUBSTITUTE(SUBSTITUTE(SUBSTITUTE(SUBSTITUTE(SUBSTITUTE(X183,"|}","--"),"{|","--"),CHAR(10),""),"、",""),"|",""))+IF(AND(OR(I183="EI",I183="EO",I183="EQ"),$AD$1="NESMA"),2,1)))</f>
        <v/>
      </c>
      <c r="O183" s="84">
        <f>IF(I183="EI",IF(OR(X183="估算法",X183="算法类"),"中",IF(X183="无法识别","低",IF(L183&lt;2,IF(N183&lt;16,"低","中"),IF(L183&lt;3,IF(N183&lt;5,"低",IF(N183&lt;16,"中","高")),IF(N183&lt;5,"中","高"))))),IF(OR(I183="EO",I183="EQ"),IF(OR(X183="估算法",X183="算法类"),"中",IF(X183="无法识别","低",IF(L183&lt;2,IF(N183&lt;20,"低","中"),IF(L183&lt;4,IF(N183&lt;6,"低",IF(N183&lt;20,"中","高")),IF(N183&lt;6,"中","高"))))),IF(OR(I183="ILF",I183="EIF"),IF(OR(X183="估算法",X183="算法类",X183="无法识别"),"低",IF(M183&lt;2,IF(N183&lt;51,"低","中"),IF(M183&lt;6,IF(N183&lt;20,"低",IF(N183&lt;51,"中","高")),IF(N183&lt;20,"中","高")))),"不计算")))</f>
        <v/>
      </c>
      <c r="P183" s="142">
        <f>IFERROR(IF(I183="EI",IF(O183="低",3,IF(O183="中",4,6)),IF(I183="EO",IF(O183="低",4,IF(O183="中",5,7)),IF(I183="EQ",IF(O183="低",3,IF(O183="中",4,6)),IF(I183="ILF",IF(O183="低",7,IF(O183="中",10,15)),IF(I183="EIF",IF(O183="低",5,IF(O183="中",7,10)),"不计算")))))*Q183,"不计算")</f>
        <v/>
      </c>
      <c r="Q183" s="142" t="n">
        <v>1</v>
      </c>
      <c r="R183" s="143">
        <f>调整因子!$F$13</f>
        <v/>
      </c>
      <c r="S183" s="70" t="n">
        <v>1</v>
      </c>
      <c r="T183" s="144">
        <f>IFERROR(P183*R183,0)</f>
        <v/>
      </c>
      <c r="U183" s="144">
        <f>T183*S183</f>
        <v/>
      </c>
      <c r="V183" s="89" t="n"/>
      <c r="W183" s="88" t="inlineStr">
        <is>
          <t>数据一致性审批结果表</t>
        </is>
      </c>
      <c r="X183" s="88" t="inlineStr">
        <is>
          <t>数据一致性审批结果表
{结果ID、任务ID、目标数据ID、最终结果、一致性结论、处理建议、处理人、处理时间、备注}</t>
        </is>
      </c>
      <c r="Y183" s="88">
        <f>IF(COUNTIFS(V:V,"*"&amp;H183&amp;"*")&gt;0,"存在","不存在")</f>
        <v/>
      </c>
      <c r="Z183" s="88">
        <f>IF(COUNTIFS(AA:AA,"*"&amp;H183&amp;"*")&gt;0,"存在","不存在")</f>
        <v/>
      </c>
      <c r="AA183" s="96" t="inlineStr">
        <is>
          <t>推送规则表、提醒规则表、脱敏规则表、加密规则表</t>
        </is>
      </c>
    </row>
    <row r="184" ht="10.8" customFormat="1" customHeight="1" s="63">
      <c r="A184" s="69" t="n"/>
      <c r="B184" s="53" t="n"/>
      <c r="C184" s="78" t="n">
        <v>2025</v>
      </c>
      <c r="D184" s="78" t="inlineStr">
        <is>
          <t>张明峰</t>
        </is>
      </c>
      <c r="E184" s="76" t="inlineStr">
        <is>
          <t>漏洞概念验证全生命周期管理</t>
        </is>
      </c>
      <c r="F184" s="76" t="inlineStr">
        <is>
          <t>漏洞概念验证全生命周期管理</t>
        </is>
      </c>
      <c r="G184" s="76" t="inlineStr">
        <is>
          <t>插件模板管理</t>
        </is>
      </c>
      <c r="H184" s="81" t="inlineStr">
        <is>
          <t>添加插件版本</t>
        </is>
      </c>
      <c r="I184" s="76" t="inlineStr">
        <is>
          <t>EI</t>
        </is>
      </c>
      <c r="J184" s="92" t="inlineStr">
        <is>
          <t>新增</t>
        </is>
      </c>
      <c r="K184" s="108" t="n"/>
      <c r="L184" s="83" t="n"/>
      <c r="M184" s="83" t="n"/>
      <c r="N184" s="83" t="n"/>
      <c r="O184" s="84" t="n"/>
      <c r="P184" s="142" t="n"/>
      <c r="Q184" s="142" t="n"/>
      <c r="R184" s="143" t="n"/>
      <c r="S184" s="70" t="n"/>
      <c r="T184" s="144" t="n"/>
      <c r="U184" s="144" t="n"/>
      <c r="V184" s="89" t="inlineStr">
        <is>
          <t>插件版本管理表、插件基本信息表</t>
        </is>
      </c>
      <c r="W184" s="88" t="n"/>
      <c r="X184" s="88" t="inlineStr">
        <is>
          <t>插件版本管理表{插件编号、版本号、发布说明、发布时间|版本编号、插件编号、版本号、发布说明、发布时间}、插件基本信息表{插件编号|插件编号、插件名称、版本、更新时间}</t>
        </is>
      </c>
      <c r="Y184" s="88" t="n"/>
      <c r="Z184" s="88" t="n"/>
      <c r="AA184" s="96" t="n"/>
    </row>
    <row r="185" ht="10.8" customFormat="1" customHeight="1" s="63">
      <c r="A185" s="69" t="n"/>
      <c r="B185" s="53" t="n"/>
      <c r="C185" s="78" t="n">
        <v>2025</v>
      </c>
      <c r="D185" s="78" t="inlineStr">
        <is>
          <t>张明峰</t>
        </is>
      </c>
      <c r="E185" s="53" t="n"/>
      <c r="F185" s="53" t="n"/>
      <c r="G185" s="53" t="n"/>
      <c r="H185" s="81" t="inlineStr">
        <is>
          <t>编辑插件版本</t>
        </is>
      </c>
      <c r="I185" s="76" t="inlineStr">
        <is>
          <t>EI</t>
        </is>
      </c>
      <c r="J185" s="92" t="inlineStr">
        <is>
          <t>新增</t>
        </is>
      </c>
      <c r="K185" s="108" t="n"/>
      <c r="L185" s="83" t="n"/>
      <c r="M185" s="83" t="n"/>
      <c r="N185" s="83" t="n"/>
      <c r="O185" s="84" t="n"/>
      <c r="P185" s="142" t="n"/>
      <c r="Q185" s="142" t="n"/>
      <c r="R185" s="143" t="n"/>
      <c r="S185" s="70" t="n"/>
      <c r="T185" s="144" t="n"/>
      <c r="U185" s="144" t="n"/>
      <c r="V185" s="89" t="inlineStr">
        <is>
          <t>插件版本管理表</t>
        </is>
      </c>
      <c r="W185" s="88" t="n"/>
      <c r="X185" s="88" t="inlineStr">
        <is>
          <t>插件版本管理表{版本编号、版本号、发布说明、发布时间|版本编号、插件编号、版本号、发布说明、发布时间}</t>
        </is>
      </c>
      <c r="Y185" s="88" t="n"/>
      <c r="Z185" s="88" t="n"/>
      <c r="AA185" s="96" t="n"/>
    </row>
    <row r="186" ht="10.8" customFormat="1" customHeight="1" s="63">
      <c r="A186" s="69" t="n"/>
      <c r="B186" s="53" t="n"/>
      <c r="C186" s="78" t="n">
        <v>2025</v>
      </c>
      <c r="D186" s="78" t="inlineStr">
        <is>
          <t>张明峰</t>
        </is>
      </c>
      <c r="E186" s="53" t="n"/>
      <c r="F186" s="53" t="n"/>
      <c r="G186" s="53" t="n"/>
      <c r="H186" s="81" t="inlineStr">
        <is>
          <t>删除插件版本</t>
        </is>
      </c>
      <c r="I186" s="76" t="inlineStr">
        <is>
          <t>EI</t>
        </is>
      </c>
      <c r="J186" s="92" t="inlineStr">
        <is>
          <t>新增</t>
        </is>
      </c>
      <c r="K186" s="108" t="n"/>
      <c r="L186" s="83" t="n"/>
      <c r="M186" s="83" t="n"/>
      <c r="N186" s="83" t="n"/>
      <c r="O186" s="84" t="n"/>
      <c r="P186" s="142" t="n"/>
      <c r="Q186" s="142" t="n"/>
      <c r="R186" s="143" t="n"/>
      <c r="S186" s="70" t="n"/>
      <c r="T186" s="144" t="n"/>
      <c r="U186" s="144" t="n"/>
      <c r="V186" s="89" t="inlineStr">
        <is>
          <t>插件版本管理表</t>
        </is>
      </c>
      <c r="W186" s="88" t="n"/>
      <c r="X186" s="88" t="inlineStr">
        <is>
          <t>插件版本管理表{版本编号|版本编号、插件编号}</t>
        </is>
      </c>
      <c r="Y186" s="88" t="n"/>
      <c r="Z186" s="88" t="n"/>
      <c r="AA186" s="96" t="n"/>
    </row>
    <row r="187" ht="10.8" customFormat="1" customHeight="1" s="63">
      <c r="A187" s="69" t="n"/>
      <c r="B187" s="53" t="n"/>
      <c r="C187" s="78" t="n">
        <v>2025</v>
      </c>
      <c r="D187" s="78" t="inlineStr">
        <is>
          <t>张明峰</t>
        </is>
      </c>
      <c r="E187" s="53" t="n"/>
      <c r="F187" s="53" t="n"/>
      <c r="G187" s="53" t="n"/>
      <c r="H187" s="81" t="inlineStr">
        <is>
          <t>查询插件版本</t>
        </is>
      </c>
      <c r="I187" s="76" t="inlineStr">
        <is>
          <t>EQ</t>
        </is>
      </c>
      <c r="J187" s="92" t="inlineStr">
        <is>
          <t>新增</t>
        </is>
      </c>
      <c r="K187" s="108" t="n"/>
      <c r="L187" s="83" t="n"/>
      <c r="M187" s="83" t="n"/>
      <c r="N187" s="83" t="n"/>
      <c r="O187" s="84" t="n"/>
      <c r="P187" s="142" t="n"/>
      <c r="Q187" s="142" t="n"/>
      <c r="R187" s="143" t="n"/>
      <c r="S187" s="70" t="n"/>
      <c r="T187" s="144" t="n"/>
      <c r="U187" s="144" t="n"/>
      <c r="V187" s="89" t="inlineStr">
        <is>
          <t>插件版本管理表、插件基本信息表</t>
        </is>
      </c>
      <c r="W187" s="88" t="n"/>
      <c r="X187" s="88" t="inlineStr">
        <is>
          <t>插件版本管理表{插件编号、版本号|版本编号、插件编号、版本号、发布说明、发布时间}、插件基本信息表{插件编号、插件名称|插件编号、插件名称、编码、状态}</t>
        </is>
      </c>
      <c r="Y187" s="88" t="n"/>
      <c r="Z187" s="88" t="n"/>
      <c r="AA187" s="96" t="n"/>
    </row>
    <row r="188" ht="32.4" customFormat="1" customHeight="1" s="63">
      <c r="A188" s="69">
        <f>ROW()-1</f>
        <v/>
      </c>
      <c r="B188" s="53" t="n"/>
      <c r="C188" s="78" t="n">
        <v>2025</v>
      </c>
      <c r="D188" s="78" t="inlineStr">
        <is>
          <t>张明峰</t>
        </is>
      </c>
      <c r="E188" s="53" t="n"/>
      <c r="F188" s="53" t="n"/>
      <c r="G188" s="53" t="n"/>
      <c r="H188" s="81" t="inlineStr">
        <is>
          <t>添加插件规范模板</t>
        </is>
      </c>
      <c r="I188" s="76" t="inlineStr">
        <is>
          <t>EI</t>
        </is>
      </c>
      <c r="J188" s="108" t="n"/>
      <c r="K188" s="108" t="n"/>
      <c r="L188" s="83">
        <f>IF(OR(X188="估算法",X188="算法类",X188="无法识别"),"",IF(V188="",IF(OR(I188="EI",I188="EO",I188="EQ"),0,""),LEN(V188)-LEN(SUBSTITUTE(V188,"、",""))+1))</f>
        <v/>
      </c>
      <c r="M188" s="83">
        <f>IF(OR(X188="估算法",X188="算法类",X188="无法识别"),"",IF(W188="",IF(OR(I188="ILF",I188="EIF"),0,""),LEN(W188)-LEN(SUBSTITUTE(W188,"、",""))+1))</f>
        <v/>
      </c>
      <c r="N188" s="83">
        <f>IF(OR(X188="估算法",X188="算法类",X188="无法识别"),"",IF(X188="",IF(OR(I188="ILF",I188="EIF",I188="EI",I188="EO",I188="EQ"),0,""),LEN(X188)-LEN(SUBSTITUTE(SUBSTITUTE(SUBSTITUTE(SUBSTITUTE(SUBSTITUTE(X188,"|}","--"),"{|","--"),CHAR(10),""),"、",""),"|",""))+IF(AND(OR(I188="EI",I188="EO",I188="EQ"),$AD$1="NESMA"),2,1)))</f>
        <v/>
      </c>
      <c r="O188" s="84">
        <f>IF(I188="EI",IF(OR(X188="估算法",X188="算法类"),"中",IF(X188="无法识别","低",IF(L188&lt;2,IF(N188&lt;16,"低","中"),IF(L188&lt;3,IF(N188&lt;5,"低",IF(N188&lt;16,"中","高")),IF(N188&lt;5,"中","高"))))),IF(OR(I188="EO",I188="EQ"),IF(OR(X188="估算法",X188="算法类"),"中",IF(X188="无法识别","低",IF(L188&lt;2,IF(N188&lt;20,"低","中"),IF(L188&lt;4,IF(N188&lt;6,"低",IF(N188&lt;20,"中","高")),IF(N188&lt;6,"中","高"))))),IF(OR(I188="ILF",I188="EIF"),IF(OR(X188="估算法",X188="算法类",X188="无法识别"),"低",IF(M188&lt;2,IF(N188&lt;51,"低","中"),IF(M188&lt;6,IF(N188&lt;20,"低",IF(N188&lt;51,"中","高")),IF(N188&lt;20,"中","高")))),"不计算")))</f>
        <v/>
      </c>
      <c r="P188" s="142">
        <f>IFERROR(IF(I188="EI",IF(O188="低",3,IF(O188="中",4,6)),IF(I188="EO",IF(O188="低",4,IF(O188="中",5,7)),IF(I188="EQ",IF(O188="低",3,IF(O188="中",4,6)),IF(I188="ILF",IF(O188="低",7,IF(O188="中",10,15)),IF(I188="EIF",IF(O188="低",5,IF(O188="中",7,10)),"不计算")))))*Q188,"不计算")</f>
        <v/>
      </c>
      <c r="Q188" s="142" t="n">
        <v>1</v>
      </c>
      <c r="R188" s="143">
        <f>调整因子!$F$13</f>
        <v/>
      </c>
      <c r="S188" s="70" t="n">
        <v>1</v>
      </c>
      <c r="T188" s="144">
        <f>IFERROR(P188*R188,0)</f>
        <v/>
      </c>
      <c r="U188" s="144">
        <f>T188*S188</f>
        <v/>
      </c>
      <c r="V188" s="88" t="inlineStr">
        <is>
          <t>插件模板表、插件规范表、插件审计表</t>
        </is>
      </c>
      <c r="W188" s="89" t="n"/>
      <c r="X188" s="88" t="inlineStr">
        <is>
          <t>插件模板表{模板ID、模板名称、模板内容、创建时间、状态}、插件规范表{规范ID、规范名称、规范版本、规范内容、创建时间}、插件审计表{审计ID、插件ID、审计内容、审计时间}</t>
        </is>
      </c>
      <c r="Y188" s="88" t="n"/>
      <c r="Z188" s="88" t="n"/>
      <c r="AA188" s="96" t="inlineStr">
        <is>
          <t>推送规则表、提醒规则表、脱敏规则表、加密规则表、提醒规则表</t>
        </is>
      </c>
    </row>
    <row r="189" ht="32.4" customFormat="1" customHeight="1" s="63">
      <c r="A189" s="69">
        <f>ROW()-1</f>
        <v/>
      </c>
      <c r="B189" s="53" t="n"/>
      <c r="C189" s="78" t="n">
        <v>2025</v>
      </c>
      <c r="D189" s="78" t="inlineStr">
        <is>
          <t>张明峰</t>
        </is>
      </c>
      <c r="E189" s="53" t="n"/>
      <c r="F189" s="53" t="n"/>
      <c r="G189" s="53" t="n"/>
      <c r="H189" s="81" t="inlineStr">
        <is>
          <t>编辑插件规范模板内容</t>
        </is>
      </c>
      <c r="I189" s="76" t="inlineStr">
        <is>
          <t>EI</t>
        </is>
      </c>
      <c r="J189" s="108" t="n"/>
      <c r="K189" s="108" t="n"/>
      <c r="L189" s="83">
        <f>IF(OR(X189="估算法",X189="算法类",X189="无法识别"),"",IF(V189="",IF(OR(I189="EI",I189="EO",I189="EQ"),0,""),LEN(V189)-LEN(SUBSTITUTE(V189,"、",""))+1))</f>
        <v/>
      </c>
      <c r="M189" s="83">
        <f>IF(OR(X189="估算法",X189="算法类",X189="无法识别"),"",IF(W189="",IF(OR(I189="ILF",I189="EIF"),0,""),LEN(W189)-LEN(SUBSTITUTE(W189,"、",""))+1))</f>
        <v/>
      </c>
      <c r="N189" s="83">
        <f>IF(OR(X189="估算法",X189="算法类",X189="无法识别"),"",IF(X189="",IF(OR(I189="ILF",I189="EIF",I189="EI",I189="EO",I189="EQ"),0,""),LEN(X189)-LEN(SUBSTITUTE(SUBSTITUTE(SUBSTITUTE(SUBSTITUTE(SUBSTITUTE(X189,"|}","--"),"{|","--"),CHAR(10),""),"、",""),"|",""))+IF(AND(OR(I189="EI",I189="EO",I189="EQ"),$AD$1="NESMA"),2,1)))</f>
        <v/>
      </c>
      <c r="O189" s="84">
        <f>IF(I189="EI",IF(OR(X189="估算法",X189="算法类"),"中",IF(X189="无法识别","低",IF(L189&lt;2,IF(N189&lt;16,"低","中"),IF(L189&lt;3,IF(N189&lt;5,"低",IF(N189&lt;16,"中","高")),IF(N189&lt;5,"中","高"))))),IF(OR(I189="EO",I189="EQ"),IF(OR(X189="估算法",X189="算法类"),"中",IF(X189="无法识别","低",IF(L189&lt;2,IF(N189&lt;20,"低","中"),IF(L189&lt;4,IF(N189&lt;6,"低",IF(N189&lt;20,"中","高")),IF(N189&lt;6,"中","高"))))),IF(OR(I189="ILF",I189="EIF"),IF(OR(X189="估算法",X189="算法类",X189="无法识别"),"低",IF(M189&lt;2,IF(N189&lt;51,"低","中"),IF(M189&lt;6,IF(N189&lt;20,"低",IF(N189&lt;51,"中","高")),IF(N189&lt;20,"中","高")))),"不计算")))</f>
        <v/>
      </c>
      <c r="P189" s="142">
        <f>IFERROR(IF(I189="EI",IF(O189="低",3,IF(O189="中",4,6)),IF(I189="EO",IF(O189="低",4,IF(O189="中",5,7)),IF(I189="EQ",IF(O189="低",3,IF(O189="中",4,6)),IF(I189="ILF",IF(O189="低",7,IF(O189="中",10,15)),IF(I189="EIF",IF(O189="低",5,IF(O189="中",7,10)),"不计算")))))*Q189,"不计算")</f>
        <v/>
      </c>
      <c r="Q189" s="142" t="n">
        <v>1</v>
      </c>
      <c r="R189" s="143">
        <f>调整因子!$F$13</f>
        <v/>
      </c>
      <c r="S189" s="76" t="n">
        <v>1</v>
      </c>
      <c r="T189" s="144">
        <f>IFERROR(P189*R189,0)</f>
        <v/>
      </c>
      <c r="U189" s="144">
        <f>T189*S189</f>
        <v/>
      </c>
      <c r="V189" s="88" t="inlineStr">
        <is>
          <t>插件规范表、插件模板表、插件审计表</t>
        </is>
      </c>
      <c r="W189" s="89" t="n"/>
      <c r="X189" s="88" t="inlineStr">
        <is>
          <t>插件规范表{规范ID、规范名称、规范版本、规范内容、创建时间}、插件模板表{模板ID、模板名称、模板内容、创建时间、状态}、插件审计表{审计ID、插件ID、审计内容、审计时间}</t>
        </is>
      </c>
      <c r="Y189" s="88" t="n"/>
      <c r="Z189" s="88" t="n"/>
      <c r="AA189" s="96" t="inlineStr">
        <is>
          <t>推送规则表、提醒规则表、脱敏规则表、加密规则表、标签分类表</t>
        </is>
      </c>
    </row>
    <row r="190" ht="10.8" customFormat="1" customHeight="1" s="63">
      <c r="A190" s="69">
        <f>ROW()-1</f>
        <v/>
      </c>
      <c r="B190" s="53" t="n"/>
      <c r="C190" s="78" t="n">
        <v>2025</v>
      </c>
      <c r="D190" s="78" t="inlineStr">
        <is>
          <t>张明峰</t>
        </is>
      </c>
      <c r="E190" s="53" t="n"/>
      <c r="F190" s="53" t="n"/>
      <c r="G190" s="53" t="n"/>
      <c r="H190" s="81" t="inlineStr">
        <is>
          <t>插件规范模板标记已过时</t>
        </is>
      </c>
      <c r="I190" s="76" t="inlineStr">
        <is>
          <t>EI</t>
        </is>
      </c>
      <c r="J190" s="108" t="n"/>
      <c r="K190" s="108" t="n"/>
      <c r="L190" s="83">
        <f>IF(OR(X190="估算法",X190="算法类",X190="无法识别"),"",IF(V190="",IF(OR(I190="EI",I190="EO",I190="EQ"),0,""),LEN(V190)-LEN(SUBSTITUTE(V190,"、",""))+1))</f>
        <v/>
      </c>
      <c r="M190" s="83">
        <f>IF(OR(X190="估算法",X190="算法类",X190="无法识别"),"",IF(W190="",IF(OR(I190="ILF",I190="EIF"),0,""),LEN(W190)-LEN(SUBSTITUTE(W190,"、",""))+1))</f>
        <v/>
      </c>
      <c r="N190" s="83">
        <f>IF(OR(X190="估算法",X190="算法类",X190="无法识别"),"",IF(X190="",IF(OR(I190="ILF",I190="EIF",I190="EI",I190="EO",I190="EQ"),0,""),LEN(X190)-LEN(SUBSTITUTE(SUBSTITUTE(SUBSTITUTE(SUBSTITUTE(SUBSTITUTE(X190,"|}","--"),"{|","--"),CHAR(10),""),"、",""),"|",""))+IF(AND(OR(I190="EI",I190="EO",I190="EQ"),$AD$1="NESMA"),2,1)))</f>
        <v/>
      </c>
      <c r="O190" s="84">
        <f>IF(I190="EI",IF(OR(X190="估算法",X190="算法类"),"中",IF(X190="无法识别","低",IF(L190&lt;2,IF(N190&lt;16,"低","中"),IF(L190&lt;3,IF(N190&lt;5,"低",IF(N190&lt;16,"中","高")),IF(N190&lt;5,"中","高"))))),IF(OR(I190="EO",I190="EQ"),IF(OR(X190="估算法",X190="算法类"),"中",IF(X190="无法识别","低",IF(L190&lt;2,IF(N190&lt;20,"低","中"),IF(L190&lt;4,IF(N190&lt;6,"低",IF(N190&lt;20,"中","高")),IF(N190&lt;6,"中","高"))))),IF(OR(I190="ILF",I190="EIF"),IF(OR(X190="估算法",X190="算法类",X190="无法识别"),"低",IF(M190&lt;2,IF(N190&lt;51,"低","中"),IF(M190&lt;6,IF(N190&lt;20,"低",IF(N190&lt;51,"中","高")),IF(N190&lt;20,"中","高")))),"不计算")))</f>
        <v/>
      </c>
      <c r="P190" s="142">
        <f>IFERROR(IF(I190="EI",IF(O190="低",3,IF(O190="中",4,6)),IF(I190="EO",IF(O190="低",4,IF(O190="中",5,7)),IF(I190="EQ",IF(O190="低",3,IF(O190="中",4,6)),IF(I190="ILF",IF(O190="低",7,IF(O190="中",10,15)),IF(I190="EIF",IF(O190="低",5,IF(O190="中",7,10)),"不计算")))))*Q190,"不计算")</f>
        <v/>
      </c>
      <c r="Q190" s="142" t="n">
        <v>1</v>
      </c>
      <c r="R190" s="143">
        <f>调整因子!$F$13</f>
        <v/>
      </c>
      <c r="S190" s="70" t="n">
        <v>1</v>
      </c>
      <c r="T190" s="144">
        <f>IFERROR(P190*R190,0)</f>
        <v/>
      </c>
      <c r="U190" s="144">
        <f>T190*S190</f>
        <v/>
      </c>
      <c r="V190" s="88" t="inlineStr">
        <is>
          <t>插件模板表</t>
        </is>
      </c>
      <c r="W190" s="89" t="n"/>
      <c r="X190" s="88" t="inlineStr">
        <is>
          <t>插件模板表{模板ID、状态|板ID、模板名称、模板内容、状态、创建时间}</t>
        </is>
      </c>
      <c r="Y190" s="88" t="n"/>
      <c r="Z190" s="88" t="n"/>
      <c r="AA190" s="96" t="inlineStr">
        <is>
          <t>数据清洗任务表、资产同步任务表、同步任务调度表、任务统计数据表、任务趋势分析表</t>
        </is>
      </c>
    </row>
    <row r="191" ht="10.8" customFormat="1" customHeight="1" s="63">
      <c r="A191" s="69">
        <f>ROW()-1</f>
        <v/>
      </c>
      <c r="B191" s="53" t="n"/>
      <c r="C191" s="78" t="n">
        <v>2025</v>
      </c>
      <c r="D191" s="78" t="inlineStr">
        <is>
          <t>张明峰</t>
        </is>
      </c>
      <c r="E191" s="53" t="n"/>
      <c r="F191" s="53" t="n"/>
      <c r="G191" s="53" t="n"/>
      <c r="H191" s="81" t="inlineStr">
        <is>
          <t>插件规范模板标记删除</t>
        </is>
      </c>
      <c r="I191" s="76" t="inlineStr">
        <is>
          <t>EI</t>
        </is>
      </c>
      <c r="J191" s="108" t="n"/>
      <c r="K191" s="108" t="n"/>
      <c r="L191" s="83">
        <f>IF(OR(X191="估算法",X191="算法类",X191="无法识别"),"",IF(V191="",IF(OR(I191="EI",I191="EO",I191="EQ"),0,""),LEN(V191)-LEN(SUBSTITUTE(V191,"、",""))+1))</f>
        <v/>
      </c>
      <c r="M191" s="83">
        <f>IF(OR(X191="估算法",X191="算法类",X191="无法识别"),"",IF(W191="",IF(OR(I191="ILF",I191="EIF"),0,""),LEN(W191)-LEN(SUBSTITUTE(W191,"、",""))+1))</f>
        <v/>
      </c>
      <c r="N191" s="83">
        <f>IF(OR(X191="估算法",X191="算法类",X191="无法识别"),"",IF(X191="",IF(OR(I191="ILF",I191="EIF",I191="EI",I191="EO",I191="EQ"),0,""),LEN(X191)-LEN(SUBSTITUTE(SUBSTITUTE(SUBSTITUTE(SUBSTITUTE(SUBSTITUTE(X191,"|}","--"),"{|","--"),CHAR(10),""),"、",""),"|",""))+IF(AND(OR(I191="EI",I191="EO",I191="EQ"),$AD$1="NESMA"),2,1)))</f>
        <v/>
      </c>
      <c r="O191" s="84">
        <f>IF(I191="EI",IF(OR(X191="估算法",X191="算法类"),"中",IF(X191="无法识别","低",IF(L191&lt;2,IF(N191&lt;16,"低","中"),IF(L191&lt;3,IF(N191&lt;5,"低",IF(N191&lt;16,"中","高")),IF(N191&lt;5,"中","高"))))),IF(OR(I191="EO",I191="EQ"),IF(OR(X191="估算法",X191="算法类"),"中",IF(X191="无法识别","低",IF(L191&lt;2,IF(N191&lt;20,"低","中"),IF(L191&lt;4,IF(N191&lt;6,"低",IF(N191&lt;20,"中","高")),IF(N191&lt;6,"中","高"))))),IF(OR(I191="ILF",I191="EIF"),IF(OR(X191="估算法",X191="算法类",X191="无法识别"),"低",IF(M191&lt;2,IF(N191&lt;51,"低","中"),IF(M191&lt;6,IF(N191&lt;20,"低",IF(N191&lt;51,"中","高")),IF(N191&lt;20,"中","高")))),"不计算")))</f>
        <v/>
      </c>
      <c r="P191" s="142">
        <f>IFERROR(IF(I191="EI",IF(O191="低",3,IF(O191="中",4,6)),IF(I191="EO",IF(O191="低",4,IF(O191="中",5,7)),IF(I191="EQ",IF(O191="低",3,IF(O191="中",4,6)),IF(I191="ILF",IF(O191="低",7,IF(O191="中",10,15)),IF(I191="EIF",IF(O191="低",5,IF(O191="中",7,10)),"不计算")))))*Q191,"不计算")</f>
        <v/>
      </c>
      <c r="Q191" s="142" t="n">
        <v>0.333333333333333</v>
      </c>
      <c r="R191" s="143">
        <f>调整因子!$F$13</f>
        <v/>
      </c>
      <c r="S191" s="70" t="n">
        <v>1</v>
      </c>
      <c r="T191" s="144">
        <f>IFERROR(P191*R191,0)</f>
        <v/>
      </c>
      <c r="U191" s="144">
        <f>T191*S191</f>
        <v/>
      </c>
      <c r="V191" s="88" t="inlineStr">
        <is>
          <t>插件模板表</t>
        </is>
      </c>
      <c r="W191" s="89" t="n"/>
      <c r="X191" s="88" t="inlineStr">
        <is>
          <t>插件模板表{模板ID、状态|板ID、模板名称、模板内容、状态、创建时间}</t>
        </is>
      </c>
      <c r="Y191" s="88" t="n"/>
      <c r="Z191" s="88" t="n"/>
      <c r="AA191" s="96" t="inlineStr">
        <is>
          <t>数据清洗任务表、资产同步任务表、同步任务调度表</t>
        </is>
      </c>
    </row>
    <row r="192" ht="21.6" customFormat="1" customHeight="1" s="63">
      <c r="A192" s="69">
        <f>ROW()-1</f>
        <v/>
      </c>
      <c r="B192" s="53" t="n"/>
      <c r="C192" s="78" t="n">
        <v>2025</v>
      </c>
      <c r="D192" s="78" t="inlineStr">
        <is>
          <t>张明峰</t>
        </is>
      </c>
      <c r="E192" s="53" t="n"/>
      <c r="F192" s="53" t="n"/>
      <c r="G192" s="53" t="n"/>
      <c r="H192" s="81" t="inlineStr">
        <is>
          <t>导出插件规范模板</t>
        </is>
      </c>
      <c r="I192" s="76" t="inlineStr">
        <is>
          <t>EO</t>
        </is>
      </c>
      <c r="J192" s="108" t="n"/>
      <c r="K192" s="108" t="n"/>
      <c r="L192" s="83">
        <f>IF(OR(X192="估算法",X192="算法类",X192="无法识别"),"",IF(V192="",IF(OR(I192="EI",I192="EO",I192="EQ"),0,""),LEN(V192)-LEN(SUBSTITUTE(V192,"、",""))+1))</f>
        <v/>
      </c>
      <c r="M192" s="83">
        <f>IF(OR(X192="估算法",X192="算法类",X192="无法识别"),"",IF(W192="",IF(OR(I192="ILF",I192="EIF"),0,""),LEN(W192)-LEN(SUBSTITUTE(W192,"、",""))+1))</f>
        <v/>
      </c>
      <c r="N192" s="83">
        <f>IF(OR(X192="估算法",X192="算法类",X192="无法识别"),"",IF(X192="",IF(OR(I192="ILF",I192="EIF",I192="EI",I192="EO",I192="EQ"),0,""),LEN(X192)-LEN(SUBSTITUTE(SUBSTITUTE(SUBSTITUTE(SUBSTITUTE(SUBSTITUTE(X192,"|}","--"),"{|","--"),CHAR(10),""),"、",""),"|",""))+IF(AND(OR(I192="EI",I192="EO",I192="EQ"),$AD$1="NESMA"),2,1)))</f>
        <v/>
      </c>
      <c r="O192" s="84">
        <f>IF(I192="EI",IF(OR(X192="估算法",X192="算法类"),"中",IF(X192="无法识别","低",IF(L192&lt;2,IF(N192&lt;16,"低","中"),IF(L192&lt;3,IF(N192&lt;5,"低",IF(N192&lt;16,"中","高")),IF(N192&lt;5,"中","高"))))),IF(OR(I192="EO",I192="EQ"),IF(OR(X192="估算法",X192="算法类"),"中",IF(X192="无法识别","低",IF(L192&lt;2,IF(N192&lt;20,"低","中"),IF(L192&lt;4,IF(N192&lt;6,"低",IF(N192&lt;20,"中","高")),IF(N192&lt;6,"中","高"))))),IF(OR(I192="ILF",I192="EIF"),IF(OR(X192="估算法",X192="算法类",X192="无法识别"),"低",IF(M192&lt;2,IF(N192&lt;51,"低","中"),IF(M192&lt;6,IF(N192&lt;20,"低",IF(N192&lt;51,"中","高")),IF(N192&lt;20,"中","高")))),"不计算")))</f>
        <v/>
      </c>
      <c r="P192" s="142">
        <f>IFERROR(IF(I192="EI",IF(O192="低",3,IF(O192="中",4,6)),IF(I192="EO",IF(O192="低",4,IF(O192="中",5,7)),IF(I192="EQ",IF(O192="低",3,IF(O192="中",4,6)),IF(I192="ILF",IF(O192="低",7,IF(O192="中",10,15)),IF(I192="EIF",IF(O192="低",5,IF(O192="中",7,10)),"不计算")))))*Q192,"不计算")</f>
        <v/>
      </c>
      <c r="Q192" s="142" t="n">
        <v>1</v>
      </c>
      <c r="R192" s="143">
        <f>调整因子!$F$13</f>
        <v/>
      </c>
      <c r="S192" s="76" t="n">
        <v>1</v>
      </c>
      <c r="T192" s="144">
        <f>IFERROR(P192*R192,0)</f>
        <v/>
      </c>
      <c r="U192" s="144">
        <f>T192*S192</f>
        <v/>
      </c>
      <c r="V192" s="88" t="inlineStr">
        <is>
          <t>插件规范表、插件模板表</t>
        </is>
      </c>
      <c r="W192" s="89" t="n"/>
      <c r="X192" s="88" t="inlineStr">
        <is>
          <t>插件规范表{规范ID、规范名称、规范版本、规范内容、创建时间}、插件模板表{模板ID、模板名称、模板内容、创建时间、状态}</t>
        </is>
      </c>
      <c r="Y192" s="88" t="n"/>
      <c r="Z192" s="88" t="n"/>
      <c r="AA192" s="96" t="inlineStr">
        <is>
          <t>审计日志表、漏洞处置推送接口配置表、提醒规则表、扫描策略模板表</t>
        </is>
      </c>
    </row>
    <row r="193" ht="10.8" customFormat="1" customHeight="1" s="63">
      <c r="A193" s="69" t="n"/>
      <c r="B193" s="53" t="n"/>
      <c r="C193" s="78" t="n">
        <v>2025</v>
      </c>
      <c r="D193" s="78" t="inlineStr">
        <is>
          <t>张明峰</t>
        </is>
      </c>
      <c r="E193" s="53" t="n"/>
      <c r="F193" s="53" t="n"/>
      <c r="G193" s="53" t="n"/>
      <c r="H193" s="81" t="inlineStr">
        <is>
          <t>查询插件规范模板信息</t>
        </is>
      </c>
      <c r="I193" s="76" t="inlineStr">
        <is>
          <t>EQ</t>
        </is>
      </c>
      <c r="J193" s="92" t="inlineStr">
        <is>
          <t>新增</t>
        </is>
      </c>
      <c r="K193" s="108" t="n"/>
      <c r="L193" s="83" t="n"/>
      <c r="M193" s="83" t="n"/>
      <c r="N193" s="83" t="n"/>
      <c r="O193" s="84" t="n"/>
      <c r="P193" s="142" t="n"/>
      <c r="Q193" s="142" t="n"/>
      <c r="R193" s="143" t="n"/>
      <c r="S193" s="76" t="n"/>
      <c r="T193" s="144" t="n"/>
      <c r="U193" s="144" t="n"/>
      <c r="V193" s="88" t="inlineStr">
        <is>
          <t>插件模板表、插件规范表</t>
        </is>
      </c>
      <c r="W193" s="89" t="n"/>
      <c r="X193" s="88" t="inlineStr">
        <is>
          <t>插件模板表{模板名称、状态|模板编号、模板名称、模板内容、创建时间、状态}、插件规范表{规范名称、规范版本|规范编号、规范名称、规范版本、规范内容、创建时间}</t>
        </is>
      </c>
      <c r="Y193" s="88" t="n"/>
      <c r="Z193" s="88" t="n"/>
      <c r="AA193" s="96" t="n"/>
    </row>
    <row r="194" ht="10.8" customFormat="1" customHeight="1" s="63">
      <c r="A194" s="69">
        <f>ROW()-1</f>
        <v/>
      </c>
      <c r="B194" s="53" t="n"/>
      <c r="C194" s="78" t="n">
        <v>2025</v>
      </c>
      <c r="D194" s="78" t="inlineStr">
        <is>
          <t>张明峰</t>
        </is>
      </c>
      <c r="E194" s="53" t="n"/>
      <c r="F194" s="53" t="n"/>
      <c r="G194" s="53" t="n"/>
      <c r="H194" s="81" t="inlineStr">
        <is>
          <t>查询插件规范模板详情</t>
        </is>
      </c>
      <c r="I194" s="76" t="inlineStr">
        <is>
          <t>EO</t>
        </is>
      </c>
      <c r="J194" s="93" t="inlineStr">
        <is>
          <t>修改名称：「查询规范模板日志审计」</t>
        </is>
      </c>
      <c r="K194" s="108" t="n"/>
      <c r="L194" s="83">
        <f>IF(OR(X194="估算法",X194="算法类",X194="无法识别"),"",IF(V194="",IF(OR(I194="EI",I194="EO",I194="EQ"),0,""),LEN(V194)-LEN(SUBSTITUTE(V194,"、",""))+1))</f>
        <v/>
      </c>
      <c r="M194" s="83">
        <f>IF(OR(X194="估算法",X194="算法类",X194="无法识别"),"",IF(W194="",IF(OR(I194="ILF",I194="EIF"),0,""),LEN(W194)-LEN(SUBSTITUTE(W194,"、",""))+1))</f>
        <v/>
      </c>
      <c r="N194" s="83">
        <f>IF(OR(X194="估算法",X194="算法类",X194="无法识别"),"",IF(X194="",IF(OR(I194="ILF",I194="EIF",I194="EI",I194="EO",I194="EQ"),0,""),LEN(X194)-LEN(SUBSTITUTE(SUBSTITUTE(SUBSTITUTE(SUBSTITUTE(SUBSTITUTE(X194,"|}","--"),"{|","--"),CHAR(10),""),"、",""),"|",""))+IF(AND(OR(I194="EI",I194="EO",I194="EQ"),$AD$1="NESMA"),2,1)))</f>
        <v/>
      </c>
      <c r="O194" s="84">
        <f>IF(I194="EI",IF(OR(X194="估算法",X194="算法类"),"中",IF(X194="无法识别","低",IF(L194&lt;2,IF(N194&lt;16,"低","中"),IF(L194&lt;3,IF(N194&lt;5,"低",IF(N194&lt;16,"中","高")),IF(N194&lt;5,"中","高"))))),IF(OR(I194="EO",I194="EQ"),IF(OR(X194="估算法",X194="算法类"),"中",IF(X194="无法识别","低",IF(L194&lt;2,IF(N194&lt;20,"低","中"),IF(L194&lt;4,IF(N194&lt;6,"低",IF(N194&lt;20,"中","高")),IF(N194&lt;6,"中","高"))))),IF(OR(I194="ILF",I194="EIF"),IF(OR(X194="估算法",X194="算法类",X194="无法识别"),"低",IF(M194&lt;2,IF(N194&lt;51,"低","中"),IF(M194&lt;6,IF(N194&lt;20,"低",IF(N194&lt;51,"中","高")),IF(N194&lt;20,"中","高")))),"不计算")))</f>
        <v/>
      </c>
      <c r="P194" s="142">
        <f>IFERROR(IF(I194="EI",IF(O194="低",3,IF(O194="中",4,6)),IF(I194="EO",IF(O194="低",4,IF(O194="中",5,7)),IF(I194="EQ",IF(O194="低",3,IF(O194="中",4,6)),IF(I194="ILF",IF(O194="低",7,IF(O194="中",10,15)),IF(I194="EIF",IF(O194="低",5,IF(O194="中",7,10)),"不计算")))))*Q194,"不计算")</f>
        <v/>
      </c>
      <c r="Q194" s="142" t="n">
        <v>1</v>
      </c>
      <c r="R194" s="143">
        <f>调整因子!$F$13</f>
        <v/>
      </c>
      <c r="S194" s="70" t="n">
        <v>1</v>
      </c>
      <c r="T194" s="144">
        <f>IFERROR(P194*R194,0)</f>
        <v/>
      </c>
      <c r="U194" s="144">
        <f>T194*S194</f>
        <v/>
      </c>
      <c r="V194" s="88" t="inlineStr">
        <is>
          <t>插件审计表</t>
        </is>
      </c>
      <c r="W194" s="89" t="n"/>
      <c r="X194" s="88" t="inlineStr">
        <is>
          <t>插件审计表{审计ID、插件ID、审计内容、审计时间}</t>
        </is>
      </c>
      <c r="Y194" s="88" t="n"/>
      <c r="Z194" s="88" t="n"/>
      <c r="AA194" s="96" t="inlineStr">
        <is>
          <t>接口参数配置表、任务日志表、提醒规则表、考核指标配置表、漏洞查询接口配置表</t>
        </is>
      </c>
    </row>
    <row r="195" ht="10.8" customFormat="1" customHeight="1" s="63">
      <c r="A195" s="69">
        <f>ROW()-1</f>
        <v/>
      </c>
      <c r="B195" s="53" t="n"/>
      <c r="C195" s="78" t="n">
        <v>2025</v>
      </c>
      <c r="D195" s="78" t="inlineStr">
        <is>
          <t>张明峰</t>
        </is>
      </c>
      <c r="E195" s="53" t="n"/>
      <c r="F195" s="53" t="n"/>
      <c r="G195" s="53" t="n"/>
      <c r="H195" s="81" t="inlineStr">
        <is>
          <t>插件模板表</t>
        </is>
      </c>
      <c r="I195" s="76" t="inlineStr">
        <is>
          <t>ILF</t>
        </is>
      </c>
      <c r="J195" s="108" t="n"/>
      <c r="K195" s="108" t="n"/>
      <c r="L195" s="83">
        <f>IF(OR(X195="估算法",X195="算法类",X195="无法识别"),"",IF(V195="",IF(OR(I195="EI",I195="EO",I195="EQ"),0,""),LEN(V195)-LEN(SUBSTITUTE(V195,"、",""))+1))</f>
        <v/>
      </c>
      <c r="M195" s="83">
        <f>IF(OR(X195="估算法",X195="算法类",X195="无法识别"),"",IF(W195="",IF(OR(I195="ILF",I195="EIF"),0,""),LEN(W195)-LEN(SUBSTITUTE(W195,"、",""))+1))</f>
        <v/>
      </c>
      <c r="N195" s="83">
        <f>IF(OR(X195="估算法",X195="算法类",X195="无法识别"),"",IF(X195="",IF(OR(I195="ILF",I195="EIF",I195="EI",I195="EO",I195="EQ"),0,""),LEN(X195)-LEN(SUBSTITUTE(SUBSTITUTE(SUBSTITUTE(SUBSTITUTE(SUBSTITUTE(X195,"|}","--"),"{|","--"),CHAR(10),""),"、",""),"|",""))+IF(AND(OR(I195="EI",I195="EO",I195="EQ"),$AD$1="NESMA"),2,1)))</f>
        <v/>
      </c>
      <c r="O195" s="84">
        <f>IF(I195="EI",IF(OR(X195="估算法",X195="算法类"),"中",IF(X195="无法识别","低",IF(L195&lt;2,IF(N195&lt;16,"低","中"),IF(L195&lt;3,IF(N195&lt;5,"低",IF(N195&lt;16,"中","高")),IF(N195&lt;5,"中","高"))))),IF(OR(I195="EO",I195="EQ"),IF(OR(X195="估算法",X195="算法类"),"中",IF(X195="无法识别","低",IF(L195&lt;2,IF(N195&lt;20,"低","中"),IF(L195&lt;4,IF(N195&lt;6,"低",IF(N195&lt;20,"中","高")),IF(N195&lt;6,"中","高"))))),IF(OR(I195="ILF",I195="EIF"),IF(OR(X195="估算法",X195="算法类",X195="无法识别"),"低",IF(M195&lt;2,IF(N195&lt;51,"低","中"),IF(M195&lt;6,IF(N195&lt;20,"低",IF(N195&lt;51,"中","高")),IF(N195&lt;20,"中","高")))),"不计算")))</f>
        <v/>
      </c>
      <c r="P195" s="142">
        <f>IFERROR(IF(I195="EI",IF(O195="低",3,IF(O195="中",4,6)),IF(I195="EO",IF(O195="低",4,IF(O195="中",5,7)),IF(I195="EQ",IF(O195="低",3,IF(O195="中",4,6)),IF(I195="ILF",IF(O195="低",7,IF(O195="中",10,15)),IF(I195="EIF",IF(O195="低",5,IF(O195="中",7,10)),"不计算")))))*Q195,"不计算")</f>
        <v/>
      </c>
      <c r="Q195" s="142" t="n">
        <v>1</v>
      </c>
      <c r="R195" s="143">
        <f>调整因子!$F$13</f>
        <v/>
      </c>
      <c r="S195" s="70" t="n">
        <v>1</v>
      </c>
      <c r="T195" s="144">
        <f>IFERROR(P195*R195,0)</f>
        <v/>
      </c>
      <c r="U195" s="144">
        <f>T195*S195</f>
        <v/>
      </c>
      <c r="V195" s="89" t="n"/>
      <c r="W195" s="88" t="inlineStr">
        <is>
          <t>插件模板表</t>
        </is>
      </c>
      <c r="X195" s="88" t="inlineStr">
        <is>
          <t>插件模板表{模板ID、模板名称、模板内容、创建时间、状态}</t>
        </is>
      </c>
      <c r="Y195" s="88">
        <f>IF(COUNTIFS(V:V,"*"&amp;H195&amp;"*")&gt;0,"存在","不存在")</f>
        <v/>
      </c>
      <c r="Z195" s="88">
        <f>IF(COUNTIFS(AA:AA,"*"&amp;H195&amp;"*")&gt;0,"存在","不存在")</f>
        <v/>
      </c>
      <c r="AA195" s="96" t="inlineStr">
        <is>
          <t>处置单配置表、验证任务表、验证记录表、报告模板表</t>
        </is>
      </c>
    </row>
    <row r="196" ht="10.8" customFormat="1" customHeight="1" s="63">
      <c r="A196" s="69">
        <f>ROW()-1</f>
        <v/>
      </c>
      <c r="B196" s="53" t="n"/>
      <c r="C196" s="78" t="n">
        <v>2025</v>
      </c>
      <c r="D196" s="78" t="inlineStr">
        <is>
          <t>张明峰</t>
        </is>
      </c>
      <c r="E196" s="53" t="n"/>
      <c r="F196" s="53" t="n"/>
      <c r="G196" s="53" t="n"/>
      <c r="H196" s="81" t="inlineStr">
        <is>
          <t>插件规范表</t>
        </is>
      </c>
      <c r="I196" s="76" t="inlineStr">
        <is>
          <t>ILF</t>
        </is>
      </c>
      <c r="J196" s="108" t="n"/>
      <c r="K196" s="108" t="n"/>
      <c r="L196" s="83">
        <f>IF(OR(X196="估算法",X196="算法类",X196="无法识别"),"",IF(V196="",IF(OR(I196="EI",I196="EO",I196="EQ"),0,""),LEN(V196)-LEN(SUBSTITUTE(V196,"、",""))+1))</f>
        <v/>
      </c>
      <c r="M196" s="83">
        <f>IF(OR(X196="估算法",X196="算法类",X196="无法识别"),"",IF(W196="",IF(OR(I196="ILF",I196="EIF"),0,""),LEN(W196)-LEN(SUBSTITUTE(W196,"、",""))+1))</f>
        <v/>
      </c>
      <c r="N196" s="83">
        <f>IF(OR(X196="估算法",X196="算法类",X196="无法识别"),"",IF(X196="",IF(OR(I196="ILF",I196="EIF",I196="EI",I196="EO",I196="EQ"),0,""),LEN(X196)-LEN(SUBSTITUTE(SUBSTITUTE(SUBSTITUTE(SUBSTITUTE(SUBSTITUTE(X196,"|}","--"),"{|","--"),CHAR(10),""),"、",""),"|",""))+IF(AND(OR(I196="EI",I196="EO",I196="EQ"),$AD$1="NESMA"),2,1)))</f>
        <v/>
      </c>
      <c r="O196" s="84">
        <f>IF(I196="EI",IF(OR(X196="估算法",X196="算法类"),"中",IF(X196="无法识别","低",IF(L196&lt;2,IF(N196&lt;16,"低","中"),IF(L196&lt;3,IF(N196&lt;5,"低",IF(N196&lt;16,"中","高")),IF(N196&lt;5,"中","高"))))),IF(OR(I196="EO",I196="EQ"),IF(OR(X196="估算法",X196="算法类"),"中",IF(X196="无法识别","低",IF(L196&lt;2,IF(N196&lt;20,"低","中"),IF(L196&lt;4,IF(N196&lt;6,"低",IF(N196&lt;20,"中","高")),IF(N196&lt;6,"中","高"))))),IF(OR(I196="ILF",I196="EIF"),IF(OR(X196="估算法",X196="算法类",X196="无法识别"),"低",IF(M196&lt;2,IF(N196&lt;51,"低","中"),IF(M196&lt;6,IF(N196&lt;20,"低",IF(N196&lt;51,"中","高")),IF(N196&lt;20,"中","高")))),"不计算")))</f>
        <v/>
      </c>
      <c r="P196" s="142">
        <f>IFERROR(IF(I196="EI",IF(O196="低",3,IF(O196="中",4,6)),IF(I196="EO",IF(O196="低",4,IF(O196="中",5,7)),IF(I196="EQ",IF(O196="低",3,IF(O196="中",4,6)),IF(I196="ILF",IF(O196="低",7,IF(O196="中",10,15)),IF(I196="EIF",IF(O196="低",5,IF(O196="中",7,10)),"不计算")))))*Q196,"不计算")</f>
        <v/>
      </c>
      <c r="Q196" s="142" t="n">
        <v>1</v>
      </c>
      <c r="R196" s="143">
        <f>调整因子!$F$13</f>
        <v/>
      </c>
      <c r="S196" s="76" t="n">
        <v>1</v>
      </c>
      <c r="T196" s="144">
        <f>IFERROR(P196*R196,0)</f>
        <v/>
      </c>
      <c r="U196" s="144">
        <f>T196*S196</f>
        <v/>
      </c>
      <c r="V196" s="89" t="n"/>
      <c r="W196" s="88" t="inlineStr">
        <is>
          <t>插件规范表</t>
        </is>
      </c>
      <c r="X196" s="88" t="inlineStr">
        <is>
          <t>插件规范表{规范ID、规范名称、规范版本、规范内容、创建时间}</t>
        </is>
      </c>
      <c r="Y196" s="88">
        <f>IF(COUNTIFS(V:V,"*"&amp;H196&amp;"*")&gt;0,"存在","不存在")</f>
        <v/>
      </c>
      <c r="Z196" s="88">
        <f>IF(COUNTIFS(AA:AA,"*"&amp;H196&amp;"*")&gt;0,"存在","不存在")</f>
        <v/>
      </c>
      <c r="AA196" s="96" t="inlineStr">
        <is>
          <t>分布分析表、接口参数表、报告导入记录表、扫描能力缺口表、处置单关联表</t>
        </is>
      </c>
    </row>
    <row r="197" ht="10.8" customFormat="1" customHeight="1" s="63">
      <c r="A197" s="69" t="n"/>
      <c r="B197" s="53" t="n"/>
      <c r="C197" s="78" t="n">
        <v>2025</v>
      </c>
      <c r="D197" s="78" t="inlineStr">
        <is>
          <t>张明峰</t>
        </is>
      </c>
      <c r="E197" s="53" t="n"/>
      <c r="F197" s="53" t="n"/>
      <c r="G197" s="53" t="n"/>
      <c r="H197" s="81" t="inlineStr">
        <is>
          <t>插件参数表</t>
        </is>
      </c>
      <c r="I197" s="76" t="inlineStr">
        <is>
          <t>ILF</t>
        </is>
      </c>
      <c r="J197" s="92" t="inlineStr">
        <is>
          <t>新增</t>
        </is>
      </c>
      <c r="K197" s="108" t="n"/>
      <c r="L197" s="83" t="n"/>
      <c r="M197" s="83" t="n"/>
      <c r="N197" s="83" t="n"/>
      <c r="O197" s="84" t="n"/>
      <c r="P197" s="142" t="n"/>
      <c r="Q197" s="142" t="n"/>
      <c r="R197" s="143" t="n"/>
      <c r="S197" s="76" t="n"/>
      <c r="T197" s="144" t="n"/>
      <c r="U197" s="144" t="n"/>
      <c r="V197" s="89" t="n"/>
      <c r="W197" s="88" t="inlineStr">
        <is>
          <t>插件参数表</t>
        </is>
      </c>
      <c r="X197" s="88" t="inlineStr">
        <is>
          <t>插件参数表{参数编号、插件编号、参数名称、参数类型、默认值、是否必填、参数说明、排序号、创建时间、更新时间}</t>
        </is>
      </c>
      <c r="Y197" s="88" t="n"/>
      <c r="Z197" s="88" t="n"/>
      <c r="AA197" s="96" t="n"/>
    </row>
    <row r="198" ht="10.8" customFormat="1" customHeight="1" s="63">
      <c r="A198" s="69">
        <f>ROW()-1</f>
        <v/>
      </c>
      <c r="B198" s="53" t="n"/>
      <c r="C198" s="78" t="n">
        <v>2025</v>
      </c>
      <c r="D198" s="78" t="inlineStr">
        <is>
          <t>张明峰</t>
        </is>
      </c>
      <c r="E198" s="53" t="n"/>
      <c r="F198" s="53" t="n"/>
      <c r="G198" s="54" t="n"/>
      <c r="H198" s="81" t="inlineStr">
        <is>
          <t>插件审计表</t>
        </is>
      </c>
      <c r="I198" s="81" t="n"/>
      <c r="J198" s="94" t="inlineStr">
        <is>
          <t>删除</t>
        </is>
      </c>
      <c r="K198" s="95" t="inlineStr">
        <is>
          <t>非ILF</t>
        </is>
      </c>
      <c r="L198" s="83">
        <f>IF(OR(X198="估算法",X198="算法类",X198="无法识别"),"",IF(V198="",IF(OR(I198="EI",I198="EO",I198="EQ"),0,""),LEN(V198)-LEN(SUBSTITUTE(V198,"、",""))+1))</f>
        <v/>
      </c>
      <c r="M198" s="83">
        <f>IF(OR(X198="估算法",X198="算法类",X198="无法识别"),"",IF(W198="",IF(OR(I198="ILF",I198="EIF"),0,""),LEN(W198)-LEN(SUBSTITUTE(W198,"、",""))+1))</f>
        <v/>
      </c>
      <c r="N198" s="83">
        <f>IF(OR(X198="估算法",X198="算法类",X198="无法识别"),"",IF(X198="",IF(OR(I198="ILF",I198="EIF",I198="EI",I198="EO",I198="EQ"),0,""),LEN(X198)-LEN(SUBSTITUTE(SUBSTITUTE(SUBSTITUTE(SUBSTITUTE(SUBSTITUTE(X198,"|}","--"),"{|","--"),CHAR(10),""),"、",""),"|",""))+IF(AND(OR(I198="EI",I198="EO",I198="EQ"),$AD$1="NESMA"),2,1)))</f>
        <v/>
      </c>
      <c r="O198" s="84">
        <f>IF(I198="EI",IF(OR(X198="估算法",X198="算法类"),"中",IF(X198="无法识别","低",IF(L198&lt;2,IF(N198&lt;16,"低","中"),IF(L198&lt;3,IF(N198&lt;5,"低",IF(N198&lt;16,"中","高")),IF(N198&lt;5,"中","高"))))),IF(OR(I198="EO",I198="EQ"),IF(OR(X198="估算法",X198="算法类"),"中",IF(X198="无法识别","低",IF(L198&lt;2,IF(N198&lt;20,"低","中"),IF(L198&lt;4,IF(N198&lt;6,"低",IF(N198&lt;20,"中","高")),IF(N198&lt;6,"中","高"))))),IF(OR(I198="ILF",I198="EIF"),IF(OR(X198="估算法",X198="算法类",X198="无法识别"),"低",IF(M198&lt;2,IF(N198&lt;51,"低","中"),IF(M198&lt;6,IF(N198&lt;20,"低",IF(N198&lt;51,"中","高")),IF(N198&lt;20,"中","高")))),"不计算")))</f>
        <v/>
      </c>
      <c r="P198" s="142">
        <f>IFERROR(IF(I198="EI",IF(O198="低",3,IF(O198="中",4,6)),IF(I198="EO",IF(O198="低",4,IF(O198="中",5,7)),IF(I198="EQ",IF(O198="低",3,IF(O198="中",4,6)),IF(I198="ILF",IF(O198="低",7,IF(O198="中",10,15)),IF(I198="EIF",IF(O198="低",5,IF(O198="中",7,10)),"不计算")))))*Q198,"不计算")</f>
        <v/>
      </c>
      <c r="Q198" s="142" t="n">
        <v>1</v>
      </c>
      <c r="R198" s="143">
        <f>调整因子!$F$13</f>
        <v/>
      </c>
      <c r="S198" s="70" t="n">
        <v>1</v>
      </c>
      <c r="T198" s="144">
        <f>IFERROR(P198*R198,0)</f>
        <v/>
      </c>
      <c r="U198" s="144">
        <f>T198*S198</f>
        <v/>
      </c>
      <c r="V198" s="89" t="n"/>
      <c r="W198" s="88" t="inlineStr">
        <is>
          <t>插件审计表</t>
        </is>
      </c>
      <c r="X198" s="88" t="inlineStr">
        <is>
          <t>插件审计表{审计ID、插件ID、审计内容、审计时间}</t>
        </is>
      </c>
      <c r="Y198" s="88">
        <f>IF(COUNTIFS(V:V,"*"&amp;H198&amp;"*")&gt;0,"存在","不存在")</f>
        <v/>
      </c>
      <c r="Z198" s="88">
        <f>IF(COUNTIFS(AA:AA,"*"&amp;H198&amp;"*")&gt;0,"存在","不存在")</f>
        <v/>
      </c>
      <c r="AA198" s="96" t="inlineStr">
        <is>
          <t>漏洞统计数据表、通报配置表、任务优先级配置表、验证任务表</t>
        </is>
      </c>
    </row>
    <row r="199" hidden="1" ht="10.8" customFormat="1" customHeight="1" s="63">
      <c r="A199" s="69" t="n"/>
      <c r="B199" s="53" t="n"/>
      <c r="C199" s="78" t="n"/>
      <c r="D199" s="78" t="n"/>
      <c r="E199" s="53" t="n"/>
      <c r="F199" s="53" t="n"/>
      <c r="G199" s="76" t="inlineStr">
        <is>
          <t>插件信息管理</t>
        </is>
      </c>
      <c r="H199" s="97" t="inlineStr">
        <is>
          <t>编辑插件分类</t>
        </is>
      </c>
      <c r="I199" s="81" t="inlineStr">
        <is>
          <t>EI</t>
        </is>
      </c>
      <c r="J199" s="92" t="inlineStr">
        <is>
          <t>新增</t>
        </is>
      </c>
      <c r="K199" s="95" t="n"/>
      <c r="L199" s="83" t="n"/>
      <c r="M199" s="83" t="n"/>
      <c r="N199" s="83" t="n"/>
      <c r="O199" s="84" t="n"/>
      <c r="P199" s="142" t="n"/>
      <c r="Q199" s="142" t="n"/>
      <c r="R199" s="143" t="n"/>
      <c r="S199" s="70" t="n"/>
      <c r="T199" s="144" t="n"/>
      <c r="U199" s="144" t="n"/>
      <c r="V199" s="89" t="inlineStr">
        <is>
          <t>插件分类表</t>
        </is>
      </c>
      <c r="W199" s="88" t="n"/>
      <c r="X199" s="88" t="inlineStr">
        <is>
          <t>插件分类表{分类编号、分类名称、父分类编号、排序号、说明|分类编号、分类名称、父分类编号、排序号、说明}</t>
        </is>
      </c>
      <c r="Y199" s="88" t="n"/>
      <c r="Z199" s="88" t="n"/>
      <c r="AA199" s="96" t="n"/>
    </row>
    <row r="200" ht="54" customFormat="1" customHeight="1" s="63">
      <c r="A200" s="69">
        <f>ROW()-1</f>
        <v/>
      </c>
      <c r="B200" s="53" t="n"/>
      <c r="C200" s="78" t="n">
        <v>2025</v>
      </c>
      <c r="D200" s="78" t="inlineStr">
        <is>
          <t>张明峰</t>
        </is>
      </c>
      <c r="E200" s="53" t="n"/>
      <c r="F200" s="53" t="n"/>
      <c r="G200" s="53" t="n"/>
      <c r="H200" s="97" t="inlineStr">
        <is>
          <t>新增原理检测插件</t>
        </is>
      </c>
      <c r="I200" s="76" t="inlineStr">
        <is>
          <t>EI</t>
        </is>
      </c>
      <c r="J200" s="93" t="inlineStr">
        <is>
          <t>修改名称：「新增保存原理检测插件」</t>
        </is>
      </c>
      <c r="K200" s="108" t="n"/>
      <c r="L200" s="83">
        <f>IF(OR(X200="估算法",X200="算法类",X200="无法识别"),"",IF(V200="",IF(OR(I200="EI",I200="EO",I200="EQ"),0,""),LEN(V200)-LEN(SUBSTITUTE(V200,"、",""))+1))</f>
        <v/>
      </c>
      <c r="M200" s="83">
        <f>IF(OR(X200="估算法",X200="算法类",X200="无法识别"),"",IF(W200="",IF(OR(I200="ILF",I200="EIF"),0,""),LEN(W200)-LEN(SUBSTITUTE(W200,"、",""))+1))</f>
        <v/>
      </c>
      <c r="N200" s="83">
        <f>IF(OR(X200="估算法",X200="算法类",X200="无法识别"),"",IF(X200="",IF(OR(I200="ILF",I200="EIF",I200="EI",I200="EO",I200="EQ"),0,""),LEN(X200)-LEN(SUBSTITUTE(SUBSTITUTE(SUBSTITUTE(SUBSTITUTE(SUBSTITUTE(X200,"|}","--"),"{|","--"),CHAR(10),""),"、",""),"|",""))+IF(AND(OR(I200="EI",I200="EO",I200="EQ"),$AD$1="NESMA"),2,1)))</f>
        <v/>
      </c>
      <c r="O200" s="84">
        <f>IF(I200="EI",IF(OR(X200="估算法",X200="算法类"),"中",IF(X200="无法识别","低",IF(L200&lt;2,IF(N200&lt;16,"低","中"),IF(L200&lt;3,IF(N200&lt;5,"低",IF(N200&lt;16,"中","高")),IF(N200&lt;5,"中","高"))))),IF(OR(I200="EO",I200="EQ"),IF(OR(X200="估算法",X200="算法类"),"中",IF(X200="无法识别","低",IF(L200&lt;2,IF(N200&lt;20,"低","中"),IF(L200&lt;4,IF(N200&lt;6,"低",IF(N200&lt;20,"中","高")),IF(N200&lt;6,"中","高"))))),IF(OR(I200="ILF",I200="EIF"),IF(OR(X200="估算法",X200="算法类",X200="无法识别"),"低",IF(M200&lt;2,IF(N200&lt;51,"低","中"),IF(M200&lt;6,IF(N200&lt;20,"低",IF(N200&lt;51,"中","高")),IF(N200&lt;20,"中","高")))),"不计算")))</f>
        <v/>
      </c>
      <c r="P200" s="142">
        <f>IFERROR(IF(I200="EI",IF(O200="低",3,IF(O200="中",4,6)),IF(I200="EO",IF(O200="低",4,IF(O200="中",5,7)),IF(I200="EQ",IF(O200="低",3,IF(O200="中",4,6)),IF(I200="ILF",IF(O200="低",7,IF(O200="中",10,15)),IF(I200="EIF",IF(O200="低",5,IF(O200="中",7,10)),"不计算")))))*Q200,"不计算")</f>
        <v/>
      </c>
      <c r="Q200" s="142" t="n">
        <v>1</v>
      </c>
      <c r="R200" s="143">
        <f>调整因子!$F$13</f>
        <v/>
      </c>
      <c r="S200" s="70" t="n">
        <v>1</v>
      </c>
      <c r="T200" s="144">
        <f>IFERROR(P200*R200,0)</f>
        <v/>
      </c>
      <c r="U200" s="144">
        <f>T200*S200</f>
        <v/>
      </c>
      <c r="V200" s="88" t="inlineStr">
        <is>
          <t>插件基本信息表、插件语言类型表、插件自定义变量表、插件版本管理表、影响组件表、漏洞类型表、插件分类表</t>
        </is>
      </c>
      <c r="W200" s="89" t="n"/>
      <c r="X200" s="88" t="inlineStr">
        <is>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漏洞类型表{类型ID、类型名称、描述、类型编码}、影响组件表{组件ID、漏洞ID、组件名称、组件厂商、组件版本、版本}、插件分类表{分类编号、分类名称、父分类编号|分类编号、分类名称、父分类编号、排序号、说明}</t>
        </is>
      </c>
      <c r="Y200" s="88" t="n"/>
      <c r="Z200" s="88" t="n"/>
      <c r="AA200" s="96" t="inlineStr">
        <is>
          <t>推送任务表、数据清洗任务表、脱敏规则表、通报模板表</t>
        </is>
      </c>
    </row>
    <row r="201" ht="43.2" customFormat="1" customHeight="1" s="63">
      <c r="A201" s="69">
        <f>ROW()-1</f>
        <v/>
      </c>
      <c r="B201" s="53" t="n"/>
      <c r="C201" s="78" t="n">
        <v>2025</v>
      </c>
      <c r="D201" s="78" t="inlineStr">
        <is>
          <t>张明峰</t>
        </is>
      </c>
      <c r="E201" s="53" t="n"/>
      <c r="F201" s="53" t="n"/>
      <c r="G201" s="53" t="n"/>
      <c r="H201" s="97" t="inlineStr">
        <is>
          <t>修改原理检测插件</t>
        </is>
      </c>
      <c r="I201" s="76" t="inlineStr">
        <is>
          <t>EI</t>
        </is>
      </c>
      <c r="J201" s="93" t="inlineStr">
        <is>
          <t>修改名称：「修改保存原理检测插件」</t>
        </is>
      </c>
      <c r="K201" s="108" t="n"/>
      <c r="L201" s="83">
        <f>IF(OR(X201="估算法",X201="算法类",X201="无法识别"),"",IF(V201="",IF(OR(I201="EI",I201="EO",I201="EQ"),0,""),LEN(V201)-LEN(SUBSTITUTE(V201,"、",""))+1))</f>
        <v/>
      </c>
      <c r="M201" s="83">
        <f>IF(OR(X201="估算法",X201="算法类",X201="无法识别"),"",IF(W201="",IF(OR(I201="ILF",I201="EIF"),0,""),LEN(W201)-LEN(SUBSTITUTE(W201,"、",""))+1))</f>
        <v/>
      </c>
      <c r="N201" s="83">
        <f>IF(OR(X201="估算法",X201="算法类",X201="无法识别"),"",IF(X201="",IF(OR(I201="ILF",I201="EIF",I201="EI",I201="EO",I201="EQ"),0,""),LEN(X201)-LEN(SUBSTITUTE(SUBSTITUTE(SUBSTITUTE(SUBSTITUTE(SUBSTITUTE(X201,"|}","--"),"{|","--"),CHAR(10),""),"、",""),"|",""))+IF(AND(OR(I201="EI",I201="EO",I201="EQ"),$AD$1="NESMA"),2,1)))</f>
        <v/>
      </c>
      <c r="O201" s="84">
        <f>IF(I201="EI",IF(OR(X201="估算法",X201="算法类"),"中",IF(X201="无法识别","低",IF(L201&lt;2,IF(N201&lt;16,"低","中"),IF(L201&lt;3,IF(N201&lt;5,"低",IF(N201&lt;16,"中","高")),IF(N201&lt;5,"中","高"))))),IF(OR(I201="EO",I201="EQ"),IF(OR(X201="估算法",X201="算法类"),"中",IF(X201="无法识别","低",IF(L201&lt;2,IF(N201&lt;20,"低","中"),IF(L201&lt;4,IF(N201&lt;6,"低",IF(N201&lt;20,"中","高")),IF(N201&lt;6,"中","高"))))),IF(OR(I201="ILF",I201="EIF"),IF(OR(X201="估算法",X201="算法类",X201="无法识别"),"低",IF(M201&lt;2,IF(N201&lt;51,"低","中"),IF(M201&lt;6,IF(N201&lt;20,"低",IF(N201&lt;51,"中","高")),IF(N201&lt;20,"中","高")))),"不计算")))</f>
        <v/>
      </c>
      <c r="P201" s="142">
        <f>IFERROR(IF(I201="EI",IF(O201="低",3,IF(O201="中",4,6)),IF(I201="EO",IF(O201="低",4,IF(O201="中",5,7)),IF(I201="EQ",IF(O201="低",3,IF(O201="中",4,6)),IF(I201="ILF",IF(O201="低",7,IF(O201="中",10,15)),IF(I201="EIF",IF(O201="低",5,IF(O201="中",7,10)),"不计算")))))*Q201,"不计算")</f>
        <v/>
      </c>
      <c r="Q201" s="142" t="n">
        <v>0.333333333333333</v>
      </c>
      <c r="R201" s="143">
        <f>调整因子!$F$13</f>
        <v/>
      </c>
      <c r="S201" s="76" t="n">
        <v>1</v>
      </c>
      <c r="T201" s="144">
        <f>IFERROR(P201*R201,0)</f>
        <v/>
      </c>
      <c r="U201" s="144">
        <f>T201*S201</f>
        <v/>
      </c>
      <c r="V201" s="88" t="inlineStr">
        <is>
          <t>插件自定义变量表、插件基本信息表、插件语言类型表、插件版本管理表、插件分类表</t>
        </is>
      </c>
      <c r="W201" s="89" t="n"/>
      <c r="X201" s="88" t="inlineStr">
        <is>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插件分类表{分类编号|分类编号、分类名称、父分类编号、排序号、说明}</t>
        </is>
      </c>
      <c r="Y201" s="88" t="n"/>
      <c r="Z201" s="88" t="n"/>
      <c r="AA201" s="96" t="inlineStr">
        <is>
          <t>推送日志表、加密策略表、资产扫描覆盖表</t>
        </is>
      </c>
    </row>
    <row r="202" ht="32.4" customFormat="1" customHeight="1" s="63">
      <c r="A202" s="69">
        <f>ROW()-1</f>
        <v/>
      </c>
      <c r="B202" s="53" t="n"/>
      <c r="C202" s="78" t="n">
        <v>2025</v>
      </c>
      <c r="D202" s="78" t="inlineStr">
        <is>
          <t>张明峰</t>
        </is>
      </c>
      <c r="E202" s="53" t="n"/>
      <c r="F202" s="53" t="n"/>
      <c r="G202" s="53" t="n"/>
      <c r="H202" s="97" t="inlineStr">
        <is>
          <t>删除原理检测插件</t>
        </is>
      </c>
      <c r="I202" s="76" t="inlineStr">
        <is>
          <t>EI</t>
        </is>
      </c>
      <c r="J202" s="108" t="n"/>
      <c r="K202" s="108" t="n"/>
      <c r="L202" s="83">
        <f>IF(OR(X202="估算法",X202="算法类",X202="无法识别"),"",IF(V202="",IF(OR(I202="EI",I202="EO",I202="EQ"),0,""),LEN(V202)-LEN(SUBSTITUTE(V202,"、",""))+1))</f>
        <v/>
      </c>
      <c r="M202" s="83">
        <f>IF(OR(X202="估算法",X202="算法类",X202="无法识别"),"",IF(W202="",IF(OR(I202="ILF",I202="EIF"),0,""),LEN(W202)-LEN(SUBSTITUTE(W202,"、",""))+1))</f>
        <v/>
      </c>
      <c r="N202" s="83">
        <f>IF(OR(X202="估算法",X202="算法类",X202="无法识别"),"",IF(X202="",IF(OR(I202="ILF",I202="EIF",I202="EI",I202="EO",I202="EQ"),0,""),LEN(X202)-LEN(SUBSTITUTE(SUBSTITUTE(SUBSTITUTE(SUBSTITUTE(SUBSTITUTE(X202,"|}","--"),"{|","--"),CHAR(10),""),"、",""),"|",""))+IF(AND(OR(I202="EI",I202="EO",I202="EQ"),$AD$1="NESMA"),2,1)))</f>
        <v/>
      </c>
      <c r="O202" s="84">
        <f>IF(I202="EI",IF(OR(X202="估算法",X202="算法类"),"中",IF(X202="无法识别","低",IF(L202&lt;2,IF(N202&lt;16,"低","中"),IF(L202&lt;3,IF(N202&lt;5,"低",IF(N202&lt;16,"中","高")),IF(N202&lt;5,"中","高"))))),IF(OR(I202="EO",I202="EQ"),IF(OR(X202="估算法",X202="算法类"),"中",IF(X202="无法识别","低",IF(L202&lt;2,IF(N202&lt;20,"低","中"),IF(L202&lt;4,IF(N202&lt;6,"低",IF(N202&lt;20,"中","高")),IF(N202&lt;6,"中","高"))))),IF(OR(I202="ILF",I202="EIF"),IF(OR(X202="估算法",X202="算法类",X202="无法识别"),"低",IF(M202&lt;2,IF(N202&lt;51,"低","中"),IF(M202&lt;6,IF(N202&lt;20,"低",IF(N202&lt;51,"中","高")),IF(N202&lt;20,"中","高")))),"不计算")))</f>
        <v/>
      </c>
      <c r="P202" s="142">
        <f>IFERROR(IF(I202="EI",IF(O202="低",3,IF(O202="中",4,6)),IF(I202="EO",IF(O202="低",4,IF(O202="中",5,7)),IF(I202="EQ",IF(O202="低",3,IF(O202="中",4,6)),IF(I202="ILF",IF(O202="低",7,IF(O202="中",10,15)),IF(I202="EIF",IF(O202="低",5,IF(O202="中",7,10)),"不计算")))))*Q202,"不计算")</f>
        <v/>
      </c>
      <c r="Q202" s="142" t="n">
        <v>0.333333333333333</v>
      </c>
      <c r="R202" s="143">
        <f>调整因子!$F$13</f>
        <v/>
      </c>
      <c r="S202" s="70" t="n">
        <v>1</v>
      </c>
      <c r="T202" s="144">
        <f>IFERROR(P202*R202,0)</f>
        <v/>
      </c>
      <c r="U202" s="144">
        <f>T202*S202</f>
        <v/>
      </c>
      <c r="V202" s="88" t="inlineStr">
        <is>
          <t>插件基本信息表、插件语言类型表、插件版本管理表</t>
        </is>
      </c>
      <c r="W202" s="89" t="n"/>
      <c r="X202" s="88" t="inlineStr">
        <is>
          <t>插件基本信息表{插件ID、插件名称、编码、状态、描述、版本、创建时间|响应码、响应头、响应内容、消息}、插件语言类型表{语言类型ID、语言名称、编码、描述}、插件版本管理表{版本ID、插件ID、版本号、发布说明、发布时间}</t>
        </is>
      </c>
      <c r="Y202" s="88" t="n"/>
      <c r="Z202" s="88" t="n"/>
      <c r="AA202" s="96" t="inlineStr">
        <is>
          <t>加密规则表、漏洞处置单表、同步任务调度表、分类层级关系表、通报对象表</t>
        </is>
      </c>
    </row>
    <row r="203" ht="32.4" customFormat="1" customHeight="1" s="63">
      <c r="A203" s="69">
        <f>ROW()-1</f>
        <v/>
      </c>
      <c r="B203" s="53" t="n"/>
      <c r="C203" s="78" t="n">
        <v>2025</v>
      </c>
      <c r="D203" s="78" t="inlineStr">
        <is>
          <t>张明峰</t>
        </is>
      </c>
      <c r="E203" s="53" t="n"/>
      <c r="F203" s="53" t="n"/>
      <c r="G203" s="53" t="n"/>
      <c r="H203" s="97" t="inlineStr">
        <is>
          <t>导入原理检测插件</t>
        </is>
      </c>
      <c r="I203" s="76" t="inlineStr">
        <is>
          <t>EI</t>
        </is>
      </c>
      <c r="J203" s="108" t="n"/>
      <c r="K203" s="108" t="n"/>
      <c r="L203" s="83">
        <f>IF(OR(X203="估算法",X203="算法类",X203="无法识别"),"",IF(V203="",IF(OR(I203="EI",I203="EO",I203="EQ"),0,""),LEN(V203)-LEN(SUBSTITUTE(V203,"、",""))+1))</f>
        <v/>
      </c>
      <c r="M203" s="83">
        <f>IF(OR(X203="估算法",X203="算法类",X203="无法识别"),"",IF(W203="",IF(OR(I203="ILF",I203="EIF"),0,""),LEN(W203)-LEN(SUBSTITUTE(W203,"、",""))+1))</f>
        <v/>
      </c>
      <c r="N203" s="83">
        <f>IF(OR(X203="估算法",X203="算法类",X203="无法识别"),"",IF(X203="",IF(OR(I203="ILF",I203="EIF",I203="EI",I203="EO",I203="EQ"),0,""),LEN(X203)-LEN(SUBSTITUTE(SUBSTITUTE(SUBSTITUTE(SUBSTITUTE(SUBSTITUTE(X203,"|}","--"),"{|","--"),CHAR(10),""),"、",""),"|",""))+IF(AND(OR(I203="EI",I203="EO",I203="EQ"),$AD$1="NESMA"),2,1)))</f>
        <v/>
      </c>
      <c r="O203" s="84">
        <f>IF(I203="EI",IF(OR(X203="估算法",X203="算法类"),"中",IF(X203="无法识别","低",IF(L203&lt;2,IF(N203&lt;16,"低","中"),IF(L203&lt;3,IF(N203&lt;5,"低",IF(N203&lt;16,"中","高")),IF(N203&lt;5,"中","高"))))),IF(OR(I203="EO",I203="EQ"),IF(OR(X203="估算法",X203="算法类"),"中",IF(X203="无法识别","低",IF(L203&lt;2,IF(N203&lt;20,"低","中"),IF(L203&lt;4,IF(N203&lt;6,"低",IF(N203&lt;20,"中","高")),IF(N203&lt;6,"中","高"))))),IF(OR(I203="ILF",I203="EIF"),IF(OR(X203="估算法",X203="算法类",X203="无法识别"),"低",IF(M203&lt;2,IF(N203&lt;51,"低","中"),IF(M203&lt;6,IF(N203&lt;20,"低",IF(N203&lt;51,"中","高")),IF(N203&lt;20,"中","高")))),"不计算")))</f>
        <v/>
      </c>
      <c r="P203" s="142">
        <f>IFERROR(IF(I203="EI",IF(O203="低",3,IF(O203="中",4,6)),IF(I203="EO",IF(O203="低",4,IF(O203="中",5,7)),IF(I203="EQ",IF(O203="低",3,IF(O203="中",4,6)),IF(I203="ILF",IF(O203="低",7,IF(O203="中",10,15)),IF(I203="EIF",IF(O203="低",5,IF(O203="中",7,10)),"不计算")))))*Q203,"不计算")</f>
        <v/>
      </c>
      <c r="Q203" s="142" t="n">
        <v>1</v>
      </c>
      <c r="R203" s="143">
        <f>调整因子!$F$13</f>
        <v/>
      </c>
      <c r="S203" s="70" t="n">
        <v>1</v>
      </c>
      <c r="T203" s="144">
        <f>IFERROR(P203*R203,0)</f>
        <v/>
      </c>
      <c r="U203" s="144">
        <f>T203*S203</f>
        <v/>
      </c>
      <c r="V203" s="88" t="inlineStr">
        <is>
          <t>插件基本信息表、插件语言类型表、插件自定义变量表</t>
        </is>
      </c>
      <c r="W203" s="89" t="n"/>
      <c r="X203" s="88" t="inlineStr">
        <is>
          <t>插件基本信息表{插件ID、插件名称、编码、状态、描述、版本、创建时间|响应码、响应头、响应内容、消息}、插件语言类型表{语言类型ID、语言名称、编码、描述}、插件自定义变量表{变量ID、变量名称、值、插件ID}</t>
        </is>
      </c>
      <c r="Y203" s="88" t="n"/>
      <c r="Z203" s="88" t="n"/>
      <c r="AA203" s="96" t="inlineStr">
        <is>
          <t>复测任务表、推送结果表、报表模板表</t>
        </is>
      </c>
    </row>
    <row r="204" ht="10.8" customFormat="1" customHeight="1" s="63">
      <c r="A204" s="69">
        <f>ROW()-1</f>
        <v/>
      </c>
      <c r="B204" s="53" t="n"/>
      <c r="C204" s="78" t="n">
        <v>2025</v>
      </c>
      <c r="D204" s="78" t="inlineStr">
        <is>
          <t>张明峰</t>
        </is>
      </c>
      <c r="E204" s="53" t="n"/>
      <c r="F204" s="53" t="n"/>
      <c r="G204" s="53" t="n"/>
      <c r="H204" s="97" t="inlineStr">
        <is>
          <t>导出原理检测插件</t>
        </is>
      </c>
      <c r="I204" s="76" t="inlineStr">
        <is>
          <t>EO</t>
        </is>
      </c>
      <c r="J204" s="108" t="n"/>
      <c r="K204" s="108" t="n"/>
      <c r="L204" s="83">
        <f>IF(OR(X204="估算法",X204="算法类",X204="无法识别"),"",IF(V204="",IF(OR(I204="EI",I204="EO",I204="EQ"),0,""),LEN(V204)-LEN(SUBSTITUTE(V204,"、",""))+1))</f>
        <v/>
      </c>
      <c r="M204" s="83">
        <f>IF(OR(X204="估算法",X204="算法类",X204="无法识别"),"",IF(W204="",IF(OR(I204="ILF",I204="EIF"),0,""),LEN(W204)-LEN(SUBSTITUTE(W204,"、",""))+1))</f>
        <v/>
      </c>
      <c r="N204" s="83">
        <f>IF(OR(X204="估算法",X204="算法类",X204="无法识别"),"",IF(X204="",IF(OR(I204="ILF",I204="EIF",I204="EI",I204="EO",I204="EQ"),0,""),LEN(X204)-LEN(SUBSTITUTE(SUBSTITUTE(SUBSTITUTE(SUBSTITUTE(SUBSTITUTE(X204,"|}","--"),"{|","--"),CHAR(10),""),"、",""),"|",""))+IF(AND(OR(I204="EI",I204="EO",I204="EQ"),$AD$1="NESMA"),2,1)))</f>
        <v/>
      </c>
      <c r="O204" s="84">
        <f>IF(I204="EI",IF(OR(X204="估算法",X204="算法类"),"中",IF(X204="无法识别","低",IF(L204&lt;2,IF(N204&lt;16,"低","中"),IF(L204&lt;3,IF(N204&lt;5,"低",IF(N204&lt;16,"中","高")),IF(N204&lt;5,"中","高"))))),IF(OR(I204="EO",I204="EQ"),IF(OR(X204="估算法",X204="算法类"),"中",IF(X204="无法识别","低",IF(L204&lt;2,IF(N204&lt;20,"低","中"),IF(L204&lt;4,IF(N204&lt;6,"低",IF(N204&lt;20,"中","高")),IF(N204&lt;6,"中","高"))))),IF(OR(I204="ILF",I204="EIF"),IF(OR(X204="估算法",X204="算法类",X204="无法识别"),"低",IF(M204&lt;2,IF(N204&lt;51,"低","中"),IF(M204&lt;6,IF(N204&lt;20,"低",IF(N204&lt;51,"中","高")),IF(N204&lt;20,"中","高")))),"不计算")))</f>
        <v/>
      </c>
      <c r="P204" s="142">
        <f>IFERROR(IF(I204="EI",IF(O204="低",3,IF(O204="中",4,6)),IF(I204="EO",IF(O204="低",4,IF(O204="中",5,7)),IF(I204="EQ",IF(O204="低",3,IF(O204="中",4,6)),IF(I204="ILF",IF(O204="低",7,IF(O204="中",10,15)),IF(I204="EIF",IF(O204="低",5,IF(O204="中",7,10)),"不计算")))))*Q204,"不计算")</f>
        <v/>
      </c>
      <c r="Q204" s="142" t="n">
        <v>1</v>
      </c>
      <c r="R204" s="143">
        <f>调整因子!$F$13</f>
        <v/>
      </c>
      <c r="S204" s="76" t="n">
        <v>1</v>
      </c>
      <c r="T204" s="144">
        <f>IFERROR(P204*R204,0)</f>
        <v/>
      </c>
      <c r="U204" s="144">
        <f>T204*S204</f>
        <v/>
      </c>
      <c r="V204" s="88" t="inlineStr">
        <is>
          <t>插件基本信息表</t>
        </is>
      </c>
      <c r="W204" s="89" t="n"/>
      <c r="X204" s="88" t="inlineStr">
        <is>
          <t>插件基本信息表{插件ID、插件名称、编码、状态、描述、版本、创建时间|文件}</t>
        </is>
      </c>
      <c r="Y204" s="88" t="n"/>
      <c r="Z204" s="88" t="n"/>
      <c r="AA204" s="96" t="inlineStr">
        <is>
          <t>资产同步任务表、资产扫描覆盖表、资产查询接口配置表、扫描能力缺口表、任务日志表</t>
        </is>
      </c>
    </row>
    <row r="205" ht="10.8" customFormat="1" customHeight="1" s="63">
      <c r="A205" s="69">
        <f>ROW()-1</f>
        <v/>
      </c>
      <c r="B205" s="53" t="n"/>
      <c r="C205" s="78" t="n">
        <v>2025</v>
      </c>
      <c r="D205" s="78" t="inlineStr">
        <is>
          <t>张明峰</t>
        </is>
      </c>
      <c r="E205" s="53" t="n"/>
      <c r="F205" s="53" t="n"/>
      <c r="G205" s="53" t="n"/>
      <c r="H205" s="97" t="inlineStr">
        <is>
          <t>查询原理检测插件记录</t>
        </is>
      </c>
      <c r="I205" s="76" t="inlineStr">
        <is>
          <t>EQ</t>
        </is>
      </c>
      <c r="J205" s="93" t="inlineStr">
        <is>
          <t>修改名称：「查询原理检测插件类型」</t>
        </is>
      </c>
      <c r="K205" s="108" t="n"/>
      <c r="L205" s="83">
        <f>IF(OR(X205="估算法",X205="算法类",X205="无法识别"),"",IF(V205="",IF(OR(I205="EI",I205="EO",I205="EQ"),0,""),LEN(V205)-LEN(SUBSTITUTE(V205,"、",""))+1))</f>
        <v/>
      </c>
      <c r="M205" s="83">
        <f>IF(OR(X205="估算法",X205="算法类",X205="无法识别"),"",IF(W205="",IF(OR(I205="ILF",I205="EIF"),0,""),LEN(W205)-LEN(SUBSTITUTE(W205,"、",""))+1))</f>
        <v/>
      </c>
      <c r="N205" s="83">
        <f>IF(OR(X205="估算法",X205="算法类",X205="无法识别"),"",IF(X205="",IF(OR(I205="ILF",I205="EIF",I205="EI",I205="EO",I205="EQ"),0,""),LEN(X205)-LEN(SUBSTITUTE(SUBSTITUTE(SUBSTITUTE(SUBSTITUTE(SUBSTITUTE(X205,"|}","--"),"{|","--"),CHAR(10),""),"、",""),"|",""))+IF(AND(OR(I205="EI",I205="EO",I205="EQ"),$AD$1="NESMA"),2,1)))</f>
        <v/>
      </c>
      <c r="O205" s="84">
        <f>IF(I205="EI",IF(OR(X205="估算法",X205="算法类"),"中",IF(X205="无法识别","低",IF(L205&lt;2,IF(N205&lt;16,"低","中"),IF(L205&lt;3,IF(N205&lt;5,"低",IF(N205&lt;16,"中","高")),IF(N205&lt;5,"中","高"))))),IF(OR(I205="EO",I205="EQ"),IF(OR(X205="估算法",X205="算法类"),"中",IF(X205="无法识别","低",IF(L205&lt;2,IF(N205&lt;20,"低","中"),IF(L205&lt;4,IF(N205&lt;6,"低",IF(N205&lt;20,"中","高")),IF(N205&lt;6,"中","高"))))),IF(OR(I205="ILF",I205="EIF"),IF(OR(X205="估算法",X205="算法类",X205="无法识别"),"低",IF(M205&lt;2,IF(N205&lt;51,"低","中"),IF(M205&lt;6,IF(N205&lt;20,"低",IF(N205&lt;51,"中","高")),IF(N205&lt;20,"中","高")))),"不计算")))</f>
        <v/>
      </c>
      <c r="P205" s="142">
        <f>IFERROR(IF(I205="EI",IF(O205="低",3,IF(O205="中",4,6)),IF(I205="EO",IF(O205="低",4,IF(O205="中",5,7)),IF(I205="EQ",IF(O205="低",3,IF(O205="中",4,6)),IF(I205="ILF",IF(O205="低",7,IF(O205="中",10,15)),IF(I205="EIF",IF(O205="低",5,IF(O205="中",7,10)),"不计算")))))*Q205,"不计算")</f>
        <v/>
      </c>
      <c r="Q205" s="142" t="n">
        <v>1</v>
      </c>
      <c r="R205" s="143">
        <f>调整因子!$F$13</f>
        <v/>
      </c>
      <c r="S205" s="70" t="n">
        <v>1</v>
      </c>
      <c r="T205" s="144">
        <f>IFERROR(P205*R205,0)</f>
        <v/>
      </c>
      <c r="U205" s="144">
        <f>T205*S205</f>
        <v/>
      </c>
      <c r="V205" s="88" t="inlineStr">
        <is>
          <t>插件分类表</t>
        </is>
      </c>
      <c r="W205" s="89" t="n"/>
      <c r="X205" s="88" t="inlineStr">
        <is>
          <t>插件分类表{分类ID、分类名称、编码、描述}</t>
        </is>
      </c>
      <c r="Y205" s="88" t="n"/>
      <c r="Z205" s="88" t="n"/>
      <c r="AA205" s="96" t="inlineStr">
        <is>
          <t>资产同步任务表、资产扫描覆盖表、资产查询接口配置表、故障诊断结果表、报告导入记录表</t>
        </is>
      </c>
    </row>
    <row r="206" ht="21.6" customFormat="1" customHeight="1" s="63">
      <c r="A206" s="69">
        <f>ROW()-1</f>
        <v/>
      </c>
      <c r="B206" s="53" t="n"/>
      <c r="C206" s="78" t="n">
        <v>2025</v>
      </c>
      <c r="D206" s="78" t="inlineStr">
        <is>
          <t>张明峰</t>
        </is>
      </c>
      <c r="E206" s="53" t="n"/>
      <c r="F206" s="53" t="n"/>
      <c r="G206" s="53" t="n"/>
      <c r="H206" s="97" t="inlineStr">
        <is>
          <t>查询原理检测插件列表</t>
        </is>
      </c>
      <c r="I206" s="76" t="inlineStr">
        <is>
          <t>EQ</t>
        </is>
      </c>
      <c r="J206" s="108" t="n"/>
      <c r="K206" s="108" t="n"/>
      <c r="L206" s="83">
        <f>IF(OR(X206="估算法",X206="算法类",X206="无法识别"),"",IF(V206="",IF(OR(I206="EI",I206="EO",I206="EQ"),0,""),LEN(V206)-LEN(SUBSTITUTE(V206,"、",""))+1))</f>
        <v/>
      </c>
      <c r="M206" s="83">
        <f>IF(OR(X206="估算法",X206="算法类",X206="无法识别"),"",IF(W206="",IF(OR(I206="ILF",I206="EIF"),0,""),LEN(W206)-LEN(SUBSTITUTE(W206,"、",""))+1))</f>
        <v/>
      </c>
      <c r="N206" s="83">
        <f>IF(OR(X206="估算法",X206="算法类",X206="无法识别"),"",IF(X206="",IF(OR(I206="ILF",I206="EIF",I206="EI",I206="EO",I206="EQ"),0,""),LEN(X206)-LEN(SUBSTITUTE(SUBSTITUTE(SUBSTITUTE(SUBSTITUTE(SUBSTITUTE(X206,"|}","--"),"{|","--"),CHAR(10),""),"、",""),"|",""))+IF(AND(OR(I206="EI",I206="EO",I206="EQ"),$AD$1="NESMA"),2,1)))</f>
        <v/>
      </c>
      <c r="O206" s="84">
        <f>IF(I206="EI",IF(OR(X206="估算法",X206="算法类"),"中",IF(X206="无法识别","低",IF(L206&lt;2,IF(N206&lt;16,"低","中"),IF(L206&lt;3,IF(N206&lt;5,"低",IF(N206&lt;16,"中","高")),IF(N206&lt;5,"中","高"))))),IF(OR(I206="EO",I206="EQ"),IF(OR(X206="估算法",X206="算法类"),"中",IF(X206="无法识别","低",IF(L206&lt;2,IF(N206&lt;20,"低","中"),IF(L206&lt;4,IF(N206&lt;6,"低",IF(N206&lt;20,"中","高")),IF(N206&lt;6,"中","高"))))),IF(OR(I206="ILF",I206="EIF"),IF(OR(X206="估算法",X206="算法类",X206="无法识别"),"低",IF(M206&lt;2,IF(N206&lt;51,"低","中"),IF(M206&lt;6,IF(N206&lt;20,"低",IF(N206&lt;51,"中","高")),IF(N206&lt;20,"中","高")))),"不计算")))</f>
        <v/>
      </c>
      <c r="P206" s="142">
        <f>IFERROR(IF(I206="EI",IF(O206="低",3,IF(O206="中",4,6)),IF(I206="EO",IF(O206="低",4,IF(O206="中",5,7)),IF(I206="EQ",IF(O206="低",3,IF(O206="中",4,6)),IF(I206="ILF",IF(O206="低",7,IF(O206="中",10,15)),IF(I206="EIF",IF(O206="低",5,IF(O206="中",7,10)),"不计算")))))*Q206,"不计算")</f>
        <v/>
      </c>
      <c r="Q206" s="142" t="n">
        <v>0.333333333333333</v>
      </c>
      <c r="R206" s="143">
        <f>调整因子!$F$13</f>
        <v/>
      </c>
      <c r="S206" s="70" t="n">
        <v>1</v>
      </c>
      <c r="T206" s="144">
        <f>IFERROR(P206*R206,0)</f>
        <v/>
      </c>
      <c r="U206" s="144">
        <f>T206*S206</f>
        <v/>
      </c>
      <c r="V206" s="88" t="inlineStr">
        <is>
          <t>插件基本信息表</t>
        </is>
      </c>
      <c r="W206" s="89" t="n"/>
      <c r="X206" s="88" t="inlineStr">
        <is>
          <t>插件基本信息表{插件ID、插件名称、编码、状态、描述、版本、创建时间|插件名称、编码、状态、描述、版本、创建时间}</t>
        </is>
      </c>
      <c r="Y206" s="88" t="n"/>
      <c r="Z206" s="88" t="n"/>
      <c r="AA206" s="96" t="inlineStr">
        <is>
          <t>资产同步任务表、资产扫描覆盖表、资产查询接口配置表</t>
        </is>
      </c>
    </row>
    <row r="207" ht="10.8" customFormat="1" customHeight="1" s="63">
      <c r="A207" s="69">
        <f>ROW()-1</f>
        <v/>
      </c>
      <c r="B207" s="53" t="n"/>
      <c r="C207" s="78" t="n">
        <v>2025</v>
      </c>
      <c r="D207" s="78" t="inlineStr">
        <is>
          <t>张明峰</t>
        </is>
      </c>
      <c r="E207" s="53" t="n"/>
      <c r="F207" s="53" t="n"/>
      <c r="G207" s="53" t="n"/>
      <c r="H207" s="97" t="inlineStr">
        <is>
          <t>查询原理检测插件摘要</t>
        </is>
      </c>
      <c r="I207" s="76" t="inlineStr">
        <is>
          <t>EO</t>
        </is>
      </c>
      <c r="J207" s="93" t="inlineStr">
        <is>
          <t>修改类型「EQ -&gt; EO」</t>
        </is>
      </c>
      <c r="K207" s="108" t="n"/>
      <c r="L207" s="83">
        <f>IF(OR(X207="估算法",X207="算法类",X207="无法识别"),"",IF(V207="",IF(OR(I207="EI",I207="EO",I207="EQ"),0,""),LEN(V207)-LEN(SUBSTITUTE(V207,"、",""))+1))</f>
        <v/>
      </c>
      <c r="M207" s="83">
        <f>IF(OR(X207="估算法",X207="算法类",X207="无法识别"),"",IF(W207="",IF(OR(I207="ILF",I207="EIF"),0,""),LEN(W207)-LEN(SUBSTITUTE(W207,"、",""))+1))</f>
        <v/>
      </c>
      <c r="N207" s="83">
        <f>IF(OR(X207="估算法",X207="算法类",X207="无法识别"),"",IF(X207="",IF(OR(I207="ILF",I207="EIF",I207="EI",I207="EO",I207="EQ"),0,""),LEN(X207)-LEN(SUBSTITUTE(SUBSTITUTE(SUBSTITUTE(SUBSTITUTE(SUBSTITUTE(X207,"|}","--"),"{|","--"),CHAR(10),""),"、",""),"|",""))+IF(AND(OR(I207="EI",I207="EO",I207="EQ"),$AD$1="NESMA"),2,1)))</f>
        <v/>
      </c>
      <c r="O207" s="84">
        <f>IF(I207="EI",IF(OR(X207="估算法",X207="算法类"),"中",IF(X207="无法识别","低",IF(L207&lt;2,IF(N207&lt;16,"低","中"),IF(L207&lt;3,IF(N207&lt;5,"低",IF(N207&lt;16,"中","高")),IF(N207&lt;5,"中","高"))))),IF(OR(I207="EO",I207="EQ"),IF(OR(X207="估算法",X207="算法类"),"中",IF(X207="无法识别","低",IF(L207&lt;2,IF(N207&lt;20,"低","中"),IF(L207&lt;4,IF(N207&lt;6,"低",IF(N207&lt;20,"中","高")),IF(N207&lt;6,"中","高"))))),IF(OR(I207="ILF",I207="EIF"),IF(OR(X207="估算法",X207="算法类",X207="无法识别"),"低",IF(M207&lt;2,IF(N207&lt;51,"低","中"),IF(M207&lt;6,IF(N207&lt;20,"低",IF(N207&lt;51,"中","高")),IF(N207&lt;20,"中","高")))),"不计算")))</f>
        <v/>
      </c>
      <c r="P207" s="142">
        <f>IFERROR(IF(I207="EI",IF(O207="低",3,IF(O207="中",4,6)),IF(I207="EO",IF(O207="低",4,IF(O207="中",5,7)),IF(I207="EQ",IF(O207="低",3,IF(O207="中",4,6)),IF(I207="ILF",IF(O207="低",7,IF(O207="中",10,15)),IF(I207="EIF",IF(O207="低",5,IF(O207="中",7,10)),"不计算")))))*Q207,"不计算")</f>
        <v/>
      </c>
      <c r="Q207" s="142" t="n">
        <v>0.333333333333333</v>
      </c>
      <c r="R207" s="143">
        <f>调整因子!$F$13</f>
        <v/>
      </c>
      <c r="S207" s="76" t="n">
        <v>1</v>
      </c>
      <c r="T207" s="144">
        <f>IFERROR(P207*R207,0)</f>
        <v/>
      </c>
      <c r="U207" s="144">
        <f>T207*S207</f>
        <v/>
      </c>
      <c r="V207" s="88" t="inlineStr">
        <is>
          <t>插件基本信息表</t>
        </is>
      </c>
      <c r="W207" s="89" t="n"/>
      <c r="X207" s="88" t="inlineStr">
        <is>
          <t>插件基本信息表{插件ID|插件名称、编码、状态、描述、版本、创建时间间}</t>
        </is>
      </c>
      <c r="Y207" s="88" t="n"/>
      <c r="Z207" s="88" t="n"/>
      <c r="AA207" s="96" t="inlineStr">
        <is>
          <t>资产同步任务表、资产扫描覆盖表、资产查询接口配置表、资产查询接口配置表、任务优先级配置表</t>
        </is>
      </c>
    </row>
    <row r="208" ht="10.8" customFormat="1" customHeight="1" s="63">
      <c r="A208" s="69">
        <f>ROW()-1</f>
        <v/>
      </c>
      <c r="B208" s="53" t="n"/>
      <c r="C208" s="78" t="n">
        <v>2025</v>
      </c>
      <c r="D208" s="78" t="inlineStr">
        <is>
          <t>张明峰</t>
        </is>
      </c>
      <c r="E208" s="53" t="n"/>
      <c r="F208" s="53" t="n"/>
      <c r="G208" s="53" t="n"/>
      <c r="H208" s="97" t="inlineStr">
        <is>
          <t>插件语言类型表</t>
        </is>
      </c>
      <c r="I208" s="76" t="inlineStr">
        <is>
          <t>ILF</t>
        </is>
      </c>
      <c r="J208" s="108" t="n"/>
      <c r="K208" s="108" t="n"/>
      <c r="L208" s="83">
        <f>IF(OR(X208="估算法",X208="算法类",X208="无法识别"),"",IF(V208="",IF(OR(I208="EI",I208="EO",I208="EQ"),0,""),LEN(V208)-LEN(SUBSTITUTE(V208,"、",""))+1))</f>
        <v/>
      </c>
      <c r="M208" s="83">
        <f>IF(OR(X208="估算法",X208="算法类",X208="无法识别"),"",IF(W208="",IF(OR(I208="ILF",I208="EIF"),0,""),LEN(W208)-LEN(SUBSTITUTE(W208,"、",""))+1))</f>
        <v/>
      </c>
      <c r="N208" s="83">
        <f>IF(OR(X208="估算法",X208="算法类",X208="无法识别"),"",IF(X208="",IF(OR(I208="ILF",I208="EIF",I208="EI",I208="EO",I208="EQ"),0,""),LEN(X208)-LEN(SUBSTITUTE(SUBSTITUTE(SUBSTITUTE(SUBSTITUTE(SUBSTITUTE(X208,"|}","--"),"{|","--"),CHAR(10),""),"、",""),"|",""))+IF(AND(OR(I208="EI",I208="EO",I208="EQ"),$AD$1="NESMA"),2,1)))</f>
        <v/>
      </c>
      <c r="O208" s="84">
        <f>IF(I208="EI",IF(OR(X208="估算法",X208="算法类"),"中",IF(X208="无法识别","低",IF(L208&lt;2,IF(N208&lt;16,"低","中"),IF(L208&lt;3,IF(N208&lt;5,"低",IF(N208&lt;16,"中","高")),IF(N208&lt;5,"中","高"))))),IF(OR(I208="EO",I208="EQ"),IF(OR(X208="估算法",X208="算法类"),"中",IF(X208="无法识别","低",IF(L208&lt;2,IF(N208&lt;20,"低","中"),IF(L208&lt;4,IF(N208&lt;6,"低",IF(N208&lt;20,"中","高")),IF(N208&lt;6,"中","高"))))),IF(OR(I208="ILF",I208="EIF"),IF(OR(X208="估算法",X208="算法类",X208="无法识别"),"低",IF(M208&lt;2,IF(N208&lt;51,"低","中"),IF(M208&lt;6,IF(N208&lt;20,"低",IF(N208&lt;51,"中","高")),IF(N208&lt;20,"中","高")))),"不计算")))</f>
        <v/>
      </c>
      <c r="P208" s="142">
        <f>IFERROR(IF(I208="EI",IF(O208="低",3,IF(O208="中",4,6)),IF(I208="EO",IF(O208="低",4,IF(O208="中",5,7)),IF(I208="EQ",IF(O208="低",3,IF(O208="中",4,6)),IF(I208="ILF",IF(O208="低",7,IF(O208="中",10,15)),IF(I208="EIF",IF(O208="低",5,IF(O208="中",7,10)),"不计算")))))*Q208,"不计算")</f>
        <v/>
      </c>
      <c r="Q208" s="142" t="n">
        <v>1</v>
      </c>
      <c r="R208" s="143">
        <f>调整因子!$F$13</f>
        <v/>
      </c>
      <c r="S208" s="70" t="n">
        <v>1</v>
      </c>
      <c r="T208" s="144">
        <f>IFERROR(P208*R208,0)</f>
        <v/>
      </c>
      <c r="U208" s="144">
        <f>T208*S208</f>
        <v/>
      </c>
      <c r="V208" s="89" t="n"/>
      <c r="W208" s="88" t="inlineStr">
        <is>
          <t>插件语言类型表</t>
        </is>
      </c>
      <c r="X208" s="88" t="inlineStr">
        <is>
          <t>插件语言类型表{语言类型ID、语言名称、编码、描述}</t>
        </is>
      </c>
      <c r="Y208" s="88">
        <f>IF(COUNTIFS(V:V,"*"&amp;H208&amp;"*")&gt;0,"存在","不存在")</f>
        <v/>
      </c>
      <c r="Z208" s="88">
        <f>IF(COUNTIFS(AA:AA,"*"&amp;H208&amp;"*")&gt;0,"存在","不存在")</f>
        <v/>
      </c>
      <c r="AA208" s="96" t="inlineStr">
        <is>
          <t>推送规则表、提醒规则表、脱敏规则表</t>
        </is>
      </c>
    </row>
    <row r="209" ht="10.8" customFormat="1" customHeight="1" s="63">
      <c r="A209" s="69">
        <f>ROW()-1</f>
        <v/>
      </c>
      <c r="B209" s="53" t="n"/>
      <c r="C209" s="78" t="n">
        <v>2025</v>
      </c>
      <c r="D209" s="78" t="inlineStr">
        <is>
          <t>张明峰</t>
        </is>
      </c>
      <c r="E209" s="53" t="n"/>
      <c r="F209" s="53" t="n"/>
      <c r="G209" s="53" t="n"/>
      <c r="H209" s="97" t="inlineStr">
        <is>
          <t>插件自定义变量表</t>
        </is>
      </c>
      <c r="I209" s="76" t="inlineStr">
        <is>
          <t>ILF</t>
        </is>
      </c>
      <c r="J209" s="108" t="n"/>
      <c r="K209" s="108" t="n"/>
      <c r="L209" s="83">
        <f>IF(OR(X209="估算法",X209="算法类",X209="无法识别"),"",IF(V209="",IF(OR(I209="EI",I209="EO",I209="EQ"),0,""),LEN(V209)-LEN(SUBSTITUTE(V209,"、",""))+1))</f>
        <v/>
      </c>
      <c r="M209" s="83">
        <f>IF(OR(X209="估算法",X209="算法类",X209="无法识别"),"",IF(W209="",IF(OR(I209="ILF",I209="EIF"),0,""),LEN(W209)-LEN(SUBSTITUTE(W209,"、",""))+1))</f>
        <v/>
      </c>
      <c r="N209" s="83">
        <f>IF(OR(X209="估算法",X209="算法类",X209="无法识别"),"",IF(X209="",IF(OR(I209="ILF",I209="EIF",I209="EI",I209="EO",I209="EQ"),0,""),LEN(X209)-LEN(SUBSTITUTE(SUBSTITUTE(SUBSTITUTE(SUBSTITUTE(SUBSTITUTE(X209,"|}","--"),"{|","--"),CHAR(10),""),"、",""),"|",""))+IF(AND(OR(I209="EI",I209="EO",I209="EQ"),$AD$1="NESMA"),2,1)))</f>
        <v/>
      </c>
      <c r="O209" s="84">
        <f>IF(I209="EI",IF(OR(X209="估算法",X209="算法类"),"中",IF(X209="无法识别","低",IF(L209&lt;2,IF(N209&lt;16,"低","中"),IF(L209&lt;3,IF(N209&lt;5,"低",IF(N209&lt;16,"中","高")),IF(N209&lt;5,"中","高"))))),IF(OR(I209="EO",I209="EQ"),IF(OR(X209="估算法",X209="算法类"),"中",IF(X209="无法识别","低",IF(L209&lt;2,IF(N209&lt;20,"低","中"),IF(L209&lt;4,IF(N209&lt;6,"低",IF(N209&lt;20,"中","高")),IF(N209&lt;6,"中","高"))))),IF(OR(I209="ILF",I209="EIF"),IF(OR(X209="估算法",X209="算法类",X209="无法识别"),"低",IF(M209&lt;2,IF(N209&lt;51,"低","中"),IF(M209&lt;6,IF(N209&lt;20,"低",IF(N209&lt;51,"中","高")),IF(N209&lt;20,"中","高")))),"不计算")))</f>
        <v/>
      </c>
      <c r="P209" s="142">
        <f>IFERROR(IF(I209="EI",IF(O209="低",3,IF(O209="中",4,6)),IF(I209="EO",IF(O209="低",4,IF(O209="中",5,7)),IF(I209="EQ",IF(O209="低",3,IF(O209="中",4,6)),IF(I209="ILF",IF(O209="低",7,IF(O209="中",10,15)),IF(I209="EIF",IF(O209="低",5,IF(O209="中",7,10)),"不计算")))))*Q209,"不计算")</f>
        <v/>
      </c>
      <c r="Q209" s="142" t="n">
        <v>1</v>
      </c>
      <c r="R209" s="143">
        <f>调整因子!$F$13</f>
        <v/>
      </c>
      <c r="S209" s="70" t="n">
        <v>1</v>
      </c>
      <c r="T209" s="144">
        <f>IFERROR(P209*R209,0)</f>
        <v/>
      </c>
      <c r="U209" s="144">
        <f>T209*S209</f>
        <v/>
      </c>
      <c r="V209" s="89" t="n"/>
      <c r="W209" s="88" t="inlineStr">
        <is>
          <t>插件自定义变量表</t>
        </is>
      </c>
      <c r="X209" s="88" t="inlineStr">
        <is>
          <t>插件自定义变量表{变量ID、变量名称、值、插件ID}</t>
        </is>
      </c>
      <c r="Y209" s="88">
        <f>IF(COUNTIFS(V:V,"*"&amp;H209&amp;"*")&gt;0,"存在","不存在")</f>
        <v/>
      </c>
      <c r="Z209" s="88">
        <f>IF(COUNTIFS(AA:AA,"*"&amp;H209&amp;"*")&gt;0,"存在","不存在")</f>
        <v/>
      </c>
      <c r="AA209" s="96" t="inlineStr">
        <is>
          <t>推送规则表、提醒规则表、脱敏规则表、加密规则表、考核指标配置表</t>
        </is>
      </c>
    </row>
    <row r="210" ht="21.6" customFormat="1" customHeight="1" s="63">
      <c r="A210" s="69">
        <f>ROW()-1</f>
        <v/>
      </c>
      <c r="B210" s="53" t="n"/>
      <c r="C210" s="78" t="n">
        <v>2025</v>
      </c>
      <c r="D210" s="78" t="inlineStr">
        <is>
          <t>张明峰</t>
        </is>
      </c>
      <c r="E210" s="53" t="n"/>
      <c r="F210" s="53" t="n"/>
      <c r="G210" s="53" t="n"/>
      <c r="H210" s="97" t="inlineStr">
        <is>
          <t>插件基本信息表</t>
        </is>
      </c>
      <c r="I210" s="76" t="inlineStr">
        <is>
          <t>ILF</t>
        </is>
      </c>
      <c r="J210" s="108" t="n"/>
      <c r="K210" s="108" t="n"/>
      <c r="L210" s="83">
        <f>IF(OR(X210="估算法",X210="算法类",X210="无法识别"),"",IF(V210="",IF(OR(I210="EI",I210="EO",I210="EQ"),0,""),LEN(V210)-LEN(SUBSTITUTE(V210,"、",""))+1))</f>
        <v/>
      </c>
      <c r="M210" s="83">
        <f>IF(OR(X210="估算法",X210="算法类",X210="无法识别"),"",IF(W210="",IF(OR(I210="ILF",I210="EIF"),0,""),LEN(W210)-LEN(SUBSTITUTE(W210,"、",""))+1))</f>
        <v/>
      </c>
      <c r="N210" s="83">
        <f>IF(OR(X210="估算法",X210="算法类",X210="无法识别"),"",IF(X210="",IF(OR(I210="ILF",I210="EIF",I210="EI",I210="EO",I210="EQ"),0,""),LEN(X210)-LEN(SUBSTITUTE(SUBSTITUTE(SUBSTITUTE(SUBSTITUTE(SUBSTITUTE(X210,"|}","--"),"{|","--"),CHAR(10),""),"、",""),"|",""))+IF(AND(OR(I210="EI",I210="EO",I210="EQ"),$AD$1="NESMA"),2,1)))</f>
        <v/>
      </c>
      <c r="O210" s="84">
        <f>IF(I210="EI",IF(OR(X210="估算法",X210="算法类"),"中",IF(X210="无法识别","低",IF(L210&lt;2,IF(N210&lt;16,"低","中"),IF(L210&lt;3,IF(N210&lt;5,"低",IF(N210&lt;16,"中","高")),IF(N210&lt;5,"中","高"))))),IF(OR(I210="EO",I210="EQ"),IF(OR(X210="估算法",X210="算法类"),"中",IF(X210="无法识别","低",IF(L210&lt;2,IF(N210&lt;20,"低","中"),IF(L210&lt;4,IF(N210&lt;6,"低",IF(N210&lt;20,"中","高")),IF(N210&lt;6,"中","高"))))),IF(OR(I210="ILF",I210="EIF"),IF(OR(X210="估算法",X210="算法类",X210="无法识别"),"低",IF(M210&lt;2,IF(N210&lt;51,"低","中"),IF(M210&lt;6,IF(N210&lt;20,"低",IF(N210&lt;51,"中","高")),IF(N210&lt;20,"中","高")))),"不计算")))</f>
        <v/>
      </c>
      <c r="P210" s="142">
        <f>IFERROR(IF(I210="EI",IF(O210="低",3,IF(O210="中",4,6)),IF(I210="EO",IF(O210="低",4,IF(O210="中",5,7)),IF(I210="EQ",IF(O210="低",3,IF(O210="中",4,6)),IF(I210="ILF",IF(O210="低",7,IF(O210="中",10,15)),IF(I210="EIF",IF(O210="低",5,IF(O210="中",7,10)),"不计算")))))*Q210,"不计算")</f>
        <v/>
      </c>
      <c r="Q210" s="142" t="n">
        <v>1</v>
      </c>
      <c r="R210" s="143">
        <f>调整因子!$F$13</f>
        <v/>
      </c>
      <c r="S210" s="76" t="n">
        <v>1</v>
      </c>
      <c r="T210" s="144">
        <f>IFERROR(P210*R210,0)</f>
        <v/>
      </c>
      <c r="U210" s="144">
        <f>T210*S210</f>
        <v/>
      </c>
      <c r="V210" s="89" t="n"/>
      <c r="W210" s="88" t="inlineStr">
        <is>
          <t>插件基本信息表</t>
        </is>
      </c>
      <c r="X210" s="88" t="inlineStr">
        <is>
          <t>插件基本信息表{插件ID、插件名称、编码、状态、描述、版本、创建时间|响应码、响应头、响应内容、消息、文件}</t>
        </is>
      </c>
      <c r="Y210" s="88">
        <f>IF(COUNTIFS(V:V,"*"&amp;H210&amp;"*")&gt;0,"存在","不存在")</f>
        <v/>
      </c>
      <c r="Z210" s="88">
        <f>IF(COUNTIFS(AA:AA,"*"&amp;H210&amp;"*")&gt;0,"存在","不存在")</f>
        <v/>
      </c>
      <c r="AA210" s="96" t="inlineStr">
        <is>
          <t>推送规则表、提醒规则表、脱敏规则表、加密规则表</t>
        </is>
      </c>
    </row>
    <row r="211" ht="10.8" customFormat="1" customHeight="1" s="63">
      <c r="A211" s="69">
        <f>ROW()-1</f>
        <v/>
      </c>
      <c r="B211" s="53" t="n"/>
      <c r="C211" s="78" t="n">
        <v>2025</v>
      </c>
      <c r="D211" s="78" t="inlineStr">
        <is>
          <t>张明峰</t>
        </is>
      </c>
      <c r="E211" s="53" t="n"/>
      <c r="F211" s="53" t="n"/>
      <c r="G211" s="53" t="n"/>
      <c r="H211" s="97" t="inlineStr">
        <is>
          <t>插件版本管理表</t>
        </is>
      </c>
      <c r="I211" s="76" t="inlineStr">
        <is>
          <t>ILF</t>
        </is>
      </c>
      <c r="J211" s="108" t="n"/>
      <c r="K211" s="108" t="n"/>
      <c r="L211" s="83">
        <f>IF(OR(X211="估算法",X211="算法类",X211="无法识别"),"",IF(V211="",IF(OR(I211="EI",I211="EO",I211="EQ"),0,""),LEN(V211)-LEN(SUBSTITUTE(V211,"、",""))+1))</f>
        <v/>
      </c>
      <c r="M211" s="83">
        <f>IF(OR(X211="估算法",X211="算法类",X211="无法识别"),"",IF(W211="",IF(OR(I211="ILF",I211="EIF"),0,""),LEN(W211)-LEN(SUBSTITUTE(W211,"、",""))+1))</f>
        <v/>
      </c>
      <c r="N211" s="83">
        <f>IF(OR(X211="估算法",X211="算法类",X211="无法识别"),"",IF(X211="",IF(OR(I211="ILF",I211="EIF",I211="EI",I211="EO",I211="EQ"),0,""),LEN(X211)-LEN(SUBSTITUTE(SUBSTITUTE(SUBSTITUTE(SUBSTITUTE(SUBSTITUTE(X211,"|}","--"),"{|","--"),CHAR(10),""),"、",""),"|",""))+IF(AND(OR(I211="EI",I211="EO",I211="EQ"),$AD$1="NESMA"),2,1)))</f>
        <v/>
      </c>
      <c r="O211" s="84">
        <f>IF(I211="EI",IF(OR(X211="估算法",X211="算法类"),"中",IF(X211="无法识别","低",IF(L211&lt;2,IF(N211&lt;16,"低","中"),IF(L211&lt;3,IF(N211&lt;5,"低",IF(N211&lt;16,"中","高")),IF(N211&lt;5,"中","高"))))),IF(OR(I211="EO",I211="EQ"),IF(OR(X211="估算法",X211="算法类"),"中",IF(X211="无法识别","低",IF(L211&lt;2,IF(N211&lt;20,"低","中"),IF(L211&lt;4,IF(N211&lt;6,"低",IF(N211&lt;20,"中","高")),IF(N211&lt;6,"中","高"))))),IF(OR(I211="ILF",I211="EIF"),IF(OR(X211="估算法",X211="算法类",X211="无法识别"),"低",IF(M211&lt;2,IF(N211&lt;51,"低","中"),IF(M211&lt;6,IF(N211&lt;20,"低",IF(N211&lt;51,"中","高")),IF(N211&lt;20,"中","高")))),"不计算")))</f>
        <v/>
      </c>
      <c r="P211" s="142">
        <f>IFERROR(IF(I211="EI",IF(O211="低",3,IF(O211="中",4,6)),IF(I211="EO",IF(O211="低",4,IF(O211="中",5,7)),IF(I211="EQ",IF(O211="低",3,IF(O211="中",4,6)),IF(I211="ILF",IF(O211="低",7,IF(O211="中",10,15)),IF(I211="EIF",IF(O211="低",5,IF(O211="中",7,10)),"不计算")))))*Q211,"不计算")</f>
        <v/>
      </c>
      <c r="Q211" s="142" t="n">
        <v>1</v>
      </c>
      <c r="R211" s="143">
        <f>调整因子!$F$13</f>
        <v/>
      </c>
      <c r="S211" s="70" t="n">
        <v>1</v>
      </c>
      <c r="T211" s="144">
        <f>IFERROR(P211*R211,0)</f>
        <v/>
      </c>
      <c r="U211" s="144">
        <f>T211*S211</f>
        <v/>
      </c>
      <c r="V211" s="89" t="n"/>
      <c r="W211" s="88" t="inlineStr">
        <is>
          <t>插件版本管理表</t>
        </is>
      </c>
      <c r="X211" s="88" t="inlineStr">
        <is>
          <t>插件版本管理表{版本ID、插件ID、版本号、发布说明、发布时间}</t>
        </is>
      </c>
      <c r="Y211" s="88">
        <f>IF(COUNTIFS(V:V,"*"&amp;H211&amp;"*")&gt;0,"存在","不存在")</f>
        <v/>
      </c>
      <c r="Z211" s="88">
        <f>IF(COUNTIFS(AA:AA,"*"&amp;H211&amp;"*")&gt;0,"存在","不存在")</f>
        <v/>
      </c>
      <c r="AA211" s="96" t="inlineStr">
        <is>
          <t>推送规则表、提醒规则表、脱敏规则表、加密规则表</t>
        </is>
      </c>
    </row>
    <row r="212" ht="10.8" customFormat="1" customHeight="1" s="63">
      <c r="A212" s="69">
        <f>ROW()-1</f>
        <v/>
      </c>
      <c r="B212" s="53" t="n"/>
      <c r="C212" s="78" t="n">
        <v>2025</v>
      </c>
      <c r="D212" s="78" t="inlineStr">
        <is>
          <t>张明峰</t>
        </is>
      </c>
      <c r="E212" s="53" t="n"/>
      <c r="F212" s="53" t="n"/>
      <c r="G212" s="53" t="n"/>
      <c r="H212" s="97" t="inlineStr">
        <is>
          <t>漏洞类型表</t>
        </is>
      </c>
      <c r="I212" s="76" t="inlineStr">
        <is>
          <t>ILF</t>
        </is>
      </c>
      <c r="J212" s="108" t="n"/>
      <c r="K212" s="108" t="n"/>
      <c r="L212" s="83">
        <f>IF(OR(X212="估算法",X212="算法类",X212="无法识别"),"",IF(V212="",IF(OR(I212="EI",I212="EO",I212="EQ"),0,""),LEN(V212)-LEN(SUBSTITUTE(V212,"、",""))+1))</f>
        <v/>
      </c>
      <c r="M212" s="83">
        <f>IF(OR(X212="估算法",X212="算法类",X212="无法识别"),"",IF(W212="",IF(OR(I212="ILF",I212="EIF"),0,""),LEN(W212)-LEN(SUBSTITUTE(W212,"、",""))+1))</f>
        <v/>
      </c>
      <c r="N212" s="83">
        <f>IF(OR(X212="估算法",X212="算法类",X212="无法识别"),"",IF(X212="",IF(OR(I212="ILF",I212="EIF",I212="EI",I212="EO",I212="EQ"),0,""),LEN(X212)-LEN(SUBSTITUTE(SUBSTITUTE(SUBSTITUTE(SUBSTITUTE(SUBSTITUTE(X212,"|}","--"),"{|","--"),CHAR(10),""),"、",""),"|",""))+IF(AND(OR(I212="EI",I212="EO",I212="EQ"),$AD$1="NESMA"),2,1)))</f>
        <v/>
      </c>
      <c r="O212" s="84">
        <f>IF(I212="EI",IF(OR(X212="估算法",X212="算法类"),"中",IF(X212="无法识别","低",IF(L212&lt;2,IF(N212&lt;16,"低","中"),IF(L212&lt;3,IF(N212&lt;5,"低",IF(N212&lt;16,"中","高")),IF(N212&lt;5,"中","高"))))),IF(OR(I212="EO",I212="EQ"),IF(OR(X212="估算法",X212="算法类"),"中",IF(X212="无法识别","低",IF(L212&lt;2,IF(N212&lt;20,"低","中"),IF(L212&lt;4,IF(N212&lt;6,"低",IF(N212&lt;20,"中","高")),IF(N212&lt;6,"中","高"))))),IF(OR(I212="ILF",I212="EIF"),IF(OR(X212="估算法",X212="算法类",X212="无法识别"),"低",IF(M212&lt;2,IF(N212&lt;51,"低","中"),IF(M212&lt;6,IF(N212&lt;20,"低",IF(N212&lt;51,"中","高")),IF(N212&lt;20,"中","高")))),"不计算")))</f>
        <v/>
      </c>
      <c r="P212" s="142">
        <f>IFERROR(IF(I212="EI",IF(O212="低",3,IF(O212="中",4,6)),IF(I212="EO",IF(O212="低",4,IF(O212="中",5,7)),IF(I212="EQ",IF(O212="低",3,IF(O212="中",4,6)),IF(I212="ILF",IF(O212="低",7,IF(O212="中",10,15)),IF(I212="EIF",IF(O212="低",5,IF(O212="中",7,10)),"不计算")))))*Q212,"不计算")</f>
        <v/>
      </c>
      <c r="Q212" s="142" t="n">
        <v>1</v>
      </c>
      <c r="R212" s="143">
        <f>调整因子!$F$13</f>
        <v/>
      </c>
      <c r="S212" s="70" t="n">
        <v>1</v>
      </c>
      <c r="T212" s="144">
        <f>IFERROR(P212*R212,0)</f>
        <v/>
      </c>
      <c r="U212" s="144">
        <f>T212*S212</f>
        <v/>
      </c>
      <c r="V212" s="89" t="n"/>
      <c r="W212" s="88" t="inlineStr">
        <is>
          <t>漏洞类型表</t>
        </is>
      </c>
      <c r="X212" s="88" t="inlineStr">
        <is>
          <t>漏洞类型表{类型ID、类型名称、描述、类型编码}</t>
        </is>
      </c>
      <c r="Y212" s="88">
        <f>IF(COUNTIFS(V:V,"*"&amp;H212&amp;"*")&gt;0,"存在","不存在")</f>
        <v/>
      </c>
      <c r="Z212" s="88">
        <f>IF(COUNTIFS(AA:AA,"*"&amp;H212&amp;"*")&gt;0,"存在","不存在")</f>
        <v/>
      </c>
      <c r="AA212" s="96" t="inlineStr">
        <is>
          <t>验证记录表、同步任务调度表、任务故障记录表</t>
        </is>
      </c>
    </row>
    <row r="213" ht="10.8" customFormat="1" customHeight="1" s="63">
      <c r="A213" s="69">
        <f>ROW()-1</f>
        <v/>
      </c>
      <c r="B213" s="53" t="n"/>
      <c r="C213" s="78" t="n">
        <v>2025</v>
      </c>
      <c r="D213" s="78" t="inlineStr">
        <is>
          <t>张明峰</t>
        </is>
      </c>
      <c r="E213" s="53" t="n"/>
      <c r="F213" s="53" t="n"/>
      <c r="G213" s="53" t="n"/>
      <c r="H213" s="97" t="inlineStr">
        <is>
          <t>影响组件表</t>
        </is>
      </c>
      <c r="I213" s="76" t="inlineStr">
        <is>
          <t>ILF</t>
        </is>
      </c>
      <c r="J213" s="108" t="n"/>
      <c r="K213" s="108" t="n"/>
      <c r="L213" s="83">
        <f>IF(OR(X213="估算法",X213="算法类",X213="无法识别"),"",IF(V213="",IF(OR(I213="EI",I213="EO",I213="EQ"),0,""),LEN(V213)-LEN(SUBSTITUTE(V213,"、",""))+1))</f>
        <v/>
      </c>
      <c r="M213" s="83">
        <f>IF(OR(X213="估算法",X213="算法类",X213="无法识别"),"",IF(W213="",IF(OR(I213="ILF",I213="EIF"),0,""),LEN(W213)-LEN(SUBSTITUTE(W213,"、",""))+1))</f>
        <v/>
      </c>
      <c r="N213" s="83">
        <f>IF(OR(X213="估算法",X213="算法类",X213="无法识别"),"",IF(X213="",IF(OR(I213="ILF",I213="EIF",I213="EI",I213="EO",I213="EQ"),0,""),LEN(X213)-LEN(SUBSTITUTE(SUBSTITUTE(SUBSTITUTE(SUBSTITUTE(SUBSTITUTE(X213,"|}","--"),"{|","--"),CHAR(10),""),"、",""),"|",""))+IF(AND(OR(I213="EI",I213="EO",I213="EQ"),$AD$1="NESMA"),2,1)))</f>
        <v/>
      </c>
      <c r="O213" s="84">
        <f>IF(I213="EI",IF(OR(X213="估算法",X213="算法类"),"中",IF(X213="无法识别","低",IF(L213&lt;2,IF(N213&lt;16,"低","中"),IF(L213&lt;3,IF(N213&lt;5,"低",IF(N213&lt;16,"中","高")),IF(N213&lt;5,"中","高"))))),IF(OR(I213="EO",I213="EQ"),IF(OR(X213="估算法",X213="算法类"),"中",IF(X213="无法识别","低",IF(L213&lt;2,IF(N213&lt;20,"低","中"),IF(L213&lt;4,IF(N213&lt;6,"低",IF(N213&lt;20,"中","高")),IF(N213&lt;6,"中","高"))))),IF(OR(I213="ILF",I213="EIF"),IF(OR(X213="估算法",X213="算法类",X213="无法识别"),"低",IF(M213&lt;2,IF(N213&lt;51,"低","中"),IF(M213&lt;6,IF(N213&lt;20,"低",IF(N213&lt;51,"中","高")),IF(N213&lt;20,"中","高")))),"不计算")))</f>
        <v/>
      </c>
      <c r="P213" s="142">
        <f>IFERROR(IF(I213="EI",IF(O213="低",3,IF(O213="中",4,6)),IF(I213="EO",IF(O213="低",4,IF(O213="中",5,7)),IF(I213="EQ",IF(O213="低",3,IF(O213="中",4,6)),IF(I213="ILF",IF(O213="低",7,IF(O213="中",10,15)),IF(I213="EIF",IF(O213="低",5,IF(O213="中",7,10)),"不计算")))))*Q213,"不计算")</f>
        <v/>
      </c>
      <c r="Q213" s="142" t="n">
        <v>1</v>
      </c>
      <c r="R213" s="143">
        <f>调整因子!$F$13</f>
        <v/>
      </c>
      <c r="S213" s="76" t="n">
        <v>1</v>
      </c>
      <c r="T213" s="144">
        <f>IFERROR(P213*R213,0)</f>
        <v/>
      </c>
      <c r="U213" s="144">
        <f>T213*S213</f>
        <v/>
      </c>
      <c r="V213" s="89" t="n"/>
      <c r="W213" s="88" t="inlineStr">
        <is>
          <t>影响组件表</t>
        </is>
      </c>
      <c r="X213" s="88" t="inlineStr">
        <is>
          <t>影响组件表{组件ID、漏洞ID、组件名称、组件厂商、组件版本、版本}</t>
        </is>
      </c>
      <c r="Y213" s="88">
        <f>IF(COUNTIFS(V:V,"*"&amp;H213&amp;"*")&gt;0,"存在","不存在")</f>
        <v/>
      </c>
      <c r="Z213" s="88">
        <f>IF(COUNTIFS(AA:AA,"*"&amp;H213&amp;"*")&gt;0,"存在","不存在")</f>
        <v/>
      </c>
      <c r="AA213" s="96" t="inlineStr">
        <is>
          <t>数据清洗任务表、资产同步任务表、同步任务调度表</t>
        </is>
      </c>
    </row>
    <row r="214" ht="10.8" customFormat="1" customHeight="1" s="63">
      <c r="A214" s="69">
        <f>ROW()-1</f>
        <v/>
      </c>
      <c r="B214" s="53" t="n"/>
      <c r="C214" s="78" t="n">
        <v>2025</v>
      </c>
      <c r="D214" s="78" t="inlineStr">
        <is>
          <t>张明峰</t>
        </is>
      </c>
      <c r="E214" s="53" t="n"/>
      <c r="F214" s="53" t="n"/>
      <c r="G214" s="54" t="n"/>
      <c r="H214" s="97" t="inlineStr">
        <is>
          <t>插件分类表</t>
        </is>
      </c>
      <c r="I214" s="76" t="inlineStr">
        <is>
          <t>ILF</t>
        </is>
      </c>
      <c r="J214" s="98" t="inlineStr">
        <is>
          <t>添加引用到「编辑插件分类、新增原理检测插件、修改原理检测插件」</t>
        </is>
      </c>
      <c r="K214" s="108" t="inlineStr">
        <is>
          <t>数据库表未被本系统所维护</t>
        </is>
      </c>
      <c r="L214" s="83">
        <f>IF(OR(X214="估算法",X214="算法类",X214="无法识别"),"",IF(V214="",IF(OR(I214="EI",I214="EO",I214="EQ"),0,""),LEN(V214)-LEN(SUBSTITUTE(V214,"、",""))+1))</f>
        <v/>
      </c>
      <c r="M214" s="83">
        <f>IF(OR(X214="估算法",X214="算法类",X214="无法识别"),"",IF(W214="",IF(OR(I214="ILF",I214="EIF"),0,""),LEN(W214)-LEN(SUBSTITUTE(W214,"、",""))+1))</f>
        <v/>
      </c>
      <c r="N214" s="83">
        <f>IF(OR(X214="估算法",X214="算法类",X214="无法识别"),"",IF(X214="",IF(OR(I214="ILF",I214="EIF",I214="EI",I214="EO",I214="EQ"),0,""),LEN(X214)-LEN(SUBSTITUTE(SUBSTITUTE(SUBSTITUTE(SUBSTITUTE(SUBSTITUTE(X214,"|}","--"),"{|","--"),CHAR(10),""),"、",""),"|",""))+IF(AND(OR(I214="EI",I214="EO",I214="EQ"),$AD$1="NESMA"),2,1)))</f>
        <v/>
      </c>
      <c r="O214" s="84">
        <f>IF(I214="EI",IF(OR(X214="估算法",X214="算法类"),"中",IF(X214="无法识别","低",IF(L214&lt;2,IF(N214&lt;16,"低","中"),IF(L214&lt;3,IF(N214&lt;5,"低",IF(N214&lt;16,"中","高")),IF(N214&lt;5,"中","高"))))),IF(OR(I214="EO",I214="EQ"),IF(OR(X214="估算法",X214="算法类"),"中",IF(X214="无法识别","低",IF(L214&lt;2,IF(N214&lt;20,"低","中"),IF(L214&lt;4,IF(N214&lt;6,"低",IF(N214&lt;20,"中","高")),IF(N214&lt;6,"中","高"))))),IF(OR(I214="ILF",I214="EIF"),IF(OR(X214="估算法",X214="算法类",X214="无法识别"),"低",IF(M214&lt;2,IF(N214&lt;51,"低","中"),IF(M214&lt;6,IF(N214&lt;20,"低",IF(N214&lt;51,"中","高")),IF(N214&lt;20,"中","高")))),"不计算")))</f>
        <v/>
      </c>
      <c r="P214" s="142">
        <f>IFERROR(IF(I214="EI",IF(O214="低",3,IF(O214="中",4,6)),IF(I214="EO",IF(O214="低",4,IF(O214="中",5,7)),IF(I214="EQ",IF(O214="低",3,IF(O214="中",4,6)),IF(I214="ILF",IF(O214="低",7,IF(O214="中",10,15)),IF(I214="EIF",IF(O214="低",5,IF(O214="中",7,10)),"不计算")))))*Q214,"不计算")</f>
        <v/>
      </c>
      <c r="Q214" s="142" t="n">
        <v>1</v>
      </c>
      <c r="R214" s="143">
        <f>调整因子!$F$13</f>
        <v/>
      </c>
      <c r="S214" s="70" t="n">
        <v>1</v>
      </c>
      <c r="T214" s="144">
        <f>IFERROR(P214*R214,0)</f>
        <v/>
      </c>
      <c r="U214" s="144">
        <f>T214*S214</f>
        <v/>
      </c>
      <c r="V214" s="89" t="n"/>
      <c r="W214" s="88" t="inlineStr">
        <is>
          <t>插件分类表</t>
        </is>
      </c>
      <c r="X214" s="88" t="inlineStr">
        <is>
          <t>插件分类表{分类ID、分类名称、编码、描述}</t>
        </is>
      </c>
      <c r="Y214" s="88">
        <f>IF(COUNTIFS(V:V,"*"&amp;H214&amp;"*")&gt;0,"存在","不存在")</f>
        <v/>
      </c>
      <c r="Z214" s="88">
        <f>IF(COUNTIFS(AA:AA,"*"&amp;H214&amp;"*")&gt;0,"存在","不存在")</f>
        <v/>
      </c>
      <c r="AA214" s="96" t="inlineStr">
        <is>
          <t>数据清洗任务表、资产同步任务表、同步任务调度表、任务统计数据表、任务趋势分析表</t>
        </is>
      </c>
    </row>
    <row r="215" ht="151.2" customFormat="1" customHeight="1" s="63">
      <c r="A215" s="69">
        <f>ROW()-1</f>
        <v/>
      </c>
      <c r="B215" s="53" t="n"/>
      <c r="C215" s="78" t="n">
        <v>2025</v>
      </c>
      <c r="D215" s="78" t="inlineStr">
        <is>
          <t>张明峰</t>
        </is>
      </c>
      <c r="E215" s="53" t="n"/>
      <c r="F215" s="53" t="n"/>
      <c r="G215" s="76" t="inlineStr">
        <is>
          <t>插件审核流程</t>
        </is>
      </c>
      <c r="H215" s="81" t="inlineStr">
        <is>
          <t>提交原理检测插件审核流程</t>
        </is>
      </c>
      <c r="I215" s="76" t="inlineStr">
        <is>
          <t>EI</t>
        </is>
      </c>
      <c r="J215" s="108" t="n"/>
      <c r="K215" s="108" t="n"/>
      <c r="L215" s="83">
        <f>IF(OR(X215="估算法",X215="算法类",X215="无法识别"),"",IF(V215="",IF(OR(I215="EI",I215="EO",I215="EQ"),0,""),LEN(V215)-LEN(SUBSTITUTE(V215,"、",""))+1))</f>
        <v/>
      </c>
      <c r="M215" s="83">
        <f>IF(OR(X215="估算法",X215="算法类",X215="无法识别"),"",IF(W215="",IF(OR(I215="ILF",I215="EIF"),0,""),LEN(W215)-LEN(SUBSTITUTE(W215,"、",""))+1))</f>
        <v/>
      </c>
      <c r="N215" s="83">
        <f>IF(OR(X215="估算法",X215="算法类",X215="无法识别"),"",IF(X215="",IF(OR(I215="ILF",I215="EIF",I215="EI",I215="EO",I215="EQ"),0,""),LEN(X215)-LEN(SUBSTITUTE(SUBSTITUTE(SUBSTITUTE(SUBSTITUTE(SUBSTITUTE(X215,"|}","--"),"{|","--"),CHAR(10),""),"、",""),"|",""))+IF(AND(OR(I215="EI",I215="EO",I215="EQ"),$AD$1="NESMA"),2,1)))</f>
        <v/>
      </c>
      <c r="O215" s="84">
        <f>IF(I215="EI",IF(OR(X215="估算法",X215="算法类"),"中",IF(X215="无法识别","低",IF(L215&lt;2,IF(N215&lt;16,"低","中"),IF(L215&lt;3,IF(N215&lt;5,"低",IF(N215&lt;16,"中","高")),IF(N215&lt;5,"中","高"))))),IF(OR(I215="EO",I215="EQ"),IF(OR(X215="估算法",X215="算法类"),"中",IF(X215="无法识别","低",IF(L215&lt;2,IF(N215&lt;20,"低","中"),IF(L215&lt;4,IF(N215&lt;6,"低",IF(N215&lt;20,"中","高")),IF(N215&lt;6,"中","高"))))),IF(OR(I215="ILF",I215="EIF"),IF(OR(X215="估算法",X215="算法类",X215="无法识别"),"低",IF(M215&lt;2,IF(N215&lt;51,"低","中"),IF(M215&lt;6,IF(N215&lt;20,"低",IF(N215&lt;51,"中","高")),IF(N215&lt;20,"中","高")))),"不计算")))</f>
        <v/>
      </c>
      <c r="P215" s="142">
        <f>IFERROR(IF(I215="EI",IF(O215="低",3,IF(O215="中",4,6)),IF(I215="EO",IF(O215="低",4,IF(O215="中",5,7)),IF(I215="EQ",IF(O215="低",3,IF(O215="中",4,6)),IF(I215="ILF",IF(O215="低",7,IF(O215="中",10,15)),IF(I215="EIF",IF(O215="低",5,IF(O215="中",7,10)),"不计算")))))*Q215,"不计算")</f>
        <v/>
      </c>
      <c r="Q215" s="142" t="n">
        <v>1</v>
      </c>
      <c r="R215" s="143">
        <f>调整因子!$F$13</f>
        <v/>
      </c>
      <c r="S215" s="70" t="n">
        <v>1</v>
      </c>
      <c r="T215" s="144">
        <f>IFERROR(P215*R215,0)</f>
        <v/>
      </c>
      <c r="U215" s="144">
        <f>T215*S215</f>
        <v/>
      </c>
      <c r="V215" s="88" t="inlineStr">
        <is>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is>
      </c>
      <c r="W215" s="89" t="n"/>
      <c r="X215" s="88" t="inlineStr">
        <is>
          <t>通用字节数组表{数组ID、字节内容、描述、创建时间}、流程定义信息表{定义ID、流程名称、定义内容、创建时间}、部署信息表{部署ID、流程定义ID、部署时间、部署者}、模型信息表{模型ID、模型名称、内容、创建时间}、流程定义表{定义ID、流程名称、定义内容、创建时间}、运行时活动实例表{实例ID、流程实例ID、活动名称、开始时间、结束时间}、死信作业表{作业ID、流程实例ID、作业名称、创建时间}、运行时实体链接表{链接ID、实例ID、实体类型、实体ID、链接时间}、运行时事件订阅表{订阅ID、事件名称、处理程序、创建时间}、运行时执行实例表{实例ID、流程定义ID、开始时间、结束时间、状态}、运行时身份链接表{链接ID、实例ID、用户ID、角色、链接时间}、运行时作业表{作业ID、流程实例ID、作业名称、创建时间}、暂停作业表{作业ID、流程实例ID、作业名称、暂停时间}、运行时任务表{任务ID、流程实例ID、任务名称、开始时间、结束时间}、定时作业表{作业ID、流程实例ID、作业名称、触发时间}、运行时变量表{变量ID、实例ID、变量名称、值、更新时间}、运行时批量处理表{批量ID、批量内容、创建时间}、运行时批量处理部分表{部分ID、批量ID、部分内容、创建时间}</t>
        </is>
      </c>
      <c r="Y215" s="88" t="n"/>
      <c r="Z215" s="88" t="n"/>
      <c r="AA215" s="96" t="inlineStr">
        <is>
          <t>数据清洗任务表、资产同步任务表、同步任务调度表、任务统计数据表</t>
        </is>
      </c>
    </row>
    <row r="216" ht="43.2" customFormat="1" customHeight="1" s="63">
      <c r="A216" s="69">
        <f>ROW()-1</f>
        <v/>
      </c>
      <c r="B216" s="53" t="n"/>
      <c r="C216" s="78" t="n">
        <v>2025</v>
      </c>
      <c r="D216" s="78" t="inlineStr">
        <is>
          <t>张明峰</t>
        </is>
      </c>
      <c r="E216" s="53" t="n"/>
      <c r="F216" s="53" t="n"/>
      <c r="G216" s="53" t="n"/>
      <c r="H216" s="81" t="inlineStr">
        <is>
          <t>插件初步功能审核</t>
        </is>
      </c>
      <c r="I216" s="76" t="n"/>
      <c r="J216" s="108" t="inlineStr">
        <is>
          <t>删除</t>
        </is>
      </c>
      <c r="K216" s="108" t="inlineStr">
        <is>
          <t>审核流程分支，合并</t>
        </is>
      </c>
      <c r="L216" s="83">
        <f>IF(OR(X216="估算法",X216="算法类",X216="无法识别"),"",IF(V216="",IF(OR(I216="EI",I216="EO",I216="EQ"),0,""),LEN(V216)-LEN(SUBSTITUTE(V216,"、",""))+1))</f>
        <v/>
      </c>
      <c r="M216" s="83">
        <f>IF(OR(X216="估算法",X216="算法类",X216="无法识别"),"",IF(W216="",IF(OR(I216="ILF",I216="EIF"),0,""),LEN(W216)-LEN(SUBSTITUTE(W216,"、",""))+1))</f>
        <v/>
      </c>
      <c r="N216" s="83">
        <f>IF(OR(X216="估算法",X216="算法类",X216="无法识别"),"",IF(X216="",IF(OR(I216="ILF",I216="EIF",I216="EI",I216="EO",I216="EQ"),0,""),LEN(X216)-LEN(SUBSTITUTE(SUBSTITUTE(SUBSTITUTE(SUBSTITUTE(SUBSTITUTE(X216,"|}","--"),"{|","--"),CHAR(10),""),"、",""),"|",""))+IF(AND(OR(I216="EI",I216="EO",I216="EQ"),$AD$1="NESMA"),2,1)))</f>
        <v/>
      </c>
      <c r="O216" s="84">
        <f>IF(I216="EI",IF(OR(X216="估算法",X216="算法类"),"中",IF(X216="无法识别","低",IF(L216&lt;2,IF(N216&lt;16,"低","中"),IF(L216&lt;3,IF(N216&lt;5,"低",IF(N216&lt;16,"中","高")),IF(N216&lt;5,"中","高"))))),IF(OR(I216="EO",I216="EQ"),IF(OR(X216="估算法",X216="算法类"),"中",IF(X216="无法识别","低",IF(L216&lt;2,IF(N216&lt;20,"低","中"),IF(L216&lt;4,IF(N216&lt;6,"低",IF(N216&lt;20,"中","高")),IF(N216&lt;6,"中","高"))))),IF(OR(I216="ILF",I216="EIF"),IF(OR(X216="估算法",X216="算法类",X216="无法识别"),"低",IF(M216&lt;2,IF(N216&lt;51,"低","中"),IF(M216&lt;6,IF(N216&lt;20,"低",IF(N216&lt;51,"中","高")),IF(N216&lt;20,"中","高")))),"不计算")))</f>
        <v/>
      </c>
      <c r="P216" s="142">
        <f>IFERROR(IF(I216="EI",IF(O216="低",3,IF(O216="中",4,6)),IF(I216="EO",IF(O216="低",4,IF(O216="中",5,7)),IF(I216="EQ",IF(O216="低",3,IF(O216="中",4,6)),IF(I216="ILF",IF(O216="低",7,IF(O216="中",10,15)),IF(I216="EIF",IF(O216="低",5,IF(O216="中",7,10)),"不计算")))))*Q216,"不计算")</f>
        <v/>
      </c>
      <c r="Q216" s="142" t="n">
        <v>1</v>
      </c>
      <c r="R216" s="143">
        <f>调整因子!$F$13</f>
        <v/>
      </c>
      <c r="S216" s="76" t="n">
        <v>1</v>
      </c>
      <c r="T216" s="144">
        <f>IFERROR(P216*R216,0)</f>
        <v/>
      </c>
      <c r="U216" s="144">
        <f>T216*S216</f>
        <v/>
      </c>
      <c r="V216" s="88" t="inlineStr">
        <is>
          <t>插件审核表、数据库变更日志表、数据库变更日志锁表、插件漏洞表</t>
        </is>
      </c>
      <c r="W216" s="89" t="n"/>
      <c r="X216" s="88" t="inlineStr">
        <is>
          <t>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t>
        </is>
      </c>
      <c r="Y216" s="88" t="n"/>
      <c r="Z216" s="88" t="n"/>
      <c r="AA216" s="96" t="inlineStr">
        <is>
          <t>通报模板表、离线扫描报告表、日志采集配置表、漏洞处置单表、任务趋势分析表</t>
        </is>
      </c>
    </row>
    <row r="217" ht="10.8" customFormat="1" customHeight="1" s="63">
      <c r="A217" s="69">
        <f>ROW()-1</f>
        <v/>
      </c>
      <c r="B217" s="53" t="n"/>
      <c r="C217" s="78" t="n">
        <v>2025</v>
      </c>
      <c r="D217" s="78" t="inlineStr">
        <is>
          <t>张明峰</t>
        </is>
      </c>
      <c r="E217" s="53" t="n"/>
      <c r="F217" s="53" t="n"/>
      <c r="G217" s="53" t="n"/>
      <c r="H217" s="81" t="inlineStr">
        <is>
          <t>查看插件支持的漏洞信息</t>
        </is>
      </c>
      <c r="I217" s="76" t="inlineStr">
        <is>
          <t>EQ</t>
        </is>
      </c>
      <c r="J217" s="108" t="n"/>
      <c r="K217" s="108" t="n"/>
      <c r="L217" s="83">
        <f>IF(OR(X217="估算法",X217="算法类",X217="无法识别"),"",IF(V217="",IF(OR(I217="EI",I217="EO",I217="EQ"),0,""),LEN(V217)-LEN(SUBSTITUTE(V217,"、",""))+1))</f>
        <v/>
      </c>
      <c r="M217" s="83">
        <f>IF(OR(X217="估算法",X217="算法类",X217="无法识别"),"",IF(W217="",IF(OR(I217="ILF",I217="EIF"),0,""),LEN(W217)-LEN(SUBSTITUTE(W217,"、",""))+1))</f>
        <v/>
      </c>
      <c r="N217" s="83">
        <f>IF(OR(X217="估算法",X217="算法类",X217="无法识别"),"",IF(X217="",IF(OR(I217="ILF",I217="EIF",I217="EI",I217="EO",I217="EQ"),0,""),LEN(X217)-LEN(SUBSTITUTE(SUBSTITUTE(SUBSTITUTE(SUBSTITUTE(SUBSTITUTE(X217,"|}","--"),"{|","--"),CHAR(10),""),"、",""),"|",""))+IF(AND(OR(I217="EI",I217="EO",I217="EQ"),$AD$1="NESMA"),2,1)))</f>
        <v/>
      </c>
      <c r="O217" s="84">
        <f>IF(I217="EI",IF(OR(X217="估算法",X217="算法类"),"中",IF(X217="无法识别","低",IF(L217&lt;2,IF(N217&lt;16,"低","中"),IF(L217&lt;3,IF(N217&lt;5,"低",IF(N217&lt;16,"中","高")),IF(N217&lt;5,"中","高"))))),IF(OR(I217="EO",I217="EQ"),IF(OR(X217="估算法",X217="算法类"),"中",IF(X217="无法识别","低",IF(L217&lt;2,IF(N217&lt;20,"低","中"),IF(L217&lt;4,IF(N217&lt;6,"低",IF(N217&lt;20,"中","高")),IF(N217&lt;6,"中","高"))))),IF(OR(I217="ILF",I217="EIF"),IF(OR(X217="估算法",X217="算法类",X217="无法识别"),"低",IF(M217&lt;2,IF(N217&lt;51,"低","中"),IF(M217&lt;6,IF(N217&lt;20,"低",IF(N217&lt;51,"中","高")),IF(N217&lt;20,"中","高")))),"不计算")))</f>
        <v/>
      </c>
      <c r="P217" s="142">
        <f>IFERROR(IF(I217="EI",IF(O217="低",3,IF(O217="中",4,6)),IF(I217="EO",IF(O217="低",4,IF(O217="中",5,7)),IF(I217="EQ",IF(O217="低",3,IF(O217="中",4,6)),IF(I217="ILF",IF(O217="低",7,IF(O217="中",10,15)),IF(I217="EIF",IF(O217="低",5,IF(O217="中",7,10)),"不计算")))))*Q217,"不计算")</f>
        <v/>
      </c>
      <c r="Q217" s="142" t="n">
        <v>1</v>
      </c>
      <c r="R217" s="143">
        <f>调整因子!$F$13</f>
        <v/>
      </c>
      <c r="S217" s="70" t="n">
        <v>1</v>
      </c>
      <c r="T217" s="144">
        <f>IFERROR(P217*R217,0)</f>
        <v/>
      </c>
      <c r="U217" s="144">
        <f>T217*S217</f>
        <v/>
      </c>
      <c r="V217" s="88" t="inlineStr">
        <is>
          <t>插件漏洞表</t>
        </is>
      </c>
      <c r="W217" s="89" t="n"/>
      <c r="X217" s="88" t="inlineStr">
        <is>
          <t>插件漏洞表{漏洞ID、插件ID、漏洞名称、描述、发现时间}</t>
        </is>
      </c>
      <c r="Y217" s="88" t="n"/>
      <c r="Z217" s="88" t="n"/>
      <c r="AA217" s="96" t="inlineStr">
        <is>
          <t>资产扫描覆盖表、扫描盲区记录表、扫描能力缺口表、离线扫描报告表</t>
        </is>
      </c>
    </row>
    <row r="218" ht="54" customFormat="1" customHeight="1" s="63">
      <c r="A218" s="69">
        <f>ROW()-1</f>
        <v/>
      </c>
      <c r="B218" s="53" t="n"/>
      <c r="C218" s="78" t="n">
        <v>2025</v>
      </c>
      <c r="D218" s="78" t="inlineStr">
        <is>
          <t>张明峰</t>
        </is>
      </c>
      <c r="E218" s="53" t="n"/>
      <c r="F218" s="53" t="n"/>
      <c r="G218" s="53" t="n"/>
      <c r="H218" s="81" t="inlineStr">
        <is>
          <t>插件基础安全性审核</t>
        </is>
      </c>
      <c r="I218" s="76" t="n"/>
      <c r="J218" s="108" t="inlineStr">
        <is>
          <t>删除</t>
        </is>
      </c>
      <c r="K218" s="108" t="inlineStr">
        <is>
          <t>审核流程分支，合并</t>
        </is>
      </c>
      <c r="L218" s="83">
        <f>IF(OR(X218="估算法",X218="算法类",X218="无法识别"),"",IF(V218="",IF(OR(I218="EI",I218="EO",I218="EQ"),0,""),LEN(V218)-LEN(SUBSTITUTE(V218,"、",""))+1))</f>
        <v/>
      </c>
      <c r="M218" s="83">
        <f>IF(OR(X218="估算法",X218="算法类",X218="无法识别"),"",IF(W218="",IF(OR(I218="ILF",I218="EIF"),0,""),LEN(W218)-LEN(SUBSTITUTE(W218,"、",""))+1))</f>
        <v/>
      </c>
      <c r="N218" s="83">
        <f>IF(OR(X218="估算法",X218="算法类",X218="无法识别"),"",IF(X218="",IF(OR(I218="ILF",I218="EIF",I218="EI",I218="EO",I218="EQ"),0,""),LEN(X218)-LEN(SUBSTITUTE(SUBSTITUTE(SUBSTITUTE(SUBSTITUTE(SUBSTITUTE(X218,"|}","--"),"{|","--"),CHAR(10),""),"、",""),"|",""))+IF(AND(OR(I218="EI",I218="EO",I218="EQ"),$AD$1="NESMA"),2,1)))</f>
        <v/>
      </c>
      <c r="O218" s="84">
        <f>IF(I218="EI",IF(OR(X218="估算法",X218="算法类"),"中",IF(X218="无法识别","低",IF(L218&lt;2,IF(N218&lt;16,"低","中"),IF(L218&lt;3,IF(N218&lt;5,"低",IF(N218&lt;16,"中","高")),IF(N218&lt;5,"中","高"))))),IF(OR(I218="EO",I218="EQ"),IF(OR(X218="估算法",X218="算法类"),"中",IF(X218="无法识别","低",IF(L218&lt;2,IF(N218&lt;20,"低","中"),IF(L218&lt;4,IF(N218&lt;6,"低",IF(N218&lt;20,"中","高")),IF(N218&lt;6,"中","高"))))),IF(OR(I218="ILF",I218="EIF"),IF(OR(X218="估算法",X218="算法类",X218="无法识别"),"低",IF(M218&lt;2,IF(N218&lt;51,"低","中"),IF(M218&lt;6,IF(N218&lt;20,"低",IF(N218&lt;51,"中","高")),IF(N218&lt;20,"中","高")))),"不计算")))</f>
        <v/>
      </c>
      <c r="P218" s="142">
        <f>IFERROR(IF(I218="EI",IF(O218="低",3,IF(O218="中",4,6)),IF(I218="EO",IF(O218="低",4,IF(O218="中",5,7)),IF(I218="EQ",IF(O218="低",3,IF(O218="中",4,6)),IF(I218="ILF",IF(O218="低",7,IF(O218="中",10,15)),IF(I218="EIF",IF(O218="低",5,IF(O218="中",7,10)),"不计算")))))*Q218,"不计算")</f>
        <v/>
      </c>
      <c r="Q218" s="142" t="n">
        <v>1</v>
      </c>
      <c r="R218" s="143">
        <f>调整因子!$F$13</f>
        <v/>
      </c>
      <c r="S218" s="70" t="n">
        <v>1</v>
      </c>
      <c r="T218" s="144">
        <f>IFERROR(P218*R218,0)</f>
        <v/>
      </c>
      <c r="U218" s="144">
        <f>T218*S218</f>
        <v/>
      </c>
      <c r="V218" s="88" t="inlineStr">
        <is>
          <t>插件审核表、数据库变更日志表、数据库变更日志锁表、插件漏洞表、属性配置表</t>
        </is>
      </c>
      <c r="W218" s="89" t="n"/>
      <c r="X218" s="88" t="inlineStr">
        <is>
          <t xml:space="preserve">属性配置表{配置ID、属性名称、值、描述}、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
</t>
        </is>
      </c>
      <c r="Y218" s="88" t="n"/>
      <c r="Z218" s="88" t="n"/>
      <c r="AA218" s="96" t="inlineStr">
        <is>
          <t>资产扫描覆盖表、扫描盲区记录表、扫描能力缺口表、离线扫描报告表</t>
        </is>
      </c>
    </row>
    <row r="219" ht="129.6" customFormat="1" customHeight="1" s="63">
      <c r="A219" s="69">
        <f>ROW()-1</f>
        <v/>
      </c>
      <c r="B219" s="53" t="n"/>
      <c r="C219" s="78" t="n">
        <v>2025</v>
      </c>
      <c r="D219" s="78" t="inlineStr">
        <is>
          <t>张明峰</t>
        </is>
      </c>
      <c r="E219" s="53" t="n"/>
      <c r="F219" s="53" t="n"/>
      <c r="G219" s="53" t="n"/>
      <c r="H219" s="81" t="inlineStr">
        <is>
          <t>插件等级评定</t>
        </is>
      </c>
      <c r="I219" s="76" t="n"/>
      <c r="J219" s="108" t="inlineStr">
        <is>
          <t>删除</t>
        </is>
      </c>
      <c r="K219" s="108" t="inlineStr">
        <is>
          <t>审核流程分支，合并</t>
        </is>
      </c>
      <c r="L219" s="83">
        <f>IF(OR(X219="估算法",X219="算法类",X219="无法识别"),"",IF(V219="",IF(OR(I219="EI",I219="EO",I219="EQ"),0,""),LEN(V219)-LEN(SUBSTITUTE(V219,"、",""))+1))</f>
        <v/>
      </c>
      <c r="M219" s="83">
        <f>IF(OR(X219="估算法",X219="算法类",X219="无法识别"),"",IF(W219="",IF(OR(I219="ILF",I219="EIF"),0,""),LEN(W219)-LEN(SUBSTITUTE(W219,"、",""))+1))</f>
        <v/>
      </c>
      <c r="N219" s="83">
        <f>IF(OR(X219="估算法",X219="算法类",X219="无法识别"),"",IF(X219="",IF(OR(I219="ILF",I219="EIF",I219="EI",I219="EO",I219="EQ"),0,""),LEN(X219)-LEN(SUBSTITUTE(SUBSTITUTE(SUBSTITUTE(SUBSTITUTE(SUBSTITUTE(X219,"|}","--"),"{|","--"),CHAR(10),""),"、",""),"|",""))+IF(AND(OR(I219="EI",I219="EO",I219="EQ"),$AD$1="NESMA"),2,1)))</f>
        <v/>
      </c>
      <c r="O219" s="84">
        <f>IF(I219="EI",IF(OR(X219="估算法",X219="算法类"),"中",IF(X219="无法识别","低",IF(L219&lt;2,IF(N219&lt;16,"低","中"),IF(L219&lt;3,IF(N219&lt;5,"低",IF(N219&lt;16,"中","高")),IF(N219&lt;5,"中","高"))))),IF(OR(I219="EO",I219="EQ"),IF(OR(X219="估算法",X219="算法类"),"中",IF(X219="无法识别","低",IF(L219&lt;2,IF(N219&lt;20,"低","中"),IF(L219&lt;4,IF(N219&lt;6,"低",IF(N219&lt;20,"中","高")),IF(N219&lt;6,"中","高"))))),IF(OR(I219="ILF",I219="EIF"),IF(OR(X219="估算法",X219="算法类",X219="无法识别"),"低",IF(M219&lt;2,IF(N219&lt;51,"低","中"),IF(M219&lt;6,IF(N219&lt;20,"低",IF(N219&lt;51,"中","高")),IF(N219&lt;20,"中","高")))),"不计算")))</f>
        <v/>
      </c>
      <c r="P219" s="142">
        <f>IFERROR(IF(I219="EI",IF(O219="低",3,IF(O219="中",4,6)),IF(I219="EO",IF(O219="低",4,IF(O219="中",5,7)),IF(I219="EQ",IF(O219="低",3,IF(O219="中",4,6)),IF(I219="ILF",IF(O219="低",7,IF(O219="中",10,15)),IF(I219="EIF",IF(O219="低",5,IF(O219="中",7,10)),"不计算")))))*Q219,"不计算")</f>
        <v/>
      </c>
      <c r="Q219" s="142" t="n">
        <v>1</v>
      </c>
      <c r="R219" s="143">
        <f>调整因子!$F$13</f>
        <v/>
      </c>
      <c r="S219" s="76" t="n">
        <v>1</v>
      </c>
      <c r="T219" s="144">
        <f>IFERROR(P219*R219,0)</f>
        <v/>
      </c>
      <c r="U219" s="144">
        <f>T219*S219</f>
        <v/>
      </c>
      <c r="V219" s="88" t="inlineStr">
        <is>
          <t>流程抄送表、流程定义表、流程定义属性表、流程定义权限表、流程定义BPMN表、流程定义按钮表、流程定义事件表、流程定义表单初始化表、流程定义表单角色表、流程定义通知表、流程定义提醒表、流程定义变量表、流程草稿表、流程脚本表、流程超时记录表、流程类型表、渠道定义表</t>
        </is>
      </c>
      <c r="W219" s="89" t="n"/>
      <c r="X219" s="88" t="inlineStr">
        <is>
          <t>流程抄送表{抄送ID、流程实例ID、抄送人、抄送时间}、流程定义表{定义ID、流程名称、定义内容、创建时间}、流程定义属性表{属性ID、流程定义ID、属性名称、值}、流程定义权限表{权限ID、流程定义ID、角色、权限类型}、流程定义BPMN表{BPMNID、流程定义ID、BPMN内容}、流程定义按钮表{按钮ID、流程定义ID、按钮名称、按钮动作}、流程定义事件表{事件ID、流程定义ID、事件名称、事件处理程序}、流程定义表单初始化表{初始化ID、流程定义ID、表单内容、创建时间}、流程定义表单角色表{角色ID、流程定义ID、角色名称、权限}、流程定义通知表{通知ID、流程定义ID、通知内容、发送时间}、流程定义提醒表{提醒ID、流程定义ID、提醒内容、提醒时间}、流程定义变量表{变量ID、流程定义ID、变量名称、值}、流程草稿表{草稿ID、流程定义ID、草稿内容、创建时间}、流程脚本表{脚本ID、流程定义ID、脚本内容、创建时间}、流程超时记录表{记录ID、流程实例ID、超时时间、处理结果}、流程类型表{类型ID、类型名称、描述}、渠道定义表{渠道ID、渠道名称、描述}</t>
        </is>
      </c>
      <c r="Y219" s="88" t="n"/>
      <c r="Z219" s="88" t="n"/>
      <c r="AA219" s="96" t="inlineStr">
        <is>
          <t>资产扫描覆盖表、扫描盲区记录表、扫描能力缺口表</t>
        </is>
      </c>
    </row>
    <row r="220" ht="75.59999999999999" customFormat="1" customHeight="1" s="63">
      <c r="A220" s="69">
        <f>ROW()-1</f>
        <v/>
      </c>
      <c r="B220" s="53" t="n"/>
      <c r="C220" s="78" t="n">
        <v>2025</v>
      </c>
      <c r="D220" s="78" t="inlineStr">
        <is>
          <t>张明峰</t>
        </is>
      </c>
      <c r="E220" s="53" t="n"/>
      <c r="F220" s="53" t="n"/>
      <c r="G220" s="53" t="n"/>
      <c r="H220" s="81" t="inlineStr">
        <is>
          <t>原理检测插件审批</t>
        </is>
      </c>
      <c r="I220" s="76" t="n"/>
      <c r="J220" s="108" t="inlineStr">
        <is>
          <t>删除</t>
        </is>
      </c>
      <c r="K220" s="108" t="inlineStr">
        <is>
          <t>审核流程分支，合并</t>
        </is>
      </c>
      <c r="L220" s="83">
        <f>IF(OR(X220="估算法",X220="算法类",X220="无法识别"),"",IF(V220="",IF(OR(I220="EI",I220="EO",I220="EQ"),0,""),LEN(V220)-LEN(SUBSTITUTE(V220,"、",""))+1))</f>
        <v/>
      </c>
      <c r="M220" s="83">
        <f>IF(OR(X220="估算法",X220="算法类",X220="无法识别"),"",IF(W220="",IF(OR(I220="ILF",I220="EIF"),0,""),LEN(W220)-LEN(SUBSTITUTE(W220,"、",""))+1))</f>
        <v/>
      </c>
      <c r="N220" s="83">
        <f>IF(OR(X220="估算法",X220="算法类",X220="无法识别"),"",IF(X220="",IF(OR(I220="ILF",I220="EIF",I220="EI",I220="EO",I220="EQ"),0,""),LEN(X220)-LEN(SUBSTITUTE(SUBSTITUTE(SUBSTITUTE(SUBSTITUTE(SUBSTITUTE(X220,"|}","--"),"{|","--"),CHAR(10),""),"、",""),"|",""))+IF(AND(OR(I220="EI",I220="EO",I220="EQ"),$AD$1="NESMA"),2,1)))</f>
        <v/>
      </c>
      <c r="O220" s="84">
        <f>IF(I220="EI",IF(OR(X220="估算法",X220="算法类"),"中",IF(X220="无法识别","低",IF(L220&lt;2,IF(N220&lt;16,"低","中"),IF(L220&lt;3,IF(N220&lt;5,"低",IF(N220&lt;16,"中","高")),IF(N220&lt;5,"中","高"))))),IF(OR(I220="EO",I220="EQ"),IF(OR(X220="估算法",X220="算法类"),"中",IF(X220="无法识别","低",IF(L220&lt;2,IF(N220&lt;20,"低","中"),IF(L220&lt;4,IF(N220&lt;6,"低",IF(N220&lt;20,"中","高")),IF(N220&lt;6,"中","高"))))),IF(OR(I220="ILF",I220="EIF"),IF(OR(X220="估算法",X220="算法类",X220="无法识别"),"低",IF(M220&lt;2,IF(N220&lt;51,"低","中"),IF(M220&lt;6,IF(N220&lt;20,"低",IF(N220&lt;51,"中","高")),IF(N220&lt;20,"中","高")))),"不计算")))</f>
        <v/>
      </c>
      <c r="P220" s="142">
        <f>IFERROR(IF(I220="EI",IF(O220="低",3,IF(O220="中",4,6)),IF(I220="EO",IF(O220="低",4,IF(O220="中",5,7)),IF(I220="EQ",IF(O220="低",3,IF(O220="中",4,6)),IF(I220="ILF",IF(O220="低",7,IF(O220="中",10,15)),IF(I220="EIF",IF(O220="低",5,IF(O220="中",7,10)),"不计算")))))*Q220,"不计算")</f>
        <v/>
      </c>
      <c r="Q220" s="142" t="n">
        <v>1</v>
      </c>
      <c r="R220" s="143">
        <f>调整因子!$F$13</f>
        <v/>
      </c>
      <c r="S220" s="70" t="n">
        <v>1</v>
      </c>
      <c r="T220" s="144">
        <f>IFERROR(P220*R220,0)</f>
        <v/>
      </c>
      <c r="U220" s="144">
        <f>T220*S220</f>
        <v/>
      </c>
      <c r="V220" s="88" t="inlineStr">
        <is>
          <t>事件数据库变更日志表、事件数据库变更日志锁表、事件定义表、事件部署表、事件资源表、表单定义内容表、表单定义表、表单定义历史表、表单定义单元表、表单类型表</t>
        </is>
      </c>
      <c r="W220" s="89" t="n"/>
      <c r="X220" s="88" t="inlineStr">
        <is>
          <t>事件数据库变更日志表{日志ID、变更内容、变更时间}、事件数据库变更日志锁表{锁ID、锁定状态、锁定时间}、事件定义表{定义ID、事件名称、描述、创建时间}、事件部署表{部署ID、事件定义ID、部署时间、部署者}、事件资源表{资源ID、事件定义ID、资源路径、上传时间}、表单定义内容表{内容ID、表单定义ID、内容、创建时间}、表单定义表{表单ID、表单名称、描述、创建时间}、表单定义历史表{历史ID、表单ID、历史内容、创建时间}、表单定义单元表{单元ID、表单ID、单元名称、描述}、表单类型表{类型ID、类型名称、描述}</t>
        </is>
      </c>
      <c r="Y220" s="88" t="n"/>
      <c r="Z220" s="88" t="n"/>
      <c r="AA220" s="96" t="inlineStr">
        <is>
          <t>推送规则表、提醒规则表、脱敏规则表、加密规则表、接口参数表</t>
        </is>
      </c>
    </row>
    <row r="221" ht="10.8" customFormat="1" customHeight="1" s="63">
      <c r="A221" s="69" t="n"/>
      <c r="B221" s="53" t="n"/>
      <c r="C221" s="78" t="n"/>
      <c r="D221" s="78" t="inlineStr">
        <is>
          <t>张明峰</t>
        </is>
      </c>
      <c r="E221" s="53" t="n"/>
      <c r="F221" s="53" t="n"/>
      <c r="G221" s="53" t="n"/>
      <c r="H221" s="81" t="inlineStr">
        <is>
          <t>插件内容安全检测</t>
        </is>
      </c>
      <c r="I221" s="76" t="inlineStr">
        <is>
          <t>EI</t>
        </is>
      </c>
      <c r="J221" s="92" t="inlineStr">
        <is>
          <t>新增</t>
        </is>
      </c>
      <c r="K221" s="108" t="n"/>
      <c r="L221" s="83" t="n"/>
      <c r="M221" s="83" t="n"/>
      <c r="N221" s="83" t="n"/>
      <c r="O221" s="84" t="n"/>
      <c r="P221" s="142" t="n"/>
      <c r="Q221" s="142" t="n"/>
      <c r="R221" s="143" t="n"/>
      <c r="S221" s="70" t="n"/>
      <c r="T221" s="144" t="n"/>
      <c r="U221" s="144" t="n"/>
      <c r="V221" s="88" t="inlineStr">
        <is>
          <t>原理检测插件审核单表、插件审核内容安全检测表</t>
        </is>
      </c>
      <c r="W221" s="89" t="n"/>
      <c r="X221" s="88" t="inlineStr">
        <is>
          <t>原理检测插件审核单表{审核单编号、插件编号、插件版本号|审核单编号、审核单状态、更新时间}、插件审核内容安全检测表{审核单编号、插件编号、插件版本号、检测结论|检测记录编号、检测时间、检测结论、检测报告摘要}</t>
        </is>
      </c>
      <c r="Y221" s="88" t="n"/>
      <c r="Z221" s="88" t="n"/>
      <c r="AA221" s="96" t="n"/>
    </row>
    <row r="222" ht="10.8" customFormat="1" customHeight="1" s="63">
      <c r="A222" s="69" t="n"/>
      <c r="B222" s="53" t="n"/>
      <c r="C222" s="78" t="n"/>
      <c r="D222" s="78" t="inlineStr">
        <is>
          <t>张明峰</t>
        </is>
      </c>
      <c r="E222" s="53" t="n"/>
      <c r="F222" s="53" t="n"/>
      <c r="G222" s="53" t="n"/>
      <c r="H222" s="81" t="inlineStr">
        <is>
          <t>插件内容编译运行</t>
        </is>
      </c>
      <c r="I222" s="76" t="inlineStr">
        <is>
          <t>EI</t>
        </is>
      </c>
      <c r="J222" s="92" t="inlineStr">
        <is>
          <t>新增</t>
        </is>
      </c>
      <c r="K222" s="108" t="n"/>
      <c r="L222" s="83" t="n"/>
      <c r="M222" s="83" t="n"/>
      <c r="N222" s="83" t="n"/>
      <c r="O222" s="84" t="n"/>
      <c r="P222" s="142" t="n"/>
      <c r="Q222" s="142" t="n"/>
      <c r="R222" s="143" t="n"/>
      <c r="S222" s="70" t="n"/>
      <c r="T222" s="144" t="n"/>
      <c r="U222" s="144" t="n"/>
      <c r="V222" s="88" t="inlineStr">
        <is>
          <t>原理检测插件审核单表、插件编译表</t>
        </is>
      </c>
      <c r="W222" s="89" t="n"/>
      <c r="X222" s="88" t="inlineStr">
        <is>
          <t>原理检测插件审核单表{审核单编号|审核单编号、审核单状态}、插件编译表{审核单编号、插件编号、插件版本号、编译结论、运行结论|编译运行记录编号、执行时间、编译结论、运行结论、日志摘要}</t>
        </is>
      </c>
      <c r="Y222" s="88" t="n"/>
      <c r="Z222" s="88" t="n"/>
      <c r="AA222" s="96" t="n"/>
    </row>
    <row r="223" ht="10.8" customFormat="1" customHeight="1" s="63">
      <c r="A223" s="69" t="n"/>
      <c r="B223" s="53" t="n"/>
      <c r="C223" s="78" t="n"/>
      <c r="D223" s="78" t="inlineStr">
        <is>
          <t>张明峰</t>
        </is>
      </c>
      <c r="E223" s="53" t="n"/>
      <c r="F223" s="53" t="n"/>
      <c r="G223" s="53" t="n"/>
      <c r="H223" s="81" t="inlineStr">
        <is>
          <t>综合判定插件状态</t>
        </is>
      </c>
      <c r="I223" s="76" t="inlineStr">
        <is>
          <t>EI</t>
        </is>
      </c>
      <c r="J223" s="92" t="inlineStr">
        <is>
          <t>新增</t>
        </is>
      </c>
      <c r="K223" s="108" t="n"/>
      <c r="L223" s="83" t="n"/>
      <c r="M223" s="83" t="n"/>
      <c r="N223" s="83" t="n"/>
      <c r="O223" s="84" t="n"/>
      <c r="P223" s="142" t="n"/>
      <c r="Q223" s="142" t="n"/>
      <c r="R223" s="143" t="n"/>
      <c r="S223" s="70" t="n"/>
      <c r="T223" s="144" t="n"/>
      <c r="U223" s="144" t="n"/>
      <c r="V223" s="88" t="inlineStr">
        <is>
          <t>原理检测插件审核单表、插件综合判定表</t>
        </is>
      </c>
      <c r="W223" s="89" t="n"/>
      <c r="X223" s="88" t="inlineStr">
        <is>
          <t>原理检测插件审核单表{审核单编号|审核单编号、审核单状态}、插件综合判定表{审核单编号、插件编号、插件版本号、综合状态、判定说明|判定记录编号、综合状态、判定时间、判定说明}</t>
        </is>
      </c>
      <c r="Y223" s="88" t="n"/>
      <c r="Z223" s="88" t="n"/>
      <c r="AA223" s="96" t="n"/>
    </row>
    <row r="224" ht="86.40000000000001" customFormat="1" customHeight="1" s="63">
      <c r="A224" s="69">
        <f>ROW()-1</f>
        <v/>
      </c>
      <c r="B224" s="53" t="n"/>
      <c r="C224" s="78" t="n">
        <v>2025</v>
      </c>
      <c r="D224" s="78" t="inlineStr">
        <is>
          <t>张明峰</t>
        </is>
      </c>
      <c r="E224" s="53" t="n"/>
      <c r="F224" s="53" t="n"/>
      <c r="G224" s="53" t="n"/>
      <c r="H224" s="81" t="inlineStr">
        <is>
          <t>查看插件审核审计日志</t>
        </is>
      </c>
      <c r="I224" s="76" t="inlineStr">
        <is>
          <t>EQ</t>
        </is>
      </c>
      <c r="J224" s="108" t="n"/>
      <c r="K224" s="108" t="n"/>
      <c r="L224" s="83">
        <f>IF(OR(X224="估算法",X224="算法类",X224="无法识别"),"",IF(V224="",IF(OR(I224="EI",I224="EO",I224="EQ"),0,""),LEN(V224)-LEN(SUBSTITUTE(V224,"、",""))+1))</f>
        <v/>
      </c>
      <c r="M224" s="83">
        <f>IF(OR(X224="估算法",X224="算法类",X224="无法识别"),"",IF(W224="",IF(OR(I224="ILF",I224="EIF"),0,""),LEN(W224)-LEN(SUBSTITUTE(W224,"、",""))+1))</f>
        <v/>
      </c>
      <c r="N224" s="83">
        <f>IF(OR(X224="估算法",X224="算法类",X224="无法识别"),"",IF(X224="",IF(OR(I224="ILF",I224="EIF",I224="EI",I224="EO",I224="EQ"),0,""),LEN(X224)-LEN(SUBSTITUTE(SUBSTITUTE(SUBSTITUTE(SUBSTITUTE(SUBSTITUTE(X224,"|}","--"),"{|","--"),CHAR(10),""),"、",""),"|",""))+IF(AND(OR(I224="EI",I224="EO",I224="EQ"),$AD$1="NESMA"),2,1)))</f>
        <v/>
      </c>
      <c r="O224" s="84">
        <f>IF(I224="EI",IF(OR(X224="估算法",X224="算法类"),"中",IF(X224="无法识别","低",IF(L224&lt;2,IF(N224&lt;16,"低","中"),IF(L224&lt;3,IF(N224&lt;5,"低",IF(N224&lt;16,"中","高")),IF(N224&lt;5,"中","高"))))),IF(OR(I224="EO",I224="EQ"),IF(OR(X224="估算法",X224="算法类"),"中",IF(X224="无法识别","低",IF(L224&lt;2,IF(N224&lt;20,"低","中"),IF(L224&lt;4,IF(N224&lt;6,"低",IF(N224&lt;20,"中","高")),IF(N224&lt;6,"中","高"))))),IF(OR(I224="ILF",I224="EIF"),IF(OR(X224="估算法",X224="算法类",X224="无法识别"),"低",IF(M224&lt;2,IF(N224&lt;51,"低","中"),IF(M224&lt;6,IF(N224&lt;20,"低",IF(N224&lt;51,"中","高")),IF(N224&lt;20,"中","高")))),"不计算")))</f>
        <v/>
      </c>
      <c r="P224" s="142">
        <f>IFERROR(IF(I224="EI",IF(O224="低",3,IF(O224="中",4,6)),IF(I224="EO",IF(O224="低",4,IF(O224="中",5,7)),IF(I224="EQ",IF(O224="低",3,IF(O224="中",4,6)),IF(I224="ILF",IF(O224="低",7,IF(O224="中",10,15)),IF(I224="EIF",IF(O224="低",5,IF(O224="中",7,10)),"不计算")))))*Q224,"不计算")</f>
        <v/>
      </c>
      <c r="Q224" s="142" t="n">
        <v>1</v>
      </c>
      <c r="R224" s="143">
        <f>调整因子!$F$13</f>
        <v/>
      </c>
      <c r="S224" s="70" t="n">
        <v>1</v>
      </c>
      <c r="T224" s="144">
        <f>IFERROR(P224*R224,0)</f>
        <v/>
      </c>
      <c r="U224" s="144">
        <f>T224*S224</f>
        <v/>
      </c>
      <c r="V224" s="88" t="inlineStr">
        <is>
          <t>历史附件表、历史评论表、历史详情表、历史实体链接表、历史身份链接表、历史流程实例表、历史任务实例表、历史任务日志表、历史变量实例表、历史作业表</t>
        </is>
      </c>
      <c r="W224" s="89" t="n"/>
      <c r="X224" s="88" t="inlineStr">
        <is>
          <t>历史附件表{附件ID、流程实例ID、附件名称、附件路径、上传时间}、历史评论表{评论ID、流程实例ID、评论内容、评论人、评论时间}、历史详情表{详情ID、流程实例ID、详情内容、更新时间}、历史实体链接表{链接ID、流程实例ID、实体类型、实体ID、链接时间}、历史身份链接表{链接ID、流程实例ID、用户ID、角色、链接时间}、历史流程实例表{实例ID、流程定义ID、开始时间、结束时间、状态}、历史任务实例表{实例ID、任务定义ID、开始时间、结束时间、状态}、历史任务日志表{日志ID、任务实例ID、日志内容、记录时间}、历史变量实例表{变量ID、实例ID、变量名称、值、更新时间}、历史作业表{作业ID、流程实例ID、作业名称、创建时间}</t>
        </is>
      </c>
      <c r="Y224" s="88" t="n"/>
      <c r="Z224" s="88" t="n"/>
      <c r="AA224" s="96" t="inlineStr">
        <is>
          <t>推送规则表、提醒规则表、脱敏规则表、加密规则表、任务日志表</t>
        </is>
      </c>
    </row>
    <row r="225" ht="43.2" customFormat="1" customHeight="1" s="63">
      <c r="A225" s="69">
        <f>ROW()-1</f>
        <v/>
      </c>
      <c r="B225" s="53" t="n"/>
      <c r="C225" s="78" t="n">
        <v>2025</v>
      </c>
      <c r="D225" s="78" t="inlineStr">
        <is>
          <t>张明峰</t>
        </is>
      </c>
      <c r="E225" s="53" t="n"/>
      <c r="F225" s="53" t="n"/>
      <c r="G225" s="53" t="n"/>
      <c r="H225" s="81" t="inlineStr">
        <is>
          <t>提交部侧审核原理插件流程</t>
        </is>
      </c>
      <c r="I225" s="76" t="inlineStr">
        <is>
          <t>EI</t>
        </is>
      </c>
      <c r="J225" s="108" t="n"/>
      <c r="K225" s="108" t="n"/>
      <c r="L225" s="83">
        <f>IF(OR(X225="估算法",X225="算法类",X225="无法识别"),"",IF(V225="",IF(OR(I225="EI",I225="EO",I225="EQ"),0,""),LEN(V225)-LEN(SUBSTITUTE(V225,"、",""))+1))</f>
        <v/>
      </c>
      <c r="M225" s="83">
        <f>IF(OR(X225="估算法",X225="算法类",X225="无法识别"),"",IF(W225="",IF(OR(I225="ILF",I225="EIF"),0,""),LEN(W225)-LEN(SUBSTITUTE(W225,"、",""))+1))</f>
        <v/>
      </c>
      <c r="N225" s="83">
        <f>IF(OR(X225="估算法",X225="算法类",X225="无法识别"),"",IF(X225="",IF(OR(I225="ILF",I225="EIF",I225="EI",I225="EO",I225="EQ"),0,""),LEN(X225)-LEN(SUBSTITUTE(SUBSTITUTE(SUBSTITUTE(SUBSTITUTE(SUBSTITUTE(X225,"|}","--"),"{|","--"),CHAR(10),""),"、",""),"|",""))+IF(AND(OR(I225="EI",I225="EO",I225="EQ"),$AD$1="NESMA"),2,1)))</f>
        <v/>
      </c>
      <c r="O225" s="84">
        <f>IF(I225="EI",IF(OR(X225="估算法",X225="算法类"),"中",IF(X225="无法识别","低",IF(L225&lt;2,IF(N225&lt;16,"低","中"),IF(L225&lt;3,IF(N225&lt;5,"低",IF(N225&lt;16,"中","高")),IF(N225&lt;5,"中","高"))))),IF(OR(I225="EO",I225="EQ"),IF(OR(X225="估算法",X225="算法类"),"中",IF(X225="无法识别","低",IF(L225&lt;2,IF(N225&lt;20,"低","中"),IF(L225&lt;4,IF(N225&lt;6,"低",IF(N225&lt;20,"中","高")),IF(N225&lt;6,"中","高"))))),IF(OR(I225="ILF",I225="EIF"),IF(OR(X225="估算法",X225="算法类",X225="无法识别"),"低",IF(M225&lt;2,IF(N225&lt;51,"低","中"),IF(M225&lt;6,IF(N225&lt;20,"低",IF(N225&lt;51,"中","高")),IF(N225&lt;20,"中","高")))),"不计算")))</f>
        <v/>
      </c>
      <c r="P225" s="142">
        <f>IFERROR(IF(I225="EI",IF(O225="低",3,IF(O225="中",4,6)),IF(I225="EO",IF(O225="低",4,IF(O225="中",5,7)),IF(I225="EQ",IF(O225="低",3,IF(O225="中",4,6)),IF(I225="ILF",IF(O225="低",7,IF(O225="中",10,15)),IF(I225="EIF",IF(O225="低",5,IF(O225="中",7,10)),"不计算")))))*Q225,"不计算")</f>
        <v/>
      </c>
      <c r="Q225" s="142" t="n">
        <v>1</v>
      </c>
      <c r="R225" s="143">
        <f>调整因子!$F$13</f>
        <v/>
      </c>
      <c r="S225" s="76" t="n">
        <v>1</v>
      </c>
      <c r="T225" s="144">
        <f>IFERROR(P225*R225,0)</f>
        <v/>
      </c>
      <c r="U225" s="144">
        <f>T225*S225</f>
        <v/>
      </c>
      <c r="V225" s="88" t="inlineStr">
        <is>
          <t>插件部侧审核接口请求文件、指纹参数文件、数据库变更日志表、数据库变更日志锁表</t>
        </is>
      </c>
      <c r="W225" s="89" t="n"/>
      <c r="X225" s="88" t="inlineStr">
        <is>
          <t>插件部侧审核接口请求文件{请求ID、插件ID、文件路径、上传时间}、指纹参数文件{参数ID、参数名称、值、描述}、事件日志表{日志ID、事件名称、描述、发生时间}、数据库变更日志表{日志ID、变更内容、变更时间}、数据库变更日志锁表{锁ID、锁定状态、锁定时间}</t>
        </is>
      </c>
      <c r="Y225" s="88" t="n"/>
      <c r="Z225" s="88" t="n"/>
      <c r="AA225" s="96" t="inlineStr">
        <is>
          <t>日志采集配置表、推送配置表、接口参数配置表、指标阈值表</t>
        </is>
      </c>
    </row>
    <row r="226" ht="43.2" customFormat="1" customHeight="1" s="63">
      <c r="A226" s="69">
        <f>ROW()-1</f>
        <v/>
      </c>
      <c r="B226" s="53" t="n"/>
      <c r="C226" s="78" t="n">
        <v>2025</v>
      </c>
      <c r="D226" s="78" t="inlineStr">
        <is>
          <t>张明峰</t>
        </is>
      </c>
      <c r="E226" s="53" t="n"/>
      <c r="F226" s="53" t="n"/>
      <c r="G226" s="53" t="n"/>
      <c r="H226" s="81" t="inlineStr">
        <is>
          <t>部侧调用企业测接口同步审核结果</t>
        </is>
      </c>
      <c r="I226" s="76" t="inlineStr">
        <is>
          <t>EI</t>
        </is>
      </c>
      <c r="J226" s="108" t="n"/>
      <c r="K226" s="108" t="n"/>
      <c r="L226" s="83">
        <f>IF(OR(X226="估算法",X226="算法类",X226="无法识别"),"",IF(V226="",IF(OR(I226="EI",I226="EO",I226="EQ"),0,""),LEN(V226)-LEN(SUBSTITUTE(V226,"、",""))+1))</f>
        <v/>
      </c>
      <c r="M226" s="83">
        <f>IF(OR(X226="估算法",X226="算法类",X226="无法识别"),"",IF(W226="",IF(OR(I226="ILF",I226="EIF"),0,""),LEN(W226)-LEN(SUBSTITUTE(W226,"、",""))+1))</f>
        <v/>
      </c>
      <c r="N226" s="83">
        <f>IF(OR(X226="估算法",X226="算法类",X226="无法识别"),"",IF(X226="",IF(OR(I226="ILF",I226="EIF",I226="EI",I226="EO",I226="EQ"),0,""),LEN(X226)-LEN(SUBSTITUTE(SUBSTITUTE(SUBSTITUTE(SUBSTITUTE(SUBSTITUTE(X226,"|}","--"),"{|","--"),CHAR(10),""),"、",""),"|",""))+IF(AND(OR(I226="EI",I226="EO",I226="EQ"),$AD$1="NESMA"),2,1)))</f>
        <v/>
      </c>
      <c r="O226" s="84">
        <f>IF(I226="EI",IF(OR(X226="估算法",X226="算法类"),"中",IF(X226="无法识别","低",IF(L226&lt;2,IF(N226&lt;16,"低","中"),IF(L226&lt;3,IF(N226&lt;5,"低",IF(N226&lt;16,"中","高")),IF(N226&lt;5,"中","高"))))),IF(OR(I226="EO",I226="EQ"),IF(OR(X226="估算法",X226="算法类"),"中",IF(X226="无法识别","低",IF(L226&lt;2,IF(N226&lt;20,"低","中"),IF(L226&lt;4,IF(N226&lt;6,"低",IF(N226&lt;20,"中","高")),IF(N226&lt;6,"中","高"))))),IF(OR(I226="ILF",I226="EIF"),IF(OR(X226="估算法",X226="算法类",X226="无法识别"),"低",IF(M226&lt;2,IF(N226&lt;51,"低","中"),IF(M226&lt;6,IF(N226&lt;20,"低",IF(N226&lt;51,"中","高")),IF(N226&lt;20,"中","高")))),"不计算")))</f>
        <v/>
      </c>
      <c r="P226" s="142">
        <f>IFERROR(IF(I226="EI",IF(O226="低",3,IF(O226="中",4,6)),IF(I226="EO",IF(O226="低",4,IF(O226="中",5,7)),IF(I226="EQ",IF(O226="低",3,IF(O226="中",4,6)),IF(I226="ILF",IF(O226="低",7,IF(O226="中",10,15)),IF(I226="EIF",IF(O226="低",5,IF(O226="中",7,10)),"不计算")))))*Q226,"不计算")</f>
        <v/>
      </c>
      <c r="Q226" s="142" t="n">
        <v>1</v>
      </c>
      <c r="R226" s="143">
        <f>调整因子!$F$13</f>
        <v/>
      </c>
      <c r="S226" s="70" t="n">
        <v>1</v>
      </c>
      <c r="T226" s="144">
        <f>IFERROR(P226*R226,0)</f>
        <v/>
      </c>
      <c r="U226" s="144">
        <f>T226*S226</f>
        <v/>
      </c>
      <c r="V226" s="88" t="inlineStr">
        <is>
          <t>插件部侧审核接口回参文件、指纹参数文件、数据库变更日志表、数据库变更日志锁表</t>
        </is>
      </c>
      <c r="W226" s="89" t="n"/>
      <c r="X226" s="88" t="inlineStr">
        <is>
          <t>插件部侧审核接口回参文件{回参ID、请求ID、回参内容、响应时间}、指纹参数文件{参数ID、参数名称、值、描述}、事件日志表{日志ID、事件名称、描述、发生时间}、数据库变更日志表{日志ID、变更内容、变更时间}、数据库变更日志锁表{锁ID、锁定状态、锁定时间}</t>
        </is>
      </c>
      <c r="Y226" s="88" t="n"/>
      <c r="Z226" s="88" t="n"/>
      <c r="AA226" s="96" t="inlineStr">
        <is>
          <t>推送规则表、提醒规则表、脱敏规则表、加密规则表、资产扫描覆盖表</t>
        </is>
      </c>
    </row>
    <row r="227" ht="32.4" customFormat="1" customHeight="1" s="63">
      <c r="A227" s="69">
        <f>ROW()-1</f>
        <v/>
      </c>
      <c r="B227" s="53" t="n"/>
      <c r="C227" s="78" t="n">
        <v>2025</v>
      </c>
      <c r="D227" s="78" t="inlineStr">
        <is>
          <t>张明峰</t>
        </is>
      </c>
      <c r="E227" s="53" t="n"/>
      <c r="F227" s="53" t="n"/>
      <c r="G227" s="53" t="n"/>
      <c r="H227" s="81" t="inlineStr">
        <is>
          <t>插件添加本地产品漏洞</t>
        </is>
      </c>
      <c r="I227" s="76" t="inlineStr">
        <is>
          <t>EI</t>
        </is>
      </c>
      <c r="J227" s="108" t="n"/>
      <c r="K227" s="108" t="n"/>
      <c r="L227" s="83">
        <f>IF(OR(X227="估算法",X227="算法类",X227="无法识别"),"",IF(V227="",IF(OR(I227="EI",I227="EO",I227="EQ"),0,""),LEN(V227)-LEN(SUBSTITUTE(V227,"、",""))+1))</f>
        <v/>
      </c>
      <c r="M227" s="83">
        <f>IF(OR(X227="估算法",X227="算法类",X227="无法识别"),"",IF(W227="",IF(OR(I227="ILF",I227="EIF"),0,""),LEN(W227)-LEN(SUBSTITUTE(W227,"、",""))+1))</f>
        <v/>
      </c>
      <c r="N227" s="83">
        <f>IF(OR(X227="估算法",X227="算法类",X227="无法识别"),"",IF(X227="",IF(OR(I227="ILF",I227="EIF",I227="EI",I227="EO",I227="EQ"),0,""),LEN(X227)-LEN(SUBSTITUTE(SUBSTITUTE(SUBSTITUTE(SUBSTITUTE(SUBSTITUTE(X227,"|}","--"),"{|","--"),CHAR(10),""),"、",""),"|",""))+IF(AND(OR(I227="EI",I227="EO",I227="EQ"),$AD$1="NESMA"),2,1)))</f>
        <v/>
      </c>
      <c r="O227" s="84">
        <f>IF(I227="EI",IF(OR(X227="估算法",X227="算法类"),"中",IF(X227="无法识别","低",IF(L227&lt;2,IF(N227&lt;16,"低","中"),IF(L227&lt;3,IF(N227&lt;5,"低",IF(N227&lt;16,"中","高")),IF(N227&lt;5,"中","高"))))),IF(OR(I227="EO",I227="EQ"),IF(OR(X227="估算法",X227="算法类"),"中",IF(X227="无法识别","低",IF(L227&lt;2,IF(N227&lt;20,"低","中"),IF(L227&lt;4,IF(N227&lt;6,"低",IF(N227&lt;20,"中","高")),IF(N227&lt;6,"中","高"))))),IF(OR(I227="ILF",I227="EIF"),IF(OR(X227="估算法",X227="算法类",X227="无法识别"),"低",IF(M227&lt;2,IF(N227&lt;51,"低","中"),IF(M227&lt;6,IF(N227&lt;20,"低",IF(N227&lt;51,"中","高")),IF(N227&lt;20,"中","高")))),"不计算")))</f>
        <v/>
      </c>
      <c r="P227" s="142">
        <f>IFERROR(IF(I227="EI",IF(O227="低",3,IF(O227="中",4,6)),IF(I227="EO",IF(O227="低",4,IF(O227="中",5,7)),IF(I227="EQ",IF(O227="低",3,IF(O227="中",4,6)),IF(I227="ILF",IF(O227="低",7,IF(O227="中",10,15)),IF(I227="EIF",IF(O227="低",5,IF(O227="中",7,10)),"不计算")))))*Q227,"不计算")</f>
        <v/>
      </c>
      <c r="Q227" s="142" t="n">
        <v>1</v>
      </c>
      <c r="R227" s="143">
        <f>调整因子!$F$13</f>
        <v/>
      </c>
      <c r="S227" s="70" t="n">
        <v>1</v>
      </c>
      <c r="T227" s="144">
        <f>IFERROR(P227*R227,0)</f>
        <v/>
      </c>
      <c r="U227" s="144">
        <f>T227*S227</f>
        <v/>
      </c>
      <c r="V227" s="88" t="inlineStr">
        <is>
          <t>插件漏洞表、插件审核表、数据库变更日志表、数据库变更日志锁表</t>
        </is>
      </c>
      <c r="W227" s="89" t="n"/>
      <c r="X227" s="88" t="inlineStr">
        <is>
          <t>插件漏洞表{漏洞ID、插件ID、漏洞名称、描述、发现时间}、插件审核表{审核ID、插件ID、审核内容、审核时间}、数据库变更日志锁表{锁ID、锁定状态、锁定时间、数据库变更日志表{日志ID、变更内容、变更时间}</t>
        </is>
      </c>
      <c r="Y227" s="88" t="n"/>
      <c r="Z227" s="88" t="n"/>
      <c r="AA227" s="96" t="inlineStr">
        <is>
          <t>推送规则表、提醒规则表、脱敏规则表</t>
        </is>
      </c>
    </row>
    <row r="228" ht="32.4" customFormat="1" customHeight="1" s="63">
      <c r="A228" s="69">
        <f>ROW()-1</f>
        <v/>
      </c>
      <c r="B228" s="53" t="n"/>
      <c r="C228" s="78" t="n">
        <v>2025</v>
      </c>
      <c r="D228" s="78" t="inlineStr">
        <is>
          <t>张明峰</t>
        </is>
      </c>
      <c r="E228" s="53" t="n"/>
      <c r="F228" s="53" t="n"/>
      <c r="G228" s="53" t="n"/>
      <c r="H228" s="81" t="inlineStr">
        <is>
          <t>插件修改本地产品漏洞</t>
        </is>
      </c>
      <c r="I228" s="76" t="inlineStr">
        <is>
          <t>EI</t>
        </is>
      </c>
      <c r="J228" s="108" t="n"/>
      <c r="K228" s="108" t="n"/>
      <c r="L228" s="83">
        <f>IF(OR(X228="估算法",X228="算法类",X228="无法识别"),"",IF(V228="",IF(OR(I228="EI",I228="EO",I228="EQ"),0,""),LEN(V228)-LEN(SUBSTITUTE(V228,"、",""))+1))</f>
        <v/>
      </c>
      <c r="M228" s="83">
        <f>IF(OR(X228="估算法",X228="算法类",X228="无法识别"),"",IF(W228="",IF(OR(I228="ILF",I228="EIF"),0,""),LEN(W228)-LEN(SUBSTITUTE(W228,"、",""))+1))</f>
        <v/>
      </c>
      <c r="N228" s="83">
        <f>IF(OR(X228="估算法",X228="算法类",X228="无法识别"),"",IF(X228="",IF(OR(I228="ILF",I228="EIF",I228="EI",I228="EO",I228="EQ"),0,""),LEN(X228)-LEN(SUBSTITUTE(SUBSTITUTE(SUBSTITUTE(SUBSTITUTE(SUBSTITUTE(X228,"|}","--"),"{|","--"),CHAR(10),""),"、",""),"|",""))+IF(AND(OR(I228="EI",I228="EO",I228="EQ"),$AD$1="NESMA"),2,1)))</f>
        <v/>
      </c>
      <c r="O228" s="84">
        <f>IF(I228="EI",IF(OR(X228="估算法",X228="算法类"),"中",IF(X228="无法识别","低",IF(L228&lt;2,IF(N228&lt;16,"低","中"),IF(L228&lt;3,IF(N228&lt;5,"低",IF(N228&lt;16,"中","高")),IF(N228&lt;5,"中","高"))))),IF(OR(I228="EO",I228="EQ"),IF(OR(X228="估算法",X228="算法类"),"中",IF(X228="无法识别","低",IF(L228&lt;2,IF(N228&lt;20,"低","中"),IF(L228&lt;4,IF(N228&lt;6,"低",IF(N228&lt;20,"中","高")),IF(N228&lt;6,"中","高"))))),IF(OR(I228="ILF",I228="EIF"),IF(OR(X228="估算法",X228="算法类",X228="无法识别"),"低",IF(M228&lt;2,IF(N228&lt;51,"低","中"),IF(M228&lt;6,IF(N228&lt;20,"低",IF(N228&lt;51,"中","高")),IF(N228&lt;20,"中","高")))),"不计算")))</f>
        <v/>
      </c>
      <c r="P228" s="142">
        <f>IFERROR(IF(I228="EI",IF(O228="低",3,IF(O228="中",4,6)),IF(I228="EO",IF(O228="低",4,IF(O228="中",5,7)),IF(I228="EQ",IF(O228="低",3,IF(O228="中",4,6)),IF(I228="ILF",IF(O228="低",7,IF(O228="中",10,15)),IF(I228="EIF",IF(O228="低",5,IF(O228="中",7,10)),"不计算")))))*Q228,"不计算")</f>
        <v/>
      </c>
      <c r="Q228" s="142" t="n">
        <v>0.333333333333333</v>
      </c>
      <c r="R228" s="143">
        <f>调整因子!$F$13</f>
        <v/>
      </c>
      <c r="S228" s="76" t="n">
        <v>1</v>
      </c>
      <c r="T228" s="144">
        <f>IFERROR(P228*R228,0)</f>
        <v/>
      </c>
      <c r="U228" s="144">
        <f>T228*S228</f>
        <v/>
      </c>
      <c r="V228" s="88" t="inlineStr">
        <is>
          <t>插件审核表、数据库变更日志表、数据库变更日志锁表、插件漏洞表</t>
        </is>
      </c>
      <c r="W228" s="89" t="n"/>
      <c r="X228" s="88" t="inlineStr">
        <is>
          <t>插件漏洞表{漏洞ID、插件ID、漏洞名称、描述、发现时间}、插件审核表{审核ID、插件ID、审核内容、审核时间}、数据库变更日志锁表{锁ID、锁定状态、锁定时间、数据库变更日志表{日志ID、变更内容、变更时间}</t>
        </is>
      </c>
      <c r="Y228" s="88" t="n"/>
      <c r="Z228" s="88" t="n"/>
      <c r="AA228" s="96" t="inlineStr">
        <is>
          <t>推送规则表、提醒规则表、脱敏规则表、加密规则表</t>
        </is>
      </c>
    </row>
    <row r="229" ht="21.6" customFormat="1" customHeight="1" s="63">
      <c r="A229" s="69">
        <f>ROW()-1</f>
        <v/>
      </c>
      <c r="B229" s="53" t="n"/>
      <c r="C229" s="78" t="n">
        <v>2025</v>
      </c>
      <c r="D229" s="78" t="inlineStr">
        <is>
          <t>张明峰</t>
        </is>
      </c>
      <c r="E229" s="53" t="n"/>
      <c r="F229" s="53" t="n"/>
      <c r="G229" s="53" t="n"/>
      <c r="H229" s="81" t="inlineStr">
        <is>
          <t>插件删除本地产品漏洞</t>
        </is>
      </c>
      <c r="I229" s="76" t="inlineStr">
        <is>
          <t>EI</t>
        </is>
      </c>
      <c r="J229" s="108" t="n"/>
      <c r="K229" s="108" t="n"/>
      <c r="L229" s="83">
        <f>IF(OR(X229="估算法",X229="算法类",X229="无法识别"),"",IF(V229="",IF(OR(I229="EI",I229="EO",I229="EQ"),0,""),LEN(V229)-LEN(SUBSTITUTE(V229,"、",""))+1))</f>
        <v/>
      </c>
      <c r="M229" s="83">
        <f>IF(OR(X229="估算法",X229="算法类",X229="无法识别"),"",IF(W229="",IF(OR(I229="ILF",I229="EIF"),0,""),LEN(W229)-LEN(SUBSTITUTE(W229,"、",""))+1))</f>
        <v/>
      </c>
      <c r="N229" s="83">
        <f>IF(OR(X229="估算法",X229="算法类",X229="无法识别"),"",IF(X229="",IF(OR(I229="ILF",I229="EIF",I229="EI",I229="EO",I229="EQ"),0,""),LEN(X229)-LEN(SUBSTITUTE(SUBSTITUTE(SUBSTITUTE(SUBSTITUTE(SUBSTITUTE(X229,"|}","--"),"{|","--"),CHAR(10),""),"、",""),"|",""))+IF(AND(OR(I229="EI",I229="EO",I229="EQ"),$AD$1="NESMA"),2,1)))</f>
        <v/>
      </c>
      <c r="O229" s="84">
        <f>IF(I229="EI",IF(OR(X229="估算法",X229="算法类"),"中",IF(X229="无法识别","低",IF(L229&lt;2,IF(N229&lt;16,"低","中"),IF(L229&lt;3,IF(N229&lt;5,"低",IF(N229&lt;16,"中","高")),IF(N229&lt;5,"中","高"))))),IF(OR(I229="EO",I229="EQ"),IF(OR(X229="估算法",X229="算法类"),"中",IF(X229="无法识别","低",IF(L229&lt;2,IF(N229&lt;20,"低","中"),IF(L229&lt;4,IF(N229&lt;6,"低",IF(N229&lt;20,"中","高")),IF(N229&lt;6,"中","高"))))),IF(OR(I229="ILF",I229="EIF"),IF(OR(X229="估算法",X229="算法类",X229="无法识别"),"低",IF(M229&lt;2,IF(N229&lt;51,"低","中"),IF(M229&lt;6,IF(N229&lt;20,"低",IF(N229&lt;51,"中","高")),IF(N229&lt;20,"中","高")))),"不计算")))</f>
        <v/>
      </c>
      <c r="P229" s="142">
        <f>IFERROR(IF(I229="EI",IF(O229="低",3,IF(O229="中",4,6)),IF(I229="EO",IF(O229="低",4,IF(O229="中",5,7)),IF(I229="EQ",IF(O229="低",3,IF(O229="中",4,6)),IF(I229="ILF",IF(O229="低",7,IF(O229="中",10,15)),IF(I229="EIF",IF(O229="低",5,IF(O229="中",7,10)),"不计算")))))*Q229,"不计算")</f>
        <v/>
      </c>
      <c r="Q229" s="142" t="n">
        <v>0.333333333333333</v>
      </c>
      <c r="R229" s="143">
        <f>调整因子!$F$13</f>
        <v/>
      </c>
      <c r="S229" s="70" t="n">
        <v>1</v>
      </c>
      <c r="T229" s="144">
        <f>IFERROR(P229*R229,0)</f>
        <v/>
      </c>
      <c r="U229" s="144">
        <f>T229*S229</f>
        <v/>
      </c>
      <c r="V229" s="88" t="inlineStr">
        <is>
          <t>插件漏洞表、插件审核表、数据库变更日志表</t>
        </is>
      </c>
      <c r="W229" s="89" t="n"/>
      <c r="X229" s="88" t="inlineStr">
        <is>
          <t>插件漏洞表{漏洞ID、插件ID、漏洞名称、描述、发现时间}、插件审核表{审核ID、插件ID、审核内容、审核时间}、数据库变更日志表{日志ID、变更内容、变更时间}</t>
        </is>
      </c>
      <c r="Y229" s="88" t="n"/>
      <c r="Z229" s="88" t="n"/>
      <c r="AA229" s="96" t="inlineStr">
        <is>
          <t>资产查询接口配置表、数据清洗任务表、日志采集配置表</t>
        </is>
      </c>
    </row>
    <row r="230" ht="10.8" customFormat="1" customHeight="1" s="63">
      <c r="A230" s="69">
        <f>ROW()-1</f>
        <v/>
      </c>
      <c r="B230" s="53" t="n"/>
      <c r="C230" s="78" t="n">
        <v>2025</v>
      </c>
      <c r="D230" s="78" t="inlineStr">
        <is>
          <t>张明峰</t>
        </is>
      </c>
      <c r="E230" s="53" t="n"/>
      <c r="F230" s="53" t="n"/>
      <c r="G230" s="53" t="n"/>
      <c r="H230" s="81" t="inlineStr">
        <is>
          <t>插件部侧审核接口请求文件</t>
        </is>
      </c>
      <c r="I230" s="76" t="inlineStr">
        <is>
          <t>EIF</t>
        </is>
      </c>
      <c r="J230" s="108" t="n"/>
      <c r="K230" s="108" t="n"/>
      <c r="L230" s="83">
        <f>IF(OR(X230="估算法",X230="算法类",X230="无法识别"),"",IF(V230="",IF(OR(I230="EI",I230="EO",I230="EQ"),0,""),LEN(V230)-LEN(SUBSTITUTE(V230,"、",""))+1))</f>
        <v/>
      </c>
      <c r="M230" s="83">
        <f>IF(OR(X230="估算法",X230="算法类",X230="无法识别"),"",IF(W230="",IF(OR(I230="ILF",I230="EIF"),0,""),LEN(W230)-LEN(SUBSTITUTE(W230,"、",""))+1))</f>
        <v/>
      </c>
      <c r="N230" s="83">
        <f>IF(OR(X230="估算法",X230="算法类",X230="无法识别"),"",IF(X230="",IF(OR(I230="ILF",I230="EIF",I230="EI",I230="EO",I230="EQ"),0,""),LEN(X230)-LEN(SUBSTITUTE(SUBSTITUTE(SUBSTITUTE(SUBSTITUTE(SUBSTITUTE(X230,"|}","--"),"{|","--"),CHAR(10),""),"、",""),"|",""))+IF(AND(OR(I230="EI",I230="EO",I230="EQ"),$AD$1="NESMA"),2,1)))</f>
        <v/>
      </c>
      <c r="O230" s="84">
        <f>IF(I230="EI",IF(OR(X230="估算法",X230="算法类"),"中",IF(X230="无法识别","低",IF(L230&lt;2,IF(N230&lt;16,"低","中"),IF(L230&lt;3,IF(N230&lt;5,"低",IF(N230&lt;16,"中","高")),IF(N230&lt;5,"中","高"))))),IF(OR(I230="EO",I230="EQ"),IF(OR(X230="估算法",X230="算法类"),"中",IF(X230="无法识别","低",IF(L230&lt;2,IF(N230&lt;20,"低","中"),IF(L230&lt;4,IF(N230&lt;6,"低",IF(N230&lt;20,"中","高")),IF(N230&lt;6,"中","高"))))),IF(OR(I230="ILF",I230="EIF"),IF(OR(X230="估算法",X230="算法类",X230="无法识别"),"低",IF(M230&lt;2,IF(N230&lt;51,"低","中"),IF(M230&lt;6,IF(N230&lt;20,"低",IF(N230&lt;51,"中","高")),IF(N230&lt;20,"中","高")))),"不计算")))</f>
        <v/>
      </c>
      <c r="P230" s="142">
        <f>IFERROR(IF(I230="EI",IF(O230="低",3,IF(O230="中",4,6)),IF(I230="EO",IF(O230="低",4,IF(O230="中",5,7)),IF(I230="EQ",IF(O230="低",3,IF(O230="中",4,6)),IF(I230="ILF",IF(O230="低",7,IF(O230="中",10,15)),IF(I230="EIF",IF(O230="低",5,IF(O230="中",7,10)),"不计算")))))*Q230,"不计算")</f>
        <v/>
      </c>
      <c r="Q230" s="142" t="n">
        <v>0.333333333333333</v>
      </c>
      <c r="R230" s="143">
        <f>调整因子!$F$13</f>
        <v/>
      </c>
      <c r="S230" s="70" t="n">
        <v>1</v>
      </c>
      <c r="T230" s="144">
        <f>IFERROR(P230*R230,0)</f>
        <v/>
      </c>
      <c r="U230" s="144">
        <f>T230*S230</f>
        <v/>
      </c>
      <c r="V230" s="89" t="n"/>
      <c r="W230" s="76" t="inlineStr">
        <is>
          <t>插件部侧审核接口请求文件</t>
        </is>
      </c>
      <c r="X230" s="88" t="inlineStr">
        <is>
          <t>插件部侧审核接口请求文件{请求ID、插件ID、文件路径、上传时间}</t>
        </is>
      </c>
      <c r="Y230" s="88">
        <f>IF(COUNTIFS(V:V,"*"&amp;H230&amp;"*")&gt;0,"存在","不存在")</f>
        <v/>
      </c>
      <c r="Z230" s="88">
        <f>IF(COUNTIFS(AA:AA,"*"&amp;H230&amp;"*")&gt;0,"存在","不存在")</f>
        <v/>
      </c>
      <c r="AA230" s="96" t="inlineStr">
        <is>
          <t>资产扫描覆盖表、处置流程定义表、处置单关联表、报告模板表、漏洞处置推送接口配置表</t>
        </is>
      </c>
    </row>
    <row r="231" ht="10.8" customFormat="1" customHeight="1" s="63">
      <c r="A231" s="69">
        <f>ROW()-1</f>
        <v/>
      </c>
      <c r="B231" s="53" t="n"/>
      <c r="C231" s="78" t="n">
        <v>2025</v>
      </c>
      <c r="D231" s="78" t="inlineStr">
        <is>
          <t>张明峰</t>
        </is>
      </c>
      <c r="E231" s="53" t="n"/>
      <c r="F231" s="53" t="n"/>
      <c r="G231" s="53" t="n"/>
      <c r="H231" s="81" t="inlineStr">
        <is>
          <t>插件部侧审核接口回参文件</t>
        </is>
      </c>
      <c r="I231" s="76" t="inlineStr">
        <is>
          <t>EIF</t>
        </is>
      </c>
      <c r="J231" s="108" t="n"/>
      <c r="K231" s="108" t="n"/>
      <c r="L231" s="83">
        <f>IF(OR(X231="估算法",X231="算法类",X231="无法识别"),"",IF(V231="",IF(OR(I231="EI",I231="EO",I231="EQ"),0,""),LEN(V231)-LEN(SUBSTITUTE(V231,"、",""))+1))</f>
        <v/>
      </c>
      <c r="M231" s="83">
        <f>IF(OR(X231="估算法",X231="算法类",X231="无法识别"),"",IF(W231="",IF(OR(I231="ILF",I231="EIF"),0,""),LEN(W231)-LEN(SUBSTITUTE(W231,"、",""))+1))</f>
        <v/>
      </c>
      <c r="N231" s="83">
        <f>IF(OR(X231="估算法",X231="算法类",X231="无法识别"),"",IF(X231="",IF(OR(I231="ILF",I231="EIF",I231="EI",I231="EO",I231="EQ"),0,""),LEN(X231)-LEN(SUBSTITUTE(SUBSTITUTE(SUBSTITUTE(SUBSTITUTE(SUBSTITUTE(X231,"|}","--"),"{|","--"),CHAR(10),""),"、",""),"|",""))+IF(AND(OR(I231="EI",I231="EO",I231="EQ"),$AD$1="NESMA"),2,1)))</f>
        <v/>
      </c>
      <c r="O231" s="84">
        <f>IF(I231="EI",IF(OR(X231="估算法",X231="算法类"),"中",IF(X231="无法识别","低",IF(L231&lt;2,IF(N231&lt;16,"低","中"),IF(L231&lt;3,IF(N231&lt;5,"低",IF(N231&lt;16,"中","高")),IF(N231&lt;5,"中","高"))))),IF(OR(I231="EO",I231="EQ"),IF(OR(X231="估算法",X231="算法类"),"中",IF(X231="无法识别","低",IF(L231&lt;2,IF(N231&lt;20,"低","中"),IF(L231&lt;4,IF(N231&lt;6,"低",IF(N231&lt;20,"中","高")),IF(N231&lt;6,"中","高"))))),IF(OR(I231="ILF",I231="EIF"),IF(OR(X231="估算法",X231="算法类",X231="无法识别"),"低",IF(M231&lt;2,IF(N231&lt;51,"低","中"),IF(M231&lt;6,IF(N231&lt;20,"低",IF(N231&lt;51,"中","高")),IF(N231&lt;20,"中","高")))),"不计算")))</f>
        <v/>
      </c>
      <c r="P231" s="142">
        <f>IFERROR(IF(I231="EI",IF(O231="低",3,IF(O231="中",4,6)),IF(I231="EO",IF(O231="低",4,IF(O231="中",5,7)),IF(I231="EQ",IF(O231="低",3,IF(O231="中",4,6)),IF(I231="ILF",IF(O231="低",7,IF(O231="中",10,15)),IF(I231="EIF",IF(O231="低",5,IF(O231="中",7,10)),"不计算")))))*Q231,"不计算")</f>
        <v/>
      </c>
      <c r="Q231" s="142" t="n">
        <v>0.333333333333333</v>
      </c>
      <c r="R231" s="143">
        <f>调整因子!$F$13</f>
        <v/>
      </c>
      <c r="S231" s="76" t="n">
        <v>1</v>
      </c>
      <c r="T231" s="144">
        <f>IFERROR(P231*R231,0)</f>
        <v/>
      </c>
      <c r="U231" s="144">
        <f>T231*S231</f>
        <v/>
      </c>
      <c r="V231" s="89" t="n"/>
      <c r="W231" s="76" t="inlineStr">
        <is>
          <t>插件部侧审核接口回参文件</t>
        </is>
      </c>
      <c r="X231" s="88" t="inlineStr">
        <is>
          <t>插件部侧审核接口回参文件{回参ID、请求ID、回参内容、响应时间}</t>
        </is>
      </c>
      <c r="Y231" s="88">
        <f>IF(COUNTIFS(V:V,"*"&amp;H231&amp;"*")&gt;0,"存在","不存在")</f>
        <v/>
      </c>
      <c r="Z231" s="88">
        <f>IF(COUNTIFS(AA:AA,"*"&amp;H231&amp;"*")&gt;0,"存在","不存在")</f>
        <v/>
      </c>
      <c r="AA231" s="96" t="inlineStr">
        <is>
          <t>资产同步任务表、资产扫描覆盖表、资产查询接口配置表、任务趋势分析表</t>
        </is>
      </c>
    </row>
    <row r="232" ht="10.8" customFormat="1" customHeight="1" s="63">
      <c r="A232" s="69">
        <f>ROW()-1</f>
        <v/>
      </c>
      <c r="B232" s="53" t="n"/>
      <c r="C232" s="78" t="n">
        <v>2025</v>
      </c>
      <c r="D232" s="78" t="inlineStr">
        <is>
          <t>张明峰</t>
        </is>
      </c>
      <c r="E232" s="53" t="n"/>
      <c r="F232" s="53" t="n"/>
      <c r="G232" s="53" t="n"/>
      <c r="H232" s="81" t="inlineStr">
        <is>
          <t>指纹参数文件</t>
        </is>
      </c>
      <c r="I232" s="76" t="inlineStr">
        <is>
          <t>EIF</t>
        </is>
      </c>
      <c r="J232" s="108" t="n"/>
      <c r="K232" s="108" t="n"/>
      <c r="L232" s="83">
        <f>IF(OR(X232="估算法",X232="算法类",X232="无法识别"),"",IF(V232="",IF(OR(I232="EI",I232="EO",I232="EQ"),0,""),LEN(V232)-LEN(SUBSTITUTE(V232,"、",""))+1))</f>
        <v/>
      </c>
      <c r="M232" s="83">
        <f>IF(OR(X232="估算法",X232="算法类",X232="无法识别"),"",IF(W232="",IF(OR(I232="ILF",I232="EIF"),0,""),LEN(W232)-LEN(SUBSTITUTE(W232,"、",""))+1))</f>
        <v/>
      </c>
      <c r="N232" s="83">
        <f>IF(OR(X232="估算法",X232="算法类",X232="无法识别"),"",IF(X232="",IF(OR(I232="ILF",I232="EIF",I232="EI",I232="EO",I232="EQ"),0,""),LEN(X232)-LEN(SUBSTITUTE(SUBSTITUTE(SUBSTITUTE(SUBSTITUTE(SUBSTITUTE(X232,"|}","--"),"{|","--"),CHAR(10),""),"、",""),"|",""))+IF(AND(OR(I232="EI",I232="EO",I232="EQ"),$AD$1="NESMA"),2,1)))</f>
        <v/>
      </c>
      <c r="O232" s="84">
        <f>IF(I232="EI",IF(OR(X232="估算法",X232="算法类"),"中",IF(X232="无法识别","低",IF(L232&lt;2,IF(N232&lt;16,"低","中"),IF(L232&lt;3,IF(N232&lt;5,"低",IF(N232&lt;16,"中","高")),IF(N232&lt;5,"中","高"))))),IF(OR(I232="EO",I232="EQ"),IF(OR(X232="估算法",X232="算法类"),"中",IF(X232="无法识别","低",IF(L232&lt;2,IF(N232&lt;20,"低","中"),IF(L232&lt;4,IF(N232&lt;6,"低",IF(N232&lt;20,"中","高")),IF(N232&lt;6,"中","高"))))),IF(OR(I232="ILF",I232="EIF"),IF(OR(X232="估算法",X232="算法类",X232="无法识别"),"低",IF(M232&lt;2,IF(N232&lt;51,"低","中"),IF(M232&lt;6,IF(N232&lt;20,"低",IF(N232&lt;51,"中","高")),IF(N232&lt;20,"中","高")))),"不计算")))</f>
        <v/>
      </c>
      <c r="P232" s="142">
        <f>IFERROR(IF(I232="EI",IF(O232="低",3,IF(O232="中",4,6)),IF(I232="EO",IF(O232="低",4,IF(O232="中",5,7)),IF(I232="EQ",IF(O232="低",3,IF(O232="中",4,6)),IF(I232="ILF",IF(O232="低",7,IF(O232="中",10,15)),IF(I232="EIF",IF(O232="低",5,IF(O232="中",7,10)),"不计算")))))*Q232,"不计算")</f>
        <v/>
      </c>
      <c r="Q232" s="142" t="n">
        <v>0.333333333333333</v>
      </c>
      <c r="R232" s="143">
        <f>调整因子!$F$13</f>
        <v/>
      </c>
      <c r="S232" s="70" t="n">
        <v>1</v>
      </c>
      <c r="T232" s="144">
        <f>IFERROR(P232*R232,0)</f>
        <v/>
      </c>
      <c r="U232" s="144">
        <f>T232*S232</f>
        <v/>
      </c>
      <c r="V232" s="89" t="n"/>
      <c r="W232" s="88" t="inlineStr">
        <is>
          <t>指纹参数文件</t>
        </is>
      </c>
      <c r="X232" s="88" t="inlineStr">
        <is>
          <t>指纹参数文件{参数ID、参数名称、值、描述}</t>
        </is>
      </c>
      <c r="Y232" s="88">
        <f>IF(COUNTIFS(V:V,"*"&amp;H232&amp;"*")&gt;0,"存在","不存在")</f>
        <v/>
      </c>
      <c r="Z232" s="88">
        <f>IF(COUNTIFS(AA:AA,"*"&amp;H232&amp;"*")&gt;0,"存在","不存在")</f>
        <v/>
      </c>
      <c r="AA232" s="96" t="inlineStr">
        <is>
          <t>数据清洗任务表、资产同步任务表、同步任务调度表、任务统计数据表</t>
        </is>
      </c>
    </row>
    <row r="233" ht="10.8" customFormat="1" customHeight="1" s="63">
      <c r="A233" s="69">
        <f>ROW()-1</f>
        <v/>
      </c>
      <c r="B233" s="53" t="n"/>
      <c r="C233" s="78" t="n">
        <v>2025</v>
      </c>
      <c r="D233" s="78" t="inlineStr">
        <is>
          <t>张明峰</t>
        </is>
      </c>
      <c r="E233" s="53" t="n"/>
      <c r="F233" s="53" t="n"/>
      <c r="G233" s="53" t="n"/>
      <c r="H233" s="81" t="inlineStr">
        <is>
          <t>插件审核表</t>
        </is>
      </c>
      <c r="I233" s="76" t="inlineStr">
        <is>
          <t>ILF</t>
        </is>
      </c>
      <c r="J233" s="108" t="n"/>
      <c r="K233" s="108" t="n"/>
      <c r="L233" s="83">
        <f>IF(OR(X233="估算法",X233="算法类",X233="无法识别"),"",IF(V233="",IF(OR(I233="EI",I233="EO",I233="EQ"),0,""),LEN(V233)-LEN(SUBSTITUTE(V233,"、",""))+1))</f>
        <v/>
      </c>
      <c r="M233" s="83">
        <f>IF(OR(X233="估算法",X233="算法类",X233="无法识别"),"",IF(W233="",IF(OR(I233="ILF",I233="EIF"),0,""),LEN(W233)-LEN(SUBSTITUTE(W233,"、",""))+1))</f>
        <v/>
      </c>
      <c r="N233" s="83">
        <f>IF(OR(X233="估算法",X233="算法类",X233="无法识别"),"",IF(X233="",IF(OR(I233="ILF",I233="EIF",I233="EI",I233="EO",I233="EQ"),0,""),LEN(X233)-LEN(SUBSTITUTE(SUBSTITUTE(SUBSTITUTE(SUBSTITUTE(SUBSTITUTE(X233,"|}","--"),"{|","--"),CHAR(10),""),"、",""),"|",""))+IF(AND(OR(I233="EI",I233="EO",I233="EQ"),$AD$1="NESMA"),2,1)))</f>
        <v/>
      </c>
      <c r="O233" s="84">
        <f>IF(I233="EI",IF(OR(X233="估算法",X233="算法类"),"中",IF(X233="无法识别","低",IF(L233&lt;2,IF(N233&lt;16,"低","中"),IF(L233&lt;3,IF(N233&lt;5,"低",IF(N233&lt;16,"中","高")),IF(N233&lt;5,"中","高"))))),IF(OR(I233="EO",I233="EQ"),IF(OR(X233="估算法",X233="算法类"),"中",IF(X233="无法识别","低",IF(L233&lt;2,IF(N233&lt;20,"低","中"),IF(L233&lt;4,IF(N233&lt;6,"低",IF(N233&lt;20,"中","高")),IF(N233&lt;6,"中","高"))))),IF(OR(I233="ILF",I233="EIF"),IF(OR(X233="估算法",X233="算法类",X233="无法识别"),"低",IF(M233&lt;2,IF(N233&lt;51,"低","中"),IF(M233&lt;6,IF(N233&lt;20,"低",IF(N233&lt;51,"中","高")),IF(N233&lt;20,"中","高")))),"不计算")))</f>
        <v/>
      </c>
      <c r="P233" s="142">
        <f>IFERROR(IF(I233="EI",IF(O233="低",3,IF(O233="中",4,6)),IF(I233="EO",IF(O233="低",4,IF(O233="中",5,7)),IF(I233="EQ",IF(O233="低",3,IF(O233="中",4,6)),IF(I233="ILF",IF(O233="低",7,IF(O233="中",10,15)),IF(I233="EIF",IF(O233="低",5,IF(O233="中",7,10)),"不计算")))))*Q233,"不计算")</f>
        <v/>
      </c>
      <c r="Q233" s="142" t="n">
        <v>0.333333333333333</v>
      </c>
      <c r="R233" s="143">
        <f>调整因子!$F$13</f>
        <v/>
      </c>
      <c r="S233" s="70" t="n">
        <v>1</v>
      </c>
      <c r="T233" s="144">
        <f>IFERROR(P233*R233,0)</f>
        <v/>
      </c>
      <c r="U233" s="144">
        <f>T233*S233</f>
        <v/>
      </c>
      <c r="V233" s="89" t="n"/>
      <c r="W233" s="88" t="inlineStr">
        <is>
          <t>插件审核表</t>
        </is>
      </c>
      <c r="X233" s="88" t="inlineStr">
        <is>
          <t>插件审核表{审核ID、插件ID、审核内容、审核时间}</t>
        </is>
      </c>
      <c r="Y233" s="88">
        <f>IF(COUNTIFS(V:V,"*"&amp;H233&amp;"*")&gt;0,"存在","不存在")</f>
        <v/>
      </c>
      <c r="Z233" s="88">
        <f>IF(COUNTIFS(AA:AA,"*"&amp;H233&amp;"*")&gt;0,"存在","不存在")</f>
        <v/>
      </c>
      <c r="AA233" s="96" t="inlineStr">
        <is>
          <t>数据清洗任务表、资产同步任务表、同步任务调度表、任务统计数据表</t>
        </is>
      </c>
    </row>
    <row r="234" ht="10.8" customFormat="1" customHeight="1" s="63">
      <c r="A234" s="69">
        <f>ROW()-1</f>
        <v/>
      </c>
      <c r="B234" s="53" t="n"/>
      <c r="C234" s="78" t="n">
        <v>2025</v>
      </c>
      <c r="D234" s="78" t="inlineStr">
        <is>
          <t>张明峰</t>
        </is>
      </c>
      <c r="E234" s="53" t="n"/>
      <c r="F234" s="53" t="n"/>
      <c r="G234" s="53" t="n"/>
      <c r="H234" s="81" t="inlineStr">
        <is>
          <t>插件漏洞表</t>
        </is>
      </c>
      <c r="I234" s="76" t="inlineStr">
        <is>
          <t>ILF</t>
        </is>
      </c>
      <c r="J234" s="108" t="n"/>
      <c r="K234" s="108" t="n"/>
      <c r="L234" s="83">
        <f>IF(OR(X234="估算法",X234="算法类",X234="无法识别"),"",IF(V234="",IF(OR(I234="EI",I234="EO",I234="EQ"),0,""),LEN(V234)-LEN(SUBSTITUTE(V234,"、",""))+1))</f>
        <v/>
      </c>
      <c r="M234" s="83">
        <f>IF(OR(X234="估算法",X234="算法类",X234="无法识别"),"",IF(W234="",IF(OR(I234="ILF",I234="EIF"),0,""),LEN(W234)-LEN(SUBSTITUTE(W234,"、",""))+1))</f>
        <v/>
      </c>
      <c r="N234" s="83">
        <f>IF(OR(X234="估算法",X234="算法类",X234="无法识别"),"",IF(X234="",IF(OR(I234="ILF",I234="EIF",I234="EI",I234="EO",I234="EQ"),0,""),LEN(X234)-LEN(SUBSTITUTE(SUBSTITUTE(SUBSTITUTE(SUBSTITUTE(SUBSTITUTE(X234,"|}","--"),"{|","--"),CHAR(10),""),"、",""),"|",""))+IF(AND(OR(I234="EI",I234="EO",I234="EQ"),$AD$1="NESMA"),2,1)))</f>
        <v/>
      </c>
      <c r="O234" s="84">
        <f>IF(I234="EI",IF(OR(X234="估算法",X234="算法类"),"中",IF(X234="无法识别","低",IF(L234&lt;2,IF(N234&lt;16,"低","中"),IF(L234&lt;3,IF(N234&lt;5,"低",IF(N234&lt;16,"中","高")),IF(N234&lt;5,"中","高"))))),IF(OR(I234="EO",I234="EQ"),IF(OR(X234="估算法",X234="算法类"),"中",IF(X234="无法识别","低",IF(L234&lt;2,IF(N234&lt;20,"低","中"),IF(L234&lt;4,IF(N234&lt;6,"低",IF(N234&lt;20,"中","高")),IF(N234&lt;6,"中","高"))))),IF(OR(I234="ILF",I234="EIF"),IF(OR(X234="估算法",X234="算法类",X234="无法识别"),"低",IF(M234&lt;2,IF(N234&lt;51,"低","中"),IF(M234&lt;6,IF(N234&lt;20,"低",IF(N234&lt;51,"中","高")),IF(N234&lt;20,"中","高")))),"不计算")))</f>
        <v/>
      </c>
      <c r="P234" s="142">
        <f>IFERROR(IF(I234="EI",IF(O234="低",3,IF(O234="中",4,6)),IF(I234="EO",IF(O234="低",4,IF(O234="中",5,7)),IF(I234="EQ",IF(O234="低",3,IF(O234="中",4,6)),IF(I234="ILF",IF(O234="低",7,IF(O234="中",10,15)),IF(I234="EIF",IF(O234="低",5,IF(O234="中",7,10)),"不计算")))))*Q234,"不计算")</f>
        <v/>
      </c>
      <c r="Q234" s="142" t="n">
        <v>0.333333333333333</v>
      </c>
      <c r="R234" s="143">
        <f>调整因子!$F$13</f>
        <v/>
      </c>
      <c r="S234" s="76" t="n">
        <v>1</v>
      </c>
      <c r="T234" s="144">
        <f>IFERROR(P234*R234,0)</f>
        <v/>
      </c>
      <c r="U234" s="144">
        <f>T234*S234</f>
        <v/>
      </c>
      <c r="V234" s="89" t="n"/>
      <c r="W234" s="88" t="inlineStr">
        <is>
          <t>插件漏洞表</t>
        </is>
      </c>
      <c r="X234" s="88" t="inlineStr">
        <is>
          <t>插件漏洞表{漏洞ID、插件ID、漏洞名称、描述、发现时间}</t>
        </is>
      </c>
      <c r="Y234" s="88">
        <f>IF(COUNTIFS(V:V,"*"&amp;H234&amp;"*")&gt;0,"存在","不存在")</f>
        <v/>
      </c>
      <c r="Z234" s="88">
        <f>IF(COUNTIFS(AA:AA,"*"&amp;H234&amp;"*")&gt;0,"存在","不存在")</f>
        <v/>
      </c>
      <c r="AA234" s="96" t="inlineStr">
        <is>
          <t>数据清洗任务表、资产同步任务表、同步任务调度表、任务统计数据表</t>
        </is>
      </c>
    </row>
    <row r="235" ht="10.8" customFormat="1" customHeight="1" s="63">
      <c r="A235" s="69">
        <f>ROW()-1</f>
        <v/>
      </c>
      <c r="B235" s="53" t="n"/>
      <c r="C235" s="78" t="n">
        <v>2025</v>
      </c>
      <c r="D235" s="78" t="inlineStr">
        <is>
          <t>张明峰</t>
        </is>
      </c>
      <c r="E235" s="53" t="n"/>
      <c r="F235" s="53" t="n"/>
      <c r="G235" s="53" t="n"/>
      <c r="H235" s="81" t="inlineStr">
        <is>
          <t>事件日志表</t>
        </is>
      </c>
      <c r="I235" s="81" t="n"/>
      <c r="J235" s="108" t="inlineStr">
        <is>
          <t>删除</t>
        </is>
      </c>
      <c r="K235" s="95" t="inlineStr">
        <is>
          <t>非ILF,日志表</t>
        </is>
      </c>
      <c r="L235" s="83">
        <f>IF(OR(X235="估算法",X235="算法类",X235="无法识别"),"",IF(V235="",IF(OR(I235="EI",I235="EO",I235="EQ"),0,""),LEN(V235)-LEN(SUBSTITUTE(V235,"、",""))+1))</f>
        <v/>
      </c>
      <c r="M235" s="83">
        <f>IF(OR(X235="估算法",X235="算法类",X235="无法识别"),"",IF(W235="",IF(OR(I235="ILF",I235="EIF"),0,""),LEN(W235)-LEN(SUBSTITUTE(W235,"、",""))+1))</f>
        <v/>
      </c>
      <c r="N235" s="83">
        <f>IF(OR(X235="估算法",X235="算法类",X235="无法识别"),"",IF(X235="",IF(OR(I235="ILF",I235="EIF",I235="EI",I235="EO",I235="EQ"),0,""),LEN(X235)-LEN(SUBSTITUTE(SUBSTITUTE(SUBSTITUTE(SUBSTITUTE(SUBSTITUTE(X235,"|}","--"),"{|","--"),CHAR(10),""),"、",""),"|",""))+IF(AND(OR(I235="EI",I235="EO",I235="EQ"),$AD$1="NESMA"),2,1)))</f>
        <v/>
      </c>
      <c r="O235" s="84">
        <f>IF(I235="EI",IF(OR(X235="估算法",X235="算法类"),"中",IF(X235="无法识别","低",IF(L235&lt;2,IF(N235&lt;16,"低","中"),IF(L235&lt;3,IF(N235&lt;5,"低",IF(N235&lt;16,"中","高")),IF(N235&lt;5,"中","高"))))),IF(OR(I235="EO",I235="EQ"),IF(OR(X235="估算法",X235="算法类"),"中",IF(X235="无法识别","低",IF(L235&lt;2,IF(N235&lt;20,"低","中"),IF(L235&lt;4,IF(N235&lt;6,"低",IF(N235&lt;20,"中","高")),IF(N235&lt;6,"中","高"))))),IF(OR(I235="ILF",I235="EIF"),IF(OR(X235="估算法",X235="算法类",X235="无法识别"),"低",IF(M235&lt;2,IF(N235&lt;51,"低","中"),IF(M235&lt;6,IF(N235&lt;20,"低",IF(N235&lt;51,"中","高")),IF(N235&lt;20,"中","高")))),"不计算")))</f>
        <v/>
      </c>
      <c r="P235" s="142">
        <f>IFERROR(IF(I235="EI",IF(O235="低",3,IF(O235="中",4,6)),IF(I235="EO",IF(O235="低",4,IF(O235="中",5,7)),IF(I235="EQ",IF(O235="低",3,IF(O235="中",4,6)),IF(I235="ILF",IF(O235="低",7,IF(O235="中",10,15)),IF(I235="EIF",IF(O235="低",5,IF(O235="中",7,10)),"不计算")))))*Q235,"不计算")</f>
        <v/>
      </c>
      <c r="Q235" s="142" t="n">
        <v>1</v>
      </c>
      <c r="R235" s="143">
        <f>调整因子!$F$13</f>
        <v/>
      </c>
      <c r="S235" s="70" t="n">
        <v>1</v>
      </c>
      <c r="T235" s="144">
        <f>IFERROR(P235*R235,0)</f>
        <v/>
      </c>
      <c r="U235" s="144">
        <f>T235*S235</f>
        <v/>
      </c>
      <c r="V235" s="89" t="n"/>
      <c r="W235" s="88" t="inlineStr">
        <is>
          <t>事件日志表</t>
        </is>
      </c>
      <c r="X235" s="88" t="inlineStr">
        <is>
          <t>事件日志表{日志ID、事件名称、描述、发生时间}</t>
        </is>
      </c>
      <c r="Y235" s="88">
        <f>IF(COUNTIFS(V:V,"*"&amp;H235&amp;"*")&gt;0,"存在","不存在")</f>
        <v/>
      </c>
      <c r="Z235" s="88">
        <f>IF(COUNTIFS(AA:AA,"*"&amp;H235&amp;"*")&gt;0,"存在","不存在")</f>
        <v/>
      </c>
      <c r="AA235" s="96" t="inlineStr">
        <is>
          <t>提醒策略配置表、扫描任务接口配置表、加密算法表、推送失败重试表、态势数据采集表</t>
        </is>
      </c>
    </row>
    <row r="236" ht="10.8" customFormat="1" customHeight="1" s="63">
      <c r="A236" s="69">
        <f>ROW()-1</f>
        <v/>
      </c>
      <c r="B236" s="53" t="n"/>
      <c r="C236" s="78" t="n">
        <v>2025</v>
      </c>
      <c r="D236" s="78" t="inlineStr">
        <is>
          <t>张明峰</t>
        </is>
      </c>
      <c r="E236" s="53" t="n"/>
      <c r="F236" s="53" t="n"/>
      <c r="G236" s="53" t="n"/>
      <c r="H236" s="81" t="inlineStr">
        <is>
          <t>通用字节数组表</t>
        </is>
      </c>
      <c r="I236" s="76" t="inlineStr">
        <is>
          <t>ILF</t>
        </is>
      </c>
      <c r="J236" s="108" t="n"/>
      <c r="K236" s="108" t="n"/>
      <c r="L236" s="83">
        <f>IF(OR(X236="估算法",X236="算法类",X236="无法识别"),"",IF(V236="",IF(OR(I236="EI",I236="EO",I236="EQ"),0,""),LEN(V236)-LEN(SUBSTITUTE(V236,"、",""))+1))</f>
        <v/>
      </c>
      <c r="M236" s="83">
        <f>IF(OR(X236="估算法",X236="算法类",X236="无法识别"),"",IF(W236="",IF(OR(I236="ILF",I236="EIF"),0,""),LEN(W236)-LEN(SUBSTITUTE(W236,"、",""))+1))</f>
        <v/>
      </c>
      <c r="N236" s="83">
        <f>IF(OR(X236="估算法",X236="算法类",X236="无法识别"),"",IF(X236="",IF(OR(I236="ILF",I236="EIF",I236="EI",I236="EO",I236="EQ"),0,""),LEN(X236)-LEN(SUBSTITUTE(SUBSTITUTE(SUBSTITUTE(SUBSTITUTE(SUBSTITUTE(X236,"|}","--"),"{|","--"),CHAR(10),""),"、",""),"|",""))+IF(AND(OR(I236="EI",I236="EO",I236="EQ"),$AD$1="NESMA"),2,1)))</f>
        <v/>
      </c>
      <c r="O236" s="84">
        <f>IF(I236="EI",IF(OR(X236="估算法",X236="算法类"),"中",IF(X236="无法识别","低",IF(L236&lt;2,IF(N236&lt;16,"低","中"),IF(L236&lt;3,IF(N236&lt;5,"低",IF(N236&lt;16,"中","高")),IF(N236&lt;5,"中","高"))))),IF(OR(I236="EO",I236="EQ"),IF(OR(X236="估算法",X236="算法类"),"中",IF(X236="无法识别","低",IF(L236&lt;2,IF(N236&lt;20,"低","中"),IF(L236&lt;4,IF(N236&lt;6,"低",IF(N236&lt;20,"中","高")),IF(N236&lt;6,"中","高"))))),IF(OR(I236="ILF",I236="EIF"),IF(OR(X236="估算法",X236="算法类",X236="无法识别"),"低",IF(M236&lt;2,IF(N236&lt;51,"低","中"),IF(M236&lt;6,IF(N236&lt;20,"低",IF(N236&lt;51,"中","高")),IF(N236&lt;20,"中","高")))),"不计算")))</f>
        <v/>
      </c>
      <c r="P236" s="142">
        <f>IFERROR(IF(I236="EI",IF(O236="低",3,IF(O236="中",4,6)),IF(I236="EO",IF(O236="低",4,IF(O236="中",5,7)),IF(I236="EQ",IF(O236="低",3,IF(O236="中",4,6)),IF(I236="ILF",IF(O236="低",7,IF(O236="中",10,15)),IF(I236="EIF",IF(O236="低",5,IF(O236="中",7,10)),"不计算")))))*Q236,"不计算")</f>
        <v/>
      </c>
      <c r="Q236" s="142" t="n">
        <v>0.333333333333333</v>
      </c>
      <c r="R236" s="143">
        <f>调整因子!$F$13</f>
        <v/>
      </c>
      <c r="S236" s="70" t="n">
        <v>1</v>
      </c>
      <c r="T236" s="144">
        <f>IFERROR(P236*R236,0)</f>
        <v/>
      </c>
      <c r="U236" s="144">
        <f>T236*S236</f>
        <v/>
      </c>
      <c r="V236" s="89" t="n"/>
      <c r="W236" s="88" t="inlineStr">
        <is>
          <t>通用字节数组表</t>
        </is>
      </c>
      <c r="X236" s="88" t="inlineStr">
        <is>
          <t>通用字节数组表{数组ID、字节内容、描述、创建时间}</t>
        </is>
      </c>
      <c r="Y236" s="88">
        <f>IF(COUNTIFS(V:V,"*"&amp;H236&amp;"*")&gt;0,"存在","不存在")</f>
        <v/>
      </c>
      <c r="Z236" s="88">
        <f>IF(COUNTIFS(AA:AA,"*"&amp;H236&amp;"*")&gt;0,"存在","不存在")</f>
        <v/>
      </c>
      <c r="AA236" s="96" t="inlineStr">
        <is>
          <t>推送规则表、提醒规则表、脱敏规则表、加密规则表、推送失败重试表</t>
        </is>
      </c>
    </row>
    <row r="237" ht="10.8" customFormat="1" customHeight="1" s="63">
      <c r="A237" s="69">
        <f>ROW()-1</f>
        <v/>
      </c>
      <c r="B237" s="53" t="n"/>
      <c r="C237" s="78" t="n">
        <v>2025</v>
      </c>
      <c r="D237" s="78" t="inlineStr">
        <is>
          <t>张明峰</t>
        </is>
      </c>
      <c r="E237" s="53" t="n"/>
      <c r="F237" s="53" t="n"/>
      <c r="G237" s="53" t="n"/>
      <c r="H237" s="81" t="inlineStr">
        <is>
          <t>属性配置表</t>
        </is>
      </c>
      <c r="I237" s="76" t="inlineStr">
        <is>
          <t>ILF</t>
        </is>
      </c>
      <c r="J237" s="108" t="n"/>
      <c r="K237" s="108" t="inlineStr">
        <is>
          <t>数据库表未被本系统所维护</t>
        </is>
      </c>
      <c r="L237" s="83">
        <f>IF(OR(X237="估算法",X237="算法类",X237="无法识别"),"",IF(V237="",IF(OR(I237="EI",I237="EO",I237="EQ"),0,""),LEN(V237)-LEN(SUBSTITUTE(V237,"、",""))+1))</f>
        <v/>
      </c>
      <c r="M237" s="83">
        <f>IF(OR(X237="估算法",X237="算法类",X237="无法识别"),"",IF(W237="",IF(OR(I237="ILF",I237="EIF"),0,""),LEN(W237)-LEN(SUBSTITUTE(W237,"、",""))+1))</f>
        <v/>
      </c>
      <c r="N237" s="83">
        <f>IF(OR(X237="估算法",X237="算法类",X237="无法识别"),"",IF(X237="",IF(OR(I237="ILF",I237="EIF",I237="EI",I237="EO",I237="EQ"),0,""),LEN(X237)-LEN(SUBSTITUTE(SUBSTITUTE(SUBSTITUTE(SUBSTITUTE(SUBSTITUTE(X237,"|}","--"),"{|","--"),CHAR(10),""),"、",""),"|",""))+IF(AND(OR(I237="EI",I237="EO",I237="EQ"),$AD$1="NESMA"),2,1)))</f>
        <v/>
      </c>
      <c r="O237" s="84">
        <f>IF(I237="EI",IF(OR(X237="估算法",X237="算法类"),"中",IF(X237="无法识别","低",IF(L237&lt;2,IF(N237&lt;16,"低","中"),IF(L237&lt;3,IF(N237&lt;5,"低",IF(N237&lt;16,"中","高")),IF(N237&lt;5,"中","高"))))),IF(OR(I237="EO",I237="EQ"),IF(OR(X237="估算法",X237="算法类"),"中",IF(X237="无法识别","低",IF(L237&lt;2,IF(N237&lt;20,"低","中"),IF(L237&lt;4,IF(N237&lt;6,"低",IF(N237&lt;20,"中","高")),IF(N237&lt;6,"中","高"))))),IF(OR(I237="ILF",I237="EIF"),IF(OR(X237="估算法",X237="算法类",X237="无法识别"),"低",IF(M237&lt;2,IF(N237&lt;51,"低","中"),IF(M237&lt;6,IF(N237&lt;20,"低",IF(N237&lt;51,"中","高")),IF(N237&lt;20,"中","高")))),"不计算")))</f>
        <v/>
      </c>
      <c r="P237" s="142">
        <f>IFERROR(IF(I237="EI",IF(O237="低",3,IF(O237="中",4,6)),IF(I237="EO",IF(O237="低",4,IF(O237="中",5,7)),IF(I237="EQ",IF(O237="低",3,IF(O237="中",4,6)),IF(I237="ILF",IF(O237="低",7,IF(O237="中",10,15)),IF(I237="EIF",IF(O237="低",5,IF(O237="中",7,10)),"不计算")))))*Q237,"不计算")</f>
        <v/>
      </c>
      <c r="Q237" s="142" t="n">
        <v>0</v>
      </c>
      <c r="R237" s="143">
        <f>调整因子!$F$13</f>
        <v/>
      </c>
      <c r="S237" s="76" t="n">
        <v>1</v>
      </c>
      <c r="T237" s="144">
        <f>IFERROR(P237*R237,0)</f>
        <v/>
      </c>
      <c r="U237" s="144">
        <f>T237*S237</f>
        <v/>
      </c>
      <c r="V237" s="89" t="n"/>
      <c r="W237" s="88" t="inlineStr">
        <is>
          <t>属性配置表</t>
        </is>
      </c>
      <c r="X237" s="88" t="inlineStr">
        <is>
          <t>属性配置表{配置ID、属性名称、值、描述}</t>
        </is>
      </c>
      <c r="Y237" s="88">
        <f>IF(COUNTIFS(V:V,"*"&amp;H237&amp;"*")&gt;0,"存在","不存在")</f>
        <v/>
      </c>
      <c r="Z237" s="88">
        <f>IF(COUNTIFS(AA:AA,"*"&amp;H237&amp;"*")&gt;0,"存在","不存在")</f>
        <v/>
      </c>
      <c r="AA237" s="96" t="inlineStr">
        <is>
          <t>推送规则表、提醒规则表、脱敏规则表、加密规则表</t>
        </is>
      </c>
    </row>
    <row r="238" ht="10.8" customFormat="1" customHeight="1" s="63">
      <c r="A238" s="69">
        <f>ROW()-1</f>
        <v/>
      </c>
      <c r="B238" s="53" t="n"/>
      <c r="C238" s="78" t="n">
        <v>2025</v>
      </c>
      <c r="D238" s="78" t="inlineStr">
        <is>
          <t>张明峰</t>
        </is>
      </c>
      <c r="E238" s="53" t="n"/>
      <c r="F238" s="53" t="n"/>
      <c r="G238" s="53" t="n"/>
      <c r="H238" s="81" t="inlineStr">
        <is>
          <t>历史活动实例表</t>
        </is>
      </c>
      <c r="I238" s="76" t="n"/>
      <c r="J238" s="108" t="inlineStr">
        <is>
          <t>删除</t>
        </is>
      </c>
      <c r="K238" s="108" t="inlineStr">
        <is>
          <t>数据库表未被本系统所使用</t>
        </is>
      </c>
      <c r="L238" s="83">
        <f>IF(OR(X238="估算法",X238="算法类",X238="无法识别"),"",IF(V238="",IF(OR(I238="EI",I238="EO",I238="EQ"),0,""),LEN(V238)-LEN(SUBSTITUTE(V238,"、",""))+1))</f>
        <v/>
      </c>
      <c r="M238" s="83">
        <f>IF(OR(X238="估算法",X238="算法类",X238="无法识别"),"",IF(W238="",IF(OR(I238="ILF",I238="EIF"),0,""),LEN(W238)-LEN(SUBSTITUTE(W238,"、",""))+1))</f>
        <v/>
      </c>
      <c r="N238" s="83">
        <f>IF(OR(X238="估算法",X238="算法类",X238="无法识别"),"",IF(X238="",IF(OR(I238="ILF",I238="EIF",I238="EI",I238="EO",I238="EQ"),0,""),LEN(X238)-LEN(SUBSTITUTE(SUBSTITUTE(SUBSTITUTE(SUBSTITUTE(SUBSTITUTE(X238,"|}","--"),"{|","--"),CHAR(10),""),"、",""),"|",""))+IF(AND(OR(I238="EI",I238="EO",I238="EQ"),$AD$1="NESMA"),2,1)))</f>
        <v/>
      </c>
      <c r="O238" s="84">
        <f>IF(I238="EI",IF(OR(X238="估算法",X238="算法类"),"中",IF(X238="无法识别","低",IF(L238&lt;2,IF(N238&lt;16,"低","中"),IF(L238&lt;3,IF(N238&lt;5,"低",IF(N238&lt;16,"中","高")),IF(N238&lt;5,"中","高"))))),IF(OR(I238="EO",I238="EQ"),IF(OR(X238="估算法",X238="算法类"),"中",IF(X238="无法识别","低",IF(L238&lt;2,IF(N238&lt;20,"低","中"),IF(L238&lt;4,IF(N238&lt;6,"低",IF(N238&lt;20,"中","高")),IF(N238&lt;6,"中","高"))))),IF(OR(I238="ILF",I238="EIF"),IF(OR(X238="估算法",X238="算法类",X238="无法识别"),"低",IF(M238&lt;2,IF(N238&lt;51,"低","中"),IF(M238&lt;6,IF(N238&lt;20,"低",IF(N238&lt;51,"中","高")),IF(N238&lt;20,"中","高")))),"不计算")))</f>
        <v/>
      </c>
      <c r="P238" s="142">
        <f>IFERROR(IF(I238="EI",IF(O238="低",3,IF(O238="中",4,6)),IF(I238="EO",IF(O238="低",4,IF(O238="中",5,7)),IF(I238="EQ",IF(O238="低",3,IF(O238="中",4,6)),IF(I238="ILF",IF(O238="低",7,IF(O238="中",10,15)),IF(I238="EIF",IF(O238="低",5,IF(O238="中",7,10)),"不计算")))))*Q238,"不计算")</f>
        <v/>
      </c>
      <c r="Q238" s="142" t="n">
        <v>1</v>
      </c>
      <c r="R238" s="143">
        <f>调整因子!$F$13</f>
        <v/>
      </c>
      <c r="S238" s="70" t="n">
        <v>1</v>
      </c>
      <c r="T238" s="144">
        <f>IFERROR(P238*R238,0)</f>
        <v/>
      </c>
      <c r="U238" s="144">
        <f>T238*S238</f>
        <v/>
      </c>
      <c r="V238" s="89" t="n"/>
      <c r="W238" s="88" t="inlineStr">
        <is>
          <t>历史活动实例表</t>
        </is>
      </c>
      <c r="X238" s="88" t="inlineStr">
        <is>
          <t>历史活动实例表{实例ID、流程实例ID、活动名称、开始时间、结束时间}</t>
        </is>
      </c>
      <c r="Y238" s="88">
        <f>IF(COUNTIFS(V:V,"*"&amp;H238&amp;"*")&gt;0,"存在","不存在")</f>
        <v/>
      </c>
      <c r="Z238" s="88">
        <f>IF(COUNTIFS(AA:AA,"*"&amp;H238&amp;"*")&gt;0,"存在","不存在")</f>
        <v/>
      </c>
      <c r="AA238" s="96" t="inlineStr">
        <is>
          <t>资产扫描覆盖表、扫描盲区记录表、扫描能力缺口表、离线扫描报告表</t>
        </is>
      </c>
    </row>
    <row r="239" ht="10.8" customFormat="1" customHeight="1" s="63">
      <c r="A239" s="69">
        <f>ROW()-1</f>
        <v/>
      </c>
      <c r="B239" s="53" t="n"/>
      <c r="C239" s="78" t="n">
        <v>2025</v>
      </c>
      <c r="D239" s="78" t="inlineStr">
        <is>
          <t>张明峰</t>
        </is>
      </c>
      <c r="E239" s="53" t="n"/>
      <c r="F239" s="53" t="n"/>
      <c r="G239" s="53" t="n"/>
      <c r="H239" s="81" t="inlineStr">
        <is>
          <t>历史附件表</t>
        </is>
      </c>
      <c r="I239" s="76" t="inlineStr">
        <is>
          <t>ILF</t>
        </is>
      </c>
      <c r="J239" s="99" t="inlineStr">
        <is>
          <t>删除</t>
        </is>
      </c>
      <c r="K239" s="108" t="inlineStr">
        <is>
          <t>数据库表未被本系统所维护</t>
        </is>
      </c>
      <c r="L239" s="83">
        <f>IF(OR(X239="估算法",X239="算法类",X239="无法识别"),"",IF(V239="",IF(OR(I239="EI",I239="EO",I239="EQ"),0,""),LEN(V239)-LEN(SUBSTITUTE(V239,"、",""))+1))</f>
        <v/>
      </c>
      <c r="M239" s="83">
        <f>IF(OR(X239="估算法",X239="算法类",X239="无法识别"),"",IF(W239="",IF(OR(I239="ILF",I239="EIF"),0,""),LEN(W239)-LEN(SUBSTITUTE(W239,"、",""))+1))</f>
        <v/>
      </c>
      <c r="N239" s="83">
        <f>IF(OR(X239="估算法",X239="算法类",X239="无法识别"),"",IF(X239="",IF(OR(I239="ILF",I239="EIF",I239="EI",I239="EO",I239="EQ"),0,""),LEN(X239)-LEN(SUBSTITUTE(SUBSTITUTE(SUBSTITUTE(SUBSTITUTE(SUBSTITUTE(X239,"|}","--"),"{|","--"),CHAR(10),""),"、",""),"|",""))+IF(AND(OR(I239="EI",I239="EO",I239="EQ"),$AD$1="NESMA"),2,1)))</f>
        <v/>
      </c>
      <c r="O239" s="84">
        <f>IF(I239="EI",IF(OR(X239="估算法",X239="算法类"),"中",IF(X239="无法识别","低",IF(L239&lt;2,IF(N239&lt;16,"低","中"),IF(L239&lt;3,IF(N239&lt;5,"低",IF(N239&lt;16,"中","高")),IF(N239&lt;5,"中","高"))))),IF(OR(I239="EO",I239="EQ"),IF(OR(X239="估算法",X239="算法类"),"中",IF(X239="无法识别","低",IF(L239&lt;2,IF(N239&lt;20,"低","中"),IF(L239&lt;4,IF(N239&lt;6,"低",IF(N239&lt;20,"中","高")),IF(N239&lt;6,"中","高"))))),IF(OR(I239="ILF",I239="EIF"),IF(OR(X239="估算法",X239="算法类",X239="无法识别"),"低",IF(M239&lt;2,IF(N239&lt;51,"低","中"),IF(M239&lt;6,IF(N239&lt;20,"低",IF(N239&lt;51,"中","高")),IF(N239&lt;20,"中","高")))),"不计算")))</f>
        <v/>
      </c>
      <c r="P239" s="142">
        <f>IFERROR(IF(I239="EI",IF(O239="低",3,IF(O239="中",4,6)),IF(I239="EO",IF(O239="低",4,IF(O239="中",5,7)),IF(I239="EQ",IF(O239="低",3,IF(O239="中",4,6)),IF(I239="ILF",IF(O239="低",7,IF(O239="中",10,15)),IF(I239="EIF",IF(O239="低",5,IF(O239="中",7,10)),"不计算")))))*Q239,"不计算")</f>
        <v/>
      </c>
      <c r="Q239" s="142" t="n">
        <v>0</v>
      </c>
      <c r="R239" s="143">
        <f>调整因子!$F$13</f>
        <v/>
      </c>
      <c r="S239" s="70" t="n">
        <v>1</v>
      </c>
      <c r="T239" s="144">
        <f>IFERROR(P239*R239,0)</f>
        <v/>
      </c>
      <c r="U239" s="144">
        <f>T239*S239</f>
        <v/>
      </c>
      <c r="V239" s="89" t="n"/>
      <c r="W239" s="88" t="inlineStr">
        <is>
          <t>历史附件表</t>
        </is>
      </c>
      <c r="X239" s="88" t="inlineStr">
        <is>
          <t>历史附件表{附件ID、流程实例ID、附件名称、附件路径、上传时间}</t>
        </is>
      </c>
      <c r="Y239" s="88">
        <f>IF(COUNTIFS(V:V,"*"&amp;H239&amp;"*")&gt;0,"存在","不存在")</f>
        <v/>
      </c>
      <c r="Z239" s="88">
        <f>IF(COUNTIFS(AA:AA,"*"&amp;H239&amp;"*")&gt;0,"存在","不存在")</f>
        <v/>
      </c>
      <c r="AA239" s="96" t="inlineStr">
        <is>
          <t>资产扫描覆盖表、扫描盲区记录表、扫描能力缺口表</t>
        </is>
      </c>
    </row>
    <row r="240" ht="10.8" customFormat="1" customHeight="1" s="63">
      <c r="A240" s="69">
        <f>ROW()-1</f>
        <v/>
      </c>
      <c r="B240" s="53" t="n"/>
      <c r="C240" s="78" t="n">
        <v>2025</v>
      </c>
      <c r="D240" s="78" t="inlineStr">
        <is>
          <t>张明峰</t>
        </is>
      </c>
      <c r="E240" s="53" t="n"/>
      <c r="F240" s="53" t="n"/>
      <c r="G240" s="53" t="n"/>
      <c r="H240" s="81" t="inlineStr">
        <is>
          <t>历史评论表</t>
        </is>
      </c>
      <c r="I240" s="76" t="inlineStr">
        <is>
          <t>ILF</t>
        </is>
      </c>
      <c r="J240" s="99" t="inlineStr">
        <is>
          <t>删除</t>
        </is>
      </c>
      <c r="K240" s="108" t="inlineStr">
        <is>
          <t>数据库表未被本系统所维护</t>
        </is>
      </c>
      <c r="L240" s="83">
        <f>IF(OR(X240="估算法",X240="算法类",X240="无法识别"),"",IF(V240="",IF(OR(I240="EI",I240="EO",I240="EQ"),0,""),LEN(V240)-LEN(SUBSTITUTE(V240,"、",""))+1))</f>
        <v/>
      </c>
      <c r="M240" s="83">
        <f>IF(OR(X240="估算法",X240="算法类",X240="无法识别"),"",IF(W240="",IF(OR(I240="ILF",I240="EIF"),0,""),LEN(W240)-LEN(SUBSTITUTE(W240,"、",""))+1))</f>
        <v/>
      </c>
      <c r="N240" s="83">
        <f>IF(OR(X240="估算法",X240="算法类",X240="无法识别"),"",IF(X240="",IF(OR(I240="ILF",I240="EIF",I240="EI",I240="EO",I240="EQ"),0,""),LEN(X240)-LEN(SUBSTITUTE(SUBSTITUTE(SUBSTITUTE(SUBSTITUTE(SUBSTITUTE(X240,"|}","--"),"{|","--"),CHAR(10),""),"、",""),"|",""))+IF(AND(OR(I240="EI",I240="EO",I240="EQ"),$AD$1="NESMA"),2,1)))</f>
        <v/>
      </c>
      <c r="O240" s="84">
        <f>IF(I240="EI",IF(OR(X240="估算法",X240="算法类"),"中",IF(X240="无法识别","低",IF(L240&lt;2,IF(N240&lt;16,"低","中"),IF(L240&lt;3,IF(N240&lt;5,"低",IF(N240&lt;16,"中","高")),IF(N240&lt;5,"中","高"))))),IF(OR(I240="EO",I240="EQ"),IF(OR(X240="估算法",X240="算法类"),"中",IF(X240="无法识别","低",IF(L240&lt;2,IF(N240&lt;20,"低","中"),IF(L240&lt;4,IF(N240&lt;6,"低",IF(N240&lt;20,"中","高")),IF(N240&lt;6,"中","高"))))),IF(OR(I240="ILF",I240="EIF"),IF(OR(X240="估算法",X240="算法类",X240="无法识别"),"低",IF(M240&lt;2,IF(N240&lt;51,"低","中"),IF(M240&lt;6,IF(N240&lt;20,"低",IF(N240&lt;51,"中","高")),IF(N240&lt;20,"中","高")))),"不计算")))</f>
        <v/>
      </c>
      <c r="P240" s="142">
        <f>IFERROR(IF(I240="EI",IF(O240="低",3,IF(O240="中",4,6)),IF(I240="EO",IF(O240="低",4,IF(O240="中",5,7)),IF(I240="EQ",IF(O240="低",3,IF(O240="中",4,6)),IF(I240="ILF",IF(O240="低",7,IF(O240="中",10,15)),IF(I240="EIF",IF(O240="低",5,IF(O240="中",7,10)),"不计算")))))*Q240,"不计算")</f>
        <v/>
      </c>
      <c r="Q240" s="142" t="n">
        <v>0</v>
      </c>
      <c r="R240" s="143">
        <f>调整因子!$F$13</f>
        <v/>
      </c>
      <c r="S240" s="76" t="n">
        <v>1</v>
      </c>
      <c r="T240" s="144">
        <f>IFERROR(P240*R240,0)</f>
        <v/>
      </c>
      <c r="U240" s="144">
        <f>T240*S240</f>
        <v/>
      </c>
      <c r="V240" s="89" t="n"/>
      <c r="W240" s="88" t="inlineStr">
        <is>
          <t>历史评论表</t>
        </is>
      </c>
      <c r="X240" s="88" t="inlineStr">
        <is>
          <t>历史评论表{评论ID、流程实例ID、评论内容、评论人、评论时间}</t>
        </is>
      </c>
      <c r="Y240" s="88">
        <f>IF(COUNTIFS(V:V,"*"&amp;H240&amp;"*")&gt;0,"存在","不存在")</f>
        <v/>
      </c>
      <c r="Z240" s="88">
        <f>IF(COUNTIFS(AA:AA,"*"&amp;H240&amp;"*")&gt;0,"存在","不存在")</f>
        <v/>
      </c>
      <c r="AA240" s="96" t="inlineStr">
        <is>
          <t>资产扫描覆盖表、扫描盲区记录表、扫描能力缺口表</t>
        </is>
      </c>
    </row>
    <row r="241" ht="10.8" customFormat="1" customHeight="1" s="63">
      <c r="A241" s="69">
        <f>ROW()-1</f>
        <v/>
      </c>
      <c r="B241" s="53" t="n"/>
      <c r="C241" s="78" t="n">
        <v>2025</v>
      </c>
      <c r="D241" s="78" t="inlineStr">
        <is>
          <t>张明峰</t>
        </is>
      </c>
      <c r="E241" s="53" t="n"/>
      <c r="F241" s="53" t="n"/>
      <c r="G241" s="53" t="n"/>
      <c r="H241" s="81" t="inlineStr">
        <is>
          <t>历史详情表</t>
        </is>
      </c>
      <c r="I241" s="76" t="inlineStr">
        <is>
          <t>ILF</t>
        </is>
      </c>
      <c r="J241" s="99" t="inlineStr">
        <is>
          <t>删除</t>
        </is>
      </c>
      <c r="K241" s="108" t="inlineStr">
        <is>
          <t>数据库表未被本系统所维护</t>
        </is>
      </c>
      <c r="L241" s="83">
        <f>IF(OR(X241="估算法",X241="算法类",X241="无法识别"),"",IF(V241="",IF(OR(I241="EI",I241="EO",I241="EQ"),0,""),LEN(V241)-LEN(SUBSTITUTE(V241,"、",""))+1))</f>
        <v/>
      </c>
      <c r="M241" s="83">
        <f>IF(OR(X241="估算法",X241="算法类",X241="无法识别"),"",IF(W241="",IF(OR(I241="ILF",I241="EIF"),0,""),LEN(W241)-LEN(SUBSTITUTE(W241,"、",""))+1))</f>
        <v/>
      </c>
      <c r="N241" s="83">
        <f>IF(OR(X241="估算法",X241="算法类",X241="无法识别"),"",IF(X241="",IF(OR(I241="ILF",I241="EIF",I241="EI",I241="EO",I241="EQ"),0,""),LEN(X241)-LEN(SUBSTITUTE(SUBSTITUTE(SUBSTITUTE(SUBSTITUTE(SUBSTITUTE(X241,"|}","--"),"{|","--"),CHAR(10),""),"、",""),"|",""))+IF(AND(OR(I241="EI",I241="EO",I241="EQ"),$AD$1="NESMA"),2,1)))</f>
        <v/>
      </c>
      <c r="O241" s="84">
        <f>IF(I241="EI",IF(OR(X241="估算法",X241="算法类"),"中",IF(X241="无法识别","低",IF(L241&lt;2,IF(N241&lt;16,"低","中"),IF(L241&lt;3,IF(N241&lt;5,"低",IF(N241&lt;16,"中","高")),IF(N241&lt;5,"中","高"))))),IF(OR(I241="EO",I241="EQ"),IF(OR(X241="估算法",X241="算法类"),"中",IF(X241="无法识别","低",IF(L241&lt;2,IF(N241&lt;20,"低","中"),IF(L241&lt;4,IF(N241&lt;6,"低",IF(N241&lt;20,"中","高")),IF(N241&lt;6,"中","高"))))),IF(OR(I241="ILF",I241="EIF"),IF(OR(X241="估算法",X241="算法类",X241="无法识别"),"低",IF(M241&lt;2,IF(N241&lt;51,"低","中"),IF(M241&lt;6,IF(N241&lt;20,"低",IF(N241&lt;51,"中","高")),IF(N241&lt;20,"中","高")))),"不计算")))</f>
        <v/>
      </c>
      <c r="P241" s="142">
        <f>IFERROR(IF(I241="EI",IF(O241="低",3,IF(O241="中",4,6)),IF(I241="EO",IF(O241="低",4,IF(O241="中",5,7)),IF(I241="EQ",IF(O241="低",3,IF(O241="中",4,6)),IF(I241="ILF",IF(O241="低",7,IF(O241="中",10,15)),IF(I241="EIF",IF(O241="低",5,IF(O241="中",7,10)),"不计算")))))*Q241,"不计算")</f>
        <v/>
      </c>
      <c r="Q241" s="142" t="n">
        <v>0</v>
      </c>
      <c r="R241" s="143">
        <f>调整因子!$F$13</f>
        <v/>
      </c>
      <c r="S241" s="70" t="n">
        <v>1</v>
      </c>
      <c r="T241" s="144">
        <f>IFERROR(P241*R241,0)</f>
        <v/>
      </c>
      <c r="U241" s="144">
        <f>T241*S241</f>
        <v/>
      </c>
      <c r="V241" s="89" t="n"/>
      <c r="W241" s="88" t="inlineStr">
        <is>
          <t>历史详情表</t>
        </is>
      </c>
      <c r="X241" s="88" t="inlineStr">
        <is>
          <t>历史详情表{详情ID、流程实例ID、详情内容、更新时间}</t>
        </is>
      </c>
      <c r="Y241" s="88">
        <f>IF(COUNTIFS(V:V,"*"&amp;H241&amp;"*")&gt;0,"存在","不存在")</f>
        <v/>
      </c>
      <c r="Z241" s="88">
        <f>IF(COUNTIFS(AA:AA,"*"&amp;H241&amp;"*")&gt;0,"存在","不存在")</f>
        <v/>
      </c>
      <c r="AA241" s="96" t="inlineStr">
        <is>
          <t>扫描策略模板表、提醒策略配置表、加密策略表、通报配置表、处置单配置表</t>
        </is>
      </c>
    </row>
    <row r="242" ht="10.8" customFormat="1" customHeight="1" s="63">
      <c r="A242" s="69">
        <f>ROW()-1</f>
        <v/>
      </c>
      <c r="B242" s="53" t="n"/>
      <c r="C242" s="78" t="n">
        <v>2025</v>
      </c>
      <c r="D242" s="78" t="inlineStr">
        <is>
          <t>张明峰</t>
        </is>
      </c>
      <c r="E242" s="53" t="n"/>
      <c r="F242" s="53" t="n"/>
      <c r="G242" s="53" t="n"/>
      <c r="H242" s="81" t="inlineStr">
        <is>
          <t>历史实体链接表</t>
        </is>
      </c>
      <c r="I242" s="76" t="inlineStr">
        <is>
          <t>ILF</t>
        </is>
      </c>
      <c r="J242" s="99" t="inlineStr">
        <is>
          <t>删除</t>
        </is>
      </c>
      <c r="K242" s="108" t="inlineStr">
        <is>
          <t>数据库表未被本系统所维护</t>
        </is>
      </c>
      <c r="L242" s="83">
        <f>IF(OR(X242="估算法",X242="算法类",X242="无法识别"),"",IF(V242="",IF(OR(I242="EI",I242="EO",I242="EQ"),0,""),LEN(V242)-LEN(SUBSTITUTE(V242,"、",""))+1))</f>
        <v/>
      </c>
      <c r="M242" s="83">
        <f>IF(OR(X242="估算法",X242="算法类",X242="无法识别"),"",IF(W242="",IF(OR(I242="ILF",I242="EIF"),0,""),LEN(W242)-LEN(SUBSTITUTE(W242,"、",""))+1))</f>
        <v/>
      </c>
      <c r="N242" s="83">
        <f>IF(OR(X242="估算法",X242="算法类",X242="无法识别"),"",IF(X242="",IF(OR(I242="ILF",I242="EIF",I242="EI",I242="EO",I242="EQ"),0,""),LEN(X242)-LEN(SUBSTITUTE(SUBSTITUTE(SUBSTITUTE(SUBSTITUTE(SUBSTITUTE(X242,"|}","--"),"{|","--"),CHAR(10),""),"、",""),"|",""))+IF(AND(OR(I242="EI",I242="EO",I242="EQ"),$AD$1="NESMA"),2,1)))</f>
        <v/>
      </c>
      <c r="O242" s="84">
        <f>IF(I242="EI",IF(OR(X242="估算法",X242="算法类"),"中",IF(X242="无法识别","低",IF(L242&lt;2,IF(N242&lt;16,"低","中"),IF(L242&lt;3,IF(N242&lt;5,"低",IF(N242&lt;16,"中","高")),IF(N242&lt;5,"中","高"))))),IF(OR(I242="EO",I242="EQ"),IF(OR(X242="估算法",X242="算法类"),"中",IF(X242="无法识别","低",IF(L242&lt;2,IF(N242&lt;20,"低","中"),IF(L242&lt;4,IF(N242&lt;6,"低",IF(N242&lt;20,"中","高")),IF(N242&lt;6,"中","高"))))),IF(OR(I242="ILF",I242="EIF"),IF(OR(X242="估算法",X242="算法类",X242="无法识别"),"低",IF(M242&lt;2,IF(N242&lt;51,"低","中"),IF(M242&lt;6,IF(N242&lt;20,"低",IF(N242&lt;51,"中","高")),IF(N242&lt;20,"中","高")))),"不计算")))</f>
        <v/>
      </c>
      <c r="P242" s="142">
        <f>IFERROR(IF(I242="EI",IF(O242="低",3,IF(O242="中",4,6)),IF(I242="EO",IF(O242="低",4,IF(O242="中",5,7)),IF(I242="EQ",IF(O242="低",3,IF(O242="中",4,6)),IF(I242="ILF",IF(O242="低",7,IF(O242="中",10,15)),IF(I242="EIF",IF(O242="低",5,IF(O242="中",7,10)),"不计算")))))*Q242,"不计算")</f>
        <v/>
      </c>
      <c r="Q242" s="142" t="n">
        <v>0</v>
      </c>
      <c r="R242" s="143">
        <f>调整因子!$F$13</f>
        <v/>
      </c>
      <c r="S242" s="70" t="n">
        <v>1</v>
      </c>
      <c r="T242" s="144">
        <f>IFERROR(P242*R242,0)</f>
        <v/>
      </c>
      <c r="U242" s="144">
        <f>T242*S242</f>
        <v/>
      </c>
      <c r="V242" s="89" t="n"/>
      <c r="W242" s="88" t="inlineStr">
        <is>
          <t>历史实体链接表</t>
        </is>
      </c>
      <c r="X242" s="88" t="inlineStr">
        <is>
          <t>历史实体链接表{链接ID、流程实例ID、实体类型、实体ID、链接时间}</t>
        </is>
      </c>
      <c r="Y242" s="88">
        <f>IF(COUNTIFS(V:V,"*"&amp;H242&amp;"*")&gt;0,"存在","不存在")</f>
        <v/>
      </c>
      <c r="Z242" s="88">
        <f>IF(COUNTIFS(AA:AA,"*"&amp;H242&amp;"*")&gt;0,"存在","不存在")</f>
        <v/>
      </c>
      <c r="AA242" s="96" t="inlineStr">
        <is>
          <t>扫描策略模板表、提醒策略配置表、加密策略表</t>
        </is>
      </c>
    </row>
    <row r="243" ht="10.8" customFormat="1" customHeight="1" s="63">
      <c r="A243" s="69">
        <f>ROW()-1</f>
        <v/>
      </c>
      <c r="B243" s="53" t="n"/>
      <c r="C243" s="78" t="n">
        <v>2025</v>
      </c>
      <c r="D243" s="78" t="inlineStr">
        <is>
          <t>张明峰</t>
        </is>
      </c>
      <c r="E243" s="53" t="n"/>
      <c r="F243" s="53" t="n"/>
      <c r="G243" s="53" t="n"/>
      <c r="H243" s="81" t="inlineStr">
        <is>
          <t>历史身份链接表</t>
        </is>
      </c>
      <c r="I243" s="76" t="inlineStr">
        <is>
          <t>ILF</t>
        </is>
      </c>
      <c r="J243" s="99" t="inlineStr">
        <is>
          <t>删除</t>
        </is>
      </c>
      <c r="K243" s="108" t="inlineStr">
        <is>
          <t>数据库表未被本系统所维护</t>
        </is>
      </c>
      <c r="L243" s="83">
        <f>IF(OR(X243="估算法",X243="算法类",X243="无法识别"),"",IF(V243="",IF(OR(I243="EI",I243="EO",I243="EQ"),0,""),LEN(V243)-LEN(SUBSTITUTE(V243,"、",""))+1))</f>
        <v/>
      </c>
      <c r="M243" s="83">
        <f>IF(OR(X243="估算法",X243="算法类",X243="无法识别"),"",IF(W243="",IF(OR(I243="ILF",I243="EIF"),0,""),LEN(W243)-LEN(SUBSTITUTE(W243,"、",""))+1))</f>
        <v/>
      </c>
      <c r="N243" s="83">
        <f>IF(OR(X243="估算法",X243="算法类",X243="无法识别"),"",IF(X243="",IF(OR(I243="ILF",I243="EIF",I243="EI",I243="EO",I243="EQ"),0,""),LEN(X243)-LEN(SUBSTITUTE(SUBSTITUTE(SUBSTITUTE(SUBSTITUTE(SUBSTITUTE(X243,"|}","--"),"{|","--"),CHAR(10),""),"、",""),"|",""))+IF(AND(OR(I243="EI",I243="EO",I243="EQ"),$AD$1="NESMA"),2,1)))</f>
        <v/>
      </c>
      <c r="O243" s="84">
        <f>IF(I243="EI",IF(OR(X243="估算法",X243="算法类"),"中",IF(X243="无法识别","低",IF(L243&lt;2,IF(N243&lt;16,"低","中"),IF(L243&lt;3,IF(N243&lt;5,"低",IF(N243&lt;16,"中","高")),IF(N243&lt;5,"中","高"))))),IF(OR(I243="EO",I243="EQ"),IF(OR(X243="估算法",X243="算法类"),"中",IF(X243="无法识别","低",IF(L243&lt;2,IF(N243&lt;20,"低","中"),IF(L243&lt;4,IF(N243&lt;6,"低",IF(N243&lt;20,"中","高")),IF(N243&lt;6,"中","高"))))),IF(OR(I243="ILF",I243="EIF"),IF(OR(X243="估算法",X243="算法类",X243="无法识别"),"低",IF(M243&lt;2,IF(N243&lt;51,"低","中"),IF(M243&lt;6,IF(N243&lt;20,"低",IF(N243&lt;51,"中","高")),IF(N243&lt;20,"中","高")))),"不计算")))</f>
        <v/>
      </c>
      <c r="P243" s="142">
        <f>IFERROR(IF(I243="EI",IF(O243="低",3,IF(O243="中",4,6)),IF(I243="EO",IF(O243="低",4,IF(O243="中",5,7)),IF(I243="EQ",IF(O243="低",3,IF(O243="中",4,6)),IF(I243="ILF",IF(O243="低",7,IF(O243="中",10,15)),IF(I243="EIF",IF(O243="低",5,IF(O243="中",7,10)),"不计算")))))*Q243,"不计算")</f>
        <v/>
      </c>
      <c r="Q243" s="142" t="n">
        <v>0</v>
      </c>
      <c r="R243" s="143">
        <f>调整因子!$F$13</f>
        <v/>
      </c>
      <c r="S243" s="76" t="n">
        <v>1</v>
      </c>
      <c r="T243" s="144">
        <f>IFERROR(P243*R243,0)</f>
        <v/>
      </c>
      <c r="U243" s="144">
        <f>T243*S243</f>
        <v/>
      </c>
      <c r="V243" s="89" t="n"/>
      <c r="W243" s="88" t="inlineStr">
        <is>
          <t>历史身份链接表</t>
        </is>
      </c>
      <c r="X243" s="88" t="inlineStr">
        <is>
          <t>历史身份链接表{链接ID、流程实例ID、用户ID、角色、链接时间}</t>
        </is>
      </c>
      <c r="Y243" s="88">
        <f>IF(COUNTIFS(V:V,"*"&amp;H243&amp;"*")&gt;0,"存在","不存在")</f>
        <v/>
      </c>
      <c r="Z243" s="88">
        <f>IF(COUNTIFS(AA:AA,"*"&amp;H243&amp;"*")&gt;0,"存在","不存在")</f>
        <v/>
      </c>
      <c r="AA243" s="96" t="inlineStr">
        <is>
          <t>修复步骤表、模板配置表、脱敏规则表、报告解析结果表、漏洞统计数据表</t>
        </is>
      </c>
    </row>
    <row r="244" ht="10.8" customFormat="1" customHeight="1" s="63">
      <c r="A244" s="69">
        <f>ROW()-1</f>
        <v/>
      </c>
      <c r="B244" s="53" t="n"/>
      <c r="C244" s="78" t="n">
        <v>2025</v>
      </c>
      <c r="D244" s="78" t="inlineStr">
        <is>
          <t>张明峰</t>
        </is>
      </c>
      <c r="E244" s="53" t="n"/>
      <c r="F244" s="53" t="n"/>
      <c r="G244" s="53" t="n"/>
      <c r="H244" s="81" t="inlineStr">
        <is>
          <t>历史流程实例表</t>
        </is>
      </c>
      <c r="I244" s="76" t="inlineStr">
        <is>
          <t>ILF</t>
        </is>
      </c>
      <c r="J244" s="99" t="inlineStr">
        <is>
          <t>删除</t>
        </is>
      </c>
      <c r="K244" s="108" t="inlineStr">
        <is>
          <t>数据库表未被本系统所维护</t>
        </is>
      </c>
      <c r="L244" s="83">
        <f>IF(OR(X244="估算法",X244="算法类",X244="无法识别"),"",IF(V244="",IF(OR(I244="EI",I244="EO",I244="EQ"),0,""),LEN(V244)-LEN(SUBSTITUTE(V244,"、",""))+1))</f>
        <v/>
      </c>
      <c r="M244" s="83">
        <f>IF(OR(X244="估算法",X244="算法类",X244="无法识别"),"",IF(W244="",IF(OR(I244="ILF",I244="EIF"),0,""),LEN(W244)-LEN(SUBSTITUTE(W244,"、",""))+1))</f>
        <v/>
      </c>
      <c r="N244" s="83">
        <f>IF(OR(X244="估算法",X244="算法类",X244="无法识别"),"",IF(X244="",IF(OR(I244="ILF",I244="EIF",I244="EI",I244="EO",I244="EQ"),0,""),LEN(X244)-LEN(SUBSTITUTE(SUBSTITUTE(SUBSTITUTE(SUBSTITUTE(SUBSTITUTE(X244,"|}","--"),"{|","--"),CHAR(10),""),"、",""),"|",""))+IF(AND(OR(I244="EI",I244="EO",I244="EQ"),$AD$1="NESMA"),2,1)))</f>
        <v/>
      </c>
      <c r="O244" s="84">
        <f>IF(I244="EI",IF(OR(X244="估算法",X244="算法类"),"中",IF(X244="无法识别","低",IF(L244&lt;2,IF(N244&lt;16,"低","中"),IF(L244&lt;3,IF(N244&lt;5,"低",IF(N244&lt;16,"中","高")),IF(N244&lt;5,"中","高"))))),IF(OR(I244="EO",I244="EQ"),IF(OR(X244="估算法",X244="算法类"),"中",IF(X244="无法识别","低",IF(L244&lt;2,IF(N244&lt;20,"低","中"),IF(L244&lt;4,IF(N244&lt;6,"低",IF(N244&lt;20,"中","高")),IF(N244&lt;6,"中","高"))))),IF(OR(I244="ILF",I244="EIF"),IF(OR(X244="估算法",X244="算法类",X244="无法识别"),"低",IF(M244&lt;2,IF(N244&lt;51,"低","中"),IF(M244&lt;6,IF(N244&lt;20,"低",IF(N244&lt;51,"中","高")),IF(N244&lt;20,"中","高")))),"不计算")))</f>
        <v/>
      </c>
      <c r="P244" s="142">
        <f>IFERROR(IF(I244="EI",IF(O244="低",3,IF(O244="中",4,6)),IF(I244="EO",IF(O244="低",4,IF(O244="中",5,7)),IF(I244="EQ",IF(O244="低",3,IF(O244="中",4,6)),IF(I244="ILF",IF(O244="低",7,IF(O244="中",10,15)),IF(I244="EIF",IF(O244="低",5,IF(O244="中",7,10)),"不计算")))))*Q244,"不计算")</f>
        <v/>
      </c>
      <c r="Q244" s="142" t="n">
        <v>0</v>
      </c>
      <c r="R244" s="143">
        <f>调整因子!$F$13</f>
        <v/>
      </c>
      <c r="S244" s="70" t="n">
        <v>1</v>
      </c>
      <c r="T244" s="144">
        <f>IFERROR(P244*R244,0)</f>
        <v/>
      </c>
      <c r="U244" s="144">
        <f>T244*S244</f>
        <v/>
      </c>
      <c r="V244" s="89" t="n"/>
      <c r="W244" s="88" t="inlineStr">
        <is>
          <t>历史流程实例表</t>
        </is>
      </c>
      <c r="X244" s="88" t="inlineStr">
        <is>
          <t>历史流程实例表{实例ID、流程定义ID、开始时间、结束时间、状态}</t>
        </is>
      </c>
      <c r="Y244" s="88">
        <f>IF(COUNTIFS(V:V,"*"&amp;H244&amp;"*")&gt;0,"存在","不存在")</f>
        <v/>
      </c>
      <c r="Z244" s="88">
        <f>IF(COUNTIFS(AA:AA,"*"&amp;H244&amp;"*")&gt;0,"存在","不存在")</f>
        <v/>
      </c>
      <c r="AA244" s="96" t="inlineStr">
        <is>
          <t>推送规则表、提醒规则表、脱敏规则表、加密规则表、推送结果表</t>
        </is>
      </c>
    </row>
    <row r="245" ht="10.8" customFormat="1" customHeight="1" s="63">
      <c r="A245" s="69">
        <f>ROW()-1</f>
        <v/>
      </c>
      <c r="B245" s="53" t="n"/>
      <c r="C245" s="78" t="n">
        <v>2025</v>
      </c>
      <c r="D245" s="78" t="inlineStr">
        <is>
          <t>张明峰</t>
        </is>
      </c>
      <c r="E245" s="53" t="n"/>
      <c r="F245" s="53" t="n"/>
      <c r="G245" s="53" t="n"/>
      <c r="H245" s="81" t="inlineStr">
        <is>
          <t>历史任务实例表</t>
        </is>
      </c>
      <c r="I245" s="76" t="inlineStr">
        <is>
          <t>ILF</t>
        </is>
      </c>
      <c r="J245" s="99" t="inlineStr">
        <is>
          <t>删除</t>
        </is>
      </c>
      <c r="K245" s="108" t="inlineStr">
        <is>
          <t>数据库表未被本系统所维护</t>
        </is>
      </c>
      <c r="L245" s="83">
        <f>IF(OR(X245="估算法",X245="算法类",X245="无法识别"),"",IF(V245="",IF(OR(I245="EI",I245="EO",I245="EQ"),0,""),LEN(V245)-LEN(SUBSTITUTE(V245,"、",""))+1))</f>
        <v/>
      </c>
      <c r="M245" s="83">
        <f>IF(OR(X245="估算法",X245="算法类",X245="无法识别"),"",IF(W245="",IF(OR(I245="ILF",I245="EIF"),0,""),LEN(W245)-LEN(SUBSTITUTE(W245,"、",""))+1))</f>
        <v/>
      </c>
      <c r="N245" s="83">
        <f>IF(OR(X245="估算法",X245="算法类",X245="无法识别"),"",IF(X245="",IF(OR(I245="ILF",I245="EIF",I245="EI",I245="EO",I245="EQ"),0,""),LEN(X245)-LEN(SUBSTITUTE(SUBSTITUTE(SUBSTITUTE(SUBSTITUTE(SUBSTITUTE(X245,"|}","--"),"{|","--"),CHAR(10),""),"、",""),"|",""))+IF(AND(OR(I245="EI",I245="EO",I245="EQ"),$AD$1="NESMA"),2,1)))</f>
        <v/>
      </c>
      <c r="O245" s="84">
        <f>IF(I245="EI",IF(OR(X245="估算法",X245="算法类"),"中",IF(X245="无法识别","低",IF(L245&lt;2,IF(N245&lt;16,"低","中"),IF(L245&lt;3,IF(N245&lt;5,"低",IF(N245&lt;16,"中","高")),IF(N245&lt;5,"中","高"))))),IF(OR(I245="EO",I245="EQ"),IF(OR(X245="估算法",X245="算法类"),"中",IF(X245="无法识别","低",IF(L245&lt;2,IF(N245&lt;20,"低","中"),IF(L245&lt;4,IF(N245&lt;6,"低",IF(N245&lt;20,"中","高")),IF(N245&lt;6,"中","高"))))),IF(OR(I245="ILF",I245="EIF"),IF(OR(X245="估算法",X245="算法类",X245="无法识别"),"低",IF(M245&lt;2,IF(N245&lt;51,"低","中"),IF(M245&lt;6,IF(N245&lt;20,"低",IF(N245&lt;51,"中","高")),IF(N245&lt;20,"中","高")))),"不计算")))</f>
        <v/>
      </c>
      <c r="P245" s="142">
        <f>IFERROR(IF(I245="EI",IF(O245="低",3,IF(O245="中",4,6)),IF(I245="EO",IF(O245="低",4,IF(O245="中",5,7)),IF(I245="EQ",IF(O245="低",3,IF(O245="中",4,6)),IF(I245="ILF",IF(O245="低",7,IF(O245="中",10,15)),IF(I245="EIF",IF(O245="低",5,IF(O245="中",7,10)),"不计算")))))*Q245,"不计算")</f>
        <v/>
      </c>
      <c r="Q245" s="142" t="n">
        <v>0</v>
      </c>
      <c r="R245" s="143">
        <f>调整因子!$F$13</f>
        <v/>
      </c>
      <c r="S245" s="70" t="n">
        <v>1</v>
      </c>
      <c r="T245" s="144">
        <f>IFERROR(P245*R245,0)</f>
        <v/>
      </c>
      <c r="U245" s="144">
        <f>T245*S245</f>
        <v/>
      </c>
      <c r="V245" s="89" t="n"/>
      <c r="W245" s="88" t="inlineStr">
        <is>
          <t>历史任务实例表</t>
        </is>
      </c>
      <c r="X245" s="88" t="inlineStr">
        <is>
          <t>历史任务实例表{实例ID、任务定义ID、开始时间、结束时间、状态}</t>
        </is>
      </c>
      <c r="Y245" s="88">
        <f>IF(COUNTIFS(V:V,"*"&amp;H245&amp;"*")&gt;0,"存在","不存在")</f>
        <v/>
      </c>
      <c r="Z245" s="88">
        <f>IF(COUNTIFS(AA:AA,"*"&amp;H245&amp;"*")&gt;0,"存在","不存在")</f>
        <v/>
      </c>
      <c r="AA245" s="96" t="inlineStr">
        <is>
          <t>推送规则表、提醒规则表、脱敏规则表</t>
        </is>
      </c>
    </row>
    <row r="246" ht="10.8" customFormat="1" customHeight="1" s="63">
      <c r="A246" s="69">
        <f>ROW()-1</f>
        <v/>
      </c>
      <c r="B246" s="53" t="n"/>
      <c r="C246" s="78" t="n">
        <v>2025</v>
      </c>
      <c r="D246" s="78" t="inlineStr">
        <is>
          <t>张明峰</t>
        </is>
      </c>
      <c r="E246" s="53" t="n"/>
      <c r="F246" s="53" t="n"/>
      <c r="G246" s="53" t="n"/>
      <c r="H246" s="81" t="inlineStr">
        <is>
          <t>历史任务日志表</t>
        </is>
      </c>
      <c r="I246" s="76" t="inlineStr">
        <is>
          <t>ILF</t>
        </is>
      </c>
      <c r="J246" s="99" t="inlineStr">
        <is>
          <t>删除</t>
        </is>
      </c>
      <c r="K246" s="108" t="inlineStr">
        <is>
          <t>数据库表未被本系统所维护</t>
        </is>
      </c>
      <c r="L246" s="83">
        <f>IF(OR(X246="估算法",X246="算法类",X246="无法识别"),"",IF(V246="",IF(OR(I246="EI",I246="EO",I246="EQ"),0,""),LEN(V246)-LEN(SUBSTITUTE(V246,"、",""))+1))</f>
        <v/>
      </c>
      <c r="M246" s="83">
        <f>IF(OR(X246="估算法",X246="算法类",X246="无法识别"),"",IF(W246="",IF(OR(I246="ILF",I246="EIF"),0,""),LEN(W246)-LEN(SUBSTITUTE(W246,"、",""))+1))</f>
        <v/>
      </c>
      <c r="N246" s="83">
        <f>IF(OR(X246="估算法",X246="算法类",X246="无法识别"),"",IF(X246="",IF(OR(I246="ILF",I246="EIF",I246="EI",I246="EO",I246="EQ"),0,""),LEN(X246)-LEN(SUBSTITUTE(SUBSTITUTE(SUBSTITUTE(SUBSTITUTE(SUBSTITUTE(X246,"|}","--"),"{|","--"),CHAR(10),""),"、",""),"|",""))+IF(AND(OR(I246="EI",I246="EO",I246="EQ"),$AD$1="NESMA"),2,1)))</f>
        <v/>
      </c>
      <c r="O246" s="84">
        <f>IF(I246="EI",IF(OR(X246="估算法",X246="算法类"),"中",IF(X246="无法识别","低",IF(L246&lt;2,IF(N246&lt;16,"低","中"),IF(L246&lt;3,IF(N246&lt;5,"低",IF(N246&lt;16,"中","高")),IF(N246&lt;5,"中","高"))))),IF(OR(I246="EO",I246="EQ"),IF(OR(X246="估算法",X246="算法类"),"中",IF(X246="无法识别","低",IF(L246&lt;2,IF(N246&lt;20,"低","中"),IF(L246&lt;4,IF(N246&lt;6,"低",IF(N246&lt;20,"中","高")),IF(N246&lt;6,"中","高"))))),IF(OR(I246="ILF",I246="EIF"),IF(OR(X246="估算法",X246="算法类",X246="无法识别"),"低",IF(M246&lt;2,IF(N246&lt;51,"低","中"),IF(M246&lt;6,IF(N246&lt;20,"低",IF(N246&lt;51,"中","高")),IF(N246&lt;20,"中","高")))),"不计算")))</f>
        <v/>
      </c>
      <c r="P246" s="142">
        <f>IFERROR(IF(I246="EI",IF(O246="低",3,IF(O246="中",4,6)),IF(I246="EO",IF(O246="低",4,IF(O246="中",5,7)),IF(I246="EQ",IF(O246="低",3,IF(O246="中",4,6)),IF(I246="ILF",IF(O246="低",7,IF(O246="中",10,15)),IF(I246="EIF",IF(O246="低",5,IF(O246="中",7,10)),"不计算")))))*Q246,"不计算")</f>
        <v/>
      </c>
      <c r="Q246" s="142" t="n">
        <v>0</v>
      </c>
      <c r="R246" s="143">
        <f>调整因子!$F$13</f>
        <v/>
      </c>
      <c r="S246" s="76" t="n">
        <v>1</v>
      </c>
      <c r="T246" s="144">
        <f>IFERROR(P246*R246,0)</f>
        <v/>
      </c>
      <c r="U246" s="144">
        <f>T246*S246</f>
        <v/>
      </c>
      <c r="V246" s="89" t="n"/>
      <c r="W246" s="88" t="inlineStr">
        <is>
          <t>历史任务日志表</t>
        </is>
      </c>
      <c r="X246" s="88" t="inlineStr">
        <is>
          <t>历史任务日志表{日志ID、任务实例ID、日志内容、记录时间}</t>
        </is>
      </c>
      <c r="Y246" s="88">
        <f>IF(COUNTIFS(V:V,"*"&amp;H246&amp;"*")&gt;0,"存在","不存在")</f>
        <v/>
      </c>
      <c r="Z246" s="88">
        <f>IF(COUNTIFS(AA:AA,"*"&amp;H246&amp;"*")&gt;0,"存在","不存在")</f>
        <v/>
      </c>
      <c r="AA246" s="96" t="inlineStr">
        <is>
          <t>模板分类表、漏洞查询接口配置表、调用统计表、接口参数配置表</t>
        </is>
      </c>
    </row>
    <row r="247" ht="10.8" customFormat="1" customHeight="1" s="63">
      <c r="A247" s="69">
        <f>ROW()-1</f>
        <v/>
      </c>
      <c r="B247" s="53" t="n"/>
      <c r="C247" s="78" t="n">
        <v>2025</v>
      </c>
      <c r="D247" s="78" t="inlineStr">
        <is>
          <t>张明峰</t>
        </is>
      </c>
      <c r="E247" s="53" t="n"/>
      <c r="F247" s="53" t="n"/>
      <c r="G247" s="53" t="n"/>
      <c r="H247" s="81" t="inlineStr">
        <is>
          <t>历史变量实例表</t>
        </is>
      </c>
      <c r="I247" s="76" t="inlineStr">
        <is>
          <t>ILF</t>
        </is>
      </c>
      <c r="J247" s="99" t="inlineStr">
        <is>
          <t>删除</t>
        </is>
      </c>
      <c r="K247" s="108" t="inlineStr">
        <is>
          <t>数据库表未被本系统所维护</t>
        </is>
      </c>
      <c r="L247" s="83">
        <f>IF(OR(X247="估算法",X247="算法类",X247="无法识别"),"",IF(V247="",IF(OR(I247="EI",I247="EO",I247="EQ"),0,""),LEN(V247)-LEN(SUBSTITUTE(V247,"、",""))+1))</f>
        <v/>
      </c>
      <c r="M247" s="83">
        <f>IF(OR(X247="估算法",X247="算法类",X247="无法识别"),"",IF(W247="",IF(OR(I247="ILF",I247="EIF"),0,""),LEN(W247)-LEN(SUBSTITUTE(W247,"、",""))+1))</f>
        <v/>
      </c>
      <c r="N247" s="83">
        <f>IF(OR(X247="估算法",X247="算法类",X247="无法识别"),"",IF(X247="",IF(OR(I247="ILF",I247="EIF",I247="EI",I247="EO",I247="EQ"),0,""),LEN(X247)-LEN(SUBSTITUTE(SUBSTITUTE(SUBSTITUTE(SUBSTITUTE(SUBSTITUTE(X247,"|}","--"),"{|","--"),CHAR(10),""),"、",""),"|",""))+IF(AND(OR(I247="EI",I247="EO",I247="EQ"),$AD$1="NESMA"),2,1)))</f>
        <v/>
      </c>
      <c r="O247" s="84">
        <f>IF(I247="EI",IF(OR(X247="估算法",X247="算法类"),"中",IF(X247="无法识别","低",IF(L247&lt;2,IF(N247&lt;16,"低","中"),IF(L247&lt;3,IF(N247&lt;5,"低",IF(N247&lt;16,"中","高")),IF(N247&lt;5,"中","高"))))),IF(OR(I247="EO",I247="EQ"),IF(OR(X247="估算法",X247="算法类"),"中",IF(X247="无法识别","低",IF(L247&lt;2,IF(N247&lt;20,"低","中"),IF(L247&lt;4,IF(N247&lt;6,"低",IF(N247&lt;20,"中","高")),IF(N247&lt;6,"中","高"))))),IF(OR(I247="ILF",I247="EIF"),IF(OR(X247="估算法",X247="算法类",X247="无法识别"),"低",IF(M247&lt;2,IF(N247&lt;51,"低","中"),IF(M247&lt;6,IF(N247&lt;20,"低",IF(N247&lt;51,"中","高")),IF(N247&lt;20,"中","高")))),"不计算")))</f>
        <v/>
      </c>
      <c r="P247" s="142">
        <f>IFERROR(IF(I247="EI",IF(O247="低",3,IF(O247="中",4,6)),IF(I247="EO",IF(O247="低",4,IF(O247="中",5,7)),IF(I247="EQ",IF(O247="低",3,IF(O247="中",4,6)),IF(I247="ILF",IF(O247="低",7,IF(O247="中",10,15)),IF(I247="EIF",IF(O247="低",5,IF(O247="中",7,10)),"不计算")))))*Q247,"不计算")</f>
        <v/>
      </c>
      <c r="Q247" s="142" t="n">
        <v>0</v>
      </c>
      <c r="R247" s="143">
        <f>调整因子!$F$13</f>
        <v/>
      </c>
      <c r="S247" s="70" t="n">
        <v>1</v>
      </c>
      <c r="T247" s="144">
        <f>IFERROR(P247*R247,0)</f>
        <v/>
      </c>
      <c r="U247" s="144">
        <f>T247*S247</f>
        <v/>
      </c>
      <c r="V247" s="89" t="n"/>
      <c r="W247" s="88" t="inlineStr">
        <is>
          <t>历史变量实例表</t>
        </is>
      </c>
      <c r="X247" s="88" t="inlineStr">
        <is>
          <t>历史变量实例表{变量ID、实例ID、变量名称、值、更新时间}</t>
        </is>
      </c>
      <c r="Y247" s="88">
        <f>IF(COUNTIFS(V:V,"*"&amp;H247&amp;"*")&gt;0,"存在","不存在")</f>
        <v/>
      </c>
      <c r="Z247" s="88">
        <f>IF(COUNTIFS(AA:AA,"*"&amp;H247&amp;"*")&gt;0,"存在","不存在")</f>
        <v/>
      </c>
      <c r="AA247" s="96" t="inlineStr">
        <is>
          <t>资产扫描覆盖表、扫描盲区记录表、扫描能力缺口表、离线扫描报告表、扫描策略模板表</t>
        </is>
      </c>
    </row>
    <row r="248" ht="10.8" customFormat="1" customHeight="1" s="63">
      <c r="A248" s="69">
        <f>ROW()-1</f>
        <v/>
      </c>
      <c r="B248" s="53" t="n"/>
      <c r="C248" s="78" t="n">
        <v>2025</v>
      </c>
      <c r="D248" s="78" t="inlineStr">
        <is>
          <t>张明峰</t>
        </is>
      </c>
      <c r="E248" s="53" t="n"/>
      <c r="F248" s="53" t="n"/>
      <c r="G248" s="53" t="n"/>
      <c r="H248" s="81" t="inlineStr">
        <is>
          <t>历史作业表</t>
        </is>
      </c>
      <c r="I248" s="76" t="inlineStr">
        <is>
          <t>ILF</t>
        </is>
      </c>
      <c r="J248" s="99" t="inlineStr">
        <is>
          <t>删除</t>
        </is>
      </c>
      <c r="K248" s="108" t="inlineStr">
        <is>
          <t>数据库表未被本系统所维护</t>
        </is>
      </c>
      <c r="L248" s="83">
        <f>IF(OR(X248="估算法",X248="算法类",X248="无法识别"),"",IF(V248="",IF(OR(I248="EI",I248="EO",I248="EQ"),0,""),LEN(V248)-LEN(SUBSTITUTE(V248,"、",""))+1))</f>
        <v/>
      </c>
      <c r="M248" s="83">
        <f>IF(OR(X248="估算法",X248="算法类",X248="无法识别"),"",IF(W248="",IF(OR(I248="ILF",I248="EIF"),0,""),LEN(W248)-LEN(SUBSTITUTE(W248,"、",""))+1))</f>
        <v/>
      </c>
      <c r="N248" s="83">
        <f>IF(OR(X248="估算法",X248="算法类",X248="无法识别"),"",IF(X248="",IF(OR(I248="ILF",I248="EIF",I248="EI",I248="EO",I248="EQ"),0,""),LEN(X248)-LEN(SUBSTITUTE(SUBSTITUTE(SUBSTITUTE(SUBSTITUTE(SUBSTITUTE(X248,"|}","--"),"{|","--"),CHAR(10),""),"、",""),"|",""))+IF(AND(OR(I248="EI",I248="EO",I248="EQ"),$AD$1="NESMA"),2,1)))</f>
        <v/>
      </c>
      <c r="O248" s="84">
        <f>IF(I248="EI",IF(OR(X248="估算法",X248="算法类"),"中",IF(X248="无法识别","低",IF(L248&lt;2,IF(N248&lt;16,"低","中"),IF(L248&lt;3,IF(N248&lt;5,"低",IF(N248&lt;16,"中","高")),IF(N248&lt;5,"中","高"))))),IF(OR(I248="EO",I248="EQ"),IF(OR(X248="估算法",X248="算法类"),"中",IF(X248="无法识别","低",IF(L248&lt;2,IF(N248&lt;20,"低","中"),IF(L248&lt;4,IF(N248&lt;6,"低",IF(N248&lt;20,"中","高")),IF(N248&lt;6,"中","高"))))),IF(OR(I248="ILF",I248="EIF"),IF(OR(X248="估算法",X248="算法类",X248="无法识别"),"低",IF(M248&lt;2,IF(N248&lt;51,"低","中"),IF(M248&lt;6,IF(N248&lt;20,"低",IF(N248&lt;51,"中","高")),IF(N248&lt;20,"中","高")))),"不计算")))</f>
        <v/>
      </c>
      <c r="P248" s="142">
        <f>IFERROR(IF(I248="EI",IF(O248="低",3,IF(O248="中",4,6)),IF(I248="EO",IF(O248="低",4,IF(O248="中",5,7)),IF(I248="EQ",IF(O248="低",3,IF(O248="中",4,6)),IF(I248="ILF",IF(O248="低",7,IF(O248="中",10,15)),IF(I248="EIF",IF(O248="低",5,IF(O248="中",7,10)),"不计算")))))*Q248,"不计算")</f>
        <v/>
      </c>
      <c r="Q248" s="142" t="n">
        <v>0</v>
      </c>
      <c r="R248" s="143">
        <f>调整因子!$F$13</f>
        <v/>
      </c>
      <c r="S248" s="70" t="n">
        <v>1</v>
      </c>
      <c r="T248" s="144">
        <f>IFERROR(P248*R248,0)</f>
        <v/>
      </c>
      <c r="U248" s="144">
        <f>T248*S248</f>
        <v/>
      </c>
      <c r="V248" s="89" t="n"/>
      <c r="W248" s="88" t="inlineStr">
        <is>
          <t>历史作业表</t>
        </is>
      </c>
      <c r="X248" s="88" t="inlineStr">
        <is>
          <t>历史作业表{作业ID、流程实例ID、作业名称、创建时间}</t>
        </is>
      </c>
      <c r="Y248" s="88">
        <f>IF(COUNTIFS(V:V,"*"&amp;H248&amp;"*")&gt;0,"存在","不存在")</f>
        <v/>
      </c>
      <c r="Z248" s="88">
        <f>IF(COUNTIFS(AA:AA,"*"&amp;H248&amp;"*")&gt;0,"存在","不存在")</f>
        <v/>
      </c>
      <c r="AA248" s="96" t="inlineStr">
        <is>
          <t>资产扫描覆盖表、扫描盲区记录表、扫描能力缺口表、离线扫描报告表</t>
        </is>
      </c>
    </row>
    <row r="249" ht="10.8" customFormat="1" customHeight="1" s="63">
      <c r="A249" s="69">
        <f>ROW()-1</f>
        <v/>
      </c>
      <c r="B249" s="53" t="n"/>
      <c r="C249" s="78" t="n">
        <v>2025</v>
      </c>
      <c r="D249" s="78" t="inlineStr">
        <is>
          <t>张明峰</t>
        </is>
      </c>
      <c r="E249" s="53" t="n"/>
      <c r="F249" s="53" t="n"/>
      <c r="G249" s="53" t="n"/>
      <c r="H249" s="81" t="inlineStr">
        <is>
          <t>流程定义信息表</t>
        </is>
      </c>
      <c r="I249" s="76" t="inlineStr">
        <is>
          <t>ILF</t>
        </is>
      </c>
      <c r="J249" s="108" t="n"/>
      <c r="K249" s="108" t="n"/>
      <c r="L249" s="83">
        <f>IF(OR(X249="估算法",X249="算法类",X249="无法识别"),"",IF(V249="",IF(OR(I249="EI",I249="EO",I249="EQ"),0,""),LEN(V249)-LEN(SUBSTITUTE(V249,"、",""))+1))</f>
        <v/>
      </c>
      <c r="M249" s="83">
        <f>IF(OR(X249="估算法",X249="算法类",X249="无法识别"),"",IF(W249="",IF(OR(I249="ILF",I249="EIF"),0,""),LEN(W249)-LEN(SUBSTITUTE(W249,"、",""))+1))</f>
        <v/>
      </c>
      <c r="N249" s="83">
        <f>IF(OR(X249="估算法",X249="算法类",X249="无法识别"),"",IF(X249="",IF(OR(I249="ILF",I249="EIF",I249="EI",I249="EO",I249="EQ"),0,""),LEN(X249)-LEN(SUBSTITUTE(SUBSTITUTE(SUBSTITUTE(SUBSTITUTE(SUBSTITUTE(X249,"|}","--"),"{|","--"),CHAR(10),""),"、",""),"|",""))+IF(AND(OR(I249="EI",I249="EO",I249="EQ"),$AD$1="NESMA"),2,1)))</f>
        <v/>
      </c>
      <c r="O249" s="84">
        <f>IF(I249="EI",IF(OR(X249="估算法",X249="算法类"),"中",IF(X249="无法识别","低",IF(L249&lt;2,IF(N249&lt;16,"低","中"),IF(L249&lt;3,IF(N249&lt;5,"低",IF(N249&lt;16,"中","高")),IF(N249&lt;5,"中","高"))))),IF(OR(I249="EO",I249="EQ"),IF(OR(X249="估算法",X249="算法类"),"中",IF(X249="无法识别","低",IF(L249&lt;2,IF(N249&lt;20,"低","中"),IF(L249&lt;4,IF(N249&lt;6,"低",IF(N249&lt;20,"中","高")),IF(N249&lt;6,"中","高"))))),IF(OR(I249="ILF",I249="EIF"),IF(OR(X249="估算法",X249="算法类",X249="无法识别"),"低",IF(M249&lt;2,IF(N249&lt;51,"低","中"),IF(M249&lt;6,IF(N249&lt;20,"低",IF(N249&lt;51,"中","高")),IF(N249&lt;20,"中","高")))),"不计算")))</f>
        <v/>
      </c>
      <c r="P249" s="142">
        <f>IFERROR(IF(I249="EI",IF(O249="低",3,IF(O249="中",4,6)),IF(I249="EO",IF(O249="低",4,IF(O249="中",5,7)),IF(I249="EQ",IF(O249="低",3,IF(O249="中",4,6)),IF(I249="ILF",IF(O249="低",7,IF(O249="中",10,15)),IF(I249="EIF",IF(O249="低",5,IF(O249="中",7,10)),"不计算")))))*Q249,"不计算")</f>
        <v/>
      </c>
      <c r="Q249" s="142" t="n">
        <v>0.333333333333333</v>
      </c>
      <c r="R249" s="143">
        <f>调整因子!$F$13</f>
        <v/>
      </c>
      <c r="S249" s="76" t="n">
        <v>1</v>
      </c>
      <c r="T249" s="144">
        <f>IFERROR(P249*R249,0)</f>
        <v/>
      </c>
      <c r="U249" s="144">
        <f>T249*S249</f>
        <v/>
      </c>
      <c r="V249" s="89" t="n"/>
      <c r="W249" s="88" t="inlineStr">
        <is>
          <t>流程定义信息表</t>
        </is>
      </c>
      <c r="X249" s="88" t="inlineStr">
        <is>
          <t>流程定义信息表{定义ID、流程名称、定义内容、创建时间}</t>
        </is>
      </c>
      <c r="Y249" s="88">
        <f>IF(COUNTIFS(V:V,"*"&amp;H249&amp;"*")&gt;0,"存在","不存在")</f>
        <v/>
      </c>
      <c r="Z249" s="88">
        <f>IF(COUNTIFS(AA:AA,"*"&amp;H249&amp;"*")&gt;0,"存在","不存在")</f>
        <v/>
      </c>
      <c r="AA249" s="96" t="inlineStr">
        <is>
          <t>资产扫描覆盖表、扫描盲区记录表、扫描能力缺口表、离线扫描报告表</t>
        </is>
      </c>
    </row>
    <row r="250" ht="10.8" customFormat="1" customHeight="1" s="63">
      <c r="A250" s="69">
        <f>ROW()-1</f>
        <v/>
      </c>
      <c r="B250" s="53" t="n"/>
      <c r="C250" s="78" t="n">
        <v>2025</v>
      </c>
      <c r="D250" s="78" t="inlineStr">
        <is>
          <t>张明峰</t>
        </is>
      </c>
      <c r="E250" s="53" t="n"/>
      <c r="F250" s="53" t="n"/>
      <c r="G250" s="53" t="n"/>
      <c r="H250" s="81" t="inlineStr">
        <is>
          <t>部署信息表</t>
        </is>
      </c>
      <c r="I250" s="76" t="inlineStr">
        <is>
          <t>ILF</t>
        </is>
      </c>
      <c r="J250" s="108" t="n"/>
      <c r="K250" s="108" t="n"/>
      <c r="L250" s="83">
        <f>IF(OR(X250="估算法",X250="算法类",X250="无法识别"),"",IF(V250="",IF(OR(I250="EI",I250="EO",I250="EQ"),0,""),LEN(V250)-LEN(SUBSTITUTE(V250,"、",""))+1))</f>
        <v/>
      </c>
      <c r="M250" s="83">
        <f>IF(OR(X250="估算法",X250="算法类",X250="无法识别"),"",IF(W250="",IF(OR(I250="ILF",I250="EIF"),0,""),LEN(W250)-LEN(SUBSTITUTE(W250,"、",""))+1))</f>
        <v/>
      </c>
      <c r="N250" s="83">
        <f>IF(OR(X250="估算法",X250="算法类",X250="无法识别"),"",IF(X250="",IF(OR(I250="ILF",I250="EIF",I250="EI",I250="EO",I250="EQ"),0,""),LEN(X250)-LEN(SUBSTITUTE(SUBSTITUTE(SUBSTITUTE(SUBSTITUTE(SUBSTITUTE(X250,"|}","--"),"{|","--"),CHAR(10),""),"、",""),"|",""))+IF(AND(OR(I250="EI",I250="EO",I250="EQ"),$AD$1="NESMA"),2,1)))</f>
        <v/>
      </c>
      <c r="O250" s="84">
        <f>IF(I250="EI",IF(OR(X250="估算法",X250="算法类"),"中",IF(X250="无法识别","低",IF(L250&lt;2,IF(N250&lt;16,"低","中"),IF(L250&lt;3,IF(N250&lt;5,"低",IF(N250&lt;16,"中","高")),IF(N250&lt;5,"中","高"))))),IF(OR(I250="EO",I250="EQ"),IF(OR(X250="估算法",X250="算法类"),"中",IF(X250="无法识别","低",IF(L250&lt;2,IF(N250&lt;20,"低","中"),IF(L250&lt;4,IF(N250&lt;6,"低",IF(N250&lt;20,"中","高")),IF(N250&lt;6,"中","高"))))),IF(OR(I250="ILF",I250="EIF"),IF(OR(X250="估算法",X250="算法类",X250="无法识别"),"低",IF(M250&lt;2,IF(N250&lt;51,"低","中"),IF(M250&lt;6,IF(N250&lt;20,"低",IF(N250&lt;51,"中","高")),IF(N250&lt;20,"中","高")))),"不计算")))</f>
        <v/>
      </c>
      <c r="P250" s="142">
        <f>IFERROR(IF(I250="EI",IF(O250="低",3,IF(O250="中",4,6)),IF(I250="EO",IF(O250="低",4,IF(O250="中",5,7)),IF(I250="EQ",IF(O250="低",3,IF(O250="中",4,6)),IF(I250="ILF",IF(O250="低",7,IF(O250="中",10,15)),IF(I250="EIF",IF(O250="低",5,IF(O250="中",7,10)),"不计算")))))*Q250,"不计算")</f>
        <v/>
      </c>
      <c r="Q250" s="142" t="n">
        <v>0.333333333333333</v>
      </c>
      <c r="R250" s="143">
        <f>调整因子!$F$13</f>
        <v/>
      </c>
      <c r="S250" s="70" t="n">
        <v>1</v>
      </c>
      <c r="T250" s="144">
        <f>IFERROR(P250*R250,0)</f>
        <v/>
      </c>
      <c r="U250" s="144">
        <f>T250*S250</f>
        <v/>
      </c>
      <c r="V250" s="89" t="n"/>
      <c r="W250" s="88" t="inlineStr">
        <is>
          <t>部署信息表</t>
        </is>
      </c>
      <c r="X250" s="88" t="inlineStr">
        <is>
          <t>部署信息表{部署ID、流程定义ID、部署时间、部署者}</t>
        </is>
      </c>
      <c r="Y250" s="88">
        <f>IF(COUNTIFS(V:V,"*"&amp;H250&amp;"*")&gt;0,"存在","不存在")</f>
        <v/>
      </c>
      <c r="Z250" s="88">
        <f>IF(COUNTIFS(AA:AA,"*"&amp;H250&amp;"*")&gt;0,"存在","不存在")</f>
        <v/>
      </c>
      <c r="AA250" s="96" t="inlineStr">
        <is>
          <t>故障诊断结果表、态势数据采集表、复测任务表、模板配置表、数据清洗任务表</t>
        </is>
      </c>
    </row>
    <row r="251" ht="10.8" customFormat="1" customHeight="1" s="63">
      <c r="A251" s="69">
        <f>ROW()-1</f>
        <v/>
      </c>
      <c r="B251" s="53" t="n"/>
      <c r="C251" s="78" t="n">
        <v>2025</v>
      </c>
      <c r="D251" s="78" t="inlineStr">
        <is>
          <t>张明峰</t>
        </is>
      </c>
      <c r="E251" s="53" t="n"/>
      <c r="F251" s="53" t="n"/>
      <c r="G251" s="53" t="n"/>
      <c r="H251" s="81" t="inlineStr">
        <is>
          <t>模型信息表</t>
        </is>
      </c>
      <c r="I251" s="76" t="inlineStr">
        <is>
          <t>ILF</t>
        </is>
      </c>
      <c r="J251" s="108" t="n"/>
      <c r="K251" s="108" t="n"/>
      <c r="L251" s="83">
        <f>IF(OR(X251="估算法",X251="算法类",X251="无法识别"),"",IF(V251="",IF(OR(I251="EI",I251="EO",I251="EQ"),0,""),LEN(V251)-LEN(SUBSTITUTE(V251,"、",""))+1))</f>
        <v/>
      </c>
      <c r="M251" s="83">
        <f>IF(OR(X251="估算法",X251="算法类",X251="无法识别"),"",IF(W251="",IF(OR(I251="ILF",I251="EIF"),0,""),LEN(W251)-LEN(SUBSTITUTE(W251,"、",""))+1))</f>
        <v/>
      </c>
      <c r="N251" s="83">
        <f>IF(OR(X251="估算法",X251="算法类",X251="无法识别"),"",IF(X251="",IF(OR(I251="ILF",I251="EIF",I251="EI",I251="EO",I251="EQ"),0,""),LEN(X251)-LEN(SUBSTITUTE(SUBSTITUTE(SUBSTITUTE(SUBSTITUTE(SUBSTITUTE(X251,"|}","--"),"{|","--"),CHAR(10),""),"、",""),"|",""))+IF(AND(OR(I251="EI",I251="EO",I251="EQ"),$AD$1="NESMA"),2,1)))</f>
        <v/>
      </c>
      <c r="O251" s="84">
        <f>IF(I251="EI",IF(OR(X251="估算法",X251="算法类"),"中",IF(X251="无法识别","低",IF(L251&lt;2,IF(N251&lt;16,"低","中"),IF(L251&lt;3,IF(N251&lt;5,"低",IF(N251&lt;16,"中","高")),IF(N251&lt;5,"中","高"))))),IF(OR(I251="EO",I251="EQ"),IF(OR(X251="估算法",X251="算法类"),"中",IF(X251="无法识别","低",IF(L251&lt;2,IF(N251&lt;20,"低","中"),IF(L251&lt;4,IF(N251&lt;6,"低",IF(N251&lt;20,"中","高")),IF(N251&lt;6,"中","高"))))),IF(OR(I251="ILF",I251="EIF"),IF(OR(X251="估算法",X251="算法类",X251="无法识别"),"低",IF(M251&lt;2,IF(N251&lt;51,"低","中"),IF(M251&lt;6,IF(N251&lt;20,"低",IF(N251&lt;51,"中","高")),IF(N251&lt;20,"中","高")))),"不计算")))</f>
        <v/>
      </c>
      <c r="P251" s="142">
        <f>IFERROR(IF(I251="EI",IF(O251="低",3,IF(O251="中",4,6)),IF(I251="EO",IF(O251="低",4,IF(O251="中",5,7)),IF(I251="EQ",IF(O251="低",3,IF(O251="中",4,6)),IF(I251="ILF",IF(O251="低",7,IF(O251="中",10,15)),IF(I251="EIF",IF(O251="低",5,IF(O251="中",7,10)),"不计算")))))*Q251,"不计算")</f>
        <v/>
      </c>
      <c r="Q251" s="142" t="n">
        <v>0.333333333333333</v>
      </c>
      <c r="R251" s="143">
        <f>调整因子!$F$13</f>
        <v/>
      </c>
      <c r="S251" s="70" t="n">
        <v>1</v>
      </c>
      <c r="T251" s="144">
        <f>IFERROR(P251*R251,0)</f>
        <v/>
      </c>
      <c r="U251" s="144">
        <f>T251*S251</f>
        <v/>
      </c>
      <c r="V251" s="89" t="n"/>
      <c r="W251" s="88" t="inlineStr">
        <is>
          <t>模型信息表</t>
        </is>
      </c>
      <c r="X251" s="88" t="inlineStr">
        <is>
          <t>模型信息表{模型ID、模型名称、内容、创建时间}</t>
        </is>
      </c>
      <c r="Y251" s="88">
        <f>IF(COUNTIFS(V:V,"*"&amp;H251&amp;"*")&gt;0,"存在","不存在")</f>
        <v/>
      </c>
      <c r="Z251" s="88">
        <f>IF(COUNTIFS(AA:AA,"*"&amp;H251&amp;"*")&gt;0,"存在","不存在")</f>
        <v/>
      </c>
      <c r="AA251" s="96" t="inlineStr">
        <is>
          <t>分布分析表、日志查询记录表、模板配置表、处置单关联表</t>
        </is>
      </c>
    </row>
    <row r="252" ht="10.8" customFormat="1" customHeight="1" s="63">
      <c r="A252" s="69">
        <f>ROW()-1</f>
        <v/>
      </c>
      <c r="B252" s="53" t="n"/>
      <c r="C252" s="78" t="n">
        <v>2025</v>
      </c>
      <c r="D252" s="78" t="inlineStr">
        <is>
          <t>张明峰</t>
        </is>
      </c>
      <c r="E252" s="53" t="n"/>
      <c r="F252" s="53" t="n"/>
      <c r="G252" s="53" t="n"/>
      <c r="H252" s="81" t="inlineStr">
        <is>
          <t>流程定义表</t>
        </is>
      </c>
      <c r="I252" s="76" t="inlineStr">
        <is>
          <t>ILF</t>
        </is>
      </c>
      <c r="J252" s="108" t="n"/>
      <c r="K252" s="108" t="n"/>
      <c r="L252" s="83">
        <f>IF(OR(X252="估算法",X252="算法类",X252="无法识别"),"",IF(V252="",IF(OR(I252="EI",I252="EO",I252="EQ"),0,""),LEN(V252)-LEN(SUBSTITUTE(V252,"、",""))+1))</f>
        <v/>
      </c>
      <c r="M252" s="83">
        <f>IF(OR(X252="估算法",X252="算法类",X252="无法识别"),"",IF(W252="",IF(OR(I252="ILF",I252="EIF"),0,""),LEN(W252)-LEN(SUBSTITUTE(W252,"、",""))+1))</f>
        <v/>
      </c>
      <c r="N252" s="83">
        <f>IF(OR(X252="估算法",X252="算法类",X252="无法识别"),"",IF(X252="",IF(OR(I252="ILF",I252="EIF",I252="EI",I252="EO",I252="EQ"),0,""),LEN(X252)-LEN(SUBSTITUTE(SUBSTITUTE(SUBSTITUTE(SUBSTITUTE(SUBSTITUTE(X252,"|}","--"),"{|","--"),CHAR(10),""),"、",""),"|",""))+IF(AND(OR(I252="EI",I252="EO",I252="EQ"),$AD$1="NESMA"),2,1)))</f>
        <v/>
      </c>
      <c r="O252" s="84">
        <f>IF(I252="EI",IF(OR(X252="估算法",X252="算法类"),"中",IF(X252="无法识别","低",IF(L252&lt;2,IF(N252&lt;16,"低","中"),IF(L252&lt;3,IF(N252&lt;5,"低",IF(N252&lt;16,"中","高")),IF(N252&lt;5,"中","高"))))),IF(OR(I252="EO",I252="EQ"),IF(OR(X252="估算法",X252="算法类"),"中",IF(X252="无法识别","低",IF(L252&lt;2,IF(N252&lt;20,"低","中"),IF(L252&lt;4,IF(N252&lt;6,"低",IF(N252&lt;20,"中","高")),IF(N252&lt;6,"中","高"))))),IF(OR(I252="ILF",I252="EIF"),IF(OR(X252="估算法",X252="算法类",X252="无法识别"),"低",IF(M252&lt;2,IF(N252&lt;51,"低","中"),IF(M252&lt;6,IF(N252&lt;20,"低",IF(N252&lt;51,"中","高")),IF(N252&lt;20,"中","高")))),"不计算")))</f>
        <v/>
      </c>
      <c r="P252" s="142">
        <f>IFERROR(IF(I252="EI",IF(O252="低",3,IF(O252="中",4,6)),IF(I252="EO",IF(O252="低",4,IF(O252="中",5,7)),IF(I252="EQ",IF(O252="低",3,IF(O252="中",4,6)),IF(I252="ILF",IF(O252="低",7,IF(O252="中",10,15)),IF(I252="EIF",IF(O252="低",5,IF(O252="中",7,10)),"不计算")))))*Q252,"不计算")</f>
        <v/>
      </c>
      <c r="Q252" s="142" t="n">
        <v>0.333333333333333</v>
      </c>
      <c r="R252" s="143">
        <f>调整因子!$F$13</f>
        <v/>
      </c>
      <c r="S252" s="76" t="n">
        <v>1</v>
      </c>
      <c r="T252" s="144">
        <f>IFERROR(P252*R252,0)</f>
        <v/>
      </c>
      <c r="U252" s="144">
        <f>T252*S252</f>
        <v/>
      </c>
      <c r="V252" s="89" t="n"/>
      <c r="W252" s="88" t="inlineStr">
        <is>
          <t>流程定义表</t>
        </is>
      </c>
      <c r="X252" s="88" t="inlineStr">
        <is>
          <t>流程定义表{定义ID、流程名称、定义内容、创建时间}</t>
        </is>
      </c>
      <c r="Y252" s="88">
        <f>IF(COUNTIFS(V:V,"*"&amp;H252&amp;"*")&gt;0,"存在","不存在")</f>
        <v/>
      </c>
      <c r="Z252" s="88">
        <f>IF(COUNTIFS(AA:AA,"*"&amp;H252&amp;"*")&gt;0,"存在","不存在")</f>
        <v/>
      </c>
      <c r="AA252" s="96" t="inlineStr">
        <is>
          <t>修复步骤表、接口监控配置表、任务趋势分析表、修复步骤表</t>
        </is>
      </c>
    </row>
    <row r="253" ht="10.8" customFormat="1" customHeight="1" s="63">
      <c r="A253" s="69">
        <f>ROW()-1</f>
        <v/>
      </c>
      <c r="B253" s="53" t="n"/>
      <c r="C253" s="78" t="n">
        <v>2025</v>
      </c>
      <c r="D253" s="78" t="inlineStr">
        <is>
          <t>张明峰</t>
        </is>
      </c>
      <c r="E253" s="53" t="n"/>
      <c r="F253" s="53" t="n"/>
      <c r="G253" s="53" t="n"/>
      <c r="H253" s="81" t="inlineStr">
        <is>
          <t>运行时活动实例表</t>
        </is>
      </c>
      <c r="I253" s="76" t="n"/>
      <c r="J253" s="108" t="inlineStr">
        <is>
          <t>删除</t>
        </is>
      </c>
      <c r="K253" s="108" t="inlineStr">
        <is>
          <t>非ILF - 运行时状态</t>
        </is>
      </c>
      <c r="L253" s="83">
        <f>IF(OR(X253="估算法",X253="算法类",X253="无法识别"),"",IF(V253="",IF(OR(I253="EI",I253="EO",I253="EQ"),0,""),LEN(V253)-LEN(SUBSTITUTE(V253,"、",""))+1))</f>
        <v/>
      </c>
      <c r="M253" s="83">
        <f>IF(OR(X253="估算法",X253="算法类",X253="无法识别"),"",IF(W253="",IF(OR(I253="ILF",I253="EIF"),0,""),LEN(W253)-LEN(SUBSTITUTE(W253,"、",""))+1))</f>
        <v/>
      </c>
      <c r="N253" s="83">
        <f>IF(OR(X253="估算法",X253="算法类",X253="无法识别"),"",IF(X253="",IF(OR(I253="ILF",I253="EIF",I253="EI",I253="EO",I253="EQ"),0,""),LEN(X253)-LEN(SUBSTITUTE(SUBSTITUTE(SUBSTITUTE(SUBSTITUTE(SUBSTITUTE(X253,"|}","--"),"{|","--"),CHAR(10),""),"、",""),"|",""))+IF(AND(OR(I253="EI",I253="EO",I253="EQ"),$AD$1="NESMA"),2,1)))</f>
        <v/>
      </c>
      <c r="O253" s="84">
        <f>IF(I253="EI",IF(OR(X253="估算法",X253="算法类"),"中",IF(X253="无法识别","低",IF(L253&lt;2,IF(N253&lt;16,"低","中"),IF(L253&lt;3,IF(N253&lt;5,"低",IF(N253&lt;16,"中","高")),IF(N253&lt;5,"中","高"))))),IF(OR(I253="EO",I253="EQ"),IF(OR(X253="估算法",X253="算法类"),"中",IF(X253="无法识别","低",IF(L253&lt;2,IF(N253&lt;20,"低","中"),IF(L253&lt;4,IF(N253&lt;6,"低",IF(N253&lt;20,"中","高")),IF(N253&lt;6,"中","高"))))),IF(OR(I253="ILF",I253="EIF"),IF(OR(X253="估算法",X253="算法类",X253="无法识别"),"低",IF(M253&lt;2,IF(N253&lt;51,"低","中"),IF(M253&lt;6,IF(N253&lt;20,"低",IF(N253&lt;51,"中","高")),IF(N253&lt;20,"中","高")))),"不计算")))</f>
        <v/>
      </c>
      <c r="P253" s="142">
        <f>IFERROR(IF(I253="EI",IF(O253="低",3,IF(O253="中",4,6)),IF(I253="EO",IF(O253="低",4,IF(O253="中",5,7)),IF(I253="EQ",IF(O253="低",3,IF(O253="中",4,6)),IF(I253="ILF",IF(O253="低",7,IF(O253="中",10,15)),IF(I253="EIF",IF(O253="低",5,IF(O253="中",7,10)),"不计算")))))*Q253,"不计算")</f>
        <v/>
      </c>
      <c r="Q253" s="142" t="n">
        <v>1</v>
      </c>
      <c r="R253" s="143">
        <f>调整因子!$F$13</f>
        <v/>
      </c>
      <c r="S253" s="70" t="n">
        <v>1</v>
      </c>
      <c r="T253" s="144">
        <f>IFERROR(P253*R253,0)</f>
        <v/>
      </c>
      <c r="U253" s="144">
        <f>T253*S253</f>
        <v/>
      </c>
      <c r="V253" s="89" t="n"/>
      <c r="W253" s="88" t="inlineStr">
        <is>
          <t>运行时活动实例表</t>
        </is>
      </c>
      <c r="X253" s="88" t="inlineStr">
        <is>
          <t>运行时活动实例表{实例ID、流程实例ID、活动名称、开始时间、结束时间}</t>
        </is>
      </c>
      <c r="Y253" s="88">
        <f>IF(COUNTIFS(V:V,"*"&amp;H253&amp;"*")&gt;0,"存在","不存在")</f>
        <v/>
      </c>
      <c r="Z253" s="88">
        <f>IF(COUNTIFS(AA:AA,"*"&amp;H253&amp;"*")&gt;0,"存在","不存在")</f>
        <v/>
      </c>
      <c r="AA253" s="96" t="inlineStr">
        <is>
          <t>脱敏规则表、处置单配置表、推送日志表、漏洞处置推送接口配置表、加密规则表</t>
        </is>
      </c>
    </row>
    <row r="254" ht="10.8" customFormat="1" customHeight="1" s="63">
      <c r="A254" s="69">
        <f>ROW()-1</f>
        <v/>
      </c>
      <c r="B254" s="53" t="n"/>
      <c r="C254" s="78" t="n">
        <v>2025</v>
      </c>
      <c r="D254" s="78" t="inlineStr">
        <is>
          <t>张明峰</t>
        </is>
      </c>
      <c r="E254" s="53" t="n"/>
      <c r="F254" s="53" t="n"/>
      <c r="G254" s="53" t="n"/>
      <c r="H254" s="81" t="inlineStr">
        <is>
          <t>死信作业表</t>
        </is>
      </c>
      <c r="I254" s="76" t="n"/>
      <c r="J254" s="108" t="inlineStr">
        <is>
          <t>删除</t>
        </is>
      </c>
      <c r="K254" s="108" t="inlineStr">
        <is>
          <t xml:space="preserve">非ILF </t>
        </is>
      </c>
      <c r="L254" s="83">
        <f>IF(OR(X254="估算法",X254="算法类",X254="无法识别"),"",IF(V254="",IF(OR(I254="EI",I254="EO",I254="EQ"),0,""),LEN(V254)-LEN(SUBSTITUTE(V254,"、",""))+1))</f>
        <v/>
      </c>
      <c r="M254" s="83">
        <f>IF(OR(X254="估算法",X254="算法类",X254="无法识别"),"",IF(W254="",IF(OR(I254="ILF",I254="EIF"),0,""),LEN(W254)-LEN(SUBSTITUTE(W254,"、",""))+1))</f>
        <v/>
      </c>
      <c r="N254" s="83">
        <f>IF(OR(X254="估算法",X254="算法类",X254="无法识别"),"",IF(X254="",IF(OR(I254="ILF",I254="EIF",I254="EI",I254="EO",I254="EQ"),0,""),LEN(X254)-LEN(SUBSTITUTE(SUBSTITUTE(SUBSTITUTE(SUBSTITUTE(SUBSTITUTE(X254,"|}","--"),"{|","--"),CHAR(10),""),"、",""),"|",""))+IF(AND(OR(I254="EI",I254="EO",I254="EQ"),$AD$1="NESMA"),2,1)))</f>
        <v/>
      </c>
      <c r="O254" s="84">
        <f>IF(I254="EI",IF(OR(X254="估算法",X254="算法类"),"中",IF(X254="无法识别","低",IF(L254&lt;2,IF(N254&lt;16,"低","中"),IF(L254&lt;3,IF(N254&lt;5,"低",IF(N254&lt;16,"中","高")),IF(N254&lt;5,"中","高"))))),IF(OR(I254="EO",I254="EQ"),IF(OR(X254="估算法",X254="算法类"),"中",IF(X254="无法识别","低",IF(L254&lt;2,IF(N254&lt;20,"低","中"),IF(L254&lt;4,IF(N254&lt;6,"低",IF(N254&lt;20,"中","高")),IF(N254&lt;6,"中","高"))))),IF(OR(I254="ILF",I254="EIF"),IF(OR(X254="估算法",X254="算法类",X254="无法识别"),"低",IF(M254&lt;2,IF(N254&lt;51,"低","中"),IF(M254&lt;6,IF(N254&lt;20,"低",IF(N254&lt;51,"中","高")),IF(N254&lt;20,"中","高")))),"不计算")))</f>
        <v/>
      </c>
      <c r="P254" s="142">
        <f>IFERROR(IF(I254="EI",IF(O254="低",3,IF(O254="中",4,6)),IF(I254="EO",IF(O254="低",4,IF(O254="中",5,7)),IF(I254="EQ",IF(O254="低",3,IF(O254="中",4,6)),IF(I254="ILF",IF(O254="低",7,IF(O254="中",10,15)),IF(I254="EIF",IF(O254="低",5,IF(O254="中",7,10)),"不计算")))))*Q254,"不计算")</f>
        <v/>
      </c>
      <c r="Q254" s="142" t="n">
        <v>1</v>
      </c>
      <c r="R254" s="143">
        <f>调整因子!$F$13</f>
        <v/>
      </c>
      <c r="S254" s="70" t="n">
        <v>1</v>
      </c>
      <c r="T254" s="144">
        <f>IFERROR(P254*R254,0)</f>
        <v/>
      </c>
      <c r="U254" s="144">
        <f>T254*S254</f>
        <v/>
      </c>
      <c r="V254" s="89" t="n"/>
      <c r="W254" s="88" t="inlineStr">
        <is>
          <t>死信作业表</t>
        </is>
      </c>
      <c r="X254" s="88" t="inlineStr">
        <is>
          <t>死信作业表{作业ID、流程实例ID、作业名称、创建时间}</t>
        </is>
      </c>
      <c r="Y254" s="88">
        <f>IF(COUNTIFS(V:V,"*"&amp;H254&amp;"*")&gt;0,"存在","不存在")</f>
        <v/>
      </c>
      <c r="Z254" s="88">
        <f>IF(COUNTIFS(AA:AA,"*"&amp;H254&amp;"*")&gt;0,"存在","不存在")</f>
        <v/>
      </c>
      <c r="AA254" s="96" t="inlineStr">
        <is>
          <t>任务优先级配置表、模板参数配置表、处置单配置表、验证配置表</t>
        </is>
      </c>
    </row>
    <row r="255" ht="10.8" customFormat="1" customHeight="1" s="63">
      <c r="A255" s="69">
        <f>ROW()-1</f>
        <v/>
      </c>
      <c r="B255" s="53" t="n"/>
      <c r="C255" s="78" t="n">
        <v>2025</v>
      </c>
      <c r="D255" s="78" t="inlineStr">
        <is>
          <t>张明峰</t>
        </is>
      </c>
      <c r="E255" s="53" t="n"/>
      <c r="F255" s="53" t="n"/>
      <c r="G255" s="53" t="n"/>
      <c r="H255" s="81" t="inlineStr">
        <is>
          <t>运行时实体链接表</t>
        </is>
      </c>
      <c r="I255" s="76" t="n"/>
      <c r="J255" s="108" t="inlineStr">
        <is>
          <t>删除</t>
        </is>
      </c>
      <c r="K255" s="108" t="inlineStr">
        <is>
          <t>非ILF - 关联</t>
        </is>
      </c>
      <c r="L255" s="83">
        <f>IF(OR(X255="估算法",X255="算法类",X255="无法识别"),"",IF(V255="",IF(OR(I255="EI",I255="EO",I255="EQ"),0,""),LEN(V255)-LEN(SUBSTITUTE(V255,"、",""))+1))</f>
        <v/>
      </c>
      <c r="M255" s="83">
        <f>IF(OR(X255="估算法",X255="算法类",X255="无法识别"),"",IF(W255="",IF(OR(I255="ILF",I255="EIF"),0,""),LEN(W255)-LEN(SUBSTITUTE(W255,"、",""))+1))</f>
        <v/>
      </c>
      <c r="N255" s="83">
        <f>IF(OR(X255="估算法",X255="算法类",X255="无法识别"),"",IF(X255="",IF(OR(I255="ILF",I255="EIF",I255="EI",I255="EO",I255="EQ"),0,""),LEN(X255)-LEN(SUBSTITUTE(SUBSTITUTE(SUBSTITUTE(SUBSTITUTE(SUBSTITUTE(X255,"|}","--"),"{|","--"),CHAR(10),""),"、",""),"|",""))+IF(AND(OR(I255="EI",I255="EO",I255="EQ"),$AD$1="NESMA"),2,1)))</f>
        <v/>
      </c>
      <c r="O255" s="84">
        <f>IF(I255="EI",IF(OR(X255="估算法",X255="算法类"),"中",IF(X255="无法识别","低",IF(L255&lt;2,IF(N255&lt;16,"低","中"),IF(L255&lt;3,IF(N255&lt;5,"低",IF(N255&lt;16,"中","高")),IF(N255&lt;5,"中","高"))))),IF(OR(I255="EO",I255="EQ"),IF(OR(X255="估算法",X255="算法类"),"中",IF(X255="无法识别","低",IF(L255&lt;2,IF(N255&lt;20,"低","中"),IF(L255&lt;4,IF(N255&lt;6,"低",IF(N255&lt;20,"中","高")),IF(N255&lt;6,"中","高"))))),IF(OR(I255="ILF",I255="EIF"),IF(OR(X255="估算法",X255="算法类",X255="无法识别"),"低",IF(M255&lt;2,IF(N255&lt;51,"低","中"),IF(M255&lt;6,IF(N255&lt;20,"低",IF(N255&lt;51,"中","高")),IF(N255&lt;20,"中","高")))),"不计算")))</f>
        <v/>
      </c>
      <c r="P255" s="142">
        <f>IFERROR(IF(I255="EI",IF(O255="低",3,IF(O255="中",4,6)),IF(I255="EO",IF(O255="低",4,IF(O255="中",5,7)),IF(I255="EQ",IF(O255="低",3,IF(O255="中",4,6)),IF(I255="ILF",IF(O255="低",7,IF(O255="中",10,15)),IF(I255="EIF",IF(O255="低",5,IF(O255="中",7,10)),"不计算")))))*Q255,"不计算")</f>
        <v/>
      </c>
      <c r="Q255" s="142" t="n">
        <v>1</v>
      </c>
      <c r="R255" s="143">
        <f>调整因子!$F$13</f>
        <v/>
      </c>
      <c r="S255" s="76" t="n">
        <v>1</v>
      </c>
      <c r="T255" s="144">
        <f>IFERROR(P255*R255,0)</f>
        <v/>
      </c>
      <c r="U255" s="144">
        <f>T255*S255</f>
        <v/>
      </c>
      <c r="V255" s="89" t="n"/>
      <c r="W255" s="88" t="inlineStr">
        <is>
          <t>运行时实体链接表</t>
        </is>
      </c>
      <c r="X255" s="88" t="inlineStr">
        <is>
          <t>运行时实体链接表{链接ID、实例ID、实体类型、实体ID、链接时间}</t>
        </is>
      </c>
      <c r="Y255" s="88">
        <f>IF(COUNTIFS(V:V,"*"&amp;H255&amp;"*")&gt;0,"存在","不存在")</f>
        <v/>
      </c>
      <c r="Z255" s="88">
        <f>IF(COUNTIFS(AA:AA,"*"&amp;H255&amp;"*")&gt;0,"存在","不存在")</f>
        <v/>
      </c>
      <c r="AA255" s="96" t="inlineStr">
        <is>
          <t>资产扫描覆盖表、扫描盲区记录表、扫描能力缺口表</t>
        </is>
      </c>
    </row>
    <row r="256" ht="10.8" customFormat="1" customHeight="1" s="63">
      <c r="A256" s="69">
        <f>ROW()-1</f>
        <v/>
      </c>
      <c r="B256" s="53" t="n"/>
      <c r="C256" s="78" t="n">
        <v>2025</v>
      </c>
      <c r="D256" s="78" t="inlineStr">
        <is>
          <t>张明峰</t>
        </is>
      </c>
      <c r="E256" s="53" t="n"/>
      <c r="F256" s="53" t="n"/>
      <c r="G256" s="53" t="n"/>
      <c r="H256" s="81" t="inlineStr">
        <is>
          <t>运行时事件订阅表</t>
        </is>
      </c>
      <c r="I256" s="76" t="n"/>
      <c r="J256" s="108" t="inlineStr">
        <is>
          <t>删除</t>
        </is>
      </c>
      <c r="K256" s="108" t="inlineStr">
        <is>
          <t>非ILF - 关联</t>
        </is>
      </c>
      <c r="L256" s="83">
        <f>IF(OR(X256="估算法",X256="算法类",X256="无法识别"),"",IF(V256="",IF(OR(I256="EI",I256="EO",I256="EQ"),0,""),LEN(V256)-LEN(SUBSTITUTE(V256,"、",""))+1))</f>
        <v/>
      </c>
      <c r="M256" s="83">
        <f>IF(OR(X256="估算法",X256="算法类",X256="无法识别"),"",IF(W256="",IF(OR(I256="ILF",I256="EIF"),0,""),LEN(W256)-LEN(SUBSTITUTE(W256,"、",""))+1))</f>
        <v/>
      </c>
      <c r="N256" s="83">
        <f>IF(OR(X256="估算法",X256="算法类",X256="无法识别"),"",IF(X256="",IF(OR(I256="ILF",I256="EIF",I256="EI",I256="EO",I256="EQ"),0,""),LEN(X256)-LEN(SUBSTITUTE(SUBSTITUTE(SUBSTITUTE(SUBSTITUTE(SUBSTITUTE(X256,"|}","--"),"{|","--"),CHAR(10),""),"、",""),"|",""))+IF(AND(OR(I256="EI",I256="EO",I256="EQ"),$AD$1="NESMA"),2,1)))</f>
        <v/>
      </c>
      <c r="O256" s="84">
        <f>IF(I256="EI",IF(OR(X256="估算法",X256="算法类"),"中",IF(X256="无法识别","低",IF(L256&lt;2,IF(N256&lt;16,"低","中"),IF(L256&lt;3,IF(N256&lt;5,"低",IF(N256&lt;16,"中","高")),IF(N256&lt;5,"中","高"))))),IF(OR(I256="EO",I256="EQ"),IF(OR(X256="估算法",X256="算法类"),"中",IF(X256="无法识别","低",IF(L256&lt;2,IF(N256&lt;20,"低","中"),IF(L256&lt;4,IF(N256&lt;6,"低",IF(N256&lt;20,"中","高")),IF(N256&lt;6,"中","高"))))),IF(OR(I256="ILF",I256="EIF"),IF(OR(X256="估算法",X256="算法类",X256="无法识别"),"低",IF(M256&lt;2,IF(N256&lt;51,"低","中"),IF(M256&lt;6,IF(N256&lt;20,"低",IF(N256&lt;51,"中","高")),IF(N256&lt;20,"中","高")))),"不计算")))</f>
        <v/>
      </c>
      <c r="P256" s="142">
        <f>IFERROR(IF(I256="EI",IF(O256="低",3,IF(O256="中",4,6)),IF(I256="EO",IF(O256="低",4,IF(O256="中",5,7)),IF(I256="EQ",IF(O256="低",3,IF(O256="中",4,6)),IF(I256="ILF",IF(O256="低",7,IF(O256="中",10,15)),IF(I256="EIF",IF(O256="低",5,IF(O256="中",7,10)),"不计算")))))*Q256,"不计算")</f>
        <v/>
      </c>
      <c r="Q256" s="142" t="n">
        <v>1</v>
      </c>
      <c r="R256" s="143">
        <f>调整因子!$F$13</f>
        <v/>
      </c>
      <c r="S256" s="70" t="n">
        <v>1</v>
      </c>
      <c r="T256" s="144">
        <f>IFERROR(P256*R256,0)</f>
        <v/>
      </c>
      <c r="U256" s="144">
        <f>T256*S256</f>
        <v/>
      </c>
      <c r="V256" s="89" t="n"/>
      <c r="W256" s="88" t="inlineStr">
        <is>
          <t>运行时事件订阅表</t>
        </is>
      </c>
      <c r="X256" s="88" t="inlineStr">
        <is>
          <t>运行时事件订阅表{订阅ID、事件名称、处理程序、创建时间}</t>
        </is>
      </c>
      <c r="Y256" s="88">
        <f>IF(COUNTIFS(V:V,"*"&amp;H256&amp;"*")&gt;0,"存在","不存在")</f>
        <v/>
      </c>
      <c r="Z256" s="88">
        <f>IF(COUNTIFS(AA:AA,"*"&amp;H256&amp;"*")&gt;0,"存在","不存在")</f>
        <v/>
      </c>
      <c r="AA256" s="96" t="inlineStr">
        <is>
          <t>资产扫描覆盖表、扫描盲区记录表、扫描能力缺口表、离线扫描报告表、任务优先级配置表</t>
        </is>
      </c>
    </row>
    <row r="257" ht="10.8" customFormat="1" customHeight="1" s="63">
      <c r="A257" s="69">
        <f>ROW()-1</f>
        <v/>
      </c>
      <c r="B257" s="53" t="n"/>
      <c r="C257" s="78" t="n">
        <v>2025</v>
      </c>
      <c r="D257" s="78" t="inlineStr">
        <is>
          <t>张明峰</t>
        </is>
      </c>
      <c r="E257" s="53" t="n"/>
      <c r="F257" s="53" t="n"/>
      <c r="G257" s="53" t="n"/>
      <c r="H257" s="81" t="inlineStr">
        <is>
          <t>运行时执行实例表</t>
        </is>
      </c>
      <c r="I257" s="76" t="n"/>
      <c r="J257" s="108" t="inlineStr">
        <is>
          <t>删除</t>
        </is>
      </c>
      <c r="K257" s="108" t="inlineStr">
        <is>
          <t>非ILF - 运行时状态</t>
        </is>
      </c>
      <c r="L257" s="83">
        <f>IF(OR(X257="估算法",X257="算法类",X257="无法识别"),"",IF(V257="",IF(OR(I257="EI",I257="EO",I257="EQ"),0,""),LEN(V257)-LEN(SUBSTITUTE(V257,"、",""))+1))</f>
        <v/>
      </c>
      <c r="M257" s="83">
        <f>IF(OR(X257="估算法",X257="算法类",X257="无法识别"),"",IF(W257="",IF(OR(I257="ILF",I257="EIF"),0,""),LEN(W257)-LEN(SUBSTITUTE(W257,"、",""))+1))</f>
        <v/>
      </c>
      <c r="N257" s="83">
        <f>IF(OR(X257="估算法",X257="算法类",X257="无法识别"),"",IF(X257="",IF(OR(I257="ILF",I257="EIF",I257="EI",I257="EO",I257="EQ"),0,""),LEN(X257)-LEN(SUBSTITUTE(SUBSTITUTE(SUBSTITUTE(SUBSTITUTE(SUBSTITUTE(X257,"|}","--"),"{|","--"),CHAR(10),""),"、",""),"|",""))+IF(AND(OR(I257="EI",I257="EO",I257="EQ"),$AD$1="NESMA"),2,1)))</f>
        <v/>
      </c>
      <c r="O257" s="84">
        <f>IF(I257="EI",IF(OR(X257="估算法",X257="算法类"),"中",IF(X257="无法识别","低",IF(L257&lt;2,IF(N257&lt;16,"低","中"),IF(L257&lt;3,IF(N257&lt;5,"低",IF(N257&lt;16,"中","高")),IF(N257&lt;5,"中","高"))))),IF(OR(I257="EO",I257="EQ"),IF(OR(X257="估算法",X257="算法类"),"中",IF(X257="无法识别","低",IF(L257&lt;2,IF(N257&lt;20,"低","中"),IF(L257&lt;4,IF(N257&lt;6,"低",IF(N257&lt;20,"中","高")),IF(N257&lt;6,"中","高"))))),IF(OR(I257="ILF",I257="EIF"),IF(OR(X257="估算法",X257="算法类",X257="无法识别"),"低",IF(M257&lt;2,IF(N257&lt;51,"低","中"),IF(M257&lt;6,IF(N257&lt;20,"低",IF(N257&lt;51,"中","高")),IF(N257&lt;20,"中","高")))),"不计算")))</f>
        <v/>
      </c>
      <c r="P257" s="142">
        <f>IFERROR(IF(I257="EI",IF(O257="低",3,IF(O257="中",4,6)),IF(I257="EO",IF(O257="低",4,IF(O257="中",5,7)),IF(I257="EQ",IF(O257="低",3,IF(O257="中",4,6)),IF(I257="ILF",IF(O257="低",7,IF(O257="中",10,15)),IF(I257="EIF",IF(O257="低",5,IF(O257="中",7,10)),"不计算")))))*Q257,"不计算")</f>
        <v/>
      </c>
      <c r="Q257" s="142" t="n">
        <v>1</v>
      </c>
      <c r="R257" s="143">
        <f>调整因子!$F$13</f>
        <v/>
      </c>
      <c r="S257" s="70" t="n">
        <v>1</v>
      </c>
      <c r="T257" s="144">
        <f>IFERROR(P257*R257,0)</f>
        <v/>
      </c>
      <c r="U257" s="144">
        <f>T257*S257</f>
        <v/>
      </c>
      <c r="V257" s="89" t="n"/>
      <c r="W257" s="88" t="inlineStr">
        <is>
          <t>运行时执行实例表</t>
        </is>
      </c>
      <c r="X257" s="88" t="inlineStr">
        <is>
          <t>运行时执行实例表{实例ID、流程定义ID、开始时间、结束时间、状态}</t>
        </is>
      </c>
      <c r="Y257" s="88">
        <f>IF(COUNTIFS(V:V,"*"&amp;H257&amp;"*")&gt;0,"存在","不存在")</f>
        <v/>
      </c>
      <c r="Z257" s="88">
        <f>IF(COUNTIFS(AA:AA,"*"&amp;H257&amp;"*")&gt;0,"存在","不存在")</f>
        <v/>
      </c>
      <c r="AA257" s="96" t="inlineStr">
        <is>
          <t>资产扫描覆盖表、扫描盲区记录表、扫描能力缺口表、离线扫描报告表</t>
        </is>
      </c>
    </row>
    <row r="258" ht="10.8" customFormat="1" customHeight="1" s="63">
      <c r="A258" s="69">
        <f>ROW()-1</f>
        <v/>
      </c>
      <c r="B258" s="53" t="n"/>
      <c r="C258" s="78" t="n">
        <v>2025</v>
      </c>
      <c r="D258" s="78" t="inlineStr">
        <is>
          <t>张明峰</t>
        </is>
      </c>
      <c r="E258" s="53" t="n"/>
      <c r="F258" s="53" t="n"/>
      <c r="G258" s="53" t="n"/>
      <c r="H258" s="81" t="inlineStr">
        <is>
          <t>运行时身份链接表</t>
        </is>
      </c>
      <c r="I258" s="76" t="n"/>
      <c r="J258" s="108" t="inlineStr">
        <is>
          <t>删除</t>
        </is>
      </c>
      <c r="K258" s="108" t="inlineStr">
        <is>
          <t>非ILF - 关联</t>
        </is>
      </c>
      <c r="L258" s="83">
        <f>IF(OR(X258="估算法",X258="算法类",X258="无法识别"),"",IF(V258="",IF(OR(I258="EI",I258="EO",I258="EQ"),0,""),LEN(V258)-LEN(SUBSTITUTE(V258,"、",""))+1))</f>
        <v/>
      </c>
      <c r="M258" s="83">
        <f>IF(OR(X258="估算法",X258="算法类",X258="无法识别"),"",IF(W258="",IF(OR(I258="ILF",I258="EIF"),0,""),LEN(W258)-LEN(SUBSTITUTE(W258,"、",""))+1))</f>
        <v/>
      </c>
      <c r="N258" s="83">
        <f>IF(OR(X258="估算法",X258="算法类",X258="无法识别"),"",IF(X258="",IF(OR(I258="ILF",I258="EIF",I258="EI",I258="EO",I258="EQ"),0,""),LEN(X258)-LEN(SUBSTITUTE(SUBSTITUTE(SUBSTITUTE(SUBSTITUTE(SUBSTITUTE(X258,"|}","--"),"{|","--"),CHAR(10),""),"、",""),"|",""))+IF(AND(OR(I258="EI",I258="EO",I258="EQ"),$AD$1="NESMA"),2,1)))</f>
        <v/>
      </c>
      <c r="O258" s="84">
        <f>IF(I258="EI",IF(OR(X258="估算法",X258="算法类"),"中",IF(X258="无法识别","低",IF(L258&lt;2,IF(N258&lt;16,"低","中"),IF(L258&lt;3,IF(N258&lt;5,"低",IF(N258&lt;16,"中","高")),IF(N258&lt;5,"中","高"))))),IF(OR(I258="EO",I258="EQ"),IF(OR(X258="估算法",X258="算法类"),"中",IF(X258="无法识别","低",IF(L258&lt;2,IF(N258&lt;20,"低","中"),IF(L258&lt;4,IF(N258&lt;6,"低",IF(N258&lt;20,"中","高")),IF(N258&lt;6,"中","高"))))),IF(OR(I258="ILF",I258="EIF"),IF(OR(X258="估算法",X258="算法类",X258="无法识别"),"低",IF(M258&lt;2,IF(N258&lt;51,"低","中"),IF(M258&lt;6,IF(N258&lt;20,"低",IF(N258&lt;51,"中","高")),IF(N258&lt;20,"中","高")))),"不计算")))</f>
        <v/>
      </c>
      <c r="P258" s="142">
        <f>IFERROR(IF(I258="EI",IF(O258="低",3,IF(O258="中",4,6)),IF(I258="EO",IF(O258="低",4,IF(O258="中",5,7)),IF(I258="EQ",IF(O258="低",3,IF(O258="中",4,6)),IF(I258="ILF",IF(O258="低",7,IF(O258="中",10,15)),IF(I258="EIF",IF(O258="低",5,IF(O258="中",7,10)),"不计算")))))*Q258,"不计算")</f>
        <v/>
      </c>
      <c r="Q258" s="142" t="n">
        <v>1</v>
      </c>
      <c r="R258" s="143">
        <f>调整因子!$F$13</f>
        <v/>
      </c>
      <c r="S258" s="76" t="n">
        <v>1</v>
      </c>
      <c r="T258" s="144">
        <f>IFERROR(P258*R258,0)</f>
        <v/>
      </c>
      <c r="U258" s="144">
        <f>T258*S258</f>
        <v/>
      </c>
      <c r="V258" s="89" t="n"/>
      <c r="W258" s="88" t="inlineStr">
        <is>
          <t>运行时身份链接表</t>
        </is>
      </c>
      <c r="X258" s="88" t="inlineStr">
        <is>
          <t>运行时身份链接表{链接ID、实例ID、用户ID、角色、链接时间}</t>
        </is>
      </c>
      <c r="Y258" s="88">
        <f>IF(COUNTIFS(V:V,"*"&amp;H258&amp;"*")&gt;0,"存在","不存在")</f>
        <v/>
      </c>
      <c r="Z258" s="88">
        <f>IF(COUNTIFS(AA:AA,"*"&amp;H258&amp;"*")&gt;0,"存在","不存在")</f>
        <v/>
      </c>
      <c r="AA258" s="96" t="inlineStr">
        <is>
          <t>态势数据采集表、标签定义表、同步失败重试记录表</t>
        </is>
      </c>
    </row>
    <row r="259" ht="10.8" customFormat="1" customHeight="1" s="63">
      <c r="A259" s="69">
        <f>ROW()-1</f>
        <v/>
      </c>
      <c r="B259" s="53" t="n"/>
      <c r="C259" s="78" t="n">
        <v>2025</v>
      </c>
      <c r="D259" s="78" t="inlineStr">
        <is>
          <t>张明峰</t>
        </is>
      </c>
      <c r="E259" s="53" t="n"/>
      <c r="F259" s="53" t="n"/>
      <c r="G259" s="53" t="n"/>
      <c r="H259" s="81" t="inlineStr">
        <is>
          <t>运行时作业表</t>
        </is>
      </c>
      <c r="I259" s="76" t="n"/>
      <c r="J259" s="108" t="inlineStr">
        <is>
          <t>删除</t>
        </is>
      </c>
      <c r="K259" s="108" t="inlineStr">
        <is>
          <t>非ILF - 运行时状态</t>
        </is>
      </c>
      <c r="L259" s="83">
        <f>IF(OR(X259="估算法",X259="算法类",X259="无法识别"),"",IF(V259="",IF(OR(I259="EI",I259="EO",I259="EQ"),0,""),LEN(V259)-LEN(SUBSTITUTE(V259,"、",""))+1))</f>
        <v/>
      </c>
      <c r="M259" s="83">
        <f>IF(OR(X259="估算法",X259="算法类",X259="无法识别"),"",IF(W259="",IF(OR(I259="ILF",I259="EIF"),0,""),LEN(W259)-LEN(SUBSTITUTE(W259,"、",""))+1))</f>
        <v/>
      </c>
      <c r="N259" s="83">
        <f>IF(OR(X259="估算法",X259="算法类",X259="无法识别"),"",IF(X259="",IF(OR(I259="ILF",I259="EIF",I259="EI",I259="EO",I259="EQ"),0,""),LEN(X259)-LEN(SUBSTITUTE(SUBSTITUTE(SUBSTITUTE(SUBSTITUTE(SUBSTITUTE(X259,"|}","--"),"{|","--"),CHAR(10),""),"、",""),"|",""))+IF(AND(OR(I259="EI",I259="EO",I259="EQ"),$AD$1="NESMA"),2,1)))</f>
        <v/>
      </c>
      <c r="O259" s="84">
        <f>IF(I259="EI",IF(OR(X259="估算法",X259="算法类"),"中",IF(X259="无法识别","低",IF(L259&lt;2,IF(N259&lt;16,"低","中"),IF(L259&lt;3,IF(N259&lt;5,"低",IF(N259&lt;16,"中","高")),IF(N259&lt;5,"中","高"))))),IF(OR(I259="EO",I259="EQ"),IF(OR(X259="估算法",X259="算法类"),"中",IF(X259="无法识别","低",IF(L259&lt;2,IF(N259&lt;20,"低","中"),IF(L259&lt;4,IF(N259&lt;6,"低",IF(N259&lt;20,"中","高")),IF(N259&lt;6,"中","高"))))),IF(OR(I259="ILF",I259="EIF"),IF(OR(X259="估算法",X259="算法类",X259="无法识别"),"低",IF(M259&lt;2,IF(N259&lt;51,"低","中"),IF(M259&lt;6,IF(N259&lt;20,"低",IF(N259&lt;51,"中","高")),IF(N259&lt;20,"中","高")))),"不计算")))</f>
        <v/>
      </c>
      <c r="P259" s="142">
        <f>IFERROR(IF(I259="EI",IF(O259="低",3,IF(O259="中",4,6)),IF(I259="EO",IF(O259="低",4,IF(O259="中",5,7)),IF(I259="EQ",IF(O259="低",3,IF(O259="中",4,6)),IF(I259="ILF",IF(O259="低",7,IF(O259="中",10,15)),IF(I259="EIF",IF(O259="低",5,IF(O259="中",7,10)),"不计算")))))*Q259,"不计算")</f>
        <v/>
      </c>
      <c r="Q259" s="142" t="n">
        <v>1</v>
      </c>
      <c r="R259" s="143">
        <f>调整因子!$F$13</f>
        <v/>
      </c>
      <c r="S259" s="70" t="n">
        <v>1</v>
      </c>
      <c r="T259" s="144">
        <f>IFERROR(P259*R259,0)</f>
        <v/>
      </c>
      <c r="U259" s="144">
        <f>T259*S259</f>
        <v/>
      </c>
      <c r="V259" s="89" t="n"/>
      <c r="W259" s="88" t="inlineStr">
        <is>
          <t>运行时作业表</t>
        </is>
      </c>
      <c r="X259" s="88" t="inlineStr">
        <is>
          <t>运行时作业表{作业ID、流程实例ID、作业名称、创建时间}</t>
        </is>
      </c>
      <c r="Y259" s="88">
        <f>IF(COUNTIFS(V:V,"*"&amp;H259&amp;"*")&gt;0,"存在","不存在")</f>
        <v/>
      </c>
      <c r="Z259" s="88">
        <f>IF(COUNTIFS(AA:AA,"*"&amp;H259&amp;"*")&gt;0,"存在","不存在")</f>
        <v/>
      </c>
      <c r="AA259" s="96" t="inlineStr">
        <is>
          <t>指标阈值表、任务优先级配置表、验证记录表、分类层级关系表、提醒规则表</t>
        </is>
      </c>
    </row>
    <row r="260" ht="10.8" customFormat="1" customHeight="1" s="63">
      <c r="A260" s="69">
        <f>ROW()-1</f>
        <v/>
      </c>
      <c r="B260" s="53" t="n"/>
      <c r="C260" s="78" t="n">
        <v>2025</v>
      </c>
      <c r="D260" s="78" t="inlineStr">
        <is>
          <t>张明峰</t>
        </is>
      </c>
      <c r="E260" s="53" t="n"/>
      <c r="F260" s="53" t="n"/>
      <c r="G260" s="53" t="n"/>
      <c r="H260" s="81" t="inlineStr">
        <is>
          <t>暂停作业表</t>
        </is>
      </c>
      <c r="I260" s="76" t="n"/>
      <c r="J260" s="108" t="inlineStr">
        <is>
          <t>删除</t>
        </is>
      </c>
      <c r="K260" s="108" t="inlineStr">
        <is>
          <t>非ILF - 运行时状态</t>
        </is>
      </c>
      <c r="L260" s="83">
        <f>IF(OR(X260="估算法",X260="算法类",X260="无法识别"),"",IF(V260="",IF(OR(I260="EI",I260="EO",I260="EQ"),0,""),LEN(V260)-LEN(SUBSTITUTE(V260,"、",""))+1))</f>
        <v/>
      </c>
      <c r="M260" s="83">
        <f>IF(OR(X260="估算法",X260="算法类",X260="无法识别"),"",IF(W260="",IF(OR(I260="ILF",I260="EIF"),0,""),LEN(W260)-LEN(SUBSTITUTE(W260,"、",""))+1))</f>
        <v/>
      </c>
      <c r="N260" s="83">
        <f>IF(OR(X260="估算法",X260="算法类",X260="无法识别"),"",IF(X260="",IF(OR(I260="ILF",I260="EIF",I260="EI",I260="EO",I260="EQ"),0,""),LEN(X260)-LEN(SUBSTITUTE(SUBSTITUTE(SUBSTITUTE(SUBSTITUTE(SUBSTITUTE(X260,"|}","--"),"{|","--"),CHAR(10),""),"、",""),"|",""))+IF(AND(OR(I260="EI",I260="EO",I260="EQ"),$AD$1="NESMA"),2,1)))</f>
        <v/>
      </c>
      <c r="O260" s="84">
        <f>IF(I260="EI",IF(OR(X260="估算法",X260="算法类"),"中",IF(X260="无法识别","低",IF(L260&lt;2,IF(N260&lt;16,"低","中"),IF(L260&lt;3,IF(N260&lt;5,"低",IF(N260&lt;16,"中","高")),IF(N260&lt;5,"中","高"))))),IF(OR(I260="EO",I260="EQ"),IF(OR(X260="估算法",X260="算法类"),"中",IF(X260="无法识别","低",IF(L260&lt;2,IF(N260&lt;20,"低","中"),IF(L260&lt;4,IF(N260&lt;6,"低",IF(N260&lt;20,"中","高")),IF(N260&lt;6,"中","高"))))),IF(OR(I260="ILF",I260="EIF"),IF(OR(X260="估算法",X260="算法类",X260="无法识别"),"低",IF(M260&lt;2,IF(N260&lt;51,"低","中"),IF(M260&lt;6,IF(N260&lt;20,"低",IF(N260&lt;51,"中","高")),IF(N260&lt;20,"中","高")))),"不计算")))</f>
        <v/>
      </c>
      <c r="P260" s="142">
        <f>IFERROR(IF(I260="EI",IF(O260="低",3,IF(O260="中",4,6)),IF(I260="EO",IF(O260="低",4,IF(O260="中",5,7)),IF(I260="EQ",IF(O260="低",3,IF(O260="中",4,6)),IF(I260="ILF",IF(O260="低",7,IF(O260="中",10,15)),IF(I260="EIF",IF(O260="低",5,IF(O260="中",7,10)),"不计算")))))*Q260,"不计算")</f>
        <v/>
      </c>
      <c r="Q260" s="142" t="n">
        <v>1</v>
      </c>
      <c r="R260" s="143">
        <f>调整因子!$F$13</f>
        <v/>
      </c>
      <c r="S260" s="70" t="n">
        <v>1</v>
      </c>
      <c r="T260" s="144">
        <f>IFERROR(P260*R260,0)</f>
        <v/>
      </c>
      <c r="U260" s="144">
        <f>T260*S260</f>
        <v/>
      </c>
      <c r="V260" s="89" t="n"/>
      <c r="W260" s="88" t="inlineStr">
        <is>
          <t>暂停作业表</t>
        </is>
      </c>
      <c r="X260" s="88" t="inlineStr">
        <is>
          <t>暂停作业表{作业ID、流程实例ID、作业名称、暂停时间}</t>
        </is>
      </c>
      <c r="Y260" s="88">
        <f>IF(COUNTIFS(V:V,"*"&amp;H260&amp;"*")&gt;0,"存在","不存在")</f>
        <v/>
      </c>
      <c r="Z260" s="88">
        <f>IF(COUNTIFS(AA:AA,"*"&amp;H260&amp;"*")&gt;0,"存在","不存在")</f>
        <v/>
      </c>
      <c r="AA260" s="96" t="inlineStr">
        <is>
          <t>验证任务表、报告导入记录表、推送配置表</t>
        </is>
      </c>
    </row>
    <row r="261" ht="10.8" customFormat="1" customHeight="1" s="63">
      <c r="A261" s="69">
        <f>ROW()-1</f>
        <v/>
      </c>
      <c r="B261" s="53" t="n"/>
      <c r="C261" s="78" t="n">
        <v>2025</v>
      </c>
      <c r="D261" s="78" t="inlineStr">
        <is>
          <t>张明峰</t>
        </is>
      </c>
      <c r="E261" s="53" t="n"/>
      <c r="F261" s="53" t="n"/>
      <c r="G261" s="53" t="n"/>
      <c r="H261" s="81" t="inlineStr">
        <is>
          <t>运行时任务表</t>
        </is>
      </c>
      <c r="I261" s="76" t="n"/>
      <c r="J261" s="108" t="inlineStr">
        <is>
          <t>删除</t>
        </is>
      </c>
      <c r="K261" s="108" t="inlineStr">
        <is>
          <t>非ILF - 运行时状态</t>
        </is>
      </c>
      <c r="L261" s="83">
        <f>IF(OR(X261="估算法",X261="算法类",X261="无法识别"),"",IF(V261="",IF(OR(I261="EI",I261="EO",I261="EQ"),0,""),LEN(V261)-LEN(SUBSTITUTE(V261,"、",""))+1))</f>
        <v/>
      </c>
      <c r="M261" s="83">
        <f>IF(OR(X261="估算法",X261="算法类",X261="无法识别"),"",IF(W261="",IF(OR(I261="ILF",I261="EIF"),0,""),LEN(W261)-LEN(SUBSTITUTE(W261,"、",""))+1))</f>
        <v/>
      </c>
      <c r="N261" s="83">
        <f>IF(OR(X261="估算法",X261="算法类",X261="无法识别"),"",IF(X261="",IF(OR(I261="ILF",I261="EIF",I261="EI",I261="EO",I261="EQ"),0,""),LEN(X261)-LEN(SUBSTITUTE(SUBSTITUTE(SUBSTITUTE(SUBSTITUTE(SUBSTITUTE(X261,"|}","--"),"{|","--"),CHAR(10),""),"、",""),"|",""))+IF(AND(OR(I261="EI",I261="EO",I261="EQ"),$AD$1="NESMA"),2,1)))</f>
        <v/>
      </c>
      <c r="O261" s="84">
        <f>IF(I261="EI",IF(OR(X261="估算法",X261="算法类"),"中",IF(X261="无法识别","低",IF(L261&lt;2,IF(N261&lt;16,"低","中"),IF(L261&lt;3,IF(N261&lt;5,"低",IF(N261&lt;16,"中","高")),IF(N261&lt;5,"中","高"))))),IF(OR(I261="EO",I261="EQ"),IF(OR(X261="估算法",X261="算法类"),"中",IF(X261="无法识别","低",IF(L261&lt;2,IF(N261&lt;20,"低","中"),IF(L261&lt;4,IF(N261&lt;6,"低",IF(N261&lt;20,"中","高")),IF(N261&lt;6,"中","高"))))),IF(OR(I261="ILF",I261="EIF"),IF(OR(X261="估算法",X261="算法类",X261="无法识别"),"低",IF(M261&lt;2,IF(N261&lt;51,"低","中"),IF(M261&lt;6,IF(N261&lt;20,"低",IF(N261&lt;51,"中","高")),IF(N261&lt;20,"中","高")))),"不计算")))</f>
        <v/>
      </c>
      <c r="P261" s="142">
        <f>IFERROR(IF(I261="EI",IF(O261="低",3,IF(O261="中",4,6)),IF(I261="EO",IF(O261="低",4,IF(O261="中",5,7)),IF(I261="EQ",IF(O261="低",3,IF(O261="中",4,6)),IF(I261="ILF",IF(O261="低",7,IF(O261="中",10,15)),IF(I261="EIF",IF(O261="低",5,IF(O261="中",7,10)),"不计算")))))*Q261,"不计算")</f>
        <v/>
      </c>
      <c r="Q261" s="142" t="n">
        <v>1</v>
      </c>
      <c r="R261" s="143">
        <f>调整因子!$F$13</f>
        <v/>
      </c>
      <c r="S261" s="76" t="n">
        <v>1</v>
      </c>
      <c r="T261" s="144">
        <f>IFERROR(P261*R261,0)</f>
        <v/>
      </c>
      <c r="U261" s="144">
        <f>T261*S261</f>
        <v/>
      </c>
      <c r="V261" s="89" t="n"/>
      <c r="W261" s="88" t="inlineStr">
        <is>
          <t>运行时任务表</t>
        </is>
      </c>
      <c r="X261" s="88" t="inlineStr">
        <is>
          <t>运行时任务表{任务ID、流程实例ID、任务名称、开始时间、结束时间}</t>
        </is>
      </c>
      <c r="Y261" s="88">
        <f>IF(COUNTIFS(V:V,"*"&amp;H261&amp;"*")&gt;0,"存在","不存在")</f>
        <v/>
      </c>
      <c r="Z261" s="88">
        <f>IF(COUNTIFS(AA:AA,"*"&amp;H261&amp;"*")&gt;0,"存在","不存在")</f>
        <v/>
      </c>
      <c r="AA261" s="96" t="inlineStr">
        <is>
          <t>处置单关联表、接口参数配置表、任务日志表、加密算法表</t>
        </is>
      </c>
    </row>
    <row r="262" ht="10.8" customFormat="1" customHeight="1" s="63">
      <c r="A262" s="69">
        <f>ROW()-1</f>
        <v/>
      </c>
      <c r="B262" s="53" t="n"/>
      <c r="C262" s="78" t="n">
        <v>2025</v>
      </c>
      <c r="D262" s="78" t="inlineStr">
        <is>
          <t>张明峰</t>
        </is>
      </c>
      <c r="E262" s="53" t="n"/>
      <c r="F262" s="53" t="n"/>
      <c r="G262" s="53" t="n"/>
      <c r="H262" s="81" t="inlineStr">
        <is>
          <t>定时作业表</t>
        </is>
      </c>
      <c r="I262" s="76" t="inlineStr">
        <is>
          <t>ILF</t>
        </is>
      </c>
      <c r="J262" s="108" t="n"/>
      <c r="K262" s="108" t="n"/>
      <c r="L262" s="83">
        <f>IF(OR(X262="估算法",X262="算法类",X262="无法识别"),"",IF(V262="",IF(OR(I262="EI",I262="EO",I262="EQ"),0,""),LEN(V262)-LEN(SUBSTITUTE(V262,"、",""))+1))</f>
        <v/>
      </c>
      <c r="M262" s="83">
        <f>IF(OR(X262="估算法",X262="算法类",X262="无法识别"),"",IF(W262="",IF(OR(I262="ILF",I262="EIF"),0,""),LEN(W262)-LEN(SUBSTITUTE(W262,"、",""))+1))</f>
        <v/>
      </c>
      <c r="N262" s="83">
        <f>IF(OR(X262="估算法",X262="算法类",X262="无法识别"),"",IF(X262="",IF(OR(I262="ILF",I262="EIF",I262="EI",I262="EO",I262="EQ"),0,""),LEN(X262)-LEN(SUBSTITUTE(SUBSTITUTE(SUBSTITUTE(SUBSTITUTE(SUBSTITUTE(X262,"|}","--"),"{|","--"),CHAR(10),""),"、",""),"|",""))+IF(AND(OR(I262="EI",I262="EO",I262="EQ"),$AD$1="NESMA"),2,1)))</f>
        <v/>
      </c>
      <c r="O262" s="84">
        <f>IF(I262="EI",IF(OR(X262="估算法",X262="算法类"),"中",IF(X262="无法识别","低",IF(L262&lt;2,IF(N262&lt;16,"低","中"),IF(L262&lt;3,IF(N262&lt;5,"低",IF(N262&lt;16,"中","高")),IF(N262&lt;5,"中","高"))))),IF(OR(I262="EO",I262="EQ"),IF(OR(X262="估算法",X262="算法类"),"中",IF(X262="无法识别","低",IF(L262&lt;2,IF(N262&lt;20,"低","中"),IF(L262&lt;4,IF(N262&lt;6,"低",IF(N262&lt;20,"中","高")),IF(N262&lt;6,"中","高"))))),IF(OR(I262="ILF",I262="EIF"),IF(OR(X262="估算法",X262="算法类",X262="无法识别"),"低",IF(M262&lt;2,IF(N262&lt;51,"低","中"),IF(M262&lt;6,IF(N262&lt;20,"低",IF(N262&lt;51,"中","高")),IF(N262&lt;20,"中","高")))),"不计算")))</f>
        <v/>
      </c>
      <c r="P262" s="142">
        <f>IFERROR(IF(I262="EI",IF(O262="低",3,IF(O262="中",4,6)),IF(I262="EO",IF(O262="低",4,IF(O262="中",5,7)),IF(I262="EQ",IF(O262="低",3,IF(O262="中",4,6)),IF(I262="ILF",IF(O262="低",7,IF(O262="中",10,15)),IF(I262="EIF",IF(O262="低",5,IF(O262="中",7,10)),"不计算")))))*Q262,"不计算")</f>
        <v/>
      </c>
      <c r="Q262" s="142" t="n">
        <v>0.333333333333333</v>
      </c>
      <c r="R262" s="143">
        <f>调整因子!$F$13</f>
        <v/>
      </c>
      <c r="S262" s="70" t="n">
        <v>1</v>
      </c>
      <c r="T262" s="144">
        <f>IFERROR(P262*R262,0)</f>
        <v/>
      </c>
      <c r="U262" s="144">
        <f>T262*S262</f>
        <v/>
      </c>
      <c r="V262" s="89" t="n"/>
      <c r="W262" s="88" t="inlineStr">
        <is>
          <t>定时作业表</t>
        </is>
      </c>
      <c r="X262" s="88" t="inlineStr">
        <is>
          <t>定时作业表{作业ID、流程实例ID、作业名称、触发时间}</t>
        </is>
      </c>
      <c r="Y262" s="88">
        <f>IF(COUNTIFS(V:V,"*"&amp;H262&amp;"*")&gt;0,"存在","不存在")</f>
        <v/>
      </c>
      <c r="Z262" s="88">
        <f>IF(COUNTIFS(AA:AA,"*"&amp;H262&amp;"*")&gt;0,"存在","不存在")</f>
        <v/>
      </c>
      <c r="AA262" s="96" t="inlineStr">
        <is>
          <t>日志加密配置表、采集记录表、提醒规则表</t>
        </is>
      </c>
    </row>
    <row r="263" ht="10.8" customFormat="1" customHeight="1" s="63">
      <c r="A263" s="69">
        <f>ROW()-1</f>
        <v/>
      </c>
      <c r="B263" s="53" t="n"/>
      <c r="C263" s="78" t="n">
        <v>2025</v>
      </c>
      <c r="D263" s="78" t="inlineStr">
        <is>
          <t>张明峰</t>
        </is>
      </c>
      <c r="E263" s="53" t="n"/>
      <c r="F263" s="53" t="n"/>
      <c r="G263" s="53" t="n"/>
      <c r="H263" s="81" t="inlineStr">
        <is>
          <t>运行时变量表</t>
        </is>
      </c>
      <c r="I263" s="76" t="n"/>
      <c r="J263" s="108" t="inlineStr">
        <is>
          <t>删除</t>
        </is>
      </c>
      <c r="K263" s="108" t="inlineStr">
        <is>
          <t>非ILF - 运行时状态</t>
        </is>
      </c>
      <c r="L263" s="83">
        <f>IF(OR(X263="估算法",X263="算法类",X263="无法识别"),"",IF(V263="",IF(OR(I263="EI",I263="EO",I263="EQ"),0,""),LEN(V263)-LEN(SUBSTITUTE(V263,"、",""))+1))</f>
        <v/>
      </c>
      <c r="M263" s="83">
        <f>IF(OR(X263="估算法",X263="算法类",X263="无法识别"),"",IF(W263="",IF(OR(I263="ILF",I263="EIF"),0,""),LEN(W263)-LEN(SUBSTITUTE(W263,"、",""))+1))</f>
        <v/>
      </c>
      <c r="N263" s="83">
        <f>IF(OR(X263="估算法",X263="算法类",X263="无法识别"),"",IF(X263="",IF(OR(I263="ILF",I263="EIF",I263="EI",I263="EO",I263="EQ"),0,""),LEN(X263)-LEN(SUBSTITUTE(SUBSTITUTE(SUBSTITUTE(SUBSTITUTE(SUBSTITUTE(X263,"|}","--"),"{|","--"),CHAR(10),""),"、",""),"|",""))+IF(AND(OR(I263="EI",I263="EO",I263="EQ"),$AD$1="NESMA"),2,1)))</f>
        <v/>
      </c>
      <c r="O263" s="84">
        <f>IF(I263="EI",IF(OR(X263="估算法",X263="算法类"),"中",IF(X263="无法识别","低",IF(L263&lt;2,IF(N263&lt;16,"低","中"),IF(L263&lt;3,IF(N263&lt;5,"低",IF(N263&lt;16,"中","高")),IF(N263&lt;5,"中","高"))))),IF(OR(I263="EO",I263="EQ"),IF(OR(X263="估算法",X263="算法类"),"中",IF(X263="无法识别","低",IF(L263&lt;2,IF(N263&lt;20,"低","中"),IF(L263&lt;4,IF(N263&lt;6,"低",IF(N263&lt;20,"中","高")),IF(N263&lt;6,"中","高"))))),IF(OR(I263="ILF",I263="EIF"),IF(OR(X263="估算法",X263="算法类",X263="无法识别"),"低",IF(M263&lt;2,IF(N263&lt;51,"低","中"),IF(M263&lt;6,IF(N263&lt;20,"低",IF(N263&lt;51,"中","高")),IF(N263&lt;20,"中","高")))),"不计算")))</f>
        <v/>
      </c>
      <c r="P263" s="142">
        <f>IFERROR(IF(I263="EI",IF(O263="低",3,IF(O263="中",4,6)),IF(I263="EO",IF(O263="低",4,IF(O263="中",5,7)),IF(I263="EQ",IF(O263="低",3,IF(O263="中",4,6)),IF(I263="ILF",IF(O263="低",7,IF(O263="中",10,15)),IF(I263="EIF",IF(O263="低",5,IF(O263="中",7,10)),"不计算")))))*Q263,"不计算")</f>
        <v/>
      </c>
      <c r="Q263" s="142" t="n">
        <v>1</v>
      </c>
      <c r="R263" s="143">
        <f>调整因子!$F$13</f>
        <v/>
      </c>
      <c r="S263" s="70" t="n">
        <v>1</v>
      </c>
      <c r="T263" s="144">
        <f>IFERROR(P263*R263,0)</f>
        <v/>
      </c>
      <c r="U263" s="144">
        <f>T263*S263</f>
        <v/>
      </c>
      <c r="V263" s="89" t="n"/>
      <c r="W263" s="88" t="inlineStr">
        <is>
          <t>运行时变量表</t>
        </is>
      </c>
      <c r="X263" s="88" t="inlineStr">
        <is>
          <t>运行时变量表{变量ID、实例ID、变量名称、值、更新时间}</t>
        </is>
      </c>
      <c r="Y263" s="88">
        <f>IF(COUNTIFS(V:V,"*"&amp;H263&amp;"*")&gt;0,"存在","不存在")</f>
        <v/>
      </c>
      <c r="Z263" s="88">
        <f>IF(COUNTIFS(AA:AA,"*"&amp;H263&amp;"*")&gt;0,"存在","不存在")</f>
        <v/>
      </c>
      <c r="AA263" s="96" t="inlineStr">
        <is>
          <t>模板配置表、日志采集配置表、接口参数配置表</t>
        </is>
      </c>
    </row>
    <row r="264" ht="10.8" customFormat="1" customHeight="1" s="63">
      <c r="A264" s="69">
        <f>ROW()-1</f>
        <v/>
      </c>
      <c r="B264" s="53" t="n"/>
      <c r="C264" s="78" t="n">
        <v>2025</v>
      </c>
      <c r="D264" s="78" t="inlineStr">
        <is>
          <t>张明峰</t>
        </is>
      </c>
      <c r="E264" s="53" t="n"/>
      <c r="F264" s="53" t="n"/>
      <c r="G264" s="53" t="n"/>
      <c r="H264" s="81" t="inlineStr">
        <is>
          <t>数据库变更日志表</t>
        </is>
      </c>
      <c r="I264" s="76" t="n"/>
      <c r="J264" s="108" t="inlineStr">
        <is>
          <t>删除</t>
        </is>
      </c>
      <c r="K264" s="95" t="inlineStr">
        <is>
          <t>非ILF,日志表</t>
        </is>
      </c>
      <c r="L264" s="83">
        <f>IF(OR(X264="估算法",X264="算法类",X264="无法识别"),"",IF(V264="",IF(OR(I264="EI",I264="EO",I264="EQ"),0,""),LEN(V264)-LEN(SUBSTITUTE(V264,"、",""))+1))</f>
        <v/>
      </c>
      <c r="M264" s="83">
        <f>IF(OR(X264="估算法",X264="算法类",X264="无法识别"),"",IF(W264="",IF(OR(I264="ILF",I264="EIF"),0,""),LEN(W264)-LEN(SUBSTITUTE(W264,"、",""))+1))</f>
        <v/>
      </c>
      <c r="N264" s="83">
        <f>IF(OR(X264="估算法",X264="算法类",X264="无法识别"),"",IF(X264="",IF(OR(I264="ILF",I264="EIF",I264="EI",I264="EO",I264="EQ"),0,""),LEN(X264)-LEN(SUBSTITUTE(SUBSTITUTE(SUBSTITUTE(SUBSTITUTE(SUBSTITUTE(X264,"|}","--"),"{|","--"),CHAR(10),""),"、",""),"|",""))+IF(AND(OR(I264="EI",I264="EO",I264="EQ"),$AD$1="NESMA"),2,1)))</f>
        <v/>
      </c>
      <c r="O264" s="84">
        <f>IF(I264="EI",IF(OR(X264="估算法",X264="算法类"),"中",IF(X264="无法识别","低",IF(L264&lt;2,IF(N264&lt;16,"低","中"),IF(L264&lt;3,IF(N264&lt;5,"低",IF(N264&lt;16,"中","高")),IF(N264&lt;5,"中","高"))))),IF(OR(I264="EO",I264="EQ"),IF(OR(X264="估算法",X264="算法类"),"中",IF(X264="无法识别","低",IF(L264&lt;2,IF(N264&lt;20,"低","中"),IF(L264&lt;4,IF(N264&lt;6,"低",IF(N264&lt;20,"中","高")),IF(N264&lt;6,"中","高"))))),IF(OR(I264="ILF",I264="EIF"),IF(OR(X264="估算法",X264="算法类",X264="无法识别"),"低",IF(M264&lt;2,IF(N264&lt;51,"低","中"),IF(M264&lt;6,IF(N264&lt;20,"低",IF(N264&lt;51,"中","高")),IF(N264&lt;20,"中","高")))),"不计算")))</f>
        <v/>
      </c>
      <c r="P264" s="142">
        <f>IFERROR(IF(I264="EI",IF(O264="低",3,IF(O264="中",4,6)),IF(I264="EO",IF(O264="低",4,IF(O264="中",5,7)),IF(I264="EQ",IF(O264="低",3,IF(O264="中",4,6)),IF(I264="ILF",IF(O264="低",7,IF(O264="中",10,15)),IF(I264="EIF",IF(O264="低",5,IF(O264="中",7,10)),"不计算")))))*Q264,"不计算")</f>
        <v/>
      </c>
      <c r="Q264" s="142" t="n">
        <v>1</v>
      </c>
      <c r="R264" s="143">
        <f>调整因子!$F$13</f>
        <v/>
      </c>
      <c r="S264" s="76" t="n">
        <v>1</v>
      </c>
      <c r="T264" s="144">
        <f>IFERROR(P264*R264,0)</f>
        <v/>
      </c>
      <c r="U264" s="144">
        <f>T264*S264</f>
        <v/>
      </c>
      <c r="V264" s="89" t="n"/>
      <c r="W264" s="88" t="inlineStr">
        <is>
          <t>数据库变更日志表</t>
        </is>
      </c>
      <c r="X264" s="88" t="inlineStr">
        <is>
          <t>数据库变更日志表{日志ID、变更内容、变更时间}</t>
        </is>
      </c>
      <c r="Y264" s="88">
        <f>IF(COUNTIFS(V:V,"*"&amp;H264&amp;"*")&gt;0,"存在","不存在")</f>
        <v/>
      </c>
      <c r="Z264" s="88">
        <f>IF(COUNTIFS(AA:AA,"*"&amp;H264&amp;"*")&gt;0,"存在","不存在")</f>
        <v/>
      </c>
      <c r="AA264" s="96" t="inlineStr">
        <is>
          <t>数据清洗任务表、资产同步任务表、同步任务调度表、任务统计数据表</t>
        </is>
      </c>
    </row>
    <row r="265" ht="10.8" customFormat="1" customHeight="1" s="63">
      <c r="A265" s="69">
        <f>ROW()-1</f>
        <v/>
      </c>
      <c r="B265" s="53" t="n"/>
      <c r="C265" s="78" t="n">
        <v>2025</v>
      </c>
      <c r="D265" s="78" t="inlineStr">
        <is>
          <t>张明峰</t>
        </is>
      </c>
      <c r="E265" s="53" t="n"/>
      <c r="F265" s="53" t="n"/>
      <c r="G265" s="53" t="n"/>
      <c r="H265" s="81" t="inlineStr">
        <is>
          <t>数据库变更日志锁表</t>
        </is>
      </c>
      <c r="I265" s="76" t="n"/>
      <c r="J265" s="108" t="inlineStr">
        <is>
          <t>删除</t>
        </is>
      </c>
      <c r="K265" s="108" t="inlineStr">
        <is>
          <t>非ILF - 技术锁</t>
        </is>
      </c>
      <c r="L265" s="83">
        <f>IF(OR(X265="估算法",X265="算法类",X265="无法识别"),"",IF(V265="",IF(OR(I265="EI",I265="EO",I265="EQ"),0,""),LEN(V265)-LEN(SUBSTITUTE(V265,"、",""))+1))</f>
        <v/>
      </c>
      <c r="M265" s="83">
        <f>IF(OR(X265="估算法",X265="算法类",X265="无法识别"),"",IF(W265="",IF(OR(I265="ILF",I265="EIF"),0,""),LEN(W265)-LEN(SUBSTITUTE(W265,"、",""))+1))</f>
        <v/>
      </c>
      <c r="N265" s="83">
        <f>IF(OR(X265="估算法",X265="算法类",X265="无法识别"),"",IF(X265="",IF(OR(I265="ILF",I265="EIF",I265="EI",I265="EO",I265="EQ"),0,""),LEN(X265)-LEN(SUBSTITUTE(SUBSTITUTE(SUBSTITUTE(SUBSTITUTE(SUBSTITUTE(X265,"|}","--"),"{|","--"),CHAR(10),""),"、",""),"|",""))+IF(AND(OR(I265="EI",I265="EO",I265="EQ"),$AD$1="NESMA"),2,1)))</f>
        <v/>
      </c>
      <c r="O265" s="84">
        <f>IF(I265="EI",IF(OR(X265="估算法",X265="算法类"),"中",IF(X265="无法识别","低",IF(L265&lt;2,IF(N265&lt;16,"低","中"),IF(L265&lt;3,IF(N265&lt;5,"低",IF(N265&lt;16,"中","高")),IF(N265&lt;5,"中","高"))))),IF(OR(I265="EO",I265="EQ"),IF(OR(X265="估算法",X265="算法类"),"中",IF(X265="无法识别","低",IF(L265&lt;2,IF(N265&lt;20,"低","中"),IF(L265&lt;4,IF(N265&lt;6,"低",IF(N265&lt;20,"中","高")),IF(N265&lt;6,"中","高"))))),IF(OR(I265="ILF",I265="EIF"),IF(OR(X265="估算法",X265="算法类",X265="无法识别"),"低",IF(M265&lt;2,IF(N265&lt;51,"低","中"),IF(M265&lt;6,IF(N265&lt;20,"低",IF(N265&lt;51,"中","高")),IF(N265&lt;20,"中","高")))),"不计算")))</f>
        <v/>
      </c>
      <c r="P265" s="142">
        <f>IFERROR(IF(I265="EI",IF(O265="低",3,IF(O265="中",4,6)),IF(I265="EO",IF(O265="低",4,IF(O265="中",5,7)),IF(I265="EQ",IF(O265="低",3,IF(O265="中",4,6)),IF(I265="ILF",IF(O265="低",7,IF(O265="中",10,15)),IF(I265="EIF",IF(O265="低",5,IF(O265="中",7,10)),"不计算")))))*Q265,"不计算")</f>
        <v/>
      </c>
      <c r="Q265" s="142" t="n">
        <v>1</v>
      </c>
      <c r="R265" s="143">
        <f>调整因子!$F$13</f>
        <v/>
      </c>
      <c r="S265" s="70" t="n">
        <v>1</v>
      </c>
      <c r="T265" s="144">
        <f>IFERROR(P265*R265,0)</f>
        <v/>
      </c>
      <c r="U265" s="144">
        <f>T265*S265</f>
        <v/>
      </c>
      <c r="V265" s="89" t="n"/>
      <c r="W265" s="88" t="inlineStr">
        <is>
          <t>数据库变更日志锁表</t>
        </is>
      </c>
      <c r="X265" s="88" t="inlineStr">
        <is>
          <t>数据库变更日志锁表{锁ID、锁定状态、锁定时间}</t>
        </is>
      </c>
      <c r="Y265" s="88">
        <f>IF(COUNTIFS(V:V,"*"&amp;H265&amp;"*")&gt;0,"存在","不存在")</f>
        <v/>
      </c>
      <c r="Z265" s="88">
        <f>IF(COUNTIFS(AA:AA,"*"&amp;H265&amp;"*")&gt;0,"存在","不存在")</f>
        <v/>
      </c>
      <c r="AA265" s="96" t="inlineStr">
        <is>
          <t>数据清洗任务表、资产同步任务表、同步任务调度表、任务统计数据表</t>
        </is>
      </c>
    </row>
    <row r="266" ht="10.8" customFormat="1" customHeight="1" s="63">
      <c r="A266" s="69">
        <f>ROW()-1</f>
        <v/>
      </c>
      <c r="B266" s="53" t="n"/>
      <c r="C266" s="78" t="n">
        <v>2025</v>
      </c>
      <c r="D266" s="78" t="inlineStr">
        <is>
          <t>张明峰</t>
        </is>
      </c>
      <c r="E266" s="53" t="n"/>
      <c r="F266" s="53" t="n"/>
      <c r="G266" s="53" t="n"/>
      <c r="H266" s="81" t="inlineStr">
        <is>
          <t>流程抄送表</t>
        </is>
      </c>
      <c r="I266" s="76" t="inlineStr">
        <is>
          <t>ILF</t>
        </is>
      </c>
      <c r="J266" s="99" t="inlineStr">
        <is>
          <t>删除</t>
        </is>
      </c>
      <c r="K266" s="108" t="inlineStr">
        <is>
          <t>数据库表未被本系统所维护</t>
        </is>
      </c>
      <c r="L266" s="83">
        <f>IF(OR(X266="估算法",X266="算法类",X266="无法识别"),"",IF(V266="",IF(OR(I266="EI",I266="EO",I266="EQ"),0,""),LEN(V266)-LEN(SUBSTITUTE(V266,"、",""))+1))</f>
        <v/>
      </c>
      <c r="M266" s="83">
        <f>IF(OR(X266="估算法",X266="算法类",X266="无法识别"),"",IF(W266="",IF(OR(I266="ILF",I266="EIF"),0,""),LEN(W266)-LEN(SUBSTITUTE(W266,"、",""))+1))</f>
        <v/>
      </c>
      <c r="N266" s="83">
        <f>IF(OR(X266="估算法",X266="算法类",X266="无法识别"),"",IF(X266="",IF(OR(I266="ILF",I266="EIF",I266="EI",I266="EO",I266="EQ"),0,""),LEN(X266)-LEN(SUBSTITUTE(SUBSTITUTE(SUBSTITUTE(SUBSTITUTE(SUBSTITUTE(X266,"|}","--"),"{|","--"),CHAR(10),""),"、",""),"|",""))+IF(AND(OR(I266="EI",I266="EO",I266="EQ"),$AD$1="NESMA"),2,1)))</f>
        <v/>
      </c>
      <c r="O266" s="84">
        <f>IF(I266="EI",IF(OR(X266="估算法",X266="算法类"),"中",IF(X266="无法识别","低",IF(L266&lt;2,IF(N266&lt;16,"低","中"),IF(L266&lt;3,IF(N266&lt;5,"低",IF(N266&lt;16,"中","高")),IF(N266&lt;5,"中","高"))))),IF(OR(I266="EO",I266="EQ"),IF(OR(X266="估算法",X266="算法类"),"中",IF(X266="无法识别","低",IF(L266&lt;2,IF(N266&lt;20,"低","中"),IF(L266&lt;4,IF(N266&lt;6,"低",IF(N266&lt;20,"中","高")),IF(N266&lt;6,"中","高"))))),IF(OR(I266="ILF",I266="EIF"),IF(OR(X266="估算法",X266="算法类",X266="无法识别"),"低",IF(M266&lt;2,IF(N266&lt;51,"低","中"),IF(M266&lt;6,IF(N266&lt;20,"低",IF(N266&lt;51,"中","高")),IF(N266&lt;20,"中","高")))),"不计算")))</f>
        <v/>
      </c>
      <c r="P266" s="142">
        <f>IFERROR(IF(I266="EI",IF(O266="低",3,IF(O266="中",4,6)),IF(I266="EO",IF(O266="低",4,IF(O266="中",5,7)),IF(I266="EQ",IF(O266="低",3,IF(O266="中",4,6)),IF(I266="ILF",IF(O266="低",7,IF(O266="中",10,15)),IF(I266="EIF",IF(O266="低",5,IF(O266="中",7,10)),"不计算")))))*Q266,"不计算")</f>
        <v/>
      </c>
      <c r="Q266" s="142" t="n">
        <v>0</v>
      </c>
      <c r="R266" s="143">
        <f>调整因子!$F$13</f>
        <v/>
      </c>
      <c r="S266" s="70" t="n">
        <v>1</v>
      </c>
      <c r="T266" s="144">
        <f>IFERROR(P266*R266,0)</f>
        <v/>
      </c>
      <c r="U266" s="144">
        <f>T266*S266</f>
        <v/>
      </c>
      <c r="V266" s="89" t="n"/>
      <c r="W266" s="88" t="inlineStr">
        <is>
          <t>流程抄送表</t>
        </is>
      </c>
      <c r="X266" s="88" t="inlineStr">
        <is>
          <t>流程抄送表{抄送ID、流程实例ID、抄送人、抄送时间}</t>
        </is>
      </c>
      <c r="Y266" s="88">
        <f>IF(COUNTIFS(V:V,"*"&amp;H266&amp;"*")&gt;0,"存在","不存在")</f>
        <v/>
      </c>
      <c r="Z266" s="88">
        <f>IF(COUNTIFS(AA:AA,"*"&amp;H266&amp;"*")&gt;0,"存在","不存在")</f>
        <v/>
      </c>
      <c r="AA266" s="96" t="inlineStr">
        <is>
          <t>推送规则表、提醒规则表、脱敏规则表、加密规则表、同步任务调度表</t>
        </is>
      </c>
    </row>
    <row r="267" ht="10.8" customFormat="1" customHeight="1" s="63">
      <c r="A267" s="69">
        <f>ROW()-1</f>
        <v/>
      </c>
      <c r="B267" s="53" t="n"/>
      <c r="C267" s="78" t="n">
        <v>2025</v>
      </c>
      <c r="D267" s="78" t="inlineStr">
        <is>
          <t>张明峰</t>
        </is>
      </c>
      <c r="E267" s="53" t="n"/>
      <c r="F267" s="53" t="n"/>
      <c r="G267" s="53" t="n"/>
      <c r="H267" s="81" t="inlineStr">
        <is>
          <t>流程定义表</t>
        </is>
      </c>
      <c r="I267" s="76" t="n"/>
      <c r="J267" s="99" t="inlineStr">
        <is>
          <t>删除</t>
        </is>
      </c>
      <c r="K267" s="108" t="inlineStr">
        <is>
          <t>重复数据库表</t>
        </is>
      </c>
      <c r="L267" s="83">
        <f>IF(OR(X267="估算法",X267="算法类",X267="无法识别"),"",IF(V267="",IF(OR(I267="EI",I267="EO",I267="EQ"),0,""),LEN(V267)-LEN(SUBSTITUTE(V267,"、",""))+1))</f>
        <v/>
      </c>
      <c r="M267" s="83">
        <f>IF(OR(X267="估算法",X267="算法类",X267="无法识别"),"",IF(W267="",IF(OR(I267="ILF",I267="EIF"),0,""),LEN(W267)-LEN(SUBSTITUTE(W267,"、",""))+1))</f>
        <v/>
      </c>
      <c r="N267" s="83">
        <f>IF(OR(X267="估算法",X267="算法类",X267="无法识别"),"",IF(X267="",IF(OR(I267="ILF",I267="EIF",I267="EI",I267="EO",I267="EQ"),0,""),LEN(X267)-LEN(SUBSTITUTE(SUBSTITUTE(SUBSTITUTE(SUBSTITUTE(SUBSTITUTE(X267,"|}","--"),"{|","--"),CHAR(10),""),"、",""),"|",""))+IF(AND(OR(I267="EI",I267="EO",I267="EQ"),$AD$1="NESMA"),2,1)))</f>
        <v/>
      </c>
      <c r="O267" s="84">
        <f>IF(I267="EI",IF(OR(X267="估算法",X267="算法类"),"中",IF(X267="无法识别","低",IF(L267&lt;2,IF(N267&lt;16,"低","中"),IF(L267&lt;3,IF(N267&lt;5,"低",IF(N267&lt;16,"中","高")),IF(N267&lt;5,"中","高"))))),IF(OR(I267="EO",I267="EQ"),IF(OR(X267="估算法",X267="算法类"),"中",IF(X267="无法识别","低",IF(L267&lt;2,IF(N267&lt;20,"低","中"),IF(L267&lt;4,IF(N267&lt;6,"低",IF(N267&lt;20,"中","高")),IF(N267&lt;6,"中","高"))))),IF(OR(I267="ILF",I267="EIF"),IF(OR(X267="估算法",X267="算法类",X267="无法识别"),"低",IF(M267&lt;2,IF(N267&lt;51,"低","中"),IF(M267&lt;6,IF(N267&lt;20,"低",IF(N267&lt;51,"中","高")),IF(N267&lt;20,"中","高")))),"不计算")))</f>
        <v/>
      </c>
      <c r="P267" s="142">
        <f>IFERROR(IF(I267="EI",IF(O267="低",3,IF(O267="中",4,6)),IF(I267="EO",IF(O267="低",4,IF(O267="中",5,7)),IF(I267="EQ",IF(O267="低",3,IF(O267="中",4,6)),IF(I267="ILF",IF(O267="低",7,IF(O267="中",10,15)),IF(I267="EIF",IF(O267="低",5,IF(O267="中",7,10)),"不计算")))))*Q267,"不计算")</f>
        <v/>
      </c>
      <c r="Q267" s="142" t="n">
        <v>1</v>
      </c>
      <c r="R267" s="143">
        <f>调整因子!$F$13</f>
        <v/>
      </c>
      <c r="S267" s="76" t="n">
        <v>1</v>
      </c>
      <c r="T267" s="144">
        <f>IFERROR(P267*R267,0)</f>
        <v/>
      </c>
      <c r="U267" s="144">
        <f>T267*S267</f>
        <v/>
      </c>
      <c r="V267" s="89" t="n"/>
      <c r="W267" s="88" t="inlineStr">
        <is>
          <t>流程定义表</t>
        </is>
      </c>
      <c r="X267" s="88" t="inlineStr">
        <is>
          <t>流程定义表{定义ID、流程名称、定义内容、创建时间}</t>
        </is>
      </c>
      <c r="Y267" s="88">
        <f>IF(COUNTIFS(V:V,"*"&amp;H267&amp;"*")&gt;0,"存在","不存在")</f>
        <v/>
      </c>
      <c r="Z267" s="88">
        <f>IF(COUNTIFS(AA:AA,"*"&amp;H267&amp;"*")&gt;0,"存在","不存在")</f>
        <v/>
      </c>
      <c r="AA267" s="96" t="inlineStr">
        <is>
          <t>扫描策略模板表、提醒策略配置表、加密策略表、提醒策略配置表、模板分类表</t>
        </is>
      </c>
    </row>
    <row r="268" ht="10.8" customFormat="1" customHeight="1" s="63">
      <c r="A268" s="69">
        <f>ROW()-1</f>
        <v/>
      </c>
      <c r="B268" s="53" t="n"/>
      <c r="C268" s="78" t="n">
        <v>2025</v>
      </c>
      <c r="D268" s="78" t="inlineStr">
        <is>
          <t>张明峰</t>
        </is>
      </c>
      <c r="E268" s="53" t="n"/>
      <c r="F268" s="53" t="n"/>
      <c r="G268" s="53" t="n"/>
      <c r="H268" s="81" t="inlineStr">
        <is>
          <t>流程定义属性表</t>
        </is>
      </c>
      <c r="I268" s="76" t="inlineStr">
        <is>
          <t>ILF</t>
        </is>
      </c>
      <c r="J268" s="99" t="inlineStr">
        <is>
          <t>删除</t>
        </is>
      </c>
      <c r="K268" s="108" t="inlineStr">
        <is>
          <t>数据库表未被本系统所维护</t>
        </is>
      </c>
      <c r="L268" s="83">
        <f>IF(OR(X268="估算法",X268="算法类",X268="无法识别"),"",IF(V268="",IF(OR(I268="EI",I268="EO",I268="EQ"),0,""),LEN(V268)-LEN(SUBSTITUTE(V268,"、",""))+1))</f>
        <v/>
      </c>
      <c r="M268" s="83">
        <f>IF(OR(X268="估算法",X268="算法类",X268="无法识别"),"",IF(W268="",IF(OR(I268="ILF",I268="EIF"),0,""),LEN(W268)-LEN(SUBSTITUTE(W268,"、",""))+1))</f>
        <v/>
      </c>
      <c r="N268" s="83">
        <f>IF(OR(X268="估算法",X268="算法类",X268="无法识别"),"",IF(X268="",IF(OR(I268="ILF",I268="EIF",I268="EI",I268="EO",I268="EQ"),0,""),LEN(X268)-LEN(SUBSTITUTE(SUBSTITUTE(SUBSTITUTE(SUBSTITUTE(SUBSTITUTE(X268,"|}","--"),"{|","--"),CHAR(10),""),"、",""),"|",""))+IF(AND(OR(I268="EI",I268="EO",I268="EQ"),$AD$1="NESMA"),2,1)))</f>
        <v/>
      </c>
      <c r="O268" s="84">
        <f>IF(I268="EI",IF(OR(X268="估算法",X268="算法类"),"中",IF(X268="无法识别","低",IF(L268&lt;2,IF(N268&lt;16,"低","中"),IF(L268&lt;3,IF(N268&lt;5,"低",IF(N268&lt;16,"中","高")),IF(N268&lt;5,"中","高"))))),IF(OR(I268="EO",I268="EQ"),IF(OR(X268="估算法",X268="算法类"),"中",IF(X268="无法识别","低",IF(L268&lt;2,IF(N268&lt;20,"低","中"),IF(L268&lt;4,IF(N268&lt;6,"低",IF(N268&lt;20,"中","高")),IF(N268&lt;6,"中","高"))))),IF(OR(I268="ILF",I268="EIF"),IF(OR(X268="估算法",X268="算法类",X268="无法识别"),"低",IF(M268&lt;2,IF(N268&lt;51,"低","中"),IF(M268&lt;6,IF(N268&lt;20,"低",IF(N268&lt;51,"中","高")),IF(N268&lt;20,"中","高")))),"不计算")))</f>
        <v/>
      </c>
      <c r="P268" s="142">
        <f>IFERROR(IF(I268="EI",IF(O268="低",3,IF(O268="中",4,6)),IF(I268="EO",IF(O268="低",4,IF(O268="中",5,7)),IF(I268="EQ",IF(O268="低",3,IF(O268="中",4,6)),IF(I268="ILF",IF(O268="低",7,IF(O268="中",10,15)),IF(I268="EIF",IF(O268="低",5,IF(O268="中",7,10)),"不计算")))))*Q268,"不计算")</f>
        <v/>
      </c>
      <c r="Q268" s="142" t="n">
        <v>0</v>
      </c>
      <c r="R268" s="143">
        <f>调整因子!$F$13</f>
        <v/>
      </c>
      <c r="S268" s="70" t="n">
        <v>1</v>
      </c>
      <c r="T268" s="144">
        <f>IFERROR(P268*R268,0)</f>
        <v/>
      </c>
      <c r="U268" s="144">
        <f>T268*S268</f>
        <v/>
      </c>
      <c r="V268" s="89" t="n"/>
      <c r="W268" s="88" t="inlineStr">
        <is>
          <t>流程定义属性表</t>
        </is>
      </c>
      <c r="X268" s="88" t="inlineStr">
        <is>
          <t>流程定义属性表{属性ID、流程定义ID、属性名称、值}</t>
        </is>
      </c>
      <c r="Y268" s="88">
        <f>IF(COUNTIFS(V:V,"*"&amp;H268&amp;"*")&gt;0,"存在","不存在")</f>
        <v/>
      </c>
      <c r="Z268" s="88">
        <f>IF(COUNTIFS(AA:AA,"*"&amp;H268&amp;"*")&gt;0,"存在","不存在")</f>
        <v/>
      </c>
      <c r="AA268" s="96" t="inlineStr">
        <is>
          <t>扫描策略模板表、提醒策略配置表</t>
        </is>
      </c>
    </row>
    <row r="269" ht="10.8" customFormat="1" customHeight="1" s="63">
      <c r="A269" s="69">
        <f>ROW()-1</f>
        <v/>
      </c>
      <c r="B269" s="53" t="n"/>
      <c r="C269" s="78" t="n">
        <v>2025</v>
      </c>
      <c r="D269" s="78" t="inlineStr">
        <is>
          <t>张明峰</t>
        </is>
      </c>
      <c r="E269" s="53" t="n"/>
      <c r="F269" s="53" t="n"/>
      <c r="G269" s="53" t="n"/>
      <c r="H269" s="81" t="inlineStr">
        <is>
          <t>流程定义权限表</t>
        </is>
      </c>
      <c r="I269" s="76" t="inlineStr">
        <is>
          <t>ILF</t>
        </is>
      </c>
      <c r="J269" s="99" t="inlineStr">
        <is>
          <t>删除</t>
        </is>
      </c>
      <c r="K269" s="108" t="inlineStr">
        <is>
          <t>数据库表未被本系统所维护</t>
        </is>
      </c>
      <c r="L269" s="83">
        <f>IF(OR(X269="估算法",X269="算法类",X269="无法识别"),"",IF(V269="",IF(OR(I269="EI",I269="EO",I269="EQ"),0,""),LEN(V269)-LEN(SUBSTITUTE(V269,"、",""))+1))</f>
        <v/>
      </c>
      <c r="M269" s="83">
        <f>IF(OR(X269="估算法",X269="算法类",X269="无法识别"),"",IF(W269="",IF(OR(I269="ILF",I269="EIF"),0,""),LEN(W269)-LEN(SUBSTITUTE(W269,"、",""))+1))</f>
        <v/>
      </c>
      <c r="N269" s="83">
        <f>IF(OR(X269="估算法",X269="算法类",X269="无法识别"),"",IF(X269="",IF(OR(I269="ILF",I269="EIF",I269="EI",I269="EO",I269="EQ"),0,""),LEN(X269)-LEN(SUBSTITUTE(SUBSTITUTE(SUBSTITUTE(SUBSTITUTE(SUBSTITUTE(X269,"|}","--"),"{|","--"),CHAR(10),""),"、",""),"|",""))+IF(AND(OR(I269="EI",I269="EO",I269="EQ"),$AD$1="NESMA"),2,1)))</f>
        <v/>
      </c>
      <c r="O269" s="84">
        <f>IF(I269="EI",IF(OR(X269="估算法",X269="算法类"),"中",IF(X269="无法识别","低",IF(L269&lt;2,IF(N269&lt;16,"低","中"),IF(L269&lt;3,IF(N269&lt;5,"低",IF(N269&lt;16,"中","高")),IF(N269&lt;5,"中","高"))))),IF(OR(I269="EO",I269="EQ"),IF(OR(X269="估算法",X269="算法类"),"中",IF(X269="无法识别","低",IF(L269&lt;2,IF(N269&lt;20,"低","中"),IF(L269&lt;4,IF(N269&lt;6,"低",IF(N269&lt;20,"中","高")),IF(N269&lt;6,"中","高"))))),IF(OR(I269="ILF",I269="EIF"),IF(OR(X269="估算法",X269="算法类",X269="无法识别"),"低",IF(M269&lt;2,IF(N269&lt;51,"低","中"),IF(M269&lt;6,IF(N269&lt;20,"低",IF(N269&lt;51,"中","高")),IF(N269&lt;20,"中","高")))),"不计算")))</f>
        <v/>
      </c>
      <c r="P269" s="142">
        <f>IFERROR(IF(I269="EI",IF(O269="低",3,IF(O269="中",4,6)),IF(I269="EO",IF(O269="低",4,IF(O269="中",5,7)),IF(I269="EQ",IF(O269="低",3,IF(O269="中",4,6)),IF(I269="ILF",IF(O269="低",7,IF(O269="中",10,15)),IF(I269="EIF",IF(O269="低",5,IF(O269="中",7,10)),"不计算")))))*Q269,"不计算")</f>
        <v/>
      </c>
      <c r="Q269" s="142" t="n">
        <v>0</v>
      </c>
      <c r="R269" s="143">
        <f>调整因子!$F$13</f>
        <v/>
      </c>
      <c r="S269" s="70" t="n">
        <v>1</v>
      </c>
      <c r="T269" s="144">
        <f>IFERROR(P269*R269,0)</f>
        <v/>
      </c>
      <c r="U269" s="144">
        <f>T269*S269</f>
        <v/>
      </c>
      <c r="V269" s="89" t="n"/>
      <c r="W269" s="88" t="inlineStr">
        <is>
          <t>流程定义权限表</t>
        </is>
      </c>
      <c r="X269" s="88" t="inlineStr">
        <is>
          <t>流程定义权限表{权限ID、流程定义ID、角色、权限类型}</t>
        </is>
      </c>
      <c r="Y269" s="88">
        <f>IF(COUNTIFS(V:V,"*"&amp;H269&amp;"*")&gt;0,"存在","不存在")</f>
        <v/>
      </c>
      <c r="Z269" s="88">
        <f>IF(COUNTIFS(AA:AA,"*"&amp;H269&amp;"*")&gt;0,"存在","不存在")</f>
        <v/>
      </c>
      <c r="AA269" s="96" t="inlineStr">
        <is>
          <t>扫描策略模板表</t>
        </is>
      </c>
    </row>
    <row r="270" ht="10.8" customFormat="1" customHeight="1" s="63">
      <c r="A270" s="69">
        <f>ROW()-1</f>
        <v/>
      </c>
      <c r="B270" s="53" t="n"/>
      <c r="C270" s="78" t="n">
        <v>2025</v>
      </c>
      <c r="D270" s="78" t="inlineStr">
        <is>
          <t>张明峰</t>
        </is>
      </c>
      <c r="E270" s="53" t="n"/>
      <c r="F270" s="53" t="n"/>
      <c r="G270" s="53" t="n"/>
      <c r="H270" s="81" t="inlineStr">
        <is>
          <t>流程定义BPMN表</t>
        </is>
      </c>
      <c r="I270" s="76" t="inlineStr">
        <is>
          <t>ILF</t>
        </is>
      </c>
      <c r="J270" s="99" t="inlineStr">
        <is>
          <t>删除</t>
        </is>
      </c>
      <c r="K270" s="108" t="inlineStr">
        <is>
          <t>数据库表未被本系统所维护</t>
        </is>
      </c>
      <c r="L270" s="83">
        <f>IF(OR(X270="估算法",X270="算法类",X270="无法识别"),"",IF(V270="",IF(OR(I270="EI",I270="EO",I270="EQ"),0,""),LEN(V270)-LEN(SUBSTITUTE(V270,"、",""))+1))</f>
        <v/>
      </c>
      <c r="M270" s="83">
        <f>IF(OR(X270="估算法",X270="算法类",X270="无法识别"),"",IF(W270="",IF(OR(I270="ILF",I270="EIF"),0,""),LEN(W270)-LEN(SUBSTITUTE(W270,"、",""))+1))</f>
        <v/>
      </c>
      <c r="N270" s="83">
        <f>IF(OR(X270="估算法",X270="算法类",X270="无法识别"),"",IF(X270="",IF(OR(I270="ILF",I270="EIF",I270="EI",I270="EO",I270="EQ"),0,""),LEN(X270)-LEN(SUBSTITUTE(SUBSTITUTE(SUBSTITUTE(SUBSTITUTE(SUBSTITUTE(X270,"|}","--"),"{|","--"),CHAR(10),""),"、",""),"|",""))+IF(AND(OR(I270="EI",I270="EO",I270="EQ"),$AD$1="NESMA"),2,1)))</f>
        <v/>
      </c>
      <c r="O270" s="84">
        <f>IF(I270="EI",IF(OR(X270="估算法",X270="算法类"),"中",IF(X270="无法识别","低",IF(L270&lt;2,IF(N270&lt;16,"低","中"),IF(L270&lt;3,IF(N270&lt;5,"低",IF(N270&lt;16,"中","高")),IF(N270&lt;5,"中","高"))))),IF(OR(I270="EO",I270="EQ"),IF(OR(X270="估算法",X270="算法类"),"中",IF(X270="无法识别","低",IF(L270&lt;2,IF(N270&lt;20,"低","中"),IF(L270&lt;4,IF(N270&lt;6,"低",IF(N270&lt;20,"中","高")),IF(N270&lt;6,"中","高"))))),IF(OR(I270="ILF",I270="EIF"),IF(OR(X270="估算法",X270="算法类",X270="无法识别"),"低",IF(M270&lt;2,IF(N270&lt;51,"低","中"),IF(M270&lt;6,IF(N270&lt;20,"低",IF(N270&lt;51,"中","高")),IF(N270&lt;20,"中","高")))),"不计算")))</f>
        <v/>
      </c>
      <c r="P270" s="142">
        <f>IFERROR(IF(I270="EI",IF(O270="低",3,IF(O270="中",4,6)),IF(I270="EO",IF(O270="低",4,IF(O270="中",5,7)),IF(I270="EQ",IF(O270="低",3,IF(O270="中",4,6)),IF(I270="ILF",IF(O270="低",7,IF(O270="中",10,15)),IF(I270="EIF",IF(O270="低",5,IF(O270="中",7,10)),"不计算")))))*Q270,"不计算")</f>
        <v/>
      </c>
      <c r="Q270" s="142" t="n">
        <v>0</v>
      </c>
      <c r="R270" s="143">
        <f>调整因子!$F$13</f>
        <v/>
      </c>
      <c r="S270" s="76" t="n">
        <v>1</v>
      </c>
      <c r="T270" s="144">
        <f>IFERROR(P270*R270,0)</f>
        <v/>
      </c>
      <c r="U270" s="144">
        <f>T270*S270</f>
        <v/>
      </c>
      <c r="V270" s="89" t="n"/>
      <c r="W270" s="88" t="inlineStr">
        <is>
          <t>流程定义BPMN表</t>
        </is>
      </c>
      <c r="X270" s="88" t="inlineStr">
        <is>
          <t>流程定义BPMN表{BPMNID、流程定义ID、BPMN内容}</t>
        </is>
      </c>
      <c r="Y270" s="88">
        <f>IF(COUNTIFS(V:V,"*"&amp;H270&amp;"*")&gt;0,"存在","不存在")</f>
        <v/>
      </c>
      <c r="Z270" s="88">
        <f>IF(COUNTIFS(AA:AA,"*"&amp;H270&amp;"*")&gt;0,"存在","不存在")</f>
        <v/>
      </c>
      <c r="AA270" s="96" t="inlineStr">
        <is>
          <t>扫描策略模板表、提醒策略配置表</t>
        </is>
      </c>
    </row>
    <row r="271" ht="10.8" customFormat="1" customHeight="1" s="63">
      <c r="A271" s="69">
        <f>ROW()-1</f>
        <v/>
      </c>
      <c r="B271" s="53" t="n"/>
      <c r="C271" s="78" t="n">
        <v>2025</v>
      </c>
      <c r="D271" s="78" t="inlineStr">
        <is>
          <t>张明峰</t>
        </is>
      </c>
      <c r="E271" s="53" t="n"/>
      <c r="F271" s="53" t="n"/>
      <c r="G271" s="53" t="n"/>
      <c r="H271" s="81" t="inlineStr">
        <is>
          <t>流程定义按钮表</t>
        </is>
      </c>
      <c r="I271" s="76" t="inlineStr">
        <is>
          <t>ILF</t>
        </is>
      </c>
      <c r="J271" s="99" t="inlineStr">
        <is>
          <t>删除</t>
        </is>
      </c>
      <c r="K271" s="108" t="inlineStr">
        <is>
          <t>数据库表未被本系统所维护</t>
        </is>
      </c>
      <c r="L271" s="83">
        <f>IF(OR(X271="估算法",X271="算法类",X271="无法识别"),"",IF(V271="",IF(OR(I271="EI",I271="EO",I271="EQ"),0,""),LEN(V271)-LEN(SUBSTITUTE(V271,"、",""))+1))</f>
        <v/>
      </c>
      <c r="M271" s="83">
        <f>IF(OR(X271="估算法",X271="算法类",X271="无法识别"),"",IF(W271="",IF(OR(I271="ILF",I271="EIF"),0,""),LEN(W271)-LEN(SUBSTITUTE(W271,"、",""))+1))</f>
        <v/>
      </c>
      <c r="N271" s="83">
        <f>IF(OR(X271="估算法",X271="算法类",X271="无法识别"),"",IF(X271="",IF(OR(I271="ILF",I271="EIF",I271="EI",I271="EO",I271="EQ"),0,""),LEN(X271)-LEN(SUBSTITUTE(SUBSTITUTE(SUBSTITUTE(SUBSTITUTE(SUBSTITUTE(X271,"|}","--"),"{|","--"),CHAR(10),""),"、",""),"|",""))+IF(AND(OR(I271="EI",I271="EO",I271="EQ"),$AD$1="NESMA"),2,1)))</f>
        <v/>
      </c>
      <c r="O271" s="84">
        <f>IF(I271="EI",IF(OR(X271="估算法",X271="算法类"),"中",IF(X271="无法识别","低",IF(L271&lt;2,IF(N271&lt;16,"低","中"),IF(L271&lt;3,IF(N271&lt;5,"低",IF(N271&lt;16,"中","高")),IF(N271&lt;5,"中","高"))))),IF(OR(I271="EO",I271="EQ"),IF(OR(X271="估算法",X271="算法类"),"中",IF(X271="无法识别","低",IF(L271&lt;2,IF(N271&lt;20,"低","中"),IF(L271&lt;4,IF(N271&lt;6,"低",IF(N271&lt;20,"中","高")),IF(N271&lt;6,"中","高"))))),IF(OR(I271="ILF",I271="EIF"),IF(OR(X271="估算法",X271="算法类",X271="无法识别"),"低",IF(M271&lt;2,IF(N271&lt;51,"低","中"),IF(M271&lt;6,IF(N271&lt;20,"低",IF(N271&lt;51,"中","高")),IF(N271&lt;20,"中","高")))),"不计算")))</f>
        <v/>
      </c>
      <c r="P271" s="142">
        <f>IFERROR(IF(I271="EI",IF(O271="低",3,IF(O271="中",4,6)),IF(I271="EO",IF(O271="低",4,IF(O271="中",5,7)),IF(I271="EQ",IF(O271="低",3,IF(O271="中",4,6)),IF(I271="ILF",IF(O271="低",7,IF(O271="中",10,15)),IF(I271="EIF",IF(O271="低",5,IF(O271="中",7,10)),"不计算")))))*Q271,"不计算")</f>
        <v/>
      </c>
      <c r="Q271" s="142" t="n">
        <v>0</v>
      </c>
      <c r="R271" s="143">
        <f>调整因子!$F$13</f>
        <v/>
      </c>
      <c r="S271" s="70" t="n">
        <v>1</v>
      </c>
      <c r="T271" s="144">
        <f>IFERROR(P271*R271,0)</f>
        <v/>
      </c>
      <c r="U271" s="144">
        <f>T271*S271</f>
        <v/>
      </c>
      <c r="V271" s="89" t="n"/>
      <c r="W271" s="88" t="inlineStr">
        <is>
          <t>流程定义按钮表</t>
        </is>
      </c>
      <c r="X271" s="88" t="inlineStr">
        <is>
          <t>流程定义按钮表{按钮ID、流程定义ID、按钮名称、按钮动作}</t>
        </is>
      </c>
      <c r="Y271" s="88">
        <f>IF(COUNTIFS(V:V,"*"&amp;H271&amp;"*")&gt;0,"存在","不存在")</f>
        <v/>
      </c>
      <c r="Z271" s="88">
        <f>IF(COUNTIFS(AA:AA,"*"&amp;H271&amp;"*")&gt;0,"存在","不存在")</f>
        <v/>
      </c>
      <c r="AA271" s="96" t="inlineStr">
        <is>
          <t>扫描策略模板表</t>
        </is>
      </c>
    </row>
    <row r="272" ht="10.8" customFormat="1" customHeight="1" s="63">
      <c r="A272" s="69">
        <f>ROW()-1</f>
        <v/>
      </c>
      <c r="B272" s="53" t="n"/>
      <c r="C272" s="78" t="n">
        <v>2025</v>
      </c>
      <c r="D272" s="78" t="inlineStr">
        <is>
          <t>张明峰</t>
        </is>
      </c>
      <c r="E272" s="53" t="n"/>
      <c r="F272" s="53" t="n"/>
      <c r="G272" s="53" t="n"/>
      <c r="H272" s="81" t="inlineStr">
        <is>
          <t>流程定义事件表</t>
        </is>
      </c>
      <c r="I272" s="76" t="inlineStr">
        <is>
          <t>ILF</t>
        </is>
      </c>
      <c r="J272" s="99" t="inlineStr">
        <is>
          <t>删除</t>
        </is>
      </c>
      <c r="K272" s="108" t="inlineStr">
        <is>
          <t>数据库表未被本系统所维护</t>
        </is>
      </c>
      <c r="L272" s="83">
        <f>IF(OR(X272="估算法",X272="算法类",X272="无法识别"),"",IF(V272="",IF(OR(I272="EI",I272="EO",I272="EQ"),0,""),LEN(V272)-LEN(SUBSTITUTE(V272,"、",""))+1))</f>
        <v/>
      </c>
      <c r="M272" s="83">
        <f>IF(OR(X272="估算法",X272="算法类",X272="无法识别"),"",IF(W272="",IF(OR(I272="ILF",I272="EIF"),0,""),LEN(W272)-LEN(SUBSTITUTE(W272,"、",""))+1))</f>
        <v/>
      </c>
      <c r="N272" s="83">
        <f>IF(OR(X272="估算法",X272="算法类",X272="无法识别"),"",IF(X272="",IF(OR(I272="ILF",I272="EIF",I272="EI",I272="EO",I272="EQ"),0,""),LEN(X272)-LEN(SUBSTITUTE(SUBSTITUTE(SUBSTITUTE(SUBSTITUTE(SUBSTITUTE(X272,"|}","--"),"{|","--"),CHAR(10),""),"、",""),"|",""))+IF(AND(OR(I272="EI",I272="EO",I272="EQ"),$AD$1="NESMA"),2,1)))</f>
        <v/>
      </c>
      <c r="O272" s="84">
        <f>IF(I272="EI",IF(OR(X272="估算法",X272="算法类"),"中",IF(X272="无法识别","低",IF(L272&lt;2,IF(N272&lt;16,"低","中"),IF(L272&lt;3,IF(N272&lt;5,"低",IF(N272&lt;16,"中","高")),IF(N272&lt;5,"中","高"))))),IF(OR(I272="EO",I272="EQ"),IF(OR(X272="估算法",X272="算法类"),"中",IF(X272="无法识别","低",IF(L272&lt;2,IF(N272&lt;20,"低","中"),IF(L272&lt;4,IF(N272&lt;6,"低",IF(N272&lt;20,"中","高")),IF(N272&lt;6,"中","高"))))),IF(OR(I272="ILF",I272="EIF"),IF(OR(X272="估算法",X272="算法类",X272="无法识别"),"低",IF(M272&lt;2,IF(N272&lt;51,"低","中"),IF(M272&lt;6,IF(N272&lt;20,"低",IF(N272&lt;51,"中","高")),IF(N272&lt;20,"中","高")))),"不计算")))</f>
        <v/>
      </c>
      <c r="P272" s="142">
        <f>IFERROR(IF(I272="EI",IF(O272="低",3,IF(O272="中",4,6)),IF(I272="EO",IF(O272="低",4,IF(O272="中",5,7)),IF(I272="EQ",IF(O272="低",3,IF(O272="中",4,6)),IF(I272="ILF",IF(O272="低",7,IF(O272="中",10,15)),IF(I272="EIF",IF(O272="低",5,IF(O272="中",7,10)),"不计算")))))*Q272,"不计算")</f>
        <v/>
      </c>
      <c r="Q272" s="142" t="n">
        <v>0</v>
      </c>
      <c r="R272" s="143">
        <f>调整因子!$F$13</f>
        <v/>
      </c>
      <c r="S272" s="70" t="n">
        <v>1</v>
      </c>
      <c r="T272" s="144">
        <f>IFERROR(P272*R272,0)</f>
        <v/>
      </c>
      <c r="U272" s="144">
        <f>T272*S272</f>
        <v/>
      </c>
      <c r="V272" s="89" t="n"/>
      <c r="W272" s="88" t="inlineStr">
        <is>
          <t>流程定义事件表</t>
        </is>
      </c>
      <c r="X272" s="88" t="inlineStr">
        <is>
          <t>流程定义事件表{事件ID、流程定义ID、事件名称、事件处理程序}</t>
        </is>
      </c>
      <c r="Y272" s="88">
        <f>IF(COUNTIFS(V:V,"*"&amp;H272&amp;"*")&gt;0,"存在","不存在")</f>
        <v/>
      </c>
      <c r="Z272" s="88">
        <f>IF(COUNTIFS(AA:AA,"*"&amp;H272&amp;"*")&gt;0,"存在","不存在")</f>
        <v/>
      </c>
      <c r="AA272" s="96" t="inlineStr">
        <is>
          <t>验证任务表</t>
        </is>
      </c>
    </row>
    <row r="273" ht="10.8" customFormat="1" customHeight="1" s="63">
      <c r="A273" s="69">
        <f>ROW()-1</f>
        <v/>
      </c>
      <c r="B273" s="53" t="n"/>
      <c r="C273" s="78" t="n">
        <v>2025</v>
      </c>
      <c r="D273" s="78" t="inlineStr">
        <is>
          <t>张明峰</t>
        </is>
      </c>
      <c r="E273" s="53" t="n"/>
      <c r="F273" s="53" t="n"/>
      <c r="G273" s="53" t="n"/>
      <c r="H273" s="81" t="inlineStr">
        <is>
          <t>流程定义表单初始化表</t>
        </is>
      </c>
      <c r="I273" s="76" t="inlineStr">
        <is>
          <t>ILF</t>
        </is>
      </c>
      <c r="J273" s="99" t="inlineStr">
        <is>
          <t>删除</t>
        </is>
      </c>
      <c r="K273" s="108" t="inlineStr">
        <is>
          <t>数据库表未被本系统所维护</t>
        </is>
      </c>
      <c r="L273" s="83">
        <f>IF(OR(X273="估算法",X273="算法类",X273="无法识别"),"",IF(V273="",IF(OR(I273="EI",I273="EO",I273="EQ"),0,""),LEN(V273)-LEN(SUBSTITUTE(V273,"、",""))+1))</f>
        <v/>
      </c>
      <c r="M273" s="83">
        <f>IF(OR(X273="估算法",X273="算法类",X273="无法识别"),"",IF(W273="",IF(OR(I273="ILF",I273="EIF"),0,""),LEN(W273)-LEN(SUBSTITUTE(W273,"、",""))+1))</f>
        <v/>
      </c>
      <c r="N273" s="83">
        <f>IF(OR(X273="估算法",X273="算法类",X273="无法识别"),"",IF(X273="",IF(OR(I273="ILF",I273="EIF",I273="EI",I273="EO",I273="EQ"),0,""),LEN(X273)-LEN(SUBSTITUTE(SUBSTITUTE(SUBSTITUTE(SUBSTITUTE(SUBSTITUTE(X273,"|}","--"),"{|","--"),CHAR(10),""),"、",""),"|",""))+IF(AND(OR(I273="EI",I273="EO",I273="EQ"),$AD$1="NESMA"),2,1)))</f>
        <v/>
      </c>
      <c r="O273" s="84">
        <f>IF(I273="EI",IF(OR(X273="估算法",X273="算法类"),"中",IF(X273="无法识别","低",IF(L273&lt;2,IF(N273&lt;16,"低","中"),IF(L273&lt;3,IF(N273&lt;5,"低",IF(N273&lt;16,"中","高")),IF(N273&lt;5,"中","高"))))),IF(OR(I273="EO",I273="EQ"),IF(OR(X273="估算法",X273="算法类"),"中",IF(X273="无法识别","低",IF(L273&lt;2,IF(N273&lt;20,"低","中"),IF(L273&lt;4,IF(N273&lt;6,"低",IF(N273&lt;20,"中","高")),IF(N273&lt;6,"中","高"))))),IF(OR(I273="ILF",I273="EIF"),IF(OR(X273="估算法",X273="算法类",X273="无法识别"),"低",IF(M273&lt;2,IF(N273&lt;51,"低","中"),IF(M273&lt;6,IF(N273&lt;20,"低",IF(N273&lt;51,"中","高")),IF(N273&lt;20,"中","高")))),"不计算")))</f>
        <v/>
      </c>
      <c r="P273" s="142">
        <f>IFERROR(IF(I273="EI",IF(O273="低",3,IF(O273="中",4,6)),IF(I273="EO",IF(O273="低",4,IF(O273="中",5,7)),IF(I273="EQ",IF(O273="低",3,IF(O273="中",4,6)),IF(I273="ILF",IF(O273="低",7,IF(O273="中",10,15)),IF(I273="EIF",IF(O273="低",5,IF(O273="中",7,10)),"不计算")))))*Q273,"不计算")</f>
        <v/>
      </c>
      <c r="Q273" s="142" t="n">
        <v>0</v>
      </c>
      <c r="R273" s="143">
        <f>调整因子!$F$13</f>
        <v/>
      </c>
      <c r="S273" s="76" t="n">
        <v>1</v>
      </c>
      <c r="T273" s="144">
        <f>IFERROR(P273*R273,0)</f>
        <v/>
      </c>
      <c r="U273" s="144">
        <f>T273*S273</f>
        <v/>
      </c>
      <c r="V273" s="89" t="n"/>
      <c r="W273" s="88" t="inlineStr">
        <is>
          <t>流程定义表单初始化表</t>
        </is>
      </c>
      <c r="X273" s="88" t="inlineStr">
        <is>
          <t>流程定义表单初始化表{初始化ID、流程定义ID、表单内容、创建时间}</t>
        </is>
      </c>
      <c r="Y273" s="88">
        <f>IF(COUNTIFS(V:V,"*"&amp;H273&amp;"*")&gt;0,"存在","不存在")</f>
        <v/>
      </c>
      <c r="Z273" s="88">
        <f>IF(COUNTIFS(AA:AA,"*"&amp;H273&amp;"*")&gt;0,"存在","不存在")</f>
        <v/>
      </c>
      <c r="AA273" s="96" t="inlineStr">
        <is>
          <t>数据清洗任务表、资产同步任务表</t>
        </is>
      </c>
    </row>
    <row r="274" ht="10.8" customFormat="1" customHeight="1" s="63">
      <c r="A274" s="69">
        <f>ROW()-1</f>
        <v/>
      </c>
      <c r="B274" s="53" t="n"/>
      <c r="C274" s="78" t="n">
        <v>2025</v>
      </c>
      <c r="D274" s="78" t="inlineStr">
        <is>
          <t>张明峰</t>
        </is>
      </c>
      <c r="E274" s="53" t="n"/>
      <c r="F274" s="53" t="n"/>
      <c r="G274" s="53" t="n"/>
      <c r="H274" s="81" t="inlineStr">
        <is>
          <t>流程定义表单角色表</t>
        </is>
      </c>
      <c r="I274" s="76" t="inlineStr">
        <is>
          <t>ILF</t>
        </is>
      </c>
      <c r="J274" s="99" t="inlineStr">
        <is>
          <t>删除</t>
        </is>
      </c>
      <c r="K274" s="108" t="inlineStr">
        <is>
          <t>数据库表未被本系统所维护</t>
        </is>
      </c>
      <c r="L274" s="83">
        <f>IF(OR(X274="估算法",X274="算法类",X274="无法识别"),"",IF(V274="",IF(OR(I274="EI",I274="EO",I274="EQ"),0,""),LEN(V274)-LEN(SUBSTITUTE(V274,"、",""))+1))</f>
        <v/>
      </c>
      <c r="M274" s="83">
        <f>IF(OR(X274="估算法",X274="算法类",X274="无法识别"),"",IF(W274="",IF(OR(I274="ILF",I274="EIF"),0,""),LEN(W274)-LEN(SUBSTITUTE(W274,"、",""))+1))</f>
        <v/>
      </c>
      <c r="N274" s="83">
        <f>IF(OR(X274="估算法",X274="算法类",X274="无法识别"),"",IF(X274="",IF(OR(I274="ILF",I274="EIF",I274="EI",I274="EO",I274="EQ"),0,""),LEN(X274)-LEN(SUBSTITUTE(SUBSTITUTE(SUBSTITUTE(SUBSTITUTE(SUBSTITUTE(X274,"|}","--"),"{|","--"),CHAR(10),""),"、",""),"|",""))+IF(AND(OR(I274="EI",I274="EO",I274="EQ"),$AD$1="NESMA"),2,1)))</f>
        <v/>
      </c>
      <c r="O274" s="84">
        <f>IF(I274="EI",IF(OR(X274="估算法",X274="算法类"),"中",IF(X274="无法识别","低",IF(L274&lt;2,IF(N274&lt;16,"低","中"),IF(L274&lt;3,IF(N274&lt;5,"低",IF(N274&lt;16,"中","高")),IF(N274&lt;5,"中","高"))))),IF(OR(I274="EO",I274="EQ"),IF(OR(X274="估算法",X274="算法类"),"中",IF(X274="无法识别","低",IF(L274&lt;2,IF(N274&lt;20,"低","中"),IF(L274&lt;4,IF(N274&lt;6,"低",IF(N274&lt;20,"中","高")),IF(N274&lt;6,"中","高"))))),IF(OR(I274="ILF",I274="EIF"),IF(OR(X274="估算法",X274="算法类",X274="无法识别"),"低",IF(M274&lt;2,IF(N274&lt;51,"低","中"),IF(M274&lt;6,IF(N274&lt;20,"低",IF(N274&lt;51,"中","高")),IF(N274&lt;20,"中","高")))),"不计算")))</f>
        <v/>
      </c>
      <c r="P274" s="142">
        <f>IFERROR(IF(I274="EI",IF(O274="低",3,IF(O274="中",4,6)),IF(I274="EO",IF(O274="低",4,IF(O274="中",5,7)),IF(I274="EQ",IF(O274="低",3,IF(O274="中",4,6)),IF(I274="ILF",IF(O274="低",7,IF(O274="中",10,15)),IF(I274="EIF",IF(O274="低",5,IF(O274="中",7,10)),"不计算")))))*Q274,"不计算")</f>
        <v/>
      </c>
      <c r="Q274" s="142" t="n">
        <v>0</v>
      </c>
      <c r="R274" s="143">
        <f>调整因子!$F$13</f>
        <v/>
      </c>
      <c r="S274" s="70" t="n">
        <v>1</v>
      </c>
      <c r="T274" s="144">
        <f>IFERROR(P274*R274,0)</f>
        <v/>
      </c>
      <c r="U274" s="144">
        <f>T274*S274</f>
        <v/>
      </c>
      <c r="V274" s="89" t="n"/>
      <c r="W274" s="88" t="inlineStr">
        <is>
          <t>流程定义表单角色表</t>
        </is>
      </c>
      <c r="X274" s="88" t="inlineStr">
        <is>
          <t>流程定义表单角色表{角色ID、流程定义ID、角色名称、权限}</t>
        </is>
      </c>
      <c r="Y274" s="88">
        <f>IF(COUNTIFS(V:V,"*"&amp;H274&amp;"*")&gt;0,"存在","不存在")</f>
        <v/>
      </c>
      <c r="Z274" s="88">
        <f>IF(COUNTIFS(AA:AA,"*"&amp;H274&amp;"*")&gt;0,"存在","不存在")</f>
        <v/>
      </c>
      <c r="AA274" s="96" t="inlineStr">
        <is>
          <t>数据清洗任务表、资产同步任务表</t>
        </is>
      </c>
    </row>
    <row r="275" ht="10.8" customFormat="1" customHeight="1" s="63">
      <c r="A275" s="69">
        <f>ROW()-1</f>
        <v/>
      </c>
      <c r="B275" s="53" t="n"/>
      <c r="C275" s="78" t="n">
        <v>2025</v>
      </c>
      <c r="D275" s="78" t="inlineStr">
        <is>
          <t>张明峰</t>
        </is>
      </c>
      <c r="E275" s="53" t="n"/>
      <c r="F275" s="53" t="n"/>
      <c r="G275" s="53" t="n"/>
      <c r="H275" s="81" t="inlineStr">
        <is>
          <t>流程定义通知表</t>
        </is>
      </c>
      <c r="I275" s="76" t="inlineStr">
        <is>
          <t>ILF</t>
        </is>
      </c>
      <c r="J275" s="99" t="inlineStr">
        <is>
          <t>删除</t>
        </is>
      </c>
      <c r="K275" s="108" t="inlineStr">
        <is>
          <t>数据库表未被本系统所维护</t>
        </is>
      </c>
      <c r="L275" s="83">
        <f>IF(OR(X275="估算法",X275="算法类",X275="无法识别"),"",IF(V275="",IF(OR(I275="EI",I275="EO",I275="EQ"),0,""),LEN(V275)-LEN(SUBSTITUTE(V275,"、",""))+1))</f>
        <v/>
      </c>
      <c r="M275" s="83">
        <f>IF(OR(X275="估算法",X275="算法类",X275="无法识别"),"",IF(W275="",IF(OR(I275="ILF",I275="EIF"),0,""),LEN(W275)-LEN(SUBSTITUTE(W275,"、",""))+1))</f>
        <v/>
      </c>
      <c r="N275" s="83">
        <f>IF(OR(X275="估算法",X275="算法类",X275="无法识别"),"",IF(X275="",IF(OR(I275="ILF",I275="EIF",I275="EI",I275="EO",I275="EQ"),0,""),LEN(X275)-LEN(SUBSTITUTE(SUBSTITUTE(SUBSTITUTE(SUBSTITUTE(SUBSTITUTE(X275,"|}","--"),"{|","--"),CHAR(10),""),"、",""),"|",""))+IF(AND(OR(I275="EI",I275="EO",I275="EQ"),$AD$1="NESMA"),2,1)))</f>
        <v/>
      </c>
      <c r="O275" s="84">
        <f>IF(I275="EI",IF(OR(X275="估算法",X275="算法类"),"中",IF(X275="无法识别","低",IF(L275&lt;2,IF(N275&lt;16,"低","中"),IF(L275&lt;3,IF(N275&lt;5,"低",IF(N275&lt;16,"中","高")),IF(N275&lt;5,"中","高"))))),IF(OR(I275="EO",I275="EQ"),IF(OR(X275="估算法",X275="算法类"),"中",IF(X275="无法识别","低",IF(L275&lt;2,IF(N275&lt;20,"低","中"),IF(L275&lt;4,IF(N275&lt;6,"低",IF(N275&lt;20,"中","高")),IF(N275&lt;6,"中","高"))))),IF(OR(I275="ILF",I275="EIF"),IF(OR(X275="估算法",X275="算法类",X275="无法识别"),"低",IF(M275&lt;2,IF(N275&lt;51,"低","中"),IF(M275&lt;6,IF(N275&lt;20,"低",IF(N275&lt;51,"中","高")),IF(N275&lt;20,"中","高")))),"不计算")))</f>
        <v/>
      </c>
      <c r="P275" s="142">
        <f>IFERROR(IF(I275="EI",IF(O275="低",3,IF(O275="中",4,6)),IF(I275="EO",IF(O275="低",4,IF(O275="中",5,7)),IF(I275="EQ",IF(O275="低",3,IF(O275="中",4,6)),IF(I275="ILF",IF(O275="低",7,IF(O275="中",10,15)),IF(I275="EIF",IF(O275="低",5,IF(O275="中",7,10)),"不计算")))))*Q275,"不计算")</f>
        <v/>
      </c>
      <c r="Q275" s="142" t="n">
        <v>0</v>
      </c>
      <c r="R275" s="143">
        <f>调整因子!$F$13</f>
        <v/>
      </c>
      <c r="S275" s="70" t="n">
        <v>1</v>
      </c>
      <c r="T275" s="144">
        <f>IFERROR(P275*R275,0)</f>
        <v/>
      </c>
      <c r="U275" s="144">
        <f>T275*S275</f>
        <v/>
      </c>
      <c r="V275" s="89" t="n"/>
      <c r="W275" s="88" t="inlineStr">
        <is>
          <t>流程定义通知表</t>
        </is>
      </c>
      <c r="X275" s="88" t="inlineStr">
        <is>
          <t>流程定义通知表{通知ID、流程定义ID、通知内容、发送时间}</t>
        </is>
      </c>
      <c r="Y275" s="88">
        <f>IF(COUNTIFS(V:V,"*"&amp;H275&amp;"*")&gt;0,"存在","不存在")</f>
        <v/>
      </c>
      <c r="Z275" s="88">
        <f>IF(COUNTIFS(AA:AA,"*"&amp;H275&amp;"*")&gt;0,"存在","不存在")</f>
        <v/>
      </c>
      <c r="AA275" s="96" t="inlineStr">
        <is>
          <t>数据清洗任务表</t>
        </is>
      </c>
    </row>
    <row r="276" ht="10.8" customFormat="1" customHeight="1" s="63">
      <c r="A276" s="69">
        <f>ROW()-1</f>
        <v/>
      </c>
      <c r="B276" s="53" t="n"/>
      <c r="C276" s="78" t="n">
        <v>2025</v>
      </c>
      <c r="D276" s="78" t="inlineStr">
        <is>
          <t>张明峰</t>
        </is>
      </c>
      <c r="E276" s="53" t="n"/>
      <c r="F276" s="53" t="n"/>
      <c r="G276" s="53" t="n"/>
      <c r="H276" s="81" t="inlineStr">
        <is>
          <t>流程定义提醒表</t>
        </is>
      </c>
      <c r="I276" s="76" t="inlineStr">
        <is>
          <t>ILF</t>
        </is>
      </c>
      <c r="J276" s="99" t="inlineStr">
        <is>
          <t>删除</t>
        </is>
      </c>
      <c r="K276" s="108" t="inlineStr">
        <is>
          <t>数据库表未被本系统所维护</t>
        </is>
      </c>
      <c r="L276" s="83">
        <f>IF(OR(X276="估算法",X276="算法类",X276="无法识别"),"",IF(V276="",IF(OR(I276="EI",I276="EO",I276="EQ"),0,""),LEN(V276)-LEN(SUBSTITUTE(V276,"、",""))+1))</f>
        <v/>
      </c>
      <c r="M276" s="83">
        <f>IF(OR(X276="估算法",X276="算法类",X276="无法识别"),"",IF(W276="",IF(OR(I276="ILF",I276="EIF"),0,""),LEN(W276)-LEN(SUBSTITUTE(W276,"、",""))+1))</f>
        <v/>
      </c>
      <c r="N276" s="83">
        <f>IF(OR(X276="估算法",X276="算法类",X276="无法识别"),"",IF(X276="",IF(OR(I276="ILF",I276="EIF",I276="EI",I276="EO",I276="EQ"),0,""),LEN(X276)-LEN(SUBSTITUTE(SUBSTITUTE(SUBSTITUTE(SUBSTITUTE(SUBSTITUTE(X276,"|}","--"),"{|","--"),CHAR(10),""),"、",""),"|",""))+IF(AND(OR(I276="EI",I276="EO",I276="EQ"),$AD$1="NESMA"),2,1)))</f>
        <v/>
      </c>
      <c r="O276" s="84">
        <f>IF(I276="EI",IF(OR(X276="估算法",X276="算法类"),"中",IF(X276="无法识别","低",IF(L276&lt;2,IF(N276&lt;16,"低","中"),IF(L276&lt;3,IF(N276&lt;5,"低",IF(N276&lt;16,"中","高")),IF(N276&lt;5,"中","高"))))),IF(OR(I276="EO",I276="EQ"),IF(OR(X276="估算法",X276="算法类"),"中",IF(X276="无法识别","低",IF(L276&lt;2,IF(N276&lt;20,"低","中"),IF(L276&lt;4,IF(N276&lt;6,"低",IF(N276&lt;20,"中","高")),IF(N276&lt;6,"中","高"))))),IF(OR(I276="ILF",I276="EIF"),IF(OR(X276="估算法",X276="算法类",X276="无法识别"),"低",IF(M276&lt;2,IF(N276&lt;51,"低","中"),IF(M276&lt;6,IF(N276&lt;20,"低",IF(N276&lt;51,"中","高")),IF(N276&lt;20,"中","高")))),"不计算")))</f>
        <v/>
      </c>
      <c r="P276" s="142">
        <f>IFERROR(IF(I276="EI",IF(O276="低",3,IF(O276="中",4,6)),IF(I276="EO",IF(O276="低",4,IF(O276="中",5,7)),IF(I276="EQ",IF(O276="低",3,IF(O276="中",4,6)),IF(I276="ILF",IF(O276="低",7,IF(O276="中",10,15)),IF(I276="EIF",IF(O276="低",5,IF(O276="中",7,10)),"不计算")))))*Q276,"不计算")</f>
        <v/>
      </c>
      <c r="Q276" s="142" t="n">
        <v>0</v>
      </c>
      <c r="R276" s="143">
        <f>调整因子!$F$13</f>
        <v/>
      </c>
      <c r="S276" s="76" t="n">
        <v>1</v>
      </c>
      <c r="T276" s="144">
        <f>IFERROR(P276*R276,0)</f>
        <v/>
      </c>
      <c r="U276" s="144">
        <f>T276*S276</f>
        <v/>
      </c>
      <c r="V276" s="89" t="n"/>
      <c r="W276" s="88" t="inlineStr">
        <is>
          <t>流程定义提醒表</t>
        </is>
      </c>
      <c r="X276" s="88" t="inlineStr">
        <is>
          <t>流程定义提醒表{提醒ID、流程定义ID、提醒内容、提醒时间}</t>
        </is>
      </c>
      <c r="Y276" s="88">
        <f>IF(COUNTIFS(V:V,"*"&amp;H276&amp;"*")&gt;0,"存在","不存在")</f>
        <v/>
      </c>
      <c r="Z276" s="88">
        <f>IF(COUNTIFS(AA:AA,"*"&amp;H276&amp;"*")&gt;0,"存在","不存在")</f>
        <v/>
      </c>
      <c r="AA276" s="96" t="inlineStr">
        <is>
          <t>扫描策略模板表、提醒策略配置表</t>
        </is>
      </c>
    </row>
    <row r="277" ht="10.8" customFormat="1" customHeight="1" s="63">
      <c r="A277" s="69">
        <f>ROW()-1</f>
        <v/>
      </c>
      <c r="B277" s="53" t="n"/>
      <c r="C277" s="78" t="n">
        <v>2025</v>
      </c>
      <c r="D277" s="78" t="inlineStr">
        <is>
          <t>张明峰</t>
        </is>
      </c>
      <c r="E277" s="53" t="n"/>
      <c r="F277" s="53" t="n"/>
      <c r="G277" s="53" t="n"/>
      <c r="H277" s="81" t="inlineStr">
        <is>
          <t>流程定义变量表</t>
        </is>
      </c>
      <c r="I277" s="76" t="inlineStr">
        <is>
          <t>ILF</t>
        </is>
      </c>
      <c r="J277" s="99" t="inlineStr">
        <is>
          <t>删除</t>
        </is>
      </c>
      <c r="K277" s="108" t="inlineStr">
        <is>
          <t>数据库表未被本系统所维护</t>
        </is>
      </c>
      <c r="L277" s="83">
        <f>IF(OR(X277="估算法",X277="算法类",X277="无法识别"),"",IF(V277="",IF(OR(I277="EI",I277="EO",I277="EQ"),0,""),LEN(V277)-LEN(SUBSTITUTE(V277,"、",""))+1))</f>
        <v/>
      </c>
      <c r="M277" s="83">
        <f>IF(OR(X277="估算法",X277="算法类",X277="无法识别"),"",IF(W277="",IF(OR(I277="ILF",I277="EIF"),0,""),LEN(W277)-LEN(SUBSTITUTE(W277,"、",""))+1))</f>
        <v/>
      </c>
      <c r="N277" s="83">
        <f>IF(OR(X277="估算法",X277="算法类",X277="无法识别"),"",IF(X277="",IF(OR(I277="ILF",I277="EIF",I277="EI",I277="EO",I277="EQ"),0,""),LEN(X277)-LEN(SUBSTITUTE(SUBSTITUTE(SUBSTITUTE(SUBSTITUTE(SUBSTITUTE(X277,"|}","--"),"{|","--"),CHAR(10),""),"、",""),"|",""))+IF(AND(OR(I277="EI",I277="EO",I277="EQ"),$AD$1="NESMA"),2,1)))</f>
        <v/>
      </c>
      <c r="O277" s="84">
        <f>IF(I277="EI",IF(OR(X277="估算法",X277="算法类"),"中",IF(X277="无法识别","低",IF(L277&lt;2,IF(N277&lt;16,"低","中"),IF(L277&lt;3,IF(N277&lt;5,"低",IF(N277&lt;16,"中","高")),IF(N277&lt;5,"中","高"))))),IF(OR(I277="EO",I277="EQ"),IF(OR(X277="估算法",X277="算法类"),"中",IF(X277="无法识别","低",IF(L277&lt;2,IF(N277&lt;20,"低","中"),IF(L277&lt;4,IF(N277&lt;6,"低",IF(N277&lt;20,"中","高")),IF(N277&lt;6,"中","高"))))),IF(OR(I277="ILF",I277="EIF"),IF(OR(X277="估算法",X277="算法类",X277="无法识别"),"低",IF(M277&lt;2,IF(N277&lt;51,"低","中"),IF(M277&lt;6,IF(N277&lt;20,"低",IF(N277&lt;51,"中","高")),IF(N277&lt;20,"中","高")))),"不计算")))</f>
        <v/>
      </c>
      <c r="P277" s="142">
        <f>IFERROR(IF(I277="EI",IF(O277="低",3,IF(O277="中",4,6)),IF(I277="EO",IF(O277="低",4,IF(O277="中",5,7)),IF(I277="EQ",IF(O277="低",3,IF(O277="中",4,6)),IF(I277="ILF",IF(O277="低",7,IF(O277="中",10,15)),IF(I277="EIF",IF(O277="低",5,IF(O277="中",7,10)),"不计算")))))*Q277,"不计算")</f>
        <v/>
      </c>
      <c r="Q277" s="142" t="n">
        <v>0</v>
      </c>
      <c r="R277" s="143">
        <f>调整因子!$F$13</f>
        <v/>
      </c>
      <c r="S277" s="70" t="n">
        <v>1</v>
      </c>
      <c r="T277" s="144">
        <f>IFERROR(P277*R277,0)</f>
        <v/>
      </c>
      <c r="U277" s="144">
        <f>T277*S277</f>
        <v/>
      </c>
      <c r="V277" s="89" t="n"/>
      <c r="W277" s="88" t="inlineStr">
        <is>
          <t>流程定义变量表</t>
        </is>
      </c>
      <c r="X277" s="88" t="inlineStr">
        <is>
          <t>流程定义变量表{变量ID、流程定义ID、变量名称、值}</t>
        </is>
      </c>
      <c r="Y277" s="88">
        <f>IF(COUNTIFS(V:V,"*"&amp;H277&amp;"*")&gt;0,"存在","不存在")</f>
        <v/>
      </c>
      <c r="Z277" s="88">
        <f>IF(COUNTIFS(AA:AA,"*"&amp;H277&amp;"*")&gt;0,"存在","不存在")</f>
        <v/>
      </c>
      <c r="AA277" s="96" t="inlineStr">
        <is>
          <t>扫描策略模板表</t>
        </is>
      </c>
    </row>
    <row r="278" ht="10.8" customFormat="1" customHeight="1" s="63">
      <c r="A278" s="69">
        <f>ROW()-1</f>
        <v/>
      </c>
      <c r="B278" s="53" t="n"/>
      <c r="C278" s="78" t="n">
        <v>2025</v>
      </c>
      <c r="D278" s="78" t="inlineStr">
        <is>
          <t>张明峰</t>
        </is>
      </c>
      <c r="E278" s="53" t="n"/>
      <c r="F278" s="53" t="n"/>
      <c r="G278" s="53" t="n"/>
      <c r="H278" s="81" t="inlineStr">
        <is>
          <t>流程草稿表</t>
        </is>
      </c>
      <c r="I278" s="76" t="inlineStr">
        <is>
          <t>ILF</t>
        </is>
      </c>
      <c r="J278" s="99" t="inlineStr">
        <is>
          <t>删除</t>
        </is>
      </c>
      <c r="K278" s="108" t="inlineStr">
        <is>
          <t>数据库表未被本系统所维护</t>
        </is>
      </c>
      <c r="L278" s="83">
        <f>IF(OR(X278="估算法",X278="算法类",X278="无法识别"),"",IF(V278="",IF(OR(I278="EI",I278="EO",I278="EQ"),0,""),LEN(V278)-LEN(SUBSTITUTE(V278,"、",""))+1))</f>
        <v/>
      </c>
      <c r="M278" s="83">
        <f>IF(OR(X278="估算法",X278="算法类",X278="无法识别"),"",IF(W278="",IF(OR(I278="ILF",I278="EIF"),0,""),LEN(W278)-LEN(SUBSTITUTE(W278,"、",""))+1))</f>
        <v/>
      </c>
      <c r="N278" s="83">
        <f>IF(OR(X278="估算法",X278="算法类",X278="无法识别"),"",IF(X278="",IF(OR(I278="ILF",I278="EIF",I278="EI",I278="EO",I278="EQ"),0,""),LEN(X278)-LEN(SUBSTITUTE(SUBSTITUTE(SUBSTITUTE(SUBSTITUTE(SUBSTITUTE(X278,"|}","--"),"{|","--"),CHAR(10),""),"、",""),"|",""))+IF(AND(OR(I278="EI",I278="EO",I278="EQ"),$AD$1="NESMA"),2,1)))</f>
        <v/>
      </c>
      <c r="O278" s="84">
        <f>IF(I278="EI",IF(OR(X278="估算法",X278="算法类"),"中",IF(X278="无法识别","低",IF(L278&lt;2,IF(N278&lt;16,"低","中"),IF(L278&lt;3,IF(N278&lt;5,"低",IF(N278&lt;16,"中","高")),IF(N278&lt;5,"中","高"))))),IF(OR(I278="EO",I278="EQ"),IF(OR(X278="估算法",X278="算法类"),"中",IF(X278="无法识别","低",IF(L278&lt;2,IF(N278&lt;20,"低","中"),IF(L278&lt;4,IF(N278&lt;6,"低",IF(N278&lt;20,"中","高")),IF(N278&lt;6,"中","高"))))),IF(OR(I278="ILF",I278="EIF"),IF(OR(X278="估算法",X278="算法类",X278="无法识别"),"低",IF(M278&lt;2,IF(N278&lt;51,"低","中"),IF(M278&lt;6,IF(N278&lt;20,"低",IF(N278&lt;51,"中","高")),IF(N278&lt;20,"中","高")))),"不计算")))</f>
        <v/>
      </c>
      <c r="P278" s="142">
        <f>IFERROR(IF(I278="EI",IF(O278="低",3,IF(O278="中",4,6)),IF(I278="EO",IF(O278="低",4,IF(O278="中",5,7)),IF(I278="EQ",IF(O278="低",3,IF(O278="中",4,6)),IF(I278="ILF",IF(O278="低",7,IF(O278="中",10,15)),IF(I278="EIF",IF(O278="低",5,IF(O278="中",7,10)),"不计算")))))*Q278,"不计算")</f>
        <v/>
      </c>
      <c r="Q278" s="142" t="n">
        <v>0</v>
      </c>
      <c r="R278" s="143">
        <f>调整因子!$F$13</f>
        <v/>
      </c>
      <c r="S278" s="70" t="n">
        <v>1</v>
      </c>
      <c r="T278" s="144">
        <f>IFERROR(P278*R278,0)</f>
        <v/>
      </c>
      <c r="U278" s="144">
        <f>T278*S278</f>
        <v/>
      </c>
      <c r="V278" s="89" t="n"/>
      <c r="W278" s="88" t="inlineStr">
        <is>
          <t>流程草稿表</t>
        </is>
      </c>
      <c r="X278" s="88" t="inlineStr">
        <is>
          <t>流程草稿表{草稿ID、流程定义ID、草稿内容、创建时间}</t>
        </is>
      </c>
      <c r="Y278" s="88">
        <f>IF(COUNTIFS(V:V,"*"&amp;H278&amp;"*")&gt;0,"存在","不存在")</f>
        <v/>
      </c>
      <c r="Z278" s="88">
        <f>IF(COUNTIFS(AA:AA,"*"&amp;H278&amp;"*")&gt;0,"存在","不存在")</f>
        <v/>
      </c>
      <c r="AA278" s="96" t="inlineStr">
        <is>
          <t>扫描策略模板表</t>
        </is>
      </c>
    </row>
    <row r="279">
      <c r="A279" s="69">
        <f>ROW()-1</f>
        <v/>
      </c>
      <c r="B279" s="53" t="n"/>
      <c r="C279" s="78" t="n">
        <v>2025</v>
      </c>
      <c r="D279" s="78" t="inlineStr">
        <is>
          <t>张明峰</t>
        </is>
      </c>
      <c r="E279" s="53" t="n"/>
      <c r="F279" s="53" t="n"/>
      <c r="G279" s="53" t="n"/>
      <c r="H279" s="81" t="inlineStr">
        <is>
          <t>流程脚本表</t>
        </is>
      </c>
      <c r="I279" s="76" t="inlineStr">
        <is>
          <t>ILF</t>
        </is>
      </c>
      <c r="J279" s="99" t="inlineStr">
        <is>
          <t>删除</t>
        </is>
      </c>
      <c r="K279" s="108" t="inlineStr">
        <is>
          <t>数据库表未被本系统所维护</t>
        </is>
      </c>
      <c r="L279" s="83">
        <f>IF(OR(X279="估算法",X279="算法类",X279="无法识别"),"",IF(V279="",IF(OR(I279="EI",I279="EO",I279="EQ"),0,""),LEN(V279)-LEN(SUBSTITUTE(V279,"、",""))+1))</f>
        <v/>
      </c>
      <c r="M279" s="83">
        <f>IF(OR(X279="估算法",X279="算法类",X279="无法识别"),"",IF(W279="",IF(OR(I279="ILF",I279="EIF"),0,""),LEN(W279)-LEN(SUBSTITUTE(W279,"、",""))+1))</f>
        <v/>
      </c>
      <c r="N279" s="83">
        <f>IF(OR(X279="估算法",X279="算法类",X279="无法识别"),"",IF(X279="",IF(OR(I279="ILF",I279="EIF",I279="EI",I279="EO",I279="EQ"),0,""),LEN(X279)-LEN(SUBSTITUTE(SUBSTITUTE(SUBSTITUTE(SUBSTITUTE(SUBSTITUTE(X279,"|}","--"),"{|","--"),CHAR(10),""),"、",""),"|",""))+IF(AND(OR(I279="EI",I279="EO",I279="EQ"),$AD$1="NESMA"),2,1)))</f>
        <v/>
      </c>
      <c r="O279" s="84">
        <f>IF(I279="EI",IF(OR(X279="估算法",X279="算法类"),"中",IF(X279="无法识别","低",IF(L279&lt;2,IF(N279&lt;16,"低","中"),IF(L279&lt;3,IF(N279&lt;5,"低",IF(N279&lt;16,"中","高")),IF(N279&lt;5,"中","高"))))),IF(OR(I279="EO",I279="EQ"),IF(OR(X279="估算法",X279="算法类"),"中",IF(X279="无法识别","低",IF(L279&lt;2,IF(N279&lt;20,"低","中"),IF(L279&lt;4,IF(N279&lt;6,"低",IF(N279&lt;20,"中","高")),IF(N279&lt;6,"中","高"))))),IF(OR(I279="ILF",I279="EIF"),IF(OR(X279="估算法",X279="算法类",X279="无法识别"),"低",IF(M279&lt;2,IF(N279&lt;51,"低","中"),IF(M279&lt;6,IF(N279&lt;20,"低",IF(N279&lt;51,"中","高")),IF(N279&lt;20,"中","高")))),"不计算")))</f>
        <v/>
      </c>
      <c r="P279" s="142">
        <f>IFERROR(IF(I279="EI",IF(O279="低",3,IF(O279="中",4,6)),IF(I279="EO",IF(O279="低",4,IF(O279="中",5,7)),IF(I279="EQ",IF(O279="低",3,IF(O279="中",4,6)),IF(I279="ILF",IF(O279="低",7,IF(O279="中",10,15)),IF(I279="EIF",IF(O279="低",5,IF(O279="中",7,10)),"不计算")))))*Q279,"不计算")</f>
        <v/>
      </c>
      <c r="Q279" s="142" t="n">
        <v>0</v>
      </c>
      <c r="R279" s="143">
        <f>调整因子!$F$13</f>
        <v/>
      </c>
      <c r="S279" s="76" t="n">
        <v>1</v>
      </c>
      <c r="T279" s="144">
        <f>IFERROR(P279*R279,0)</f>
        <v/>
      </c>
      <c r="U279" s="144">
        <f>T279*S279</f>
        <v/>
      </c>
      <c r="V279" s="89" t="n"/>
      <c r="W279" s="88" t="inlineStr">
        <is>
          <t>流程脚本表</t>
        </is>
      </c>
      <c r="X279" s="88" t="inlineStr">
        <is>
          <t>流程脚本表{脚本ID、流程定义ID、脚本内容、创建时间}</t>
        </is>
      </c>
      <c r="Y279" s="88">
        <f>IF(COUNTIFS(V:V,"*"&amp;H279&amp;"*")&gt;0,"存在","不存在")</f>
        <v/>
      </c>
      <c r="Z279" s="88">
        <f>IF(COUNTIFS(AA:AA,"*"&amp;H279&amp;"*")&gt;0,"存在","不存在")</f>
        <v/>
      </c>
      <c r="AA279" s="96" t="inlineStr">
        <is>
          <t>任务日志表</t>
        </is>
      </c>
    </row>
    <row r="280">
      <c r="A280" s="69">
        <f>ROW()-1</f>
        <v/>
      </c>
      <c r="B280" s="53" t="n"/>
      <c r="C280" s="78" t="n">
        <v>2025</v>
      </c>
      <c r="D280" s="78" t="inlineStr">
        <is>
          <t>张明峰</t>
        </is>
      </c>
      <c r="E280" s="53" t="n"/>
      <c r="F280" s="53" t="n"/>
      <c r="G280" s="53" t="n"/>
      <c r="H280" s="81" t="inlineStr">
        <is>
          <t>流程超时记录表</t>
        </is>
      </c>
      <c r="I280" s="76" t="inlineStr">
        <is>
          <t>ILF</t>
        </is>
      </c>
      <c r="J280" s="99" t="inlineStr">
        <is>
          <t>删除</t>
        </is>
      </c>
      <c r="K280" s="108" t="inlineStr">
        <is>
          <t>数据库表未被本系统所维护</t>
        </is>
      </c>
      <c r="L280" s="83">
        <f>IF(OR(X280="估算法",X280="算法类",X280="无法识别"),"",IF(V280="",IF(OR(I280="EI",I280="EO",I280="EQ"),0,""),LEN(V280)-LEN(SUBSTITUTE(V280,"、",""))+1))</f>
        <v/>
      </c>
      <c r="M280" s="83">
        <f>IF(OR(X280="估算法",X280="算法类",X280="无法识别"),"",IF(W280="",IF(OR(I280="ILF",I280="EIF"),0,""),LEN(W280)-LEN(SUBSTITUTE(W280,"、",""))+1))</f>
        <v/>
      </c>
      <c r="N280" s="83">
        <f>IF(OR(X280="估算法",X280="算法类",X280="无法识别"),"",IF(X280="",IF(OR(I280="ILF",I280="EIF",I280="EI",I280="EO",I280="EQ"),0,""),LEN(X280)-LEN(SUBSTITUTE(SUBSTITUTE(SUBSTITUTE(SUBSTITUTE(SUBSTITUTE(X280,"|}","--"),"{|","--"),CHAR(10),""),"、",""),"|",""))+IF(AND(OR(I280="EI",I280="EO",I280="EQ"),$AD$1="NESMA"),2,1)))</f>
        <v/>
      </c>
      <c r="O280" s="84">
        <f>IF(I280="EI",IF(OR(X280="估算法",X280="算法类"),"中",IF(X280="无法识别","低",IF(L280&lt;2,IF(N280&lt;16,"低","中"),IF(L280&lt;3,IF(N280&lt;5,"低",IF(N280&lt;16,"中","高")),IF(N280&lt;5,"中","高"))))),IF(OR(I280="EO",I280="EQ"),IF(OR(X280="估算法",X280="算法类"),"中",IF(X280="无法识别","低",IF(L280&lt;2,IF(N280&lt;20,"低","中"),IF(L280&lt;4,IF(N280&lt;6,"低",IF(N280&lt;20,"中","高")),IF(N280&lt;6,"中","高"))))),IF(OR(I280="ILF",I280="EIF"),IF(OR(X280="估算法",X280="算法类",X280="无法识别"),"低",IF(M280&lt;2,IF(N280&lt;51,"低","中"),IF(M280&lt;6,IF(N280&lt;20,"低",IF(N280&lt;51,"中","高")),IF(N280&lt;20,"中","高")))),"不计算")))</f>
        <v/>
      </c>
      <c r="P280" s="142">
        <f>IFERROR(IF(I280="EI",IF(O280="低",3,IF(O280="中",4,6)),IF(I280="EO",IF(O280="低",4,IF(O280="中",5,7)),IF(I280="EQ",IF(O280="低",3,IF(O280="中",4,6)),IF(I280="ILF",IF(O280="低",7,IF(O280="中",10,15)),IF(I280="EIF",IF(O280="低",5,IF(O280="中",7,10)),"不计算")))))*Q280,"不计算")</f>
        <v/>
      </c>
      <c r="Q280" s="142" t="n">
        <v>0</v>
      </c>
      <c r="R280" s="143">
        <f>调整因子!$F$13</f>
        <v/>
      </c>
      <c r="S280" s="70" t="n">
        <v>1</v>
      </c>
      <c r="T280" s="144">
        <f>IFERROR(P280*R280,0)</f>
        <v/>
      </c>
      <c r="U280" s="144">
        <f>T280*S280</f>
        <v/>
      </c>
      <c r="V280" s="89" t="n"/>
      <c r="W280" s="88" t="inlineStr">
        <is>
          <t>流程超时记录表</t>
        </is>
      </c>
      <c r="X280" s="88" t="inlineStr">
        <is>
          <t>流程超时记录表{记录ID、流程实例ID、超时时间、处理结果}</t>
        </is>
      </c>
      <c r="Y280" s="88">
        <f>IF(COUNTIFS(V:V,"*"&amp;H280&amp;"*")&gt;0,"存在","不存在")</f>
        <v/>
      </c>
      <c r="Z280" s="88">
        <f>IF(COUNTIFS(AA:AA,"*"&amp;H280&amp;"*")&gt;0,"存在","不存在")</f>
        <v/>
      </c>
      <c r="AA280" s="96" t="inlineStr">
        <is>
          <t>验证记录表</t>
        </is>
      </c>
    </row>
    <row r="281">
      <c r="A281" s="69">
        <f>ROW()-1</f>
        <v/>
      </c>
      <c r="B281" s="53" t="n"/>
      <c r="C281" s="78" t="n">
        <v>2025</v>
      </c>
      <c r="D281" s="78" t="inlineStr">
        <is>
          <t>张明峰</t>
        </is>
      </c>
      <c r="E281" s="53" t="n"/>
      <c r="F281" s="53" t="n"/>
      <c r="G281" s="53" t="n"/>
      <c r="H281" s="81" t="inlineStr">
        <is>
          <t>流程类型表</t>
        </is>
      </c>
      <c r="I281" s="76" t="inlineStr">
        <is>
          <t>ILF</t>
        </is>
      </c>
      <c r="J281" s="99" t="inlineStr">
        <is>
          <t>删除</t>
        </is>
      </c>
      <c r="K281" s="108" t="inlineStr">
        <is>
          <t>数据库表未被本系统所维护</t>
        </is>
      </c>
      <c r="L281" s="83">
        <f>IF(OR(X281="估算法",X281="算法类",X281="无法识别"),"",IF(V281="",IF(OR(I281="EI",I281="EO",I281="EQ"),0,""),LEN(V281)-LEN(SUBSTITUTE(V281,"、",""))+1))</f>
        <v/>
      </c>
      <c r="M281" s="83">
        <f>IF(OR(X281="估算法",X281="算法类",X281="无法识别"),"",IF(W281="",IF(OR(I281="ILF",I281="EIF"),0,""),LEN(W281)-LEN(SUBSTITUTE(W281,"、",""))+1))</f>
        <v/>
      </c>
      <c r="N281" s="83">
        <f>IF(OR(X281="估算法",X281="算法类",X281="无法识别"),"",IF(X281="",IF(OR(I281="ILF",I281="EIF",I281="EI",I281="EO",I281="EQ"),0,""),LEN(X281)-LEN(SUBSTITUTE(SUBSTITUTE(SUBSTITUTE(SUBSTITUTE(SUBSTITUTE(X281,"|}","--"),"{|","--"),CHAR(10),""),"、",""),"|",""))+IF(AND(OR(I281="EI",I281="EO",I281="EQ"),$AD$1="NESMA"),2,1)))</f>
        <v/>
      </c>
      <c r="O281" s="84">
        <f>IF(I281="EI",IF(OR(X281="估算法",X281="算法类"),"中",IF(X281="无法识别","低",IF(L281&lt;2,IF(N281&lt;16,"低","中"),IF(L281&lt;3,IF(N281&lt;5,"低",IF(N281&lt;16,"中","高")),IF(N281&lt;5,"中","高"))))),IF(OR(I281="EO",I281="EQ"),IF(OR(X281="估算法",X281="算法类"),"中",IF(X281="无法识别","低",IF(L281&lt;2,IF(N281&lt;20,"低","中"),IF(L281&lt;4,IF(N281&lt;6,"低",IF(N281&lt;20,"中","高")),IF(N281&lt;6,"中","高"))))),IF(OR(I281="ILF",I281="EIF"),IF(OR(X281="估算法",X281="算法类",X281="无法识别"),"低",IF(M281&lt;2,IF(N281&lt;51,"低","中"),IF(M281&lt;6,IF(N281&lt;20,"低",IF(N281&lt;51,"中","高")),IF(N281&lt;20,"中","高")))),"不计算")))</f>
        <v/>
      </c>
      <c r="P281" s="142">
        <f>IFERROR(IF(I281="EI",IF(O281="低",3,IF(O281="中",4,6)),IF(I281="EO",IF(O281="低",4,IF(O281="中",5,7)),IF(I281="EQ",IF(O281="低",3,IF(O281="中",4,6)),IF(I281="ILF",IF(O281="低",7,IF(O281="中",10,15)),IF(I281="EIF",IF(O281="低",5,IF(O281="中",7,10)),"不计算")))))*Q281,"不计算")</f>
        <v/>
      </c>
      <c r="Q281" s="142" t="n">
        <v>0</v>
      </c>
      <c r="R281" s="143">
        <f>调整因子!$F$13</f>
        <v/>
      </c>
      <c r="S281" s="70" t="n">
        <v>1</v>
      </c>
      <c r="T281" s="144">
        <f>IFERROR(P281*R281,0)</f>
        <v/>
      </c>
      <c r="U281" s="144">
        <f>T281*S281</f>
        <v/>
      </c>
      <c r="V281" s="89" t="n"/>
      <c r="W281" s="88" t="inlineStr">
        <is>
          <t>流程类型表</t>
        </is>
      </c>
      <c r="X281" s="88" t="inlineStr">
        <is>
          <t>流程类型表{类型ID、类型名称、描述}</t>
        </is>
      </c>
      <c r="Y281" s="88">
        <f>IF(COUNTIFS(V:V,"*"&amp;H281&amp;"*")&gt;0,"存在","不存在")</f>
        <v/>
      </c>
      <c r="Z281" s="88">
        <f>IF(COUNTIFS(AA:AA,"*"&amp;H281&amp;"*")&gt;0,"存在","不存在")</f>
        <v/>
      </c>
      <c r="AA281" s="96" t="inlineStr">
        <is>
          <t>数据清洗任务表、资产同步任务表</t>
        </is>
      </c>
    </row>
    <row r="282">
      <c r="A282" s="69">
        <f>ROW()-1</f>
        <v/>
      </c>
      <c r="B282" s="53" t="n"/>
      <c r="C282" s="78" t="n">
        <v>2025</v>
      </c>
      <c r="D282" s="78" t="inlineStr">
        <is>
          <t>张明峰</t>
        </is>
      </c>
      <c r="E282" s="53" t="n"/>
      <c r="F282" s="53" t="n"/>
      <c r="G282" s="53" t="n"/>
      <c r="H282" s="81" t="inlineStr">
        <is>
          <t>渠道定义表</t>
        </is>
      </c>
      <c r="I282" s="76" t="inlineStr">
        <is>
          <t>ILF</t>
        </is>
      </c>
      <c r="J282" s="99" t="inlineStr">
        <is>
          <t>删除</t>
        </is>
      </c>
      <c r="K282" s="108" t="inlineStr">
        <is>
          <t>数据库表未被本系统所维护</t>
        </is>
      </c>
      <c r="L282" s="83">
        <f>IF(OR(X282="估算法",X282="算法类",X282="无法识别"),"",IF(V282="",IF(OR(I282="EI",I282="EO",I282="EQ"),0,""),LEN(V282)-LEN(SUBSTITUTE(V282,"、",""))+1))</f>
        <v/>
      </c>
      <c r="M282" s="83">
        <f>IF(OR(X282="估算法",X282="算法类",X282="无法识别"),"",IF(W282="",IF(OR(I282="ILF",I282="EIF"),0,""),LEN(W282)-LEN(SUBSTITUTE(W282,"、",""))+1))</f>
        <v/>
      </c>
      <c r="N282" s="83">
        <f>IF(OR(X282="估算法",X282="算法类",X282="无法识别"),"",IF(X282="",IF(OR(I282="ILF",I282="EIF",I282="EI",I282="EO",I282="EQ"),0,""),LEN(X282)-LEN(SUBSTITUTE(SUBSTITUTE(SUBSTITUTE(SUBSTITUTE(SUBSTITUTE(X282,"|}","--"),"{|","--"),CHAR(10),""),"、",""),"|",""))+IF(AND(OR(I282="EI",I282="EO",I282="EQ"),$AD$1="NESMA"),2,1)))</f>
        <v/>
      </c>
      <c r="O282" s="84">
        <f>IF(I282="EI",IF(OR(X282="估算法",X282="算法类"),"中",IF(X282="无法识别","低",IF(L282&lt;2,IF(N282&lt;16,"低","中"),IF(L282&lt;3,IF(N282&lt;5,"低",IF(N282&lt;16,"中","高")),IF(N282&lt;5,"中","高"))))),IF(OR(I282="EO",I282="EQ"),IF(OR(X282="估算法",X282="算法类"),"中",IF(X282="无法识别","低",IF(L282&lt;2,IF(N282&lt;20,"低","中"),IF(L282&lt;4,IF(N282&lt;6,"低",IF(N282&lt;20,"中","高")),IF(N282&lt;6,"中","高"))))),IF(OR(I282="ILF",I282="EIF"),IF(OR(X282="估算法",X282="算法类",X282="无法识别"),"低",IF(M282&lt;2,IF(N282&lt;51,"低","中"),IF(M282&lt;6,IF(N282&lt;20,"低",IF(N282&lt;51,"中","高")),IF(N282&lt;20,"中","高")))),"不计算")))</f>
        <v/>
      </c>
      <c r="P282" s="142">
        <f>IFERROR(IF(I282="EI",IF(O282="低",3,IF(O282="中",4,6)),IF(I282="EO",IF(O282="低",4,IF(O282="中",5,7)),IF(I282="EQ",IF(O282="低",3,IF(O282="中",4,6)),IF(I282="ILF",IF(O282="低",7,IF(O282="中",10,15)),IF(I282="EIF",IF(O282="低",5,IF(O282="中",7,10)),"不计算")))))*Q282,"不计算")</f>
        <v/>
      </c>
      <c r="Q282" s="142" t="n">
        <v>0</v>
      </c>
      <c r="R282" s="143">
        <f>调整因子!$F$13</f>
        <v/>
      </c>
      <c r="S282" s="76" t="n">
        <v>1</v>
      </c>
      <c r="T282" s="144">
        <f>IFERROR(P282*R282,0)</f>
        <v/>
      </c>
      <c r="U282" s="144">
        <f>T282*S282</f>
        <v/>
      </c>
      <c r="V282" s="89" t="n"/>
      <c r="W282" s="88" t="inlineStr">
        <is>
          <t>渠道定义表</t>
        </is>
      </c>
      <c r="X282" s="88" t="inlineStr">
        <is>
          <t>渠道定义表{渠道ID、渠道名称、描述}</t>
        </is>
      </c>
      <c r="Y282" s="88">
        <f>IF(COUNTIFS(V:V,"*"&amp;H282&amp;"*")&gt;0,"存在","不存在")</f>
        <v/>
      </c>
      <c r="Z282" s="88">
        <f>IF(COUNTIFS(AA:AA,"*"&amp;H282&amp;"*")&gt;0,"存在","不存在")</f>
        <v/>
      </c>
      <c r="AA282" s="96" t="inlineStr">
        <is>
          <t>数据清洗任务表</t>
        </is>
      </c>
    </row>
    <row r="283">
      <c r="A283" s="69">
        <f>ROW()-1</f>
        <v/>
      </c>
      <c r="B283" s="53" t="n"/>
      <c r="C283" s="78" t="n">
        <v>2025</v>
      </c>
      <c r="D283" s="78" t="inlineStr">
        <is>
          <t>张明峰</t>
        </is>
      </c>
      <c r="E283" s="53" t="n"/>
      <c r="F283" s="53" t="n"/>
      <c r="G283" s="53" t="n"/>
      <c r="H283" s="81" t="inlineStr">
        <is>
          <t>事件数据库变更日志表</t>
        </is>
      </c>
      <c r="I283" s="76" t="inlineStr">
        <is>
          <t>ILF</t>
        </is>
      </c>
      <c r="J283" s="99" t="inlineStr">
        <is>
          <t>删除</t>
        </is>
      </c>
      <c r="K283" s="108" t="inlineStr">
        <is>
          <t>数据库表未被本系统所维护</t>
        </is>
      </c>
      <c r="L283" s="83">
        <f>IF(OR(X283="估算法",X283="算法类",X283="无法识别"),"",IF(V283="",IF(OR(I283="EI",I283="EO",I283="EQ"),0,""),LEN(V283)-LEN(SUBSTITUTE(V283,"、",""))+1))</f>
        <v/>
      </c>
      <c r="M283" s="83">
        <f>IF(OR(X283="估算法",X283="算法类",X283="无法识别"),"",IF(W283="",IF(OR(I283="ILF",I283="EIF"),0,""),LEN(W283)-LEN(SUBSTITUTE(W283,"、",""))+1))</f>
        <v/>
      </c>
      <c r="N283" s="83">
        <f>IF(OR(X283="估算法",X283="算法类",X283="无法识别"),"",IF(X283="",IF(OR(I283="ILF",I283="EIF",I283="EI",I283="EO",I283="EQ"),0,""),LEN(X283)-LEN(SUBSTITUTE(SUBSTITUTE(SUBSTITUTE(SUBSTITUTE(SUBSTITUTE(X283,"|}","--"),"{|","--"),CHAR(10),""),"、",""),"|",""))+IF(AND(OR(I283="EI",I283="EO",I283="EQ"),$AD$1="NESMA"),2,1)))</f>
        <v/>
      </c>
      <c r="O283" s="84">
        <f>IF(I283="EI",IF(OR(X283="估算法",X283="算法类"),"中",IF(X283="无法识别","低",IF(L283&lt;2,IF(N283&lt;16,"低","中"),IF(L283&lt;3,IF(N283&lt;5,"低",IF(N283&lt;16,"中","高")),IF(N283&lt;5,"中","高"))))),IF(OR(I283="EO",I283="EQ"),IF(OR(X283="估算法",X283="算法类"),"中",IF(X283="无法识别","低",IF(L283&lt;2,IF(N283&lt;20,"低","中"),IF(L283&lt;4,IF(N283&lt;6,"低",IF(N283&lt;20,"中","高")),IF(N283&lt;6,"中","高"))))),IF(OR(I283="ILF",I283="EIF"),IF(OR(X283="估算法",X283="算法类",X283="无法识别"),"低",IF(M283&lt;2,IF(N283&lt;51,"低","中"),IF(M283&lt;6,IF(N283&lt;20,"低",IF(N283&lt;51,"中","高")),IF(N283&lt;20,"中","高")))),"不计算")))</f>
        <v/>
      </c>
      <c r="P283" s="142">
        <f>IFERROR(IF(I283="EI",IF(O283="低",3,IF(O283="中",4,6)),IF(I283="EO",IF(O283="低",4,IF(O283="中",5,7)),IF(I283="EQ",IF(O283="低",3,IF(O283="中",4,6)),IF(I283="ILF",IF(O283="低",7,IF(O283="中",10,15)),IF(I283="EIF",IF(O283="低",5,IF(O283="中",7,10)),"不计算")))))*Q283,"不计算")</f>
        <v/>
      </c>
      <c r="Q283" s="142" t="n">
        <v>0</v>
      </c>
      <c r="R283" s="143">
        <f>调整因子!$F$13</f>
        <v/>
      </c>
      <c r="S283" s="70" t="n">
        <v>1</v>
      </c>
      <c r="T283" s="144">
        <f>IFERROR(P283*R283,0)</f>
        <v/>
      </c>
      <c r="U283" s="144">
        <f>T283*S283</f>
        <v/>
      </c>
      <c r="V283" s="89" t="n"/>
      <c r="W283" s="88" t="inlineStr">
        <is>
          <t>事件数据库变更日志表</t>
        </is>
      </c>
      <c r="X283" s="88" t="inlineStr">
        <is>
          <t>事件数据库变更日志表{日志ID、变更内容、变更时间}</t>
        </is>
      </c>
      <c r="Y283" s="88">
        <f>IF(COUNTIFS(V:V,"*"&amp;H283&amp;"*")&gt;0,"存在","不存在")</f>
        <v/>
      </c>
      <c r="Z283" s="88">
        <f>IF(COUNTIFS(AA:AA,"*"&amp;H283&amp;"*")&gt;0,"存在","不存在")</f>
        <v/>
      </c>
      <c r="AA283" s="96" t="inlineStr">
        <is>
          <t>数据清洗任务表、资产同步任务表</t>
        </is>
      </c>
    </row>
    <row r="284">
      <c r="A284" s="69">
        <f>ROW()-1</f>
        <v/>
      </c>
      <c r="B284" s="53" t="n"/>
      <c r="C284" s="78" t="n">
        <v>2025</v>
      </c>
      <c r="D284" s="78" t="inlineStr">
        <is>
          <t>张明峰</t>
        </is>
      </c>
      <c r="E284" s="53" t="n"/>
      <c r="F284" s="53" t="n"/>
      <c r="G284" s="53" t="n"/>
      <c r="H284" s="81" t="inlineStr">
        <is>
          <t>事件数据库变更日志锁表</t>
        </is>
      </c>
      <c r="I284" s="76" t="inlineStr">
        <is>
          <t>ILF</t>
        </is>
      </c>
      <c r="J284" s="99" t="inlineStr">
        <is>
          <t>删除</t>
        </is>
      </c>
      <c r="K284" s="108" t="inlineStr">
        <is>
          <t>数据库表未被本系统所维护</t>
        </is>
      </c>
      <c r="L284" s="83">
        <f>IF(OR(X284="估算法",X284="算法类",X284="无法识别"),"",IF(V284="",IF(OR(I284="EI",I284="EO",I284="EQ"),0,""),LEN(V284)-LEN(SUBSTITUTE(V284,"、",""))+1))</f>
        <v/>
      </c>
      <c r="M284" s="83">
        <f>IF(OR(X284="估算法",X284="算法类",X284="无法识别"),"",IF(W284="",IF(OR(I284="ILF",I284="EIF"),0,""),LEN(W284)-LEN(SUBSTITUTE(W284,"、",""))+1))</f>
        <v/>
      </c>
      <c r="N284" s="83">
        <f>IF(OR(X284="估算法",X284="算法类",X284="无法识别"),"",IF(X284="",IF(OR(I284="ILF",I284="EIF",I284="EI",I284="EO",I284="EQ"),0,""),LEN(X284)-LEN(SUBSTITUTE(SUBSTITUTE(SUBSTITUTE(SUBSTITUTE(SUBSTITUTE(X284,"|}","--"),"{|","--"),CHAR(10),""),"、",""),"|",""))+IF(AND(OR(I284="EI",I284="EO",I284="EQ"),$AD$1="NESMA"),2,1)))</f>
        <v/>
      </c>
      <c r="O284" s="84">
        <f>IF(I284="EI",IF(OR(X284="估算法",X284="算法类"),"中",IF(X284="无法识别","低",IF(L284&lt;2,IF(N284&lt;16,"低","中"),IF(L284&lt;3,IF(N284&lt;5,"低",IF(N284&lt;16,"中","高")),IF(N284&lt;5,"中","高"))))),IF(OR(I284="EO",I284="EQ"),IF(OR(X284="估算法",X284="算法类"),"中",IF(X284="无法识别","低",IF(L284&lt;2,IF(N284&lt;20,"低","中"),IF(L284&lt;4,IF(N284&lt;6,"低",IF(N284&lt;20,"中","高")),IF(N284&lt;6,"中","高"))))),IF(OR(I284="ILF",I284="EIF"),IF(OR(X284="估算法",X284="算法类",X284="无法识别"),"低",IF(M284&lt;2,IF(N284&lt;51,"低","中"),IF(M284&lt;6,IF(N284&lt;20,"低",IF(N284&lt;51,"中","高")),IF(N284&lt;20,"中","高")))),"不计算")))</f>
        <v/>
      </c>
      <c r="P284" s="142">
        <f>IFERROR(IF(I284="EI",IF(O284="低",3,IF(O284="中",4,6)),IF(I284="EO",IF(O284="低",4,IF(O284="中",5,7)),IF(I284="EQ",IF(O284="低",3,IF(O284="中",4,6)),IF(I284="ILF",IF(O284="低",7,IF(O284="中",10,15)),IF(I284="EIF",IF(O284="低",5,IF(O284="中",7,10)),"不计算")))))*Q284,"不计算")</f>
        <v/>
      </c>
      <c r="Q284" s="142" t="n">
        <v>0</v>
      </c>
      <c r="R284" s="143">
        <f>调整因子!$F$13</f>
        <v/>
      </c>
      <c r="S284" s="70" t="n">
        <v>1</v>
      </c>
      <c r="T284" s="144">
        <f>IFERROR(P284*R284,0)</f>
        <v/>
      </c>
      <c r="U284" s="144">
        <f>T284*S284</f>
        <v/>
      </c>
      <c r="V284" s="89" t="n"/>
      <c r="W284" s="88" t="inlineStr">
        <is>
          <t>事件数据库变更日志锁表</t>
        </is>
      </c>
      <c r="X284" s="88" t="inlineStr">
        <is>
          <t>事件数据库变更日志锁表{锁ID、锁定状态、锁定时间}</t>
        </is>
      </c>
      <c r="Y284" s="88">
        <f>IF(COUNTIFS(V:V,"*"&amp;H284&amp;"*")&gt;0,"存在","不存在")</f>
        <v/>
      </c>
      <c r="Z284" s="88">
        <f>IF(COUNTIFS(AA:AA,"*"&amp;H284&amp;"*")&gt;0,"存在","不存在")</f>
        <v/>
      </c>
      <c r="AA284" s="96" t="inlineStr">
        <is>
          <t>验证记录表、验证配置表</t>
        </is>
      </c>
    </row>
    <row r="285">
      <c r="A285" s="69">
        <f>ROW()-1</f>
        <v/>
      </c>
      <c r="B285" s="53" t="n"/>
      <c r="C285" s="78" t="n">
        <v>2025</v>
      </c>
      <c r="D285" s="78" t="inlineStr">
        <is>
          <t>张明峰</t>
        </is>
      </c>
      <c r="E285" s="53" t="n"/>
      <c r="F285" s="53" t="n"/>
      <c r="G285" s="53" t="n"/>
      <c r="H285" s="81" t="inlineStr">
        <is>
          <t>事件定义表</t>
        </is>
      </c>
      <c r="I285" s="76" t="inlineStr">
        <is>
          <t>ILF</t>
        </is>
      </c>
      <c r="J285" s="99" t="inlineStr">
        <is>
          <t>删除</t>
        </is>
      </c>
      <c r="K285" s="108" t="inlineStr">
        <is>
          <t>数据库表未被本系统所维护</t>
        </is>
      </c>
      <c r="L285" s="83">
        <f>IF(OR(X285="估算法",X285="算法类",X285="无法识别"),"",IF(V285="",IF(OR(I285="EI",I285="EO",I285="EQ"),0,""),LEN(V285)-LEN(SUBSTITUTE(V285,"、",""))+1))</f>
        <v/>
      </c>
      <c r="M285" s="83">
        <f>IF(OR(X285="估算法",X285="算法类",X285="无法识别"),"",IF(W285="",IF(OR(I285="ILF",I285="EIF"),0,""),LEN(W285)-LEN(SUBSTITUTE(W285,"、",""))+1))</f>
        <v/>
      </c>
      <c r="N285" s="83">
        <f>IF(OR(X285="估算法",X285="算法类",X285="无法识别"),"",IF(X285="",IF(OR(I285="ILF",I285="EIF",I285="EI",I285="EO",I285="EQ"),0,""),LEN(X285)-LEN(SUBSTITUTE(SUBSTITUTE(SUBSTITUTE(SUBSTITUTE(SUBSTITUTE(X285,"|}","--"),"{|","--"),CHAR(10),""),"、",""),"|",""))+IF(AND(OR(I285="EI",I285="EO",I285="EQ"),$AD$1="NESMA"),2,1)))</f>
        <v/>
      </c>
      <c r="O285" s="84">
        <f>IF(I285="EI",IF(OR(X285="估算法",X285="算法类"),"中",IF(X285="无法识别","低",IF(L285&lt;2,IF(N285&lt;16,"低","中"),IF(L285&lt;3,IF(N285&lt;5,"低",IF(N285&lt;16,"中","高")),IF(N285&lt;5,"中","高"))))),IF(OR(I285="EO",I285="EQ"),IF(OR(X285="估算法",X285="算法类"),"中",IF(X285="无法识别","低",IF(L285&lt;2,IF(N285&lt;20,"低","中"),IF(L285&lt;4,IF(N285&lt;6,"低",IF(N285&lt;20,"中","高")),IF(N285&lt;6,"中","高"))))),IF(OR(I285="ILF",I285="EIF"),IF(OR(X285="估算法",X285="算法类",X285="无法识别"),"低",IF(M285&lt;2,IF(N285&lt;51,"低","中"),IF(M285&lt;6,IF(N285&lt;20,"低",IF(N285&lt;51,"中","高")),IF(N285&lt;20,"中","高")))),"不计算")))</f>
        <v/>
      </c>
      <c r="P285" s="142">
        <f>IFERROR(IF(I285="EI",IF(O285="低",3,IF(O285="中",4,6)),IF(I285="EO",IF(O285="低",4,IF(O285="中",5,7)),IF(I285="EQ",IF(O285="低",3,IF(O285="中",4,6)),IF(I285="ILF",IF(O285="低",7,IF(O285="中",10,15)),IF(I285="EIF",IF(O285="低",5,IF(O285="中",7,10)),"不计算")))))*Q285,"不计算")</f>
        <v/>
      </c>
      <c r="Q285" s="142" t="n">
        <v>0</v>
      </c>
      <c r="R285" s="143">
        <f>调整因子!$F$13</f>
        <v/>
      </c>
      <c r="S285" s="76" t="n">
        <v>1</v>
      </c>
      <c r="T285" s="144">
        <f>IFERROR(P285*R285,0)</f>
        <v/>
      </c>
      <c r="U285" s="144">
        <f>T285*S285</f>
        <v/>
      </c>
      <c r="V285" s="89" t="n"/>
      <c r="W285" s="88" t="inlineStr">
        <is>
          <t>事件定义表</t>
        </is>
      </c>
      <c r="X285" s="88" t="inlineStr">
        <is>
          <t>事件定义表{定义ID、事件名称、描述、创建时间}</t>
        </is>
      </c>
      <c r="Y285" s="88">
        <f>IF(COUNTIFS(V:V,"*"&amp;H285&amp;"*")&gt;0,"存在","不存在")</f>
        <v/>
      </c>
      <c r="Z285" s="88">
        <f>IF(COUNTIFS(AA:AA,"*"&amp;H285&amp;"*")&gt;0,"存在","不存在")</f>
        <v/>
      </c>
      <c r="AA285" s="96" t="inlineStr">
        <is>
          <t>调用统计表</t>
        </is>
      </c>
    </row>
    <row r="286">
      <c r="A286" s="69">
        <f>ROW()-1</f>
        <v/>
      </c>
      <c r="B286" s="53" t="n"/>
      <c r="C286" s="78" t="n">
        <v>2025</v>
      </c>
      <c r="D286" s="78" t="inlineStr">
        <is>
          <t>张明峰</t>
        </is>
      </c>
      <c r="E286" s="53" t="n"/>
      <c r="F286" s="53" t="n"/>
      <c r="G286" s="53" t="n"/>
      <c r="H286" s="81" t="inlineStr">
        <is>
          <t>事件部署表</t>
        </is>
      </c>
      <c r="I286" s="76" t="inlineStr">
        <is>
          <t>ILF</t>
        </is>
      </c>
      <c r="J286" s="99" t="inlineStr">
        <is>
          <t>删除</t>
        </is>
      </c>
      <c r="K286" s="108" t="inlineStr">
        <is>
          <t>数据库表未被本系统所维护</t>
        </is>
      </c>
      <c r="L286" s="83">
        <f>IF(OR(X286="估算法",X286="算法类",X286="无法识别"),"",IF(V286="",IF(OR(I286="EI",I286="EO",I286="EQ"),0,""),LEN(V286)-LEN(SUBSTITUTE(V286,"、",""))+1))</f>
        <v/>
      </c>
      <c r="M286" s="83">
        <f>IF(OR(X286="估算法",X286="算法类",X286="无法识别"),"",IF(W286="",IF(OR(I286="ILF",I286="EIF"),0,""),LEN(W286)-LEN(SUBSTITUTE(W286,"、",""))+1))</f>
        <v/>
      </c>
      <c r="N286" s="83">
        <f>IF(OR(X286="估算法",X286="算法类",X286="无法识别"),"",IF(X286="",IF(OR(I286="ILF",I286="EIF",I286="EI",I286="EO",I286="EQ"),0,""),LEN(X286)-LEN(SUBSTITUTE(SUBSTITUTE(SUBSTITUTE(SUBSTITUTE(SUBSTITUTE(X286,"|}","--"),"{|","--"),CHAR(10),""),"、",""),"|",""))+IF(AND(OR(I286="EI",I286="EO",I286="EQ"),$AD$1="NESMA"),2,1)))</f>
        <v/>
      </c>
      <c r="O286" s="84">
        <f>IF(I286="EI",IF(OR(X286="估算法",X286="算法类"),"中",IF(X286="无法识别","低",IF(L286&lt;2,IF(N286&lt;16,"低","中"),IF(L286&lt;3,IF(N286&lt;5,"低",IF(N286&lt;16,"中","高")),IF(N286&lt;5,"中","高"))))),IF(OR(I286="EO",I286="EQ"),IF(OR(X286="估算法",X286="算法类"),"中",IF(X286="无法识别","低",IF(L286&lt;2,IF(N286&lt;20,"低","中"),IF(L286&lt;4,IF(N286&lt;6,"低",IF(N286&lt;20,"中","高")),IF(N286&lt;6,"中","高"))))),IF(OR(I286="ILF",I286="EIF"),IF(OR(X286="估算法",X286="算法类",X286="无法识别"),"低",IF(M286&lt;2,IF(N286&lt;51,"低","中"),IF(M286&lt;6,IF(N286&lt;20,"低",IF(N286&lt;51,"中","高")),IF(N286&lt;20,"中","高")))),"不计算")))</f>
        <v/>
      </c>
      <c r="P286" s="142">
        <f>IFERROR(IF(I286="EI",IF(O286="低",3,IF(O286="中",4,6)),IF(I286="EO",IF(O286="低",4,IF(O286="中",5,7)),IF(I286="EQ",IF(O286="低",3,IF(O286="中",4,6)),IF(I286="ILF",IF(O286="低",7,IF(O286="中",10,15)),IF(I286="EIF",IF(O286="低",5,IF(O286="中",7,10)),"不计算")))))*Q286,"不计算")</f>
        <v/>
      </c>
      <c r="Q286" s="142" t="n">
        <v>0</v>
      </c>
      <c r="R286" s="143">
        <f>调整因子!$F$13</f>
        <v/>
      </c>
      <c r="S286" s="70" t="n">
        <v>1</v>
      </c>
      <c r="T286" s="144">
        <f>IFERROR(P286*R286,0)</f>
        <v/>
      </c>
      <c r="U286" s="144">
        <f>T286*S286</f>
        <v/>
      </c>
      <c r="V286" s="89" t="n"/>
      <c r="W286" s="88" t="inlineStr">
        <is>
          <t>事件部署表</t>
        </is>
      </c>
      <c r="X286" s="88" t="inlineStr">
        <is>
          <t>事件部署表{部署ID、事件定义ID、部署时间、部署者}</t>
        </is>
      </c>
      <c r="Y286" s="88">
        <f>IF(COUNTIFS(V:V,"*"&amp;H286&amp;"*")&gt;0,"存在","不存在")</f>
        <v/>
      </c>
      <c r="Z286" s="88">
        <f>IF(COUNTIFS(AA:AA,"*"&amp;H286&amp;"*")&gt;0,"存在","不存在")</f>
        <v/>
      </c>
      <c r="AA286" s="96" t="inlineStr">
        <is>
          <t>日志采集配置表、处置单关联表</t>
        </is>
      </c>
    </row>
    <row r="287">
      <c r="A287" s="69">
        <f>ROW()-1</f>
        <v/>
      </c>
      <c r="B287" s="53" t="n"/>
      <c r="C287" s="78" t="n">
        <v>2025</v>
      </c>
      <c r="D287" s="78" t="inlineStr">
        <is>
          <t>张明峰</t>
        </is>
      </c>
      <c r="E287" s="53" t="n"/>
      <c r="F287" s="53" t="n"/>
      <c r="G287" s="53" t="n"/>
      <c r="H287" s="81" t="inlineStr">
        <is>
          <t>事件资源表</t>
        </is>
      </c>
      <c r="I287" s="76" t="inlineStr">
        <is>
          <t>ILF</t>
        </is>
      </c>
      <c r="J287" s="99" t="inlineStr">
        <is>
          <t>删除</t>
        </is>
      </c>
      <c r="K287" s="108" t="inlineStr">
        <is>
          <t>数据库表未被本系统所维护</t>
        </is>
      </c>
      <c r="L287" s="83">
        <f>IF(OR(X287="估算法",X287="算法类",X287="无法识别"),"",IF(V287="",IF(OR(I287="EI",I287="EO",I287="EQ"),0,""),LEN(V287)-LEN(SUBSTITUTE(V287,"、",""))+1))</f>
        <v/>
      </c>
      <c r="M287" s="83">
        <f>IF(OR(X287="估算法",X287="算法类",X287="无法识别"),"",IF(W287="",IF(OR(I287="ILF",I287="EIF"),0,""),LEN(W287)-LEN(SUBSTITUTE(W287,"、",""))+1))</f>
        <v/>
      </c>
      <c r="N287" s="83">
        <f>IF(OR(X287="估算法",X287="算法类",X287="无法识别"),"",IF(X287="",IF(OR(I287="ILF",I287="EIF",I287="EI",I287="EO",I287="EQ"),0,""),LEN(X287)-LEN(SUBSTITUTE(SUBSTITUTE(SUBSTITUTE(SUBSTITUTE(SUBSTITUTE(X287,"|}","--"),"{|","--"),CHAR(10),""),"、",""),"|",""))+IF(AND(OR(I287="EI",I287="EO",I287="EQ"),$AD$1="NESMA"),2,1)))</f>
        <v/>
      </c>
      <c r="O287" s="84">
        <f>IF(I287="EI",IF(OR(X287="估算法",X287="算法类"),"中",IF(X287="无法识别","低",IF(L287&lt;2,IF(N287&lt;16,"低","中"),IF(L287&lt;3,IF(N287&lt;5,"低",IF(N287&lt;16,"中","高")),IF(N287&lt;5,"中","高"))))),IF(OR(I287="EO",I287="EQ"),IF(OR(X287="估算法",X287="算法类"),"中",IF(X287="无法识别","低",IF(L287&lt;2,IF(N287&lt;20,"低","中"),IF(L287&lt;4,IF(N287&lt;6,"低",IF(N287&lt;20,"中","高")),IF(N287&lt;6,"中","高"))))),IF(OR(I287="ILF",I287="EIF"),IF(OR(X287="估算法",X287="算法类",X287="无法识别"),"低",IF(M287&lt;2,IF(N287&lt;51,"低","中"),IF(M287&lt;6,IF(N287&lt;20,"低",IF(N287&lt;51,"中","高")),IF(N287&lt;20,"中","高")))),"不计算")))</f>
        <v/>
      </c>
      <c r="P287" s="142">
        <f>IFERROR(IF(I287="EI",IF(O287="低",3,IF(O287="中",4,6)),IF(I287="EO",IF(O287="低",4,IF(O287="中",5,7)),IF(I287="EQ",IF(O287="低",3,IF(O287="中",4,6)),IF(I287="ILF",IF(O287="低",7,IF(O287="中",10,15)),IF(I287="EIF",IF(O287="低",5,IF(O287="中",7,10)),"不计算")))))*Q287,"不计算")</f>
        <v/>
      </c>
      <c r="Q287" s="142" t="n">
        <v>0</v>
      </c>
      <c r="R287" s="143">
        <f>调整因子!$F$13</f>
        <v/>
      </c>
      <c r="S287" s="70" t="n">
        <v>1</v>
      </c>
      <c r="T287" s="144">
        <f>IFERROR(P287*R287,0)</f>
        <v/>
      </c>
      <c r="U287" s="144">
        <f>T287*S287</f>
        <v/>
      </c>
      <c r="V287" s="89" t="n"/>
      <c r="W287" s="88" t="inlineStr">
        <is>
          <t>事件资源表</t>
        </is>
      </c>
      <c r="X287" s="88" t="inlineStr">
        <is>
          <t>事件资源表{资源ID、事件定义ID、资源路径、上传时间}</t>
        </is>
      </c>
      <c r="Y287" s="88">
        <f>IF(COUNTIFS(V:V,"*"&amp;H287&amp;"*")&gt;0,"存在","不存在")</f>
        <v/>
      </c>
      <c r="Z287" s="88">
        <f>IF(COUNTIFS(AA:AA,"*"&amp;H287&amp;"*")&gt;0,"存在","不存在")</f>
        <v/>
      </c>
      <c r="AA287" s="96" t="inlineStr">
        <is>
          <t>处置单关联表、日志采集配置表</t>
        </is>
      </c>
    </row>
    <row r="288">
      <c r="A288" s="69">
        <f>ROW()-1</f>
        <v/>
      </c>
      <c r="B288" s="53" t="n"/>
      <c r="C288" s="78" t="n">
        <v>2025</v>
      </c>
      <c r="D288" s="78" t="inlineStr">
        <is>
          <t>张明峰</t>
        </is>
      </c>
      <c r="E288" s="53" t="n"/>
      <c r="F288" s="53" t="n"/>
      <c r="G288" s="53" t="n"/>
      <c r="H288" s="81" t="inlineStr">
        <is>
          <t>运行时批量处理表</t>
        </is>
      </c>
      <c r="I288" s="76" t="n"/>
      <c r="J288" s="99" t="inlineStr">
        <is>
          <t>删除</t>
        </is>
      </c>
      <c r="K288" s="108" t="inlineStr">
        <is>
          <t>非ILF - 运行时状态</t>
        </is>
      </c>
      <c r="L288" s="83">
        <f>IF(OR(X288="估算法",X288="算法类",X288="无法识别"),"",IF(V288="",IF(OR(I288="EI",I288="EO",I288="EQ"),0,""),LEN(V288)-LEN(SUBSTITUTE(V288,"、",""))+1))</f>
        <v/>
      </c>
      <c r="M288" s="83">
        <f>IF(OR(X288="估算法",X288="算法类",X288="无法识别"),"",IF(W288="",IF(OR(I288="ILF",I288="EIF"),0,""),LEN(W288)-LEN(SUBSTITUTE(W288,"、",""))+1))</f>
        <v/>
      </c>
      <c r="N288" s="83">
        <f>IF(OR(X288="估算法",X288="算法类",X288="无法识别"),"",IF(X288="",IF(OR(I288="ILF",I288="EIF",I288="EI",I288="EO",I288="EQ"),0,""),LEN(X288)-LEN(SUBSTITUTE(SUBSTITUTE(SUBSTITUTE(SUBSTITUTE(SUBSTITUTE(X288,"|}","--"),"{|","--"),CHAR(10),""),"、",""),"|",""))+IF(AND(OR(I288="EI",I288="EO",I288="EQ"),$AD$1="NESMA"),2,1)))</f>
        <v/>
      </c>
      <c r="O288" s="84">
        <f>IF(I288="EI",IF(OR(X288="估算法",X288="算法类"),"中",IF(X288="无法识别","低",IF(L288&lt;2,IF(N288&lt;16,"低","中"),IF(L288&lt;3,IF(N288&lt;5,"低",IF(N288&lt;16,"中","高")),IF(N288&lt;5,"中","高"))))),IF(OR(I288="EO",I288="EQ"),IF(OR(X288="估算法",X288="算法类"),"中",IF(X288="无法识别","低",IF(L288&lt;2,IF(N288&lt;20,"低","中"),IF(L288&lt;4,IF(N288&lt;6,"低",IF(N288&lt;20,"中","高")),IF(N288&lt;6,"中","高"))))),IF(OR(I288="ILF",I288="EIF"),IF(OR(X288="估算法",X288="算法类",X288="无法识别"),"低",IF(M288&lt;2,IF(N288&lt;51,"低","中"),IF(M288&lt;6,IF(N288&lt;20,"低",IF(N288&lt;51,"中","高")),IF(N288&lt;20,"中","高")))),"不计算")))</f>
        <v/>
      </c>
      <c r="P288" s="142">
        <f>IFERROR(IF(I288="EI",IF(O288="低",3,IF(O288="中",4,6)),IF(I288="EO",IF(O288="低",4,IF(O288="中",5,7)),IF(I288="EQ",IF(O288="低",3,IF(O288="中",4,6)),IF(I288="ILF",IF(O288="低",7,IF(O288="中",10,15)),IF(I288="EIF",IF(O288="低",5,IF(O288="中",7,10)),"不计算")))))*Q288,"不计算")</f>
        <v/>
      </c>
      <c r="Q288" s="142" t="n">
        <v>1</v>
      </c>
      <c r="R288" s="143">
        <f>调整因子!$F$13</f>
        <v/>
      </c>
      <c r="S288" s="76" t="n">
        <v>1</v>
      </c>
      <c r="T288" s="144">
        <f>IFERROR(P288*R288,0)</f>
        <v/>
      </c>
      <c r="U288" s="144">
        <f>T288*S288</f>
        <v/>
      </c>
      <c r="V288" s="89" t="n"/>
      <c r="W288" s="88" t="inlineStr">
        <is>
          <t>运行时批量处理表</t>
        </is>
      </c>
      <c r="X288" s="88" t="inlineStr">
        <is>
          <t>运行时批量处理表{批量ID、批量内容、创建时间}</t>
        </is>
      </c>
      <c r="Y288" s="88">
        <f>IF(COUNTIFS(V:V,"*"&amp;H288&amp;"*")&gt;0,"存在","不存在")</f>
        <v/>
      </c>
      <c r="Z288" s="88">
        <f>IF(COUNTIFS(AA:AA,"*"&amp;H288&amp;"*")&gt;0,"存在","不存在")</f>
        <v/>
      </c>
      <c r="AA288" s="96" t="inlineStr">
        <is>
          <t>分类层级关系表、性能数据表</t>
        </is>
      </c>
    </row>
    <row r="289">
      <c r="A289" s="69">
        <f>ROW()-1</f>
        <v/>
      </c>
      <c r="B289" s="53" t="n"/>
      <c r="C289" s="78" t="n">
        <v>2025</v>
      </c>
      <c r="D289" s="78" t="inlineStr">
        <is>
          <t>张明峰</t>
        </is>
      </c>
      <c r="E289" s="53" t="n"/>
      <c r="F289" s="53" t="n"/>
      <c r="G289" s="53" t="n"/>
      <c r="H289" s="81" t="inlineStr">
        <is>
          <t>运行时批量处理部分表</t>
        </is>
      </c>
      <c r="I289" s="76" t="n"/>
      <c r="J289" s="99" t="inlineStr">
        <is>
          <t>删除</t>
        </is>
      </c>
      <c r="K289" s="108" t="inlineStr">
        <is>
          <t>非ILF - 运行时状态</t>
        </is>
      </c>
      <c r="L289" s="83">
        <f>IF(OR(X289="估算法",X289="算法类",X289="无法识别"),"",IF(V289="",IF(OR(I289="EI",I289="EO",I289="EQ"),0,""),LEN(V289)-LEN(SUBSTITUTE(V289,"、",""))+1))</f>
        <v/>
      </c>
      <c r="M289" s="83">
        <f>IF(OR(X289="估算法",X289="算法类",X289="无法识别"),"",IF(W289="",IF(OR(I289="ILF",I289="EIF"),0,""),LEN(W289)-LEN(SUBSTITUTE(W289,"、",""))+1))</f>
        <v/>
      </c>
      <c r="N289" s="83">
        <f>IF(OR(X289="估算法",X289="算法类",X289="无法识别"),"",IF(X289="",IF(OR(I289="ILF",I289="EIF",I289="EI",I289="EO",I289="EQ"),0,""),LEN(X289)-LEN(SUBSTITUTE(SUBSTITUTE(SUBSTITUTE(SUBSTITUTE(SUBSTITUTE(X289,"|}","--"),"{|","--"),CHAR(10),""),"、",""),"|",""))+IF(AND(OR(I289="EI",I289="EO",I289="EQ"),$AD$1="NESMA"),2,1)))</f>
        <v/>
      </c>
      <c r="O289" s="84">
        <f>IF(I289="EI",IF(OR(X289="估算法",X289="算法类"),"中",IF(X289="无法识别","低",IF(L289&lt;2,IF(N289&lt;16,"低","中"),IF(L289&lt;3,IF(N289&lt;5,"低",IF(N289&lt;16,"中","高")),IF(N289&lt;5,"中","高"))))),IF(OR(I289="EO",I289="EQ"),IF(OR(X289="估算法",X289="算法类"),"中",IF(X289="无法识别","低",IF(L289&lt;2,IF(N289&lt;20,"低","中"),IF(L289&lt;4,IF(N289&lt;6,"低",IF(N289&lt;20,"中","高")),IF(N289&lt;6,"中","高"))))),IF(OR(I289="ILF",I289="EIF"),IF(OR(X289="估算法",X289="算法类",X289="无法识别"),"低",IF(M289&lt;2,IF(N289&lt;51,"低","中"),IF(M289&lt;6,IF(N289&lt;20,"低",IF(N289&lt;51,"中","高")),IF(N289&lt;20,"中","高")))),"不计算")))</f>
        <v/>
      </c>
      <c r="P289" s="142">
        <f>IFERROR(IF(I289="EI",IF(O289="低",3,IF(O289="中",4,6)),IF(I289="EO",IF(O289="低",4,IF(O289="中",5,7)),IF(I289="EQ",IF(O289="低",3,IF(O289="中",4,6)),IF(I289="ILF",IF(O289="低",7,IF(O289="中",10,15)),IF(I289="EIF",IF(O289="低",5,IF(O289="中",7,10)),"不计算")))))*Q289,"不计算")</f>
        <v/>
      </c>
      <c r="Q289" s="142" t="n">
        <v>1</v>
      </c>
      <c r="R289" s="143">
        <f>调整因子!$F$13</f>
        <v/>
      </c>
      <c r="S289" s="70" t="n">
        <v>1</v>
      </c>
      <c r="T289" s="144">
        <f>IFERROR(P289*R289,0)</f>
        <v/>
      </c>
      <c r="U289" s="144">
        <f>T289*S289</f>
        <v/>
      </c>
      <c r="V289" s="89" t="n"/>
      <c r="W289" s="88" t="inlineStr">
        <is>
          <t>运行时批量处理部分表</t>
        </is>
      </c>
      <c r="X289" s="88" t="inlineStr">
        <is>
          <t>运行时批量处理部分表{部分ID、批量ID、部分内容、创建时间}</t>
        </is>
      </c>
      <c r="Y289" s="88">
        <f>IF(COUNTIFS(V:V,"*"&amp;H289&amp;"*")&gt;0,"存在","不存在")</f>
        <v/>
      </c>
      <c r="Z289" s="88">
        <f>IF(COUNTIFS(AA:AA,"*"&amp;H289&amp;"*")&gt;0,"存在","不存在")</f>
        <v/>
      </c>
      <c r="AA289" s="96" t="inlineStr">
        <is>
          <t>离线扫描报告表</t>
        </is>
      </c>
    </row>
    <row r="290">
      <c r="A290" s="69">
        <f>ROW()-1</f>
        <v/>
      </c>
      <c r="B290" s="53" t="n"/>
      <c r="C290" s="78" t="n">
        <v>2025</v>
      </c>
      <c r="D290" s="78" t="inlineStr">
        <is>
          <t>张明峰</t>
        </is>
      </c>
      <c r="E290" s="53" t="n"/>
      <c r="F290" s="53" t="n"/>
      <c r="G290" s="53" t="n"/>
      <c r="H290" s="81" t="inlineStr">
        <is>
          <t>表单定义内容表</t>
        </is>
      </c>
      <c r="I290" s="76" t="inlineStr">
        <is>
          <t>ILF</t>
        </is>
      </c>
      <c r="J290" s="99" t="inlineStr">
        <is>
          <t>删除</t>
        </is>
      </c>
      <c r="K290" s="108" t="inlineStr">
        <is>
          <t>数据库表未被本系统所维护</t>
        </is>
      </c>
      <c r="L290" s="83">
        <f>IF(OR(X290="估算法",X290="算法类",X290="无法识别"),"",IF(V290="",IF(OR(I290="EI",I290="EO",I290="EQ"),0,""),LEN(V290)-LEN(SUBSTITUTE(V290,"、",""))+1))</f>
        <v/>
      </c>
      <c r="M290" s="83">
        <f>IF(OR(X290="估算法",X290="算法类",X290="无法识别"),"",IF(W290="",IF(OR(I290="ILF",I290="EIF"),0,""),LEN(W290)-LEN(SUBSTITUTE(W290,"、",""))+1))</f>
        <v/>
      </c>
      <c r="N290" s="83">
        <f>IF(OR(X290="估算法",X290="算法类",X290="无法识别"),"",IF(X290="",IF(OR(I290="ILF",I290="EIF",I290="EI",I290="EO",I290="EQ"),0,""),LEN(X290)-LEN(SUBSTITUTE(SUBSTITUTE(SUBSTITUTE(SUBSTITUTE(SUBSTITUTE(X290,"|}","--"),"{|","--"),CHAR(10),""),"、",""),"|",""))+IF(AND(OR(I290="EI",I290="EO",I290="EQ"),$AD$1="NESMA"),2,1)))</f>
        <v/>
      </c>
      <c r="O290" s="84">
        <f>IF(I290="EI",IF(OR(X290="估算法",X290="算法类"),"中",IF(X290="无法识别","低",IF(L290&lt;2,IF(N290&lt;16,"低","中"),IF(L290&lt;3,IF(N290&lt;5,"低",IF(N290&lt;16,"中","高")),IF(N290&lt;5,"中","高"))))),IF(OR(I290="EO",I290="EQ"),IF(OR(X290="估算法",X290="算法类"),"中",IF(X290="无法识别","低",IF(L290&lt;2,IF(N290&lt;20,"低","中"),IF(L290&lt;4,IF(N290&lt;6,"低",IF(N290&lt;20,"中","高")),IF(N290&lt;6,"中","高"))))),IF(OR(I290="ILF",I290="EIF"),IF(OR(X290="估算法",X290="算法类",X290="无法识别"),"低",IF(M290&lt;2,IF(N290&lt;51,"低","中"),IF(M290&lt;6,IF(N290&lt;20,"低",IF(N290&lt;51,"中","高")),IF(N290&lt;20,"中","高")))),"不计算")))</f>
        <v/>
      </c>
      <c r="P290" s="142">
        <f>IFERROR(IF(I290="EI",IF(O290="低",3,IF(O290="中",4,6)),IF(I290="EO",IF(O290="低",4,IF(O290="中",5,7)),IF(I290="EQ",IF(O290="低",3,IF(O290="中",4,6)),IF(I290="ILF",IF(O290="低",7,IF(O290="中",10,15)),IF(I290="EIF",IF(O290="低",5,IF(O290="中",7,10)),"不计算")))))*Q290,"不计算")</f>
        <v/>
      </c>
      <c r="Q290" s="142" t="n">
        <v>0</v>
      </c>
      <c r="R290" s="143">
        <f>调整因子!$F$13</f>
        <v/>
      </c>
      <c r="S290" s="70" t="n">
        <v>1</v>
      </c>
      <c r="T290" s="144">
        <f>IFERROR(P290*R290,0)</f>
        <v/>
      </c>
      <c r="U290" s="144">
        <f>T290*S290</f>
        <v/>
      </c>
      <c r="V290" s="89" t="n"/>
      <c r="W290" s="88" t="inlineStr">
        <is>
          <t>表单定义内容表</t>
        </is>
      </c>
      <c r="X290" s="88" t="inlineStr">
        <is>
          <t>表单定义内容表{内容ID、表单定义ID、内容、创建时间}</t>
        </is>
      </c>
      <c r="Y290" s="88">
        <f>IF(COUNTIFS(V:V,"*"&amp;H290&amp;"*")&gt;0,"存在","不存在")</f>
        <v/>
      </c>
      <c r="Z290" s="88">
        <f>IF(COUNTIFS(AA:AA,"*"&amp;H290&amp;"*")&gt;0,"存在","不存在")</f>
        <v/>
      </c>
      <c r="AA290" s="96" t="inlineStr">
        <is>
          <t>修复步骤表</t>
        </is>
      </c>
    </row>
    <row r="291" ht="32.4" customHeight="1">
      <c r="A291" s="69">
        <f>ROW()-1</f>
        <v/>
      </c>
      <c r="B291" s="53" t="n"/>
      <c r="C291" s="78" t="n">
        <v>2025</v>
      </c>
      <c r="D291" s="78" t="inlineStr">
        <is>
          <t>张明峰</t>
        </is>
      </c>
      <c r="E291" s="53" t="n"/>
      <c r="F291" s="53" t="n"/>
      <c r="G291" s="53" t="n"/>
      <c r="H291" s="81" t="inlineStr">
        <is>
          <t>表单定义表</t>
        </is>
      </c>
      <c r="I291" s="76" t="inlineStr">
        <is>
          <t>ILF</t>
        </is>
      </c>
      <c r="J291" s="99" t="inlineStr">
        <is>
          <t>删除</t>
        </is>
      </c>
      <c r="K291" s="108" t="inlineStr">
        <is>
          <t>数据库表未被本系统所维护</t>
        </is>
      </c>
      <c r="L291" s="83">
        <f>IF(OR(X291="估算法",X291="算法类",X291="无法识别"),"",IF(V291="",IF(OR(I291="EI",I291="EO",I291="EQ"),0,""),LEN(V291)-LEN(SUBSTITUTE(V291,"、",""))+1))</f>
        <v/>
      </c>
      <c r="M291" s="83">
        <f>IF(OR(X291="估算法",X291="算法类",X291="无法识别"),"",IF(W291="",IF(OR(I291="ILF",I291="EIF"),0,""),LEN(W291)-LEN(SUBSTITUTE(W291,"、",""))+1))</f>
        <v/>
      </c>
      <c r="N291" s="83">
        <f>IF(OR(X291="估算法",X291="算法类",X291="无法识别"),"",IF(X291="",IF(OR(I291="ILF",I291="EIF",I291="EI",I291="EO",I291="EQ"),0,""),LEN(X291)-LEN(SUBSTITUTE(SUBSTITUTE(SUBSTITUTE(SUBSTITUTE(SUBSTITUTE(X291,"|}","--"),"{|","--"),CHAR(10),""),"、",""),"|",""))+IF(AND(OR(I291="EI",I291="EO",I291="EQ"),$AD$1="NESMA"),2,1)))</f>
        <v/>
      </c>
      <c r="O291" s="84">
        <f>IF(I291="EI",IF(OR(X291="估算法",X291="算法类"),"中",IF(X291="无法识别","低",IF(L291&lt;2,IF(N291&lt;16,"低","中"),IF(L291&lt;3,IF(N291&lt;5,"低",IF(N291&lt;16,"中","高")),IF(N291&lt;5,"中","高"))))),IF(OR(I291="EO",I291="EQ"),IF(OR(X291="估算法",X291="算法类"),"中",IF(X291="无法识别","低",IF(L291&lt;2,IF(N291&lt;20,"低","中"),IF(L291&lt;4,IF(N291&lt;6,"低",IF(N291&lt;20,"中","高")),IF(N291&lt;6,"中","高"))))),IF(OR(I291="ILF",I291="EIF"),IF(OR(X291="估算法",X291="算法类",X291="无法识别"),"低",IF(M291&lt;2,IF(N291&lt;51,"低","中"),IF(M291&lt;6,IF(N291&lt;20,"低",IF(N291&lt;51,"中","高")),IF(N291&lt;20,"中","高")))),"不计算")))</f>
        <v/>
      </c>
      <c r="P291" s="142">
        <f>IFERROR(IF(I291="EI",IF(O291="低",3,IF(O291="中",4,6)),IF(I291="EO",IF(O291="低",4,IF(O291="中",5,7)),IF(I291="EQ",IF(O291="低",3,IF(O291="中",4,6)),IF(I291="ILF",IF(O291="低",7,IF(O291="中",10,15)),IF(I291="EIF",IF(O291="低",5,IF(O291="中",7,10)),"不计算")))))*Q291,"不计算")</f>
        <v/>
      </c>
      <c r="Q291" s="142" t="n">
        <v>0</v>
      </c>
      <c r="R291" s="143">
        <f>调整因子!$F$13</f>
        <v/>
      </c>
      <c r="S291" s="76" t="n">
        <v>1</v>
      </c>
      <c r="T291" s="144">
        <f>IFERROR(P291*R291,0)</f>
        <v/>
      </c>
      <c r="U291" s="144">
        <f>T291*S291</f>
        <v/>
      </c>
      <c r="V291" s="89" t="n"/>
      <c r="W291" s="88" t="inlineStr">
        <is>
          <t>表单定义内容表、表单定义表、表单定义历史表、表单定义单元表</t>
        </is>
      </c>
      <c r="X291" s="88" t="inlineStr">
        <is>
          <t>内容ID、表单定义ID、内容、创建时间、表单ID、表单名称、描述、历史ID、历史内容、单元ID、单元名称</t>
        </is>
      </c>
      <c r="Y291" s="88">
        <f>IF(COUNTIFS(V:V,"*"&amp;H291&amp;"*")&gt;0,"存在","不存在")</f>
        <v/>
      </c>
      <c r="Z291" s="88">
        <f>IF(COUNTIFS(AA:AA,"*"&amp;H291&amp;"*")&gt;0,"存在","不存在")</f>
        <v/>
      </c>
      <c r="AA291" s="96" t="inlineStr">
        <is>
          <t>漏洞查询接口配置表、标签定义表</t>
        </is>
      </c>
    </row>
    <row r="292">
      <c r="A292" s="69">
        <f>ROW()-1</f>
        <v/>
      </c>
      <c r="B292" s="53" t="n"/>
      <c r="C292" s="78" t="n">
        <v>2025</v>
      </c>
      <c r="D292" s="78" t="inlineStr">
        <is>
          <t>张明峰</t>
        </is>
      </c>
      <c r="E292" s="53" t="n"/>
      <c r="F292" s="53" t="n"/>
      <c r="G292" s="53" t="n"/>
      <c r="H292" s="81" t="inlineStr">
        <is>
          <t>表单定义历史表</t>
        </is>
      </c>
      <c r="I292" s="76" t="inlineStr">
        <is>
          <t>ILF</t>
        </is>
      </c>
      <c r="J292" s="99" t="inlineStr">
        <is>
          <t>删除</t>
        </is>
      </c>
      <c r="K292" s="108" t="inlineStr">
        <is>
          <t>数据库表未被本系统所维护</t>
        </is>
      </c>
      <c r="L292" s="83">
        <f>IF(OR(X292="估算法",X292="算法类",X292="无法识别"),"",IF(V292="",IF(OR(I292="EI",I292="EO",I292="EQ"),0,""),LEN(V292)-LEN(SUBSTITUTE(V292,"、",""))+1))</f>
        <v/>
      </c>
      <c r="M292" s="83">
        <f>IF(OR(X292="估算法",X292="算法类",X292="无法识别"),"",IF(W292="",IF(OR(I292="ILF",I292="EIF"),0,""),LEN(W292)-LEN(SUBSTITUTE(W292,"、",""))+1))</f>
        <v/>
      </c>
      <c r="N292" s="83">
        <f>IF(OR(X292="估算法",X292="算法类",X292="无法识别"),"",IF(X292="",IF(OR(I292="ILF",I292="EIF",I292="EI",I292="EO",I292="EQ"),0,""),LEN(X292)-LEN(SUBSTITUTE(SUBSTITUTE(SUBSTITUTE(SUBSTITUTE(SUBSTITUTE(X292,"|}","--"),"{|","--"),CHAR(10),""),"、",""),"|",""))+IF(AND(OR(I292="EI",I292="EO",I292="EQ"),$AD$1="NESMA"),2,1)))</f>
        <v/>
      </c>
      <c r="O292" s="84">
        <f>IF(I292="EI",IF(OR(X292="估算法",X292="算法类"),"中",IF(X292="无法识别","低",IF(L292&lt;2,IF(N292&lt;16,"低","中"),IF(L292&lt;3,IF(N292&lt;5,"低",IF(N292&lt;16,"中","高")),IF(N292&lt;5,"中","高"))))),IF(OR(I292="EO",I292="EQ"),IF(OR(X292="估算法",X292="算法类"),"中",IF(X292="无法识别","低",IF(L292&lt;2,IF(N292&lt;20,"低","中"),IF(L292&lt;4,IF(N292&lt;6,"低",IF(N292&lt;20,"中","高")),IF(N292&lt;6,"中","高"))))),IF(OR(I292="ILF",I292="EIF"),IF(OR(X292="估算法",X292="算法类",X292="无法识别"),"低",IF(M292&lt;2,IF(N292&lt;51,"低","中"),IF(M292&lt;6,IF(N292&lt;20,"低",IF(N292&lt;51,"中","高")),IF(N292&lt;20,"中","高")))),"不计算")))</f>
        <v/>
      </c>
      <c r="P292" s="142">
        <f>IFERROR(IF(I292="EI",IF(O292="低",3,IF(O292="中",4,6)),IF(I292="EO",IF(O292="低",4,IF(O292="中",5,7)),IF(I292="EQ",IF(O292="低",3,IF(O292="中",4,6)),IF(I292="ILF",IF(O292="低",7,IF(O292="中",10,15)),IF(I292="EIF",IF(O292="低",5,IF(O292="中",7,10)),"不计算")))))*Q292,"不计算")</f>
        <v/>
      </c>
      <c r="Q292" s="142" t="n">
        <v>0</v>
      </c>
      <c r="R292" s="143">
        <f>调整因子!$F$13</f>
        <v/>
      </c>
      <c r="S292" s="70" t="n">
        <v>1</v>
      </c>
      <c r="T292" s="144">
        <f>IFERROR(P292*R292,0)</f>
        <v/>
      </c>
      <c r="U292" s="144">
        <f>T292*S292</f>
        <v/>
      </c>
      <c r="V292" s="89" t="n"/>
      <c r="W292" s="88" t="inlineStr">
        <is>
          <t>表单定义历史表</t>
        </is>
      </c>
      <c r="X292" s="88" t="inlineStr">
        <is>
          <t>表单定义历史表{历史ID、表单ID、历史内容、创建时间}</t>
        </is>
      </c>
      <c r="Y292" s="88">
        <f>IF(COUNTIFS(V:V,"*"&amp;H292&amp;"*")&gt;0,"存在","不存在")</f>
        <v/>
      </c>
      <c r="Z292" s="88">
        <f>IF(COUNTIFS(AA:AA,"*"&amp;H292&amp;"*")&gt;0,"存在","不存在")</f>
        <v/>
      </c>
      <c r="AA292" s="96" t="inlineStr">
        <is>
          <t>任务优先级配置表</t>
        </is>
      </c>
    </row>
    <row r="293">
      <c r="A293" s="69">
        <f>ROW()-1</f>
        <v/>
      </c>
      <c r="B293" s="53" t="n"/>
      <c r="C293" s="78" t="n">
        <v>2025</v>
      </c>
      <c r="D293" s="78" t="inlineStr">
        <is>
          <t>张明峰</t>
        </is>
      </c>
      <c r="E293" s="53" t="n"/>
      <c r="F293" s="53" t="n"/>
      <c r="G293" s="53" t="n"/>
      <c r="H293" s="81" t="inlineStr">
        <is>
          <t>表单定义单元表</t>
        </is>
      </c>
      <c r="I293" s="76" t="inlineStr">
        <is>
          <t>ILF</t>
        </is>
      </c>
      <c r="J293" s="99" t="inlineStr">
        <is>
          <t>删除</t>
        </is>
      </c>
      <c r="K293" s="108" t="inlineStr">
        <is>
          <t>数据库表未被本系统所维护</t>
        </is>
      </c>
      <c r="L293" s="83">
        <f>IF(OR(X293="估算法",X293="算法类",X293="无法识别"),"",IF(V293="",IF(OR(I293="EI",I293="EO",I293="EQ"),0,""),LEN(V293)-LEN(SUBSTITUTE(V293,"、",""))+1))</f>
        <v/>
      </c>
      <c r="M293" s="83">
        <f>IF(OR(X293="估算法",X293="算法类",X293="无法识别"),"",IF(W293="",IF(OR(I293="ILF",I293="EIF"),0,""),LEN(W293)-LEN(SUBSTITUTE(W293,"、",""))+1))</f>
        <v/>
      </c>
      <c r="N293" s="83">
        <f>IF(OR(X293="估算法",X293="算法类",X293="无法识别"),"",IF(X293="",IF(OR(I293="ILF",I293="EIF",I293="EI",I293="EO",I293="EQ"),0,""),LEN(X293)-LEN(SUBSTITUTE(SUBSTITUTE(SUBSTITUTE(SUBSTITUTE(SUBSTITUTE(X293,"|}","--"),"{|","--"),CHAR(10),""),"、",""),"|",""))+IF(AND(OR(I293="EI",I293="EO",I293="EQ"),$AD$1="NESMA"),2,1)))</f>
        <v/>
      </c>
      <c r="O293" s="84">
        <f>IF(I293="EI",IF(OR(X293="估算法",X293="算法类"),"中",IF(X293="无法识别","低",IF(L293&lt;2,IF(N293&lt;16,"低","中"),IF(L293&lt;3,IF(N293&lt;5,"低",IF(N293&lt;16,"中","高")),IF(N293&lt;5,"中","高"))))),IF(OR(I293="EO",I293="EQ"),IF(OR(X293="估算法",X293="算法类"),"中",IF(X293="无法识别","低",IF(L293&lt;2,IF(N293&lt;20,"低","中"),IF(L293&lt;4,IF(N293&lt;6,"低",IF(N293&lt;20,"中","高")),IF(N293&lt;6,"中","高"))))),IF(OR(I293="ILF",I293="EIF"),IF(OR(X293="估算法",X293="算法类",X293="无法识别"),"低",IF(M293&lt;2,IF(N293&lt;51,"低","中"),IF(M293&lt;6,IF(N293&lt;20,"低",IF(N293&lt;51,"中","高")),IF(N293&lt;20,"中","高")))),"不计算")))</f>
        <v/>
      </c>
      <c r="P293" s="142">
        <f>IFERROR(IF(I293="EI",IF(O293="低",3,IF(O293="中",4,6)),IF(I293="EO",IF(O293="低",4,IF(O293="中",5,7)),IF(I293="EQ",IF(O293="低",3,IF(O293="中",4,6)),IF(I293="ILF",IF(O293="低",7,IF(O293="中",10,15)),IF(I293="EIF",IF(O293="低",5,IF(O293="中",7,10)),"不计算")))))*Q293,"不计算")</f>
        <v/>
      </c>
      <c r="Q293" s="142" t="n">
        <v>0</v>
      </c>
      <c r="R293" s="143">
        <f>调整因子!$F$13</f>
        <v/>
      </c>
      <c r="S293" s="70" t="n">
        <v>1</v>
      </c>
      <c r="T293" s="144">
        <f>IFERROR(P293*R293,0)</f>
        <v/>
      </c>
      <c r="U293" s="144">
        <f>T293*S293</f>
        <v/>
      </c>
      <c r="V293" s="89" t="n"/>
      <c r="W293" s="88" t="inlineStr">
        <is>
          <t>表单定义单元表</t>
        </is>
      </c>
      <c r="X293" s="88" t="inlineStr">
        <is>
          <t>表单定义单元表{单元ID、表单ID、单元名称、描述}</t>
        </is>
      </c>
      <c r="Y293" s="88">
        <f>IF(COUNTIFS(V:V,"*"&amp;H293&amp;"*")&gt;0,"存在","不存在")</f>
        <v/>
      </c>
      <c r="Z293" s="88">
        <f>IF(COUNTIFS(AA:AA,"*"&amp;H293&amp;"*")&gt;0,"存在","不存在")</f>
        <v/>
      </c>
      <c r="AA293" s="96" t="inlineStr">
        <is>
          <t>任务日志表</t>
        </is>
      </c>
    </row>
    <row r="294">
      <c r="A294" s="69">
        <f>ROW()-1</f>
        <v/>
      </c>
      <c r="B294" s="53" t="n"/>
      <c r="C294" s="78" t="n">
        <v>2025</v>
      </c>
      <c r="D294" s="78" t="inlineStr">
        <is>
          <t>张明峰</t>
        </is>
      </c>
      <c r="E294" s="53" t="n"/>
      <c r="F294" s="53" t="n"/>
      <c r="G294" s="53" t="n"/>
      <c r="H294" s="81" t="inlineStr">
        <is>
          <t>表单类型表</t>
        </is>
      </c>
      <c r="I294" s="76" t="inlineStr">
        <is>
          <t>ILF</t>
        </is>
      </c>
      <c r="J294" s="99" t="inlineStr">
        <is>
          <t>删除</t>
        </is>
      </c>
      <c r="K294" s="108" t="inlineStr">
        <is>
          <t>数据库表未被本系统所维护</t>
        </is>
      </c>
      <c r="L294" s="83">
        <f>IF(OR(X294="估算法",X294="算法类",X294="无法识别"),"",IF(V294="",IF(OR(I294="EI",I294="EO",I294="EQ"),0,""),LEN(V294)-LEN(SUBSTITUTE(V294,"、",""))+1))</f>
        <v/>
      </c>
      <c r="M294" s="83">
        <f>IF(OR(X294="估算法",X294="算法类",X294="无法识别"),"",IF(W294="",IF(OR(I294="ILF",I294="EIF"),0,""),LEN(W294)-LEN(SUBSTITUTE(W294,"、",""))+1))</f>
        <v/>
      </c>
      <c r="N294" s="83">
        <f>IF(OR(X294="估算法",X294="算法类",X294="无法识别"),"",IF(X294="",IF(OR(I294="ILF",I294="EIF",I294="EI",I294="EO",I294="EQ"),0,""),LEN(X294)-LEN(SUBSTITUTE(SUBSTITUTE(SUBSTITUTE(SUBSTITUTE(SUBSTITUTE(X294,"|}","--"),"{|","--"),CHAR(10),""),"、",""),"|",""))+IF(AND(OR(I294="EI",I294="EO",I294="EQ"),$AD$1="NESMA"),2,1)))</f>
        <v/>
      </c>
      <c r="O294" s="84">
        <f>IF(I294="EI",IF(OR(X294="估算法",X294="算法类"),"中",IF(X294="无法识别","低",IF(L294&lt;2,IF(N294&lt;16,"低","中"),IF(L294&lt;3,IF(N294&lt;5,"低",IF(N294&lt;16,"中","高")),IF(N294&lt;5,"中","高"))))),IF(OR(I294="EO",I294="EQ"),IF(OR(X294="估算法",X294="算法类"),"中",IF(X294="无法识别","低",IF(L294&lt;2,IF(N294&lt;20,"低","中"),IF(L294&lt;4,IF(N294&lt;6,"低",IF(N294&lt;20,"中","高")),IF(N294&lt;6,"中","高"))))),IF(OR(I294="ILF",I294="EIF"),IF(OR(X294="估算法",X294="算法类",X294="无法识别"),"低",IF(M294&lt;2,IF(N294&lt;51,"低","中"),IF(M294&lt;6,IF(N294&lt;20,"低",IF(N294&lt;51,"中","高")),IF(N294&lt;20,"中","高")))),"不计算")))</f>
        <v/>
      </c>
      <c r="P294" s="142">
        <f>IFERROR(IF(I294="EI",IF(O294="低",3,IF(O294="中",4,6)),IF(I294="EO",IF(O294="低",4,IF(O294="中",5,7)),IF(I294="EQ",IF(O294="低",3,IF(O294="中",4,6)),IF(I294="ILF",IF(O294="低",7,IF(O294="中",10,15)),IF(I294="EIF",IF(O294="低",5,IF(O294="中",7,10)),"不计算")))))*Q294,"不计算")</f>
        <v/>
      </c>
      <c r="Q294" s="142" t="n">
        <v>0</v>
      </c>
      <c r="R294" s="143">
        <f>调整因子!$F$13</f>
        <v/>
      </c>
      <c r="S294" s="76" t="n">
        <v>1</v>
      </c>
      <c r="T294" s="144">
        <f>IFERROR(P294*R294,0)</f>
        <v/>
      </c>
      <c r="U294" s="144">
        <f>T294*S294</f>
        <v/>
      </c>
      <c r="V294" s="89" t="n"/>
      <c r="W294" s="88" t="inlineStr">
        <is>
          <t>表单类型表</t>
        </is>
      </c>
      <c r="X294" s="88" t="inlineStr">
        <is>
          <t>表单类型表{类型ID、类型名称、描述}</t>
        </is>
      </c>
      <c r="Y294" s="88">
        <f>IF(COUNTIFS(V:V,"*"&amp;H294&amp;"*")&gt;0,"存在","不存在")</f>
        <v/>
      </c>
      <c r="Z294" s="88">
        <f>IF(COUNTIFS(AA:AA,"*"&amp;H294&amp;"*")&gt;0,"存在","不存在")</f>
        <v/>
      </c>
      <c r="AA294" s="96" t="inlineStr">
        <is>
          <t>报告导入记录表、任务趋势分析表</t>
        </is>
      </c>
    </row>
    <row r="295" ht="21.6" customHeight="1">
      <c r="A295" s="69" t="n"/>
      <c r="B295" s="53" t="n"/>
      <c r="C295" s="78" t="n"/>
      <c r="D295" s="78" t="inlineStr">
        <is>
          <t>张明峰</t>
        </is>
      </c>
      <c r="E295" s="53" t="n"/>
      <c r="F295" s="53" t="n"/>
      <c r="G295" s="53" t="n"/>
      <c r="H295" s="81" t="inlineStr">
        <is>
          <t>原理检测插件审核单表</t>
        </is>
      </c>
      <c r="I295" s="76" t="inlineStr">
        <is>
          <t>ILF</t>
        </is>
      </c>
      <c r="J295" s="92" t="inlineStr">
        <is>
          <t>新增</t>
        </is>
      </c>
      <c r="K295" s="108" t="n"/>
      <c r="L295" s="83" t="n"/>
      <c r="M295" s="83">
        <f>IF(OR(X295="估算法",X295="算法类",X295="无法识别"),"",IF(W295="",IF(OR(I295="ILF",I295="EIF"),0,""),LEN(W295)-LEN(SUBSTITUTE(W295,"、",""))+1))</f>
        <v/>
      </c>
      <c r="N295" s="83">
        <f>IF(OR(X295="估算法",X295="算法类",X295="无法识别"),"",IF(X295="",IF(OR(I295="ILF",I295="EIF",I295="EI",I295="EO",I295="EQ"),0,""),LEN(X295)-LEN(SUBSTITUTE(SUBSTITUTE(SUBSTITUTE(SUBSTITUTE(SUBSTITUTE(X295,"|}","--"),"{|","--"),CHAR(10),""),"、",""),"|",""))+IF(AND(OR(I295="EI",I295="EO",I295="EQ"),$AD$1="NESMA"),2,1)))</f>
        <v/>
      </c>
      <c r="O295" s="84">
        <f>IF(I295="EI",IF(OR(X295="估算法",X295="算法类"),"中",IF(X295="无法识别","低",IF(L295&lt;2,IF(N295&lt;16,"低","中"),IF(L295&lt;3,IF(N295&lt;5,"低",IF(N295&lt;16,"中","高")),IF(N295&lt;5,"中","高"))))),IF(OR(I295="EO",I295="EQ"),IF(OR(X295="估算法",X295="算法类"),"中",IF(X295="无法识别","低",IF(L295&lt;2,IF(N295&lt;20,"低","中"),IF(L295&lt;4,IF(N295&lt;6,"低",IF(N295&lt;20,"中","高")),IF(N295&lt;6,"中","高"))))),IF(OR(I295="ILF",I295="EIF"),IF(OR(X295="估算法",X295="算法类",X295="无法识别"),"低",IF(M295&lt;2,IF(N295&lt;51,"低","中"),IF(M295&lt;6,IF(N295&lt;20,"低",IF(N295&lt;51,"中","高")),IF(N295&lt;20,"中","高")))),"不计算")))</f>
        <v/>
      </c>
      <c r="P295" s="142">
        <f>IFERROR(IF(I295="EI",IF(O295="低",3,IF(O295="中",4,6)),IF(I295="EO",IF(O295="低",4,IF(O295="中",5,7)),IF(I295="EQ",IF(O295="低",3,IF(O295="中",4,6)),IF(I295="ILF",IF(O295="低",7,IF(O295="中",10,15)),IF(I295="EIF",IF(O295="低",5,IF(O295="中",7,10)),"不计算")))))*Q295,"不计算")</f>
        <v/>
      </c>
      <c r="Q295" s="142" t="n">
        <v>1</v>
      </c>
      <c r="R295" s="143">
        <f>调整因子!$F$13</f>
        <v/>
      </c>
      <c r="S295" s="70" t="n">
        <v>1</v>
      </c>
      <c r="T295" s="144">
        <f>IFERROR(P295*R295,0)</f>
        <v/>
      </c>
      <c r="U295" s="144">
        <f>T295*S295</f>
        <v/>
      </c>
      <c r="V295" s="88" t="n"/>
      <c r="W295" s="88" t="inlineStr">
        <is>
          <t>原理检测插件审核单表</t>
        </is>
      </c>
      <c r="X295" s="88" t="inlineStr">
        <is>
          <t>原理检测插件审核单表{审核单编号、插件编号、插件版本号、审核类型、申请人编号、申请时间、审核单状态、关联任务编号、备注}</t>
        </is>
      </c>
      <c r="Y295" s="88" t="n"/>
      <c r="Z295" s="88" t="n"/>
      <c r="AA295" s="96" t="n"/>
    </row>
    <row r="296" ht="21.6" customHeight="1">
      <c r="A296" s="69" t="n"/>
      <c r="B296" s="53" t="n"/>
      <c r="C296" s="78" t="n"/>
      <c r="D296" s="78" t="inlineStr">
        <is>
          <t>张明峰</t>
        </is>
      </c>
      <c r="E296" s="53" t="n"/>
      <c r="F296" s="53" t="n"/>
      <c r="G296" s="53" t="n"/>
      <c r="H296" s="81" t="inlineStr">
        <is>
          <t>插件审核内容安全检测表</t>
        </is>
      </c>
      <c r="I296" s="76" t="inlineStr">
        <is>
          <t>ILF</t>
        </is>
      </c>
      <c r="J296" s="92" t="inlineStr">
        <is>
          <t>新增</t>
        </is>
      </c>
      <c r="K296" s="108" t="n"/>
      <c r="L296" s="83" t="n"/>
      <c r="M296" s="83">
        <f>IF(OR(X296="估算法",X296="算法类",X296="无法识别"),"",IF(W296="",IF(OR(I296="ILF",I296="EIF"),0,""),LEN(W296)-LEN(SUBSTITUTE(W296,"、",""))+1))</f>
        <v/>
      </c>
      <c r="N296" s="83">
        <f>IF(OR(X296="估算法",X296="算法类",X296="无法识别"),"",IF(X296="",IF(OR(I296="ILF",I296="EIF",I296="EI",I296="EO",I296="EQ"),0,""),LEN(X296)-LEN(SUBSTITUTE(SUBSTITUTE(SUBSTITUTE(SUBSTITUTE(SUBSTITUTE(X296,"|}","--"),"{|","--"),CHAR(10),""),"、",""),"|",""))+IF(AND(OR(I296="EI",I296="EO",I296="EQ"),$AD$1="NESMA"),2,1)))</f>
        <v/>
      </c>
      <c r="O296" s="84">
        <f>IF(I296="EI",IF(OR(X296="估算法",X296="算法类"),"中",IF(X296="无法识别","低",IF(L296&lt;2,IF(N296&lt;16,"低","中"),IF(L296&lt;3,IF(N296&lt;5,"低",IF(N296&lt;16,"中","高")),IF(N296&lt;5,"中","高"))))),IF(OR(I296="EO",I296="EQ"),IF(OR(X296="估算法",X296="算法类"),"中",IF(X296="无法识别","低",IF(L296&lt;2,IF(N296&lt;20,"低","中"),IF(L296&lt;4,IF(N296&lt;6,"低",IF(N296&lt;20,"中","高")),IF(N296&lt;6,"中","高"))))),IF(OR(I296="ILF",I296="EIF"),IF(OR(X296="估算法",X296="算法类",X296="无法识别"),"低",IF(M296&lt;2,IF(N296&lt;51,"低","中"),IF(M296&lt;6,IF(N296&lt;20,"低",IF(N296&lt;51,"中","高")),IF(N296&lt;20,"中","高")))),"不计算")))</f>
        <v/>
      </c>
      <c r="P296" s="142">
        <f>IFERROR(IF(I296="EI",IF(O296="低",3,IF(O296="中",4,6)),IF(I296="EO",IF(O296="低",4,IF(O296="中",5,7)),IF(I296="EQ",IF(O296="低",3,IF(O296="中",4,6)),IF(I296="ILF",IF(O296="低",7,IF(O296="中",10,15)),IF(I296="EIF",IF(O296="低",5,IF(O296="中",7,10)),"不计算")))))*Q296,"不计算")</f>
        <v/>
      </c>
      <c r="Q296" s="142" t="n">
        <v>1</v>
      </c>
      <c r="R296" s="143">
        <f>调整因子!$F$13</f>
        <v/>
      </c>
      <c r="S296" s="70" t="n">
        <v>1</v>
      </c>
      <c r="T296" s="144">
        <f>IFERROR(P296*R296,0)</f>
        <v/>
      </c>
      <c r="U296" s="144">
        <f>T296*S296</f>
        <v/>
      </c>
      <c r="V296" s="88" t="n"/>
      <c r="W296" s="88" t="inlineStr">
        <is>
          <t>插件审核内容安全检测表</t>
        </is>
      </c>
      <c r="X296" s="88" t="inlineStr">
        <is>
          <t>插件审核内容安全检测表{检测记录编号、审核单编号、插件编号、插件版本号、检测时间、检测结论、检测报告摘要、检测引擎标识、检测人编号、创建时间}</t>
        </is>
      </c>
      <c r="Y296" s="88" t="n"/>
      <c r="Z296" s="88" t="n"/>
      <c r="AA296" s="96" t="n"/>
    </row>
    <row r="297" ht="21.6" customHeight="1">
      <c r="A297" s="69" t="n"/>
      <c r="B297" s="53" t="n"/>
      <c r="C297" s="78" t="n"/>
      <c r="D297" s="78" t="inlineStr">
        <is>
          <t>张明峰</t>
        </is>
      </c>
      <c r="E297" s="53" t="n"/>
      <c r="F297" s="53" t="n"/>
      <c r="G297" s="53" t="n"/>
      <c r="H297" s="81" t="inlineStr">
        <is>
          <t>插件编译表</t>
        </is>
      </c>
      <c r="I297" s="76" t="inlineStr">
        <is>
          <t>ILF</t>
        </is>
      </c>
      <c r="J297" s="92" t="inlineStr">
        <is>
          <t>新增</t>
        </is>
      </c>
      <c r="K297" s="108" t="n"/>
      <c r="L297" s="83" t="n"/>
      <c r="M297" s="83">
        <f>IF(OR(X297="估算法",X297="算法类",X297="无法识别"),"",IF(W297="",IF(OR(I297="ILF",I297="EIF"),0,""),LEN(W297)-LEN(SUBSTITUTE(W297,"、",""))+1))</f>
        <v/>
      </c>
      <c r="N297" s="83">
        <f>IF(OR(X297="估算法",X297="算法类",X297="无法识别"),"",IF(X297="",IF(OR(I297="ILF",I297="EIF",I297="EI",I297="EO",I297="EQ"),0,""),LEN(X297)-LEN(SUBSTITUTE(SUBSTITUTE(SUBSTITUTE(SUBSTITUTE(SUBSTITUTE(X297,"|}","--"),"{|","--"),CHAR(10),""),"、",""),"|",""))+IF(AND(OR(I297="EI",I297="EO",I297="EQ"),$AD$1="NESMA"),2,1)))</f>
        <v/>
      </c>
      <c r="O297" s="84">
        <f>IF(I297="EI",IF(OR(X297="估算法",X297="算法类"),"中",IF(X297="无法识别","低",IF(L297&lt;2,IF(N297&lt;16,"低","中"),IF(L297&lt;3,IF(N297&lt;5,"低",IF(N297&lt;16,"中","高")),IF(N297&lt;5,"中","高"))))),IF(OR(I297="EO",I297="EQ"),IF(OR(X297="估算法",X297="算法类"),"中",IF(X297="无法识别","低",IF(L297&lt;2,IF(N297&lt;20,"低","中"),IF(L297&lt;4,IF(N297&lt;6,"低",IF(N297&lt;20,"中","高")),IF(N297&lt;6,"中","高"))))),IF(OR(I297="ILF",I297="EIF"),IF(OR(X297="估算法",X297="算法类",X297="无法识别"),"低",IF(M297&lt;2,IF(N297&lt;51,"低","中"),IF(M297&lt;6,IF(N297&lt;20,"低",IF(N297&lt;51,"中","高")),IF(N297&lt;20,"中","高")))),"不计算")))</f>
        <v/>
      </c>
      <c r="P297" s="142">
        <f>IFERROR(IF(I297="EI",IF(O297="低",3,IF(O297="中",4,6)),IF(I297="EO",IF(O297="低",4,IF(O297="中",5,7)),IF(I297="EQ",IF(O297="低",3,IF(O297="中",4,6)),IF(I297="ILF",IF(O297="低",7,IF(O297="中",10,15)),IF(I297="EIF",IF(O297="低",5,IF(O297="中",7,10)),"不计算")))))*Q297,"不计算")</f>
        <v/>
      </c>
      <c r="Q297" s="142" t="n">
        <v>1</v>
      </c>
      <c r="R297" s="143">
        <f>调整因子!$F$13</f>
        <v/>
      </c>
      <c r="S297" s="70" t="n">
        <v>1</v>
      </c>
      <c r="T297" s="144">
        <f>IFERROR(P297*R297,0)</f>
        <v/>
      </c>
      <c r="U297" s="144">
        <f>T297*S297</f>
        <v/>
      </c>
      <c r="V297" s="88" t="n"/>
      <c r="W297" s="88" t="inlineStr">
        <is>
          <t>插件编译表</t>
        </is>
      </c>
      <c r="X297" s="88" t="inlineStr">
        <is>
          <t>插件编译表{编译运行记录编号、审核单编号、插件编号、插件版本号、执行时间、编译结论、运行结论、日志路径或摘要、执行环境标识}</t>
        </is>
      </c>
      <c r="Y297" s="88" t="n"/>
      <c r="Z297" s="88" t="n"/>
      <c r="AA297" s="96" t="n"/>
    </row>
    <row r="298" ht="21.6" customHeight="1">
      <c r="A298" s="69" t="n"/>
      <c r="B298" s="53" t="n"/>
      <c r="C298" s="78" t="n"/>
      <c r="D298" s="78" t="inlineStr">
        <is>
          <t>张明峰</t>
        </is>
      </c>
      <c r="E298" s="53" t="n"/>
      <c r="F298" s="53" t="n"/>
      <c r="G298" s="53" t="n"/>
      <c r="H298" s="81" t="inlineStr">
        <is>
          <t>插件综合判定表</t>
        </is>
      </c>
      <c r="I298" s="76" t="inlineStr">
        <is>
          <t>ILF</t>
        </is>
      </c>
      <c r="J298" s="92" t="inlineStr">
        <is>
          <t>新增</t>
        </is>
      </c>
      <c r="K298" s="108" t="n"/>
      <c r="L298" s="83" t="n"/>
      <c r="M298" s="83">
        <f>IF(OR(X298="估算法",X298="算法类",X298="无法识别"),"",IF(W298="",IF(OR(I298="ILF",I298="EIF"),0,""),LEN(W298)-LEN(SUBSTITUTE(W298,"、",""))+1))</f>
        <v/>
      </c>
      <c r="N298" s="83">
        <f>IF(OR(X298="估算法",X298="算法类",X298="无法识别"),"",IF(X298="",IF(OR(I298="ILF",I298="EIF",I298="EI",I298="EO",I298="EQ"),0,""),LEN(X298)-LEN(SUBSTITUTE(SUBSTITUTE(SUBSTITUTE(SUBSTITUTE(SUBSTITUTE(X298,"|}","--"),"{|","--"),CHAR(10),""),"、",""),"|",""))+IF(AND(OR(I298="EI",I298="EO",I298="EQ"),$AD$1="NESMA"),2,1)))</f>
        <v/>
      </c>
      <c r="O298" s="84">
        <f>IF(I298="EI",IF(OR(X298="估算法",X298="算法类"),"中",IF(X298="无法识别","低",IF(L298&lt;2,IF(N298&lt;16,"低","中"),IF(L298&lt;3,IF(N298&lt;5,"低",IF(N298&lt;16,"中","高")),IF(N298&lt;5,"中","高"))))),IF(OR(I298="EO",I298="EQ"),IF(OR(X298="估算法",X298="算法类"),"中",IF(X298="无法识别","低",IF(L298&lt;2,IF(N298&lt;20,"低","中"),IF(L298&lt;4,IF(N298&lt;6,"低",IF(N298&lt;20,"中","高")),IF(N298&lt;6,"中","高"))))),IF(OR(I298="ILF",I298="EIF"),IF(OR(X298="估算法",X298="算法类",X298="无法识别"),"低",IF(M298&lt;2,IF(N298&lt;51,"低","中"),IF(M298&lt;6,IF(N298&lt;20,"低",IF(N298&lt;51,"中","高")),IF(N298&lt;20,"中","高")))),"不计算")))</f>
        <v/>
      </c>
      <c r="P298" s="142">
        <f>IFERROR(IF(I298="EI",IF(O298="低",3,IF(O298="中",4,6)),IF(I298="EO",IF(O298="低",4,IF(O298="中",5,7)),IF(I298="EQ",IF(O298="低",3,IF(O298="中",4,6)),IF(I298="ILF",IF(O298="低",7,IF(O298="中",10,15)),IF(I298="EIF",IF(O298="低",5,IF(O298="中",7,10)),"不计算")))))*Q298,"不计算")</f>
        <v/>
      </c>
      <c r="Q298" s="142" t="n">
        <v>1</v>
      </c>
      <c r="R298" s="143">
        <f>调整因子!$F$13</f>
        <v/>
      </c>
      <c r="S298" s="70" t="n">
        <v>1</v>
      </c>
      <c r="T298" s="144">
        <f>IFERROR(P298*R298,0)</f>
        <v/>
      </c>
      <c r="U298" s="144">
        <f>T298*S298</f>
        <v/>
      </c>
      <c r="V298" s="88" t="n"/>
      <c r="W298" s="88" t="inlineStr">
        <is>
          <t>插件综合判定表</t>
        </is>
      </c>
      <c r="X298" s="88" t="inlineStr">
        <is>
          <t>插件综合判定表{判定记录编号、审核单编号、插件编号、插件版本号、综合状态、判定时间、判定人编号、判定说明}</t>
        </is>
      </c>
      <c r="Y298" s="88" t="n"/>
      <c r="Z298" s="88" t="n"/>
      <c r="AA298" s="96" t="n"/>
    </row>
    <row r="299" ht="21.6" customHeight="1">
      <c r="A299" s="69" t="n"/>
      <c r="B299" s="53" t="n"/>
      <c r="C299" s="78" t="n"/>
      <c r="D299" s="78" t="inlineStr">
        <is>
          <t>张明峰</t>
        </is>
      </c>
      <c r="E299" s="53" t="n"/>
      <c r="F299" s="53" t="n"/>
      <c r="G299" s="53" t="n"/>
      <c r="H299" s="81" t="inlineStr">
        <is>
          <t>插件审计表</t>
        </is>
      </c>
      <c r="I299" s="76" t="inlineStr">
        <is>
          <t>ILF</t>
        </is>
      </c>
      <c r="J299" s="92" t="inlineStr">
        <is>
          <t>新增</t>
        </is>
      </c>
      <c r="K299" s="108" t="n"/>
      <c r="L299" s="83" t="n"/>
      <c r="M299" s="83">
        <f>IF(OR(X299="估算法",X299="算法类",X299="无法识别"),"",IF(W299="",IF(OR(I299="ILF",I299="EIF"),0,""),LEN(W299)-LEN(SUBSTITUTE(W299,"、",""))+1))</f>
        <v/>
      </c>
      <c r="N299" s="83">
        <f>IF(OR(X299="估算法",X299="算法类",X299="无法识别"),"",IF(X299="",IF(OR(I299="ILF",I299="EIF",I299="EI",I299="EO",I299="EQ"),0,""),LEN(X299)-LEN(SUBSTITUTE(SUBSTITUTE(SUBSTITUTE(SUBSTITUTE(SUBSTITUTE(X299,"|}","--"),"{|","--"),CHAR(10),""),"、",""),"|",""))+IF(AND(OR(I299="EI",I299="EO",I299="EQ"),$AD$1="NESMA"),2,1)))</f>
        <v/>
      </c>
      <c r="O299" s="84">
        <f>IF(I299="EI",IF(OR(X299="估算法",X299="算法类"),"中",IF(X299="无法识别","低",IF(L299&lt;2,IF(N299&lt;16,"低","中"),IF(L299&lt;3,IF(N299&lt;5,"低",IF(N299&lt;16,"中","高")),IF(N299&lt;5,"中","高"))))),IF(OR(I299="EO",I299="EQ"),IF(OR(X299="估算法",X299="算法类"),"中",IF(X299="无法识别","低",IF(L299&lt;2,IF(N299&lt;20,"低","中"),IF(L299&lt;4,IF(N299&lt;6,"低",IF(N299&lt;20,"中","高")),IF(N299&lt;6,"中","高"))))),IF(OR(I299="ILF",I299="EIF"),IF(OR(X299="估算法",X299="算法类",X299="无法识别"),"低",IF(M299&lt;2,IF(N299&lt;51,"低","中"),IF(M299&lt;6,IF(N299&lt;20,"低",IF(N299&lt;51,"中","高")),IF(N299&lt;20,"中","高")))),"不计算")))</f>
        <v/>
      </c>
      <c r="P299" s="142">
        <f>IFERROR(IF(I299="EI",IF(O299="低",3,IF(O299="中",4,6)),IF(I299="EO",IF(O299="低",4,IF(O299="中",5,7)),IF(I299="EQ",IF(O299="低",3,IF(O299="中",4,6)),IF(I299="ILF",IF(O299="低",7,IF(O299="中",10,15)),IF(I299="EIF",IF(O299="低",5,IF(O299="中",7,10)),"不计算")))))*Q299,"不计算")</f>
        <v/>
      </c>
      <c r="Q299" s="142" t="n">
        <v>1</v>
      </c>
      <c r="R299" s="143">
        <f>调整因子!$F$13</f>
        <v/>
      </c>
      <c r="S299" s="70" t="n">
        <v>1</v>
      </c>
      <c r="T299" s="144">
        <f>IFERROR(P299*R299,0)</f>
        <v/>
      </c>
      <c r="U299" s="144">
        <f>T299*S299</f>
        <v/>
      </c>
      <c r="V299" s="88" t="n"/>
      <c r="W299" s="88" t="inlineStr">
        <is>
          <t>插件审计表</t>
        </is>
      </c>
      <c r="X299" s="88" t="inlineStr">
        <is>
          <t>插件审计表{审计记录编号、业务对象类型、业务对象编号、操作类型、操作人编号、操作时间、操作前内容、操作后内容、来源标识}</t>
        </is>
      </c>
      <c r="Y299" s="88" t="n"/>
      <c r="Z299" s="88" t="n"/>
      <c r="AA299" s="96" t="n"/>
    </row>
    <row r="300" ht="21.6" customHeight="1">
      <c r="A300" s="69" t="n"/>
      <c r="B300" s="53" t="n"/>
      <c r="C300" s="78" t="n"/>
      <c r="D300" s="78" t="inlineStr">
        <is>
          <t>张明峰</t>
        </is>
      </c>
      <c r="E300" s="53" t="n"/>
      <c r="F300" s="53" t="n"/>
      <c r="G300" s="53" t="n"/>
      <c r="H300" s="81" t="inlineStr">
        <is>
          <t>部侧原理插件审核单表</t>
        </is>
      </c>
      <c r="I300" s="76" t="inlineStr">
        <is>
          <t>ILF</t>
        </is>
      </c>
      <c r="J300" s="92" t="inlineStr">
        <is>
          <t>新增</t>
        </is>
      </c>
      <c r="K300" s="108" t="n"/>
      <c r="L300" s="83" t="n"/>
      <c r="M300" s="83">
        <f>IF(OR(X300="估算法",X300="算法类",X300="无法识别"),"",IF(W300="",IF(OR(I300="ILF",I300="EIF"),0,""),LEN(W300)-LEN(SUBSTITUTE(W300,"、",""))+1))</f>
        <v/>
      </c>
      <c r="N300" s="83">
        <f>IF(OR(X300="估算法",X300="算法类",X300="无法识别"),"",IF(X300="",IF(OR(I300="ILF",I300="EIF",I300="EI",I300="EO",I300="EQ"),0,""),LEN(X300)-LEN(SUBSTITUTE(SUBSTITUTE(SUBSTITUTE(SUBSTITUTE(SUBSTITUTE(X300,"|}","--"),"{|","--"),CHAR(10),""),"、",""),"|",""))+IF(AND(OR(I300="EI",I300="EO",I300="EQ"),$AD$1="NESMA"),2,1)))</f>
        <v/>
      </c>
      <c r="O300" s="84">
        <f>IF(I300="EI",IF(OR(X300="估算法",X300="算法类"),"中",IF(X300="无法识别","低",IF(L300&lt;2,IF(N300&lt;16,"低","中"),IF(L300&lt;3,IF(N300&lt;5,"低",IF(N300&lt;16,"中","高")),IF(N300&lt;5,"中","高"))))),IF(OR(I300="EO",I300="EQ"),IF(OR(X300="估算法",X300="算法类"),"中",IF(X300="无法识别","低",IF(L300&lt;2,IF(N300&lt;20,"低","中"),IF(L300&lt;4,IF(N300&lt;6,"低",IF(N300&lt;20,"中","高")),IF(N300&lt;6,"中","高"))))),IF(OR(I300="ILF",I300="EIF"),IF(OR(X300="估算法",X300="算法类",X300="无法识别"),"低",IF(M300&lt;2,IF(N300&lt;51,"低","中"),IF(M300&lt;6,IF(N300&lt;20,"低",IF(N300&lt;51,"中","高")),IF(N300&lt;20,"中","高")))),"不计算")))</f>
        <v/>
      </c>
      <c r="P300" s="142">
        <f>IFERROR(IF(I300="EI",IF(O300="低",3,IF(O300="中",4,6)),IF(I300="EO",IF(O300="低",4,IF(O300="中",5,7)),IF(I300="EQ",IF(O300="低",3,IF(O300="中",4,6)),IF(I300="ILF",IF(O300="低",7,IF(O300="中",10,15)),IF(I300="EIF",IF(O300="低",5,IF(O300="中",7,10)),"不计算")))))*Q300,"不计算")</f>
        <v/>
      </c>
      <c r="Q300" s="142" t="n">
        <v>1</v>
      </c>
      <c r="R300" s="143">
        <f>调整因子!$F$13</f>
        <v/>
      </c>
      <c r="S300" s="70" t="n">
        <v>1</v>
      </c>
      <c r="T300" s="144">
        <f>IFERROR(P300*R300,0)</f>
        <v/>
      </c>
      <c r="U300" s="144">
        <f>T300*S300</f>
        <v/>
      </c>
      <c r="V300" s="88" t="n"/>
      <c r="W300" s="88" t="inlineStr">
        <is>
          <t>部侧原理插件审核单表</t>
        </is>
      </c>
      <c r="X300" s="88" t="inlineStr">
        <is>
          <t>部侧原理插件审核单表{部侧审核单编号、企业侧审核单编号、插件编号、插件版本号、部侧申请时间、部侧审核单状态、部侧备注}</t>
        </is>
      </c>
      <c r="Y300" s="88" t="n"/>
      <c r="Z300" s="88" t="n"/>
      <c r="AA300" s="96" t="n"/>
    </row>
    <row r="301" ht="21.6" customHeight="1">
      <c r="A301" s="69" t="n"/>
      <c r="B301" s="53" t="n"/>
      <c r="C301" s="78" t="n"/>
      <c r="D301" s="78" t="inlineStr">
        <is>
          <t>张明峰</t>
        </is>
      </c>
      <c r="E301" s="53" t="n"/>
      <c r="F301" s="53" t="n"/>
      <c r="G301" s="53" t="n"/>
      <c r="H301" s="81" t="inlineStr">
        <is>
          <t>部侧同步表</t>
        </is>
      </c>
      <c r="I301" s="76" t="inlineStr">
        <is>
          <t>ILF</t>
        </is>
      </c>
      <c r="J301" s="92" t="inlineStr">
        <is>
          <t>新增</t>
        </is>
      </c>
      <c r="K301" s="108" t="n"/>
      <c r="L301" s="83" t="n"/>
      <c r="M301" s="83">
        <f>IF(OR(X301="估算法",X301="算法类",X301="无法识别"),"",IF(W301="",IF(OR(I301="ILF",I301="EIF"),0,""),LEN(W301)-LEN(SUBSTITUTE(W301,"、",""))+1))</f>
        <v/>
      </c>
      <c r="N301" s="83">
        <f>IF(OR(X301="估算法",X301="算法类",X301="无法识别"),"",IF(X301="",IF(OR(I301="ILF",I301="EIF",I301="EI",I301="EO",I301="EQ"),0,""),LEN(X301)-LEN(SUBSTITUTE(SUBSTITUTE(SUBSTITUTE(SUBSTITUTE(SUBSTITUTE(X301,"|}","--"),"{|","--"),CHAR(10),""),"、",""),"|",""))+IF(AND(OR(I301="EI",I301="EO",I301="EQ"),$AD$1="NESMA"),2,1)))</f>
        <v/>
      </c>
      <c r="O301" s="84">
        <f>IF(I301="EI",IF(OR(X301="估算法",X301="算法类"),"中",IF(X301="无法识别","低",IF(L301&lt;2,IF(N301&lt;16,"低","中"),IF(L301&lt;3,IF(N301&lt;5,"低",IF(N301&lt;16,"中","高")),IF(N301&lt;5,"中","高"))))),IF(OR(I301="EO",I301="EQ"),IF(OR(X301="估算法",X301="算法类"),"中",IF(X301="无法识别","低",IF(L301&lt;2,IF(N301&lt;20,"低","中"),IF(L301&lt;4,IF(N301&lt;6,"低",IF(N301&lt;20,"中","高")),IF(N301&lt;6,"中","高"))))),IF(OR(I301="ILF",I301="EIF"),IF(OR(X301="估算法",X301="算法类",X301="无法识别"),"低",IF(M301&lt;2,IF(N301&lt;51,"低","中"),IF(M301&lt;6,IF(N301&lt;20,"低",IF(N301&lt;51,"中","高")),IF(N301&lt;20,"中","高")))),"不计算")))</f>
        <v/>
      </c>
      <c r="P301" s="142">
        <f>IFERROR(IF(I301="EI",IF(O301="低",3,IF(O301="中",4,6)),IF(I301="EO",IF(O301="低",4,IF(O301="中",5,7)),IF(I301="EQ",IF(O301="低",3,IF(O301="中",4,6)),IF(I301="ILF",IF(O301="低",7,IF(O301="中",10,15)),IF(I301="EIF",IF(O301="低",5,IF(O301="中",7,10)),"不计算")))))*Q301,"不计算")</f>
        <v/>
      </c>
      <c r="Q301" s="142" t="n">
        <v>1</v>
      </c>
      <c r="R301" s="143">
        <f>调整因子!$F$13</f>
        <v/>
      </c>
      <c r="S301" s="70" t="n">
        <v>1</v>
      </c>
      <c r="T301" s="144">
        <f>IFERROR(P301*R301,0)</f>
        <v/>
      </c>
      <c r="U301" s="144">
        <f>T301*S301</f>
        <v/>
      </c>
      <c r="V301" s="88" t="n"/>
      <c r="W301" s="88" t="inlineStr">
        <is>
          <t>部侧同步表</t>
        </is>
      </c>
      <c r="X301" s="88" t="inlineStr">
        <is>
          <t>部侧同步表{同步记录编号、部侧审核单编号、企业侧审核单编号、同步时间、同步请求标识、部侧审核结论代码、部侧审核意见摘要、同步状态、失败原因}</t>
        </is>
      </c>
      <c r="Y301" s="88" t="n"/>
      <c r="Z301" s="88" t="n"/>
      <c r="AA301" s="96" t="n"/>
    </row>
    <row r="302">
      <c r="A302" s="69" t="n"/>
      <c r="B302" s="53" t="n"/>
      <c r="C302" s="78" t="n"/>
      <c r="D302" s="78" t="inlineStr">
        <is>
          <t>张明峰</t>
        </is>
      </c>
      <c r="E302" s="53" t="n"/>
      <c r="F302" s="53" t="n"/>
      <c r="G302" s="53" t="n"/>
      <c r="H302" s="81" t="inlineStr">
        <is>
          <t>插件分类表</t>
        </is>
      </c>
      <c r="I302" s="76" t="inlineStr">
        <is>
          <t>ILF</t>
        </is>
      </c>
      <c r="J302" s="92" t="inlineStr">
        <is>
          <t>新增</t>
        </is>
      </c>
      <c r="K302" s="108" t="n"/>
      <c r="L302" s="83" t="n"/>
      <c r="M302" s="83">
        <f>IF(OR(X302="估算法",X302="算法类",X302="无法识别"),"",IF(W302="",IF(OR(I302="ILF",I302="EIF"),0,""),LEN(W302)-LEN(SUBSTITUTE(W302,"、",""))+1))</f>
        <v/>
      </c>
      <c r="N302" s="83">
        <f>IF(OR(X302="估算法",X302="算法类",X302="无法识别"),"",IF(X302="",IF(OR(I302="ILF",I302="EIF",I302="EI",I302="EO",I302="EQ"),0,""),LEN(X302)-LEN(SUBSTITUTE(SUBSTITUTE(SUBSTITUTE(SUBSTITUTE(SUBSTITUTE(X302,"|}","--"),"{|","--"),CHAR(10),""),"、",""),"|",""))+IF(AND(OR(I302="EI",I302="EO",I302="EQ"),$AD$1="NESMA"),2,1)))</f>
        <v/>
      </c>
      <c r="O302" s="84">
        <f>IF(I302="EI",IF(OR(X302="估算法",X302="算法类"),"中",IF(X302="无法识别","低",IF(L302&lt;2,IF(N302&lt;16,"低","中"),IF(L302&lt;3,IF(N302&lt;5,"低",IF(N302&lt;16,"中","高")),IF(N302&lt;5,"中","高"))))),IF(OR(I302="EO",I302="EQ"),IF(OR(X302="估算法",X302="算法类"),"中",IF(X302="无法识别","低",IF(L302&lt;2,IF(N302&lt;20,"低","中"),IF(L302&lt;4,IF(N302&lt;6,"低",IF(N302&lt;20,"中","高")),IF(N302&lt;6,"中","高"))))),IF(OR(I302="ILF",I302="EIF"),IF(OR(X302="估算法",X302="算法类",X302="无法识别"),"低",IF(M302&lt;2,IF(N302&lt;51,"低","中"),IF(M302&lt;6,IF(N302&lt;20,"低",IF(N302&lt;51,"中","高")),IF(N302&lt;20,"中","高")))),"不计算")))</f>
        <v/>
      </c>
      <c r="P302" s="142">
        <f>IFERROR(IF(I302="EI",IF(O302="低",3,IF(O302="中",4,6)),IF(I302="EO",IF(O302="低",4,IF(O302="中",5,7)),IF(I302="EQ",IF(O302="低",3,IF(O302="中",4,6)),IF(I302="ILF",IF(O302="低",7,IF(O302="中",10,15)),IF(I302="EIF",IF(O302="低",5,IF(O302="中",7,10)),"不计算")))))*Q302,"不计算")</f>
        <v/>
      </c>
      <c r="Q302" s="142" t="n">
        <v>1</v>
      </c>
      <c r="R302" s="143">
        <f>调整因子!$F$13</f>
        <v/>
      </c>
      <c r="S302" s="70" t="n">
        <v>1</v>
      </c>
      <c r="T302" s="144">
        <f>IFERROR(P302*R302,0)</f>
        <v/>
      </c>
      <c r="U302" s="144">
        <f>T302*S302</f>
        <v/>
      </c>
      <c r="V302" s="88" t="n"/>
      <c r="W302" s="88" t="inlineStr">
        <is>
          <t>插件分类表</t>
        </is>
      </c>
      <c r="X302" s="88" t="inlineStr">
        <is>
          <t>插件分类表{分类编号、分类名称、父分类编号、排序号、说明}</t>
        </is>
      </c>
      <c r="Y302" s="88" t="n"/>
      <c r="Z302" s="88" t="n"/>
      <c r="AA302" s="96" t="n"/>
    </row>
    <row r="303" ht="21.6" customHeight="1">
      <c r="A303" s="69" t="n"/>
      <c r="B303" s="53" t="n"/>
      <c r="C303" s="78" t="n"/>
      <c r="D303" s="78" t="inlineStr">
        <is>
          <t>张明峰</t>
        </is>
      </c>
      <c r="E303" s="53" t="n"/>
      <c r="F303" s="53" t="n"/>
      <c r="G303" s="53" t="n"/>
      <c r="H303" s="81" t="inlineStr">
        <is>
          <t>插件任务基本信息表</t>
        </is>
      </c>
      <c r="I303" s="76" t="inlineStr">
        <is>
          <t>ILF</t>
        </is>
      </c>
      <c r="J303" s="92" t="inlineStr">
        <is>
          <t>新增</t>
        </is>
      </c>
      <c r="K303" s="108" t="n"/>
      <c r="L303" s="83" t="n"/>
      <c r="M303" s="83">
        <f>IF(OR(X303="估算法",X303="算法类",X303="无法识别"),"",IF(W303="",IF(OR(I303="ILF",I303="EIF"),0,""),LEN(W303)-LEN(SUBSTITUTE(W303,"、",""))+1))</f>
        <v/>
      </c>
      <c r="N303" s="83">
        <f>IF(OR(X303="估算法",X303="算法类",X303="无法识别"),"",IF(X303="",IF(OR(I303="ILF",I303="EIF",I303="EI",I303="EO",I303="EQ"),0,""),LEN(X303)-LEN(SUBSTITUTE(SUBSTITUTE(SUBSTITUTE(SUBSTITUTE(SUBSTITUTE(X303,"|}","--"),"{|","--"),CHAR(10),""),"、",""),"|",""))+IF(AND(OR(I303="EI",I303="EO",I303="EQ"),$AD$1="NESMA"),2,1)))</f>
        <v/>
      </c>
      <c r="O303" s="84">
        <f>IF(I303="EI",IF(OR(X303="估算法",X303="算法类"),"中",IF(X303="无法识别","低",IF(L303&lt;2,IF(N303&lt;16,"低","中"),IF(L303&lt;3,IF(N303&lt;5,"低",IF(N303&lt;16,"中","高")),IF(N303&lt;5,"中","高"))))),IF(OR(I303="EO",I303="EQ"),IF(OR(X303="估算法",X303="算法类"),"中",IF(X303="无法识别","低",IF(L303&lt;2,IF(N303&lt;20,"低","中"),IF(L303&lt;4,IF(N303&lt;6,"低",IF(N303&lt;20,"中","高")),IF(N303&lt;6,"中","高"))))),IF(OR(I303="ILF",I303="EIF"),IF(OR(X303="估算法",X303="算法类",X303="无法识别"),"低",IF(M303&lt;2,IF(N303&lt;51,"低","中"),IF(M303&lt;6,IF(N303&lt;20,"低",IF(N303&lt;51,"中","高")),IF(N303&lt;20,"中","高")))),"不计算")))</f>
        <v/>
      </c>
      <c r="P303" s="142">
        <f>IFERROR(IF(I303="EI",IF(O303="低",3,IF(O303="中",4,6)),IF(I303="EO",IF(O303="低",4,IF(O303="中",5,7)),IF(I303="EQ",IF(O303="低",3,IF(O303="中",4,6)),IF(I303="ILF",IF(O303="低",7,IF(O303="中",10,15)),IF(I303="EIF",IF(O303="低",5,IF(O303="中",7,10)),"不计算")))))*Q303,"不计算")</f>
        <v/>
      </c>
      <c r="Q303" s="142" t="n">
        <v>1</v>
      </c>
      <c r="R303" s="143">
        <f>调整因子!$F$13</f>
        <v/>
      </c>
      <c r="S303" s="70" t="n">
        <v>1</v>
      </c>
      <c r="T303" s="144">
        <f>IFERROR(P303*R303,0)</f>
        <v/>
      </c>
      <c r="U303" s="144">
        <f>T303*S303</f>
        <v/>
      </c>
      <c r="V303" s="88" t="n"/>
      <c r="W303" s="88" t="inlineStr">
        <is>
          <t>插件任务基本信息表</t>
        </is>
      </c>
      <c r="X303" s="88" t="inlineStr">
        <is>
          <t>插件任务基本信息表{任务编号、插件编号、插件版本号、任务名称、任务类型、创建人编号、创建时间、任务状态、备注}</t>
        </is>
      </c>
      <c r="Y303" s="88" t="n"/>
      <c r="Z303" s="88" t="n"/>
      <c r="AA303" s="96" t="n"/>
    </row>
    <row r="304">
      <c r="A304" s="69" t="n"/>
      <c r="B304" s="53" t="n"/>
      <c r="C304" s="78" t="n"/>
      <c r="D304" s="78" t="inlineStr">
        <is>
          <t>张明峰</t>
        </is>
      </c>
      <c r="E304" s="53" t="n"/>
      <c r="F304" s="53" t="n"/>
      <c r="G304" s="53" t="n"/>
      <c r="H304" s="81" t="inlineStr">
        <is>
          <t>插件任务高级配置表</t>
        </is>
      </c>
      <c r="I304" s="76" t="inlineStr">
        <is>
          <t>ILF</t>
        </is>
      </c>
      <c r="J304" s="92" t="inlineStr">
        <is>
          <t>新增</t>
        </is>
      </c>
      <c r="K304" s="108" t="n"/>
      <c r="L304" s="83" t="n"/>
      <c r="M304" s="83">
        <f>IF(OR(X304="估算法",X304="算法类",X304="无法识别"),"",IF(W304="",IF(OR(I304="ILF",I304="EIF"),0,""),LEN(W304)-LEN(SUBSTITUTE(W304,"、",""))+1))</f>
        <v/>
      </c>
      <c r="N304" s="83">
        <f>IF(OR(X304="估算法",X304="算法类",X304="无法识别"),"",IF(X304="",IF(OR(I304="ILF",I304="EIF",I304="EI",I304="EO",I304="EQ"),0,""),LEN(X304)-LEN(SUBSTITUTE(SUBSTITUTE(SUBSTITUTE(SUBSTITUTE(SUBSTITUTE(X304,"|}","--"),"{|","--"),CHAR(10),""),"、",""),"|",""))+IF(AND(OR(I304="EI",I304="EO",I304="EQ"),$AD$1="NESMA"),2,1)))</f>
        <v/>
      </c>
      <c r="O304" s="84">
        <f>IF(I304="EI",IF(OR(X304="估算法",X304="算法类"),"中",IF(X304="无法识别","低",IF(L304&lt;2,IF(N304&lt;16,"低","中"),IF(L304&lt;3,IF(N304&lt;5,"低",IF(N304&lt;16,"中","高")),IF(N304&lt;5,"中","高"))))),IF(OR(I304="EO",I304="EQ"),IF(OR(X304="估算法",X304="算法类"),"中",IF(X304="无法识别","低",IF(L304&lt;2,IF(N304&lt;20,"低","中"),IF(L304&lt;4,IF(N304&lt;6,"低",IF(N304&lt;20,"中","高")),IF(N304&lt;6,"中","高"))))),IF(OR(I304="ILF",I304="EIF"),IF(OR(X304="估算法",X304="算法类",X304="无法识别"),"低",IF(M304&lt;2,IF(N304&lt;51,"低","中"),IF(M304&lt;6,IF(N304&lt;20,"低",IF(N304&lt;51,"中","高")),IF(N304&lt;20,"中","高")))),"不计算")))</f>
        <v/>
      </c>
      <c r="P304" s="142">
        <f>IFERROR(IF(I304="EI",IF(O304="低",3,IF(O304="中",4,6)),IF(I304="EO",IF(O304="低",4,IF(O304="中",5,7)),IF(I304="EQ",IF(O304="低",3,IF(O304="中",4,6)),IF(I304="ILF",IF(O304="低",7,IF(O304="中",10,15)),IF(I304="EIF",IF(O304="低",5,IF(O304="中",7,10)),"不计算")))))*Q304,"不计算")</f>
        <v/>
      </c>
      <c r="Q304" s="142" t="n">
        <v>1</v>
      </c>
      <c r="R304" s="143">
        <f>调整因子!$F$13</f>
        <v/>
      </c>
      <c r="S304" s="70" t="n">
        <v>1</v>
      </c>
      <c r="T304" s="144">
        <f>IFERROR(P304*R304,0)</f>
        <v/>
      </c>
      <c r="U304" s="144">
        <f>T304*S304</f>
        <v/>
      </c>
      <c r="V304" s="88" t="n"/>
      <c r="W304" s="88" t="inlineStr">
        <is>
          <t>插件任务高级配置表</t>
        </is>
      </c>
      <c r="X304" s="88" t="inlineStr">
        <is>
          <t>插件任务高级配置表{配置编号、任务编号、配置项键、配置项值、更新时间}</t>
        </is>
      </c>
      <c r="Y304" s="88" t="n"/>
      <c r="Z304" s="88" t="n"/>
      <c r="AA304" s="96" t="n"/>
    </row>
    <row r="305" ht="21.6" customHeight="1">
      <c r="A305" s="69" t="n"/>
      <c r="B305" s="53" t="n"/>
      <c r="C305" s="78" t="n"/>
      <c r="D305" s="78" t="inlineStr">
        <is>
          <t>张明峰</t>
        </is>
      </c>
      <c r="E305" s="53" t="n"/>
      <c r="F305" s="53" t="n"/>
      <c r="G305" s="53" t="n"/>
      <c r="H305" s="81" t="inlineStr">
        <is>
          <t>插件任务实例表</t>
        </is>
      </c>
      <c r="I305" s="76" t="inlineStr">
        <is>
          <t>ILF</t>
        </is>
      </c>
      <c r="J305" s="92" t="inlineStr">
        <is>
          <t>新增</t>
        </is>
      </c>
      <c r="K305" s="108" t="n"/>
      <c r="L305" s="83" t="n"/>
      <c r="M305" s="83">
        <f>IF(OR(X305="估算法",X305="算法类",X305="无法识别"),"",IF(W305="",IF(OR(I305="ILF",I305="EIF"),0,""),LEN(W305)-LEN(SUBSTITUTE(W305,"、",""))+1))</f>
        <v/>
      </c>
      <c r="N305" s="83">
        <f>IF(OR(X305="估算法",X305="算法类",X305="无法识别"),"",IF(X305="",IF(OR(I305="ILF",I305="EIF",I305="EI",I305="EO",I305="EQ"),0,""),LEN(X305)-LEN(SUBSTITUTE(SUBSTITUTE(SUBSTITUTE(SUBSTITUTE(SUBSTITUTE(X305,"|}","--"),"{|","--"),CHAR(10),""),"、",""),"|",""))+IF(AND(OR(I305="EI",I305="EO",I305="EQ"),$AD$1="NESMA"),2,1)))</f>
        <v/>
      </c>
      <c r="O305" s="84">
        <f>IF(I305="EI",IF(OR(X305="估算法",X305="算法类"),"中",IF(X305="无法识别","低",IF(L305&lt;2,IF(N305&lt;16,"低","中"),IF(L305&lt;3,IF(N305&lt;5,"低",IF(N305&lt;16,"中","高")),IF(N305&lt;5,"中","高"))))),IF(OR(I305="EO",I305="EQ"),IF(OR(X305="估算法",X305="算法类"),"中",IF(X305="无法识别","低",IF(L305&lt;2,IF(N305&lt;20,"低","中"),IF(L305&lt;4,IF(N305&lt;6,"低",IF(N305&lt;20,"中","高")),IF(N305&lt;6,"中","高"))))),IF(OR(I305="ILF",I305="EIF"),IF(OR(X305="估算法",X305="算法类",X305="无法识别"),"低",IF(M305&lt;2,IF(N305&lt;51,"低","中"),IF(M305&lt;6,IF(N305&lt;20,"低",IF(N305&lt;51,"中","高")),IF(N305&lt;20,"中","高")))),"不计算")))</f>
        <v/>
      </c>
      <c r="P305" s="142">
        <f>IFERROR(IF(I305="EI",IF(O305="低",3,IF(O305="中",4,6)),IF(I305="EO",IF(O305="低",4,IF(O305="中",5,7)),IF(I305="EQ",IF(O305="低",3,IF(O305="中",4,6)),IF(I305="ILF",IF(O305="低",7,IF(O305="中",10,15)),IF(I305="EIF",IF(O305="低",5,IF(O305="中",7,10)),"不计算")))))*Q305,"不计算")</f>
        <v/>
      </c>
      <c r="Q305" s="142" t="n">
        <v>1</v>
      </c>
      <c r="R305" s="143">
        <f>调整因子!$F$13</f>
        <v/>
      </c>
      <c r="S305" s="70" t="n">
        <v>1</v>
      </c>
      <c r="T305" s="144">
        <f>IFERROR(P305*R305,0)</f>
        <v/>
      </c>
      <c r="U305" s="144">
        <f>T305*S305</f>
        <v/>
      </c>
      <c r="V305" s="88" t="n"/>
      <c r="W305" s="88" t="inlineStr">
        <is>
          <t>插件任务实例表</t>
        </is>
      </c>
      <c r="X305" s="88" t="inlineStr">
        <is>
          <t>插件任务实例表{实例编号、任务编号、启动时间、结束时间、实例状态、执行节点标识}</t>
        </is>
      </c>
      <c r="Y305" s="88" t="n"/>
      <c r="Z305" s="88" t="n"/>
      <c r="AA305" s="96" t="n"/>
    </row>
    <row r="306" ht="21.6" customHeight="1">
      <c r="A306" s="69" t="n"/>
      <c r="B306" s="53" t="n"/>
      <c r="C306" s="78" t="n"/>
      <c r="D306" s="78" t="inlineStr">
        <is>
          <t>张明峰</t>
        </is>
      </c>
      <c r="E306" s="53" t="n"/>
      <c r="F306" s="53" t="n"/>
      <c r="G306" s="53" t="n"/>
      <c r="H306" s="81" t="inlineStr">
        <is>
          <t>插件任务报告表</t>
        </is>
      </c>
      <c r="I306" s="76" t="inlineStr">
        <is>
          <t>ILF</t>
        </is>
      </c>
      <c r="J306" s="92" t="inlineStr">
        <is>
          <t>新增</t>
        </is>
      </c>
      <c r="K306" s="108" t="n"/>
      <c r="L306" s="83" t="n"/>
      <c r="M306" s="83">
        <f>IF(OR(X306="估算法",X306="算法类",X306="无法识别"),"",IF(W306="",IF(OR(I306="ILF",I306="EIF"),0,""),LEN(W306)-LEN(SUBSTITUTE(W306,"、",""))+1))</f>
        <v/>
      </c>
      <c r="N306" s="83">
        <f>IF(OR(X306="估算法",X306="算法类",X306="无法识别"),"",IF(X306="",IF(OR(I306="ILF",I306="EIF",I306="EI",I306="EO",I306="EQ"),0,""),LEN(X306)-LEN(SUBSTITUTE(SUBSTITUTE(SUBSTITUTE(SUBSTITUTE(SUBSTITUTE(X306,"|}","--"),"{|","--"),CHAR(10),""),"、",""),"|",""))+IF(AND(OR(I306="EI",I306="EO",I306="EQ"),$AD$1="NESMA"),2,1)))</f>
        <v/>
      </c>
      <c r="O306" s="84">
        <f>IF(I306="EI",IF(OR(X306="估算法",X306="算法类"),"中",IF(X306="无法识别","低",IF(L306&lt;2,IF(N306&lt;16,"低","中"),IF(L306&lt;3,IF(N306&lt;5,"低",IF(N306&lt;16,"中","高")),IF(N306&lt;5,"中","高"))))),IF(OR(I306="EO",I306="EQ"),IF(OR(X306="估算法",X306="算法类"),"中",IF(X306="无法识别","低",IF(L306&lt;2,IF(N306&lt;20,"低","中"),IF(L306&lt;4,IF(N306&lt;6,"低",IF(N306&lt;20,"中","高")),IF(N306&lt;6,"中","高"))))),IF(OR(I306="ILF",I306="EIF"),IF(OR(X306="估算法",X306="算法类",X306="无法识别"),"低",IF(M306&lt;2,IF(N306&lt;51,"低","中"),IF(M306&lt;6,IF(N306&lt;20,"低",IF(N306&lt;51,"中","高")),IF(N306&lt;20,"中","高")))),"不计算")))</f>
        <v/>
      </c>
      <c r="P306" s="142">
        <f>IFERROR(IF(I306="EI",IF(O306="低",3,IF(O306="中",4,6)),IF(I306="EO",IF(O306="低",4,IF(O306="中",5,7)),IF(I306="EQ",IF(O306="低",3,IF(O306="中",4,6)),IF(I306="ILF",IF(O306="低",7,IF(O306="中",10,15)),IF(I306="EIF",IF(O306="低",5,IF(O306="中",7,10)),"不计算")))))*Q306,"不计算")</f>
        <v/>
      </c>
      <c r="Q306" s="142" t="n">
        <v>1</v>
      </c>
      <c r="R306" s="143">
        <f>调整因子!$F$13</f>
        <v/>
      </c>
      <c r="S306" s="70" t="n">
        <v>1</v>
      </c>
      <c r="T306" s="144">
        <f>IFERROR(P306*R306,0)</f>
        <v/>
      </c>
      <c r="U306" s="144">
        <f>T306*S306</f>
        <v/>
      </c>
      <c r="V306" s="88" t="n"/>
      <c r="W306" s="88" t="inlineStr">
        <is>
          <t>插件任务报告表</t>
        </is>
      </c>
      <c r="X306" s="88" t="inlineStr">
        <is>
          <t>插件任务报告表{报告编号、任务编号、实例编号、报告类型、生成时间、报告存储路径、摘要}</t>
        </is>
      </c>
      <c r="Y306" s="88" t="n"/>
      <c r="Z306" s="88" t="n"/>
      <c r="AA306" s="96" t="n"/>
    </row>
    <row r="307" ht="21.6" customHeight="1">
      <c r="A307" s="69" t="n"/>
      <c r="B307" s="53" t="n"/>
      <c r="C307" s="78" t="n"/>
      <c r="D307" s="78" t="inlineStr">
        <is>
          <t>张明峰</t>
        </is>
      </c>
      <c r="E307" s="53" t="n"/>
      <c r="F307" s="53" t="n"/>
      <c r="G307" s="53" t="n"/>
      <c r="H307" s="81" t="inlineStr">
        <is>
          <t>插件部署状态表</t>
        </is>
      </c>
      <c r="I307" s="76" t="inlineStr">
        <is>
          <t>ILF</t>
        </is>
      </c>
      <c r="J307" s="92" t="inlineStr">
        <is>
          <t>新增</t>
        </is>
      </c>
      <c r="K307" s="108" t="n"/>
      <c r="L307" s="83" t="n"/>
      <c r="M307" s="83">
        <f>IF(OR(X307="估算法",X307="算法类",X307="无法识别"),"",IF(W307="",IF(OR(I307="ILF",I307="EIF"),0,""),LEN(W307)-LEN(SUBSTITUTE(W307,"、",""))+1))</f>
        <v/>
      </c>
      <c r="N307" s="83">
        <f>IF(OR(X307="估算法",X307="算法类",X307="无法识别"),"",IF(X307="",IF(OR(I307="ILF",I307="EIF",I307="EI",I307="EO",I307="EQ"),0,""),LEN(X307)-LEN(SUBSTITUTE(SUBSTITUTE(SUBSTITUTE(SUBSTITUTE(SUBSTITUTE(X307,"|}","--"),"{|","--"),CHAR(10),""),"、",""),"|",""))+IF(AND(OR(I307="EI",I307="EO",I307="EQ"),$AD$1="NESMA"),2,1)))</f>
        <v/>
      </c>
      <c r="O307" s="84">
        <f>IF(I307="EI",IF(OR(X307="估算法",X307="算法类"),"中",IF(X307="无法识别","低",IF(L307&lt;2,IF(N307&lt;16,"低","中"),IF(L307&lt;3,IF(N307&lt;5,"低",IF(N307&lt;16,"中","高")),IF(N307&lt;5,"中","高"))))),IF(OR(I307="EO",I307="EQ"),IF(OR(X307="估算法",X307="算法类"),"中",IF(X307="无法识别","低",IF(L307&lt;2,IF(N307&lt;20,"低","中"),IF(L307&lt;4,IF(N307&lt;6,"低",IF(N307&lt;20,"中","高")),IF(N307&lt;6,"中","高"))))),IF(OR(I307="ILF",I307="EIF"),IF(OR(X307="估算法",X307="算法类",X307="无法识别"),"低",IF(M307&lt;2,IF(N307&lt;51,"低","中"),IF(M307&lt;6,IF(N307&lt;20,"低",IF(N307&lt;51,"中","高")),IF(N307&lt;20,"中","高")))),"不计算")))</f>
        <v/>
      </c>
      <c r="P307" s="142">
        <f>IFERROR(IF(I307="EI",IF(O307="低",3,IF(O307="中",4,6)),IF(I307="EO",IF(O307="低",4,IF(O307="中",5,7)),IF(I307="EQ",IF(O307="低",3,IF(O307="中",4,6)),IF(I307="ILF",IF(O307="低",7,IF(O307="中",10,15)),IF(I307="EIF",IF(O307="低",5,IF(O307="中",7,10)),"不计算")))))*Q307,"不计算")</f>
        <v/>
      </c>
      <c r="Q307" s="142" t="n">
        <v>1</v>
      </c>
      <c r="R307" s="143">
        <f>调整因子!$F$13</f>
        <v/>
      </c>
      <c r="S307" s="70" t="n">
        <v>1</v>
      </c>
      <c r="T307" s="144">
        <f>IFERROR(P307*R307,0)</f>
        <v/>
      </c>
      <c r="U307" s="144">
        <f>T307*S307</f>
        <v/>
      </c>
      <c r="V307" s="88" t="n"/>
      <c r="W307" s="88" t="inlineStr">
        <is>
          <t>插件部署状态表</t>
        </is>
      </c>
      <c r="X307" s="88" t="inlineStr">
        <is>
          <t>插件部署状态表{部署记录编号、插件编号、插件版本号、部署环境、部署状态、部署时间}</t>
        </is>
      </c>
      <c r="Y307" s="88" t="n"/>
      <c r="Z307" s="88" t="n"/>
      <c r="AA307" s="96" t="n"/>
    </row>
    <row r="308" ht="21.6" customHeight="1">
      <c r="A308" s="69" t="n"/>
      <c r="B308" s="53" t="n"/>
      <c r="C308" s="78" t="n"/>
      <c r="D308" s="78" t="inlineStr">
        <is>
          <t>张明峰</t>
        </is>
      </c>
      <c r="E308" s="53" t="n"/>
      <c r="F308" s="53" t="n"/>
      <c r="G308" s="53" t="n"/>
      <c r="H308" s="81" t="inlineStr">
        <is>
          <t>插件执行记录表</t>
        </is>
      </c>
      <c r="I308" s="76" t="inlineStr">
        <is>
          <t>ILF</t>
        </is>
      </c>
      <c r="J308" s="92" t="inlineStr">
        <is>
          <t>新增</t>
        </is>
      </c>
      <c r="K308" s="108" t="n"/>
      <c r="L308" s="83" t="n"/>
      <c r="M308" s="83">
        <f>IF(OR(X308="估算法",X308="算法类",X308="无法识别"),"",IF(W308="",IF(OR(I308="ILF",I308="EIF"),0,""),LEN(W308)-LEN(SUBSTITUTE(W308,"、",""))+1))</f>
        <v/>
      </c>
      <c r="N308" s="83">
        <f>IF(OR(X308="估算法",X308="算法类",X308="无法识别"),"",IF(X308="",IF(OR(I308="ILF",I308="EIF",I308="EI",I308="EO",I308="EQ"),0,""),LEN(X308)-LEN(SUBSTITUTE(SUBSTITUTE(SUBSTITUTE(SUBSTITUTE(SUBSTITUTE(X308,"|}","--"),"{|","--"),CHAR(10),""),"、",""),"|",""))+IF(AND(OR(I308="EI",I308="EO",I308="EQ"),$AD$1="NESMA"),2,1)))</f>
        <v/>
      </c>
      <c r="O308" s="84">
        <f>IF(I308="EI",IF(OR(X308="估算法",X308="算法类"),"中",IF(X308="无法识别","低",IF(L308&lt;2,IF(N308&lt;16,"低","中"),IF(L308&lt;3,IF(N308&lt;5,"低",IF(N308&lt;16,"中","高")),IF(N308&lt;5,"中","高"))))),IF(OR(I308="EO",I308="EQ"),IF(OR(X308="估算法",X308="算法类"),"中",IF(X308="无法识别","低",IF(L308&lt;2,IF(N308&lt;20,"低","中"),IF(L308&lt;4,IF(N308&lt;6,"低",IF(N308&lt;20,"中","高")),IF(N308&lt;6,"中","高"))))),IF(OR(I308="ILF",I308="EIF"),IF(OR(X308="估算法",X308="算法类",X308="无法识别"),"低",IF(M308&lt;2,IF(N308&lt;51,"低","中"),IF(M308&lt;6,IF(N308&lt;20,"低",IF(N308&lt;51,"中","高")),IF(N308&lt;20,"中","高")))),"不计算")))</f>
        <v/>
      </c>
      <c r="P308" s="142">
        <f>IFERROR(IF(I308="EI",IF(O308="低",3,IF(O308="中",4,6)),IF(I308="EO",IF(O308="低",4,IF(O308="中",5,7)),IF(I308="EQ",IF(O308="低",3,IF(O308="中",4,6)),IF(I308="ILF",IF(O308="低",7,IF(O308="中",10,15)),IF(I308="EIF",IF(O308="低",5,IF(O308="中",7,10)),"不计算")))))*Q308,"不计算")</f>
        <v/>
      </c>
      <c r="Q308" s="142" t="n">
        <v>1</v>
      </c>
      <c r="R308" s="143">
        <f>调整因子!$F$13</f>
        <v/>
      </c>
      <c r="S308" s="70" t="n">
        <v>1</v>
      </c>
      <c r="T308" s="144">
        <f>IFERROR(P308*R308,0)</f>
        <v/>
      </c>
      <c r="U308" s="144">
        <f>T308*S308</f>
        <v/>
      </c>
      <c r="V308" s="88" t="n"/>
      <c r="W308" s="88" t="inlineStr">
        <is>
          <t>插件执行记录表</t>
        </is>
      </c>
      <c r="X308" s="88" t="inlineStr">
        <is>
          <t>插件执行记录表{执行记录编号、插件编号、插件版本号、实例编号、开始时间、结束时间、执行结果、日志摘要}</t>
        </is>
      </c>
      <c r="Y308" s="88" t="n"/>
      <c r="Z308" s="88" t="n"/>
      <c r="AA308" s="96" t="n"/>
    </row>
    <row r="309">
      <c r="A309" s="69" t="n"/>
      <c r="B309" s="53" t="n"/>
      <c r="C309" s="78" t="n"/>
      <c r="D309" s="78" t="inlineStr">
        <is>
          <t>张明峰</t>
        </is>
      </c>
      <c r="E309" s="53" t="n"/>
      <c r="F309" s="53" t="n"/>
      <c r="G309" s="53" t="n"/>
      <c r="H309" s="81" t="inlineStr">
        <is>
          <t>插件类型统计数据表</t>
        </is>
      </c>
      <c r="I309" s="76" t="inlineStr">
        <is>
          <t>ILF</t>
        </is>
      </c>
      <c r="J309" s="92" t="inlineStr">
        <is>
          <t>新增</t>
        </is>
      </c>
      <c r="K309" s="108" t="n"/>
      <c r="L309" s="83" t="n"/>
      <c r="M309" s="83">
        <f>IF(OR(X309="估算法",X309="算法类",X309="无法识别"),"",IF(W309="",IF(OR(I309="ILF",I309="EIF"),0,""),LEN(W309)-LEN(SUBSTITUTE(W309,"、",""))+1))</f>
        <v/>
      </c>
      <c r="N309" s="83">
        <f>IF(OR(X309="估算法",X309="算法类",X309="无法识别"),"",IF(X309="",IF(OR(I309="ILF",I309="EIF",I309="EI",I309="EO",I309="EQ"),0,""),LEN(X309)-LEN(SUBSTITUTE(SUBSTITUTE(SUBSTITUTE(SUBSTITUTE(SUBSTITUTE(X309,"|}","--"),"{|","--"),CHAR(10),""),"、",""),"|",""))+IF(AND(OR(I309="EI",I309="EO",I309="EQ"),$AD$1="NESMA"),2,1)))</f>
        <v/>
      </c>
      <c r="O309" s="84">
        <f>IF(I309="EI",IF(OR(X309="估算法",X309="算法类"),"中",IF(X309="无法识别","低",IF(L309&lt;2,IF(N309&lt;16,"低","中"),IF(L309&lt;3,IF(N309&lt;5,"低",IF(N309&lt;16,"中","高")),IF(N309&lt;5,"中","高"))))),IF(OR(I309="EO",I309="EQ"),IF(OR(X309="估算法",X309="算法类"),"中",IF(X309="无法识别","低",IF(L309&lt;2,IF(N309&lt;20,"低","中"),IF(L309&lt;4,IF(N309&lt;6,"低",IF(N309&lt;20,"中","高")),IF(N309&lt;6,"中","高"))))),IF(OR(I309="ILF",I309="EIF"),IF(OR(X309="估算法",X309="算法类",X309="无法识别"),"低",IF(M309&lt;2,IF(N309&lt;51,"低","中"),IF(M309&lt;6,IF(N309&lt;20,"低",IF(N309&lt;51,"中","高")),IF(N309&lt;20,"中","高")))),"不计算")))</f>
        <v/>
      </c>
      <c r="P309" s="142">
        <f>IFERROR(IF(I309="EI",IF(O309="低",3,IF(O309="中",4,6)),IF(I309="EO",IF(O309="低",4,IF(O309="中",5,7)),IF(I309="EQ",IF(O309="低",3,IF(O309="中",4,6)),IF(I309="ILF",IF(O309="低",7,IF(O309="中",10,15)),IF(I309="EIF",IF(O309="低",5,IF(O309="中",7,10)),"不计算")))))*Q309,"不计算")</f>
        <v/>
      </c>
      <c r="Q309" s="142" t="n">
        <v>1</v>
      </c>
      <c r="R309" s="143">
        <f>调整因子!$F$13</f>
        <v/>
      </c>
      <c r="S309" s="70" t="n">
        <v>1</v>
      </c>
      <c r="T309" s="144">
        <f>IFERROR(P309*R309,0)</f>
        <v/>
      </c>
      <c r="U309" s="144">
        <f>T309*S309</f>
        <v/>
      </c>
      <c r="V309" s="88" t="n"/>
      <c r="W309" s="88" t="inlineStr">
        <is>
          <t>插件类型统计数据表</t>
        </is>
      </c>
      <c r="X309" s="88" t="inlineStr">
        <is>
          <t>插件类型统计数据表{统计编号、统计日期、插件类型、数量、更新时间}</t>
        </is>
      </c>
      <c r="Y309" s="88" t="n"/>
      <c r="Z309" s="88" t="n"/>
      <c r="AA309" s="96" t="n"/>
    </row>
    <row r="310">
      <c r="A310" s="69" t="n"/>
      <c r="B310" s="53" t="n"/>
      <c r="C310" s="78" t="n"/>
      <c r="D310" s="78" t="inlineStr">
        <is>
          <t>张明峰</t>
        </is>
      </c>
      <c r="E310" s="53" t="n"/>
      <c r="F310" s="53" t="n"/>
      <c r="G310" s="54" t="n"/>
      <c r="H310" s="81" t="inlineStr">
        <is>
          <t>插件等级统计数据表</t>
        </is>
      </c>
      <c r="I310" s="76" t="inlineStr">
        <is>
          <t>ILF</t>
        </is>
      </c>
      <c r="J310" s="92" t="inlineStr">
        <is>
          <t>新增</t>
        </is>
      </c>
      <c r="K310" s="108" t="n"/>
      <c r="L310" s="83" t="n"/>
      <c r="M310" s="83">
        <f>IF(OR(X310="估算法",X310="算法类",X310="无法识别"),"",IF(W310="",IF(OR(I310="ILF",I310="EIF"),0,""),LEN(W310)-LEN(SUBSTITUTE(W310,"、",""))+1))</f>
        <v/>
      </c>
      <c r="N310" s="83">
        <f>IF(OR(X310="估算法",X310="算法类",X310="无法识别"),"",IF(X310="",IF(OR(I310="ILF",I310="EIF",I310="EI",I310="EO",I310="EQ"),0,""),LEN(X310)-LEN(SUBSTITUTE(SUBSTITUTE(SUBSTITUTE(SUBSTITUTE(SUBSTITUTE(X310,"|}","--"),"{|","--"),CHAR(10),""),"、",""),"|",""))+IF(AND(OR(I310="EI",I310="EO",I310="EQ"),$AD$1="NESMA"),2,1)))</f>
        <v/>
      </c>
      <c r="O310" s="84">
        <f>IF(I310="EI",IF(OR(X310="估算法",X310="算法类"),"中",IF(X310="无法识别","低",IF(L310&lt;2,IF(N310&lt;16,"低","中"),IF(L310&lt;3,IF(N310&lt;5,"低",IF(N310&lt;16,"中","高")),IF(N310&lt;5,"中","高"))))),IF(OR(I310="EO",I310="EQ"),IF(OR(X310="估算法",X310="算法类"),"中",IF(X310="无法识别","低",IF(L310&lt;2,IF(N310&lt;20,"低","中"),IF(L310&lt;4,IF(N310&lt;6,"低",IF(N310&lt;20,"中","高")),IF(N310&lt;6,"中","高"))))),IF(OR(I310="ILF",I310="EIF"),IF(OR(X310="估算法",X310="算法类",X310="无法识别"),"低",IF(M310&lt;2,IF(N310&lt;51,"低","中"),IF(M310&lt;6,IF(N310&lt;20,"低",IF(N310&lt;51,"中","高")),IF(N310&lt;20,"中","高")))),"不计算")))</f>
        <v/>
      </c>
      <c r="P310" s="142">
        <f>IFERROR(IF(I310="EI",IF(O310="低",3,IF(O310="中",4,6)),IF(I310="EO",IF(O310="低",4,IF(O310="中",5,7)),IF(I310="EQ",IF(O310="低",3,IF(O310="中",4,6)),IF(I310="ILF",IF(O310="低",7,IF(O310="中",10,15)),IF(I310="EIF",IF(O310="低",5,IF(O310="中",7,10)),"不计算")))))*Q310,"不计算")</f>
        <v/>
      </c>
      <c r="Q310" s="142" t="n">
        <v>1</v>
      </c>
      <c r="R310" s="143">
        <f>调整因子!$F$13</f>
        <v/>
      </c>
      <c r="S310" s="70" t="n">
        <v>1</v>
      </c>
      <c r="T310" s="144">
        <f>IFERROR(P310*R310,0)</f>
        <v/>
      </c>
      <c r="U310" s="144">
        <f>T310*S310</f>
        <v/>
      </c>
      <c r="V310" s="88" t="n"/>
      <c r="W310" s="88" t="inlineStr">
        <is>
          <t>插件等级统计数据表</t>
        </is>
      </c>
      <c r="X310" s="88" t="inlineStr">
        <is>
          <t>插件等级统计数据表{统计编号、统计日期、插件等级、数量、更新时间}</t>
        </is>
      </c>
      <c r="Y310" s="88" t="n"/>
      <c r="Z310" s="88" t="n"/>
      <c r="AA310" s="96" t="n"/>
    </row>
    <row r="311">
      <c r="A311" s="69">
        <f>ROW()-1</f>
        <v/>
      </c>
      <c r="B311" s="53" t="n"/>
      <c r="C311" s="78" t="n">
        <v>2025</v>
      </c>
      <c r="D311" s="78" t="inlineStr">
        <is>
          <t>张明峰</t>
        </is>
      </c>
      <c r="E311" s="53" t="n"/>
      <c r="F311" s="53" t="n"/>
      <c r="G311" s="76" t="inlineStr">
        <is>
          <t>插件引擎管理</t>
        </is>
      </c>
      <c r="H311" s="81" t="inlineStr">
        <is>
          <t>添加引擎分组</t>
        </is>
      </c>
      <c r="I311" s="76" t="inlineStr">
        <is>
          <t>EI</t>
        </is>
      </c>
      <c r="J311" s="108" t="n"/>
      <c r="K311" s="108" t="n"/>
      <c r="L311" s="83">
        <f>IF(OR(X311="估算法",X311="算法类",X311="无法识别"),"",IF(V311="",IF(OR(I311="EI",I311="EO",I311="EQ"),0,""),LEN(V311)-LEN(SUBSTITUTE(V311,"、",""))+1))</f>
        <v/>
      </c>
      <c r="M311" s="83">
        <f>IF(OR(X311="估算法",X311="算法类",X311="无法识别"),"",IF(W311="",IF(OR(I311="ILF",I311="EIF"),0,""),LEN(W311)-LEN(SUBSTITUTE(W311,"、",""))+1))</f>
        <v/>
      </c>
      <c r="N311" s="83">
        <f>IF(OR(X311="估算法",X311="算法类",X311="无法识别"),"",IF(X311="",IF(OR(I311="ILF",I311="EIF",I311="EI",I311="EO",I311="EQ"),0,""),LEN(X311)-LEN(SUBSTITUTE(SUBSTITUTE(SUBSTITUTE(SUBSTITUTE(SUBSTITUTE(X311,"|}","--"),"{|","--"),CHAR(10),""),"、",""),"|",""))+IF(AND(OR(I311="EI",I311="EO",I311="EQ"),$AD$1="NESMA"),2,1)))</f>
        <v/>
      </c>
      <c r="O311" s="84">
        <f>IF(I311="EI",IF(OR(X311="估算法",X311="算法类"),"中",IF(X311="无法识别","低",IF(L311&lt;2,IF(N311&lt;16,"低","中"),IF(L311&lt;3,IF(N311&lt;5,"低",IF(N311&lt;16,"中","高")),IF(N311&lt;5,"中","高"))))),IF(OR(I311="EO",I311="EQ"),IF(OR(X311="估算法",X311="算法类"),"中",IF(X311="无法识别","低",IF(L311&lt;2,IF(N311&lt;20,"低","中"),IF(L311&lt;4,IF(N311&lt;6,"低",IF(N311&lt;20,"中","高")),IF(N311&lt;6,"中","高"))))),IF(OR(I311="ILF",I311="EIF"),IF(OR(X311="估算法",X311="算法类",X311="无法识别"),"低",IF(M311&lt;2,IF(N311&lt;51,"低","中"),IF(M311&lt;6,IF(N311&lt;20,"低",IF(N311&lt;51,"中","高")),IF(N311&lt;20,"中","高")))),"不计算")))</f>
        <v/>
      </c>
      <c r="P311" s="142">
        <f>IFERROR(IF(I311="EI",IF(O311="低",3,IF(O311="中",4,6)),IF(I311="EO",IF(O311="低",4,IF(O311="中",5,7)),IF(I311="EQ",IF(O311="低",3,IF(O311="中",4,6)),IF(I311="ILF",IF(O311="低",7,IF(O311="中",10,15)),IF(I311="EIF",IF(O311="低",5,IF(O311="中",7,10)),"不计算")))))*Q311,"不计算")</f>
        <v/>
      </c>
      <c r="Q311" s="142" t="n">
        <v>1</v>
      </c>
      <c r="R311" s="143">
        <f>调整因子!$F$13</f>
        <v/>
      </c>
      <c r="S311" s="70" t="n">
        <v>1</v>
      </c>
      <c r="T311" s="144">
        <f>IFERROR(P311*R311,0)</f>
        <v/>
      </c>
      <c r="U311" s="144">
        <f>T311*S311</f>
        <v/>
      </c>
      <c r="V311" s="88" t="inlineStr">
        <is>
          <t>插件组表</t>
        </is>
      </c>
      <c r="W311" s="89" t="n"/>
      <c r="X311" s="88" t="inlineStr">
        <is>
          <t>插件组表{组名称、组编码、描述|响应码、响应内容、响应头}</t>
        </is>
      </c>
      <c r="Y311" s="88" t="n"/>
      <c r="Z311" s="88" t="n"/>
      <c r="AA311" s="96" t="inlineStr">
        <is>
          <t>脱敏规则表、通报模板表</t>
        </is>
      </c>
    </row>
    <row r="312">
      <c r="A312" s="69">
        <f>ROW()-1</f>
        <v/>
      </c>
      <c r="B312" s="53" t="n"/>
      <c r="C312" s="78" t="n">
        <v>2025</v>
      </c>
      <c r="D312" s="78" t="inlineStr">
        <is>
          <t>张明峰</t>
        </is>
      </c>
      <c r="E312" s="53" t="n"/>
      <c r="F312" s="53" t="n"/>
      <c r="G312" s="53" t="n"/>
      <c r="H312" s="81" t="inlineStr">
        <is>
          <t>修改引擎分组</t>
        </is>
      </c>
      <c r="I312" s="76" t="inlineStr">
        <is>
          <t>EI</t>
        </is>
      </c>
      <c r="J312" s="108" t="n"/>
      <c r="K312" s="108" t="n"/>
      <c r="L312" s="83">
        <f>IF(OR(X312="估算法",X312="算法类",X312="无法识别"),"",IF(V312="",IF(OR(I312="EI",I312="EO",I312="EQ"),0,""),LEN(V312)-LEN(SUBSTITUTE(V312,"、",""))+1))</f>
        <v/>
      </c>
      <c r="M312" s="83">
        <f>IF(OR(X312="估算法",X312="算法类",X312="无法识别"),"",IF(W312="",IF(OR(I312="ILF",I312="EIF"),0,""),LEN(W312)-LEN(SUBSTITUTE(W312,"、",""))+1))</f>
        <v/>
      </c>
      <c r="N312" s="83">
        <f>IF(OR(X312="估算法",X312="算法类",X312="无法识别"),"",IF(X312="",IF(OR(I312="ILF",I312="EIF",I312="EI",I312="EO",I312="EQ"),0,""),LEN(X312)-LEN(SUBSTITUTE(SUBSTITUTE(SUBSTITUTE(SUBSTITUTE(SUBSTITUTE(X312,"|}","--"),"{|","--"),CHAR(10),""),"、",""),"|",""))+IF(AND(OR(I312="EI",I312="EO",I312="EQ"),$AD$1="NESMA"),2,1)))</f>
        <v/>
      </c>
      <c r="O312" s="84">
        <f>IF(I312="EI",IF(OR(X312="估算法",X312="算法类"),"中",IF(X312="无法识别","低",IF(L312&lt;2,IF(N312&lt;16,"低","中"),IF(L312&lt;3,IF(N312&lt;5,"低",IF(N312&lt;16,"中","高")),IF(N312&lt;5,"中","高"))))),IF(OR(I312="EO",I312="EQ"),IF(OR(X312="估算法",X312="算法类"),"中",IF(X312="无法识别","低",IF(L312&lt;2,IF(N312&lt;20,"低","中"),IF(L312&lt;4,IF(N312&lt;6,"低",IF(N312&lt;20,"中","高")),IF(N312&lt;6,"中","高"))))),IF(OR(I312="ILF",I312="EIF"),IF(OR(X312="估算法",X312="算法类",X312="无法识别"),"低",IF(M312&lt;2,IF(N312&lt;51,"低","中"),IF(M312&lt;6,IF(N312&lt;20,"低",IF(N312&lt;51,"中","高")),IF(N312&lt;20,"中","高")))),"不计算")))</f>
        <v/>
      </c>
      <c r="P312" s="142">
        <f>IFERROR(IF(I312="EI",IF(O312="低",3,IF(O312="中",4,6)),IF(I312="EO",IF(O312="低",4,IF(O312="中",5,7)),IF(I312="EQ",IF(O312="低",3,IF(O312="中",4,6)),IF(I312="ILF",IF(O312="低",7,IF(O312="中",10,15)),IF(I312="EIF",IF(O312="低",5,IF(O312="中",7,10)),"不计算")))))*Q312,"不计算")</f>
        <v/>
      </c>
      <c r="Q312" s="142" t="n">
        <v>0.333333333333333</v>
      </c>
      <c r="R312" s="143">
        <f>调整因子!$F$13</f>
        <v/>
      </c>
      <c r="S312" s="70" t="n">
        <v>1</v>
      </c>
      <c r="T312" s="144">
        <f>IFERROR(P312*R312,0)</f>
        <v/>
      </c>
      <c r="U312" s="144">
        <f>T312*S312</f>
        <v/>
      </c>
      <c r="V312" s="88" t="inlineStr">
        <is>
          <t>插件组表</t>
        </is>
      </c>
      <c r="W312" s="89" t="n"/>
      <c r="X312" s="88" t="inlineStr">
        <is>
          <t>插件组表{组ID、组名称、组编码、描述|响应码、响应内容、响应头}</t>
        </is>
      </c>
      <c r="Y312" s="88" t="n"/>
      <c r="Z312" s="88" t="n"/>
      <c r="AA312" s="96" t="inlineStr">
        <is>
          <t>漏洞处置单表、漏洞统计数据表</t>
        </is>
      </c>
    </row>
    <row r="313">
      <c r="A313" s="69">
        <f>ROW()-1</f>
        <v/>
      </c>
      <c r="B313" s="53" t="n"/>
      <c r="C313" s="78" t="n">
        <v>2025</v>
      </c>
      <c r="D313" s="78" t="inlineStr">
        <is>
          <t>张明峰</t>
        </is>
      </c>
      <c r="E313" s="53" t="n"/>
      <c r="F313" s="53" t="n"/>
      <c r="G313" s="53" t="n"/>
      <c r="H313" s="81" t="inlineStr">
        <is>
          <t>删除引擎分组</t>
        </is>
      </c>
      <c r="I313" s="76" t="inlineStr">
        <is>
          <t>EI</t>
        </is>
      </c>
      <c r="J313" s="108" t="n"/>
      <c r="K313" s="108" t="n"/>
      <c r="L313" s="83">
        <f>IF(OR(X313="估算法",X313="算法类",X313="无法识别"),"",IF(V313="",IF(OR(I313="EI",I313="EO",I313="EQ"),0,""),LEN(V313)-LEN(SUBSTITUTE(V313,"、",""))+1))</f>
        <v/>
      </c>
      <c r="M313" s="83">
        <f>IF(OR(X313="估算法",X313="算法类",X313="无法识别"),"",IF(W313="",IF(OR(I313="ILF",I313="EIF"),0,""),LEN(W313)-LEN(SUBSTITUTE(W313,"、",""))+1))</f>
        <v/>
      </c>
      <c r="N313" s="83">
        <f>IF(OR(X313="估算法",X313="算法类",X313="无法识别"),"",IF(X313="",IF(OR(I313="ILF",I313="EIF",I313="EI",I313="EO",I313="EQ"),0,""),LEN(X313)-LEN(SUBSTITUTE(SUBSTITUTE(SUBSTITUTE(SUBSTITUTE(SUBSTITUTE(X313,"|}","--"),"{|","--"),CHAR(10),""),"、",""),"|",""))+IF(AND(OR(I313="EI",I313="EO",I313="EQ"),$AD$1="NESMA"),2,1)))</f>
        <v/>
      </c>
      <c r="O313" s="84">
        <f>IF(I313="EI",IF(OR(X313="估算法",X313="算法类"),"中",IF(X313="无法识别","低",IF(L313&lt;2,IF(N313&lt;16,"低","中"),IF(L313&lt;3,IF(N313&lt;5,"低",IF(N313&lt;16,"中","高")),IF(N313&lt;5,"中","高"))))),IF(OR(I313="EO",I313="EQ"),IF(OR(X313="估算法",X313="算法类"),"中",IF(X313="无法识别","低",IF(L313&lt;2,IF(N313&lt;20,"低","中"),IF(L313&lt;4,IF(N313&lt;6,"低",IF(N313&lt;20,"中","高")),IF(N313&lt;6,"中","高"))))),IF(OR(I313="ILF",I313="EIF"),IF(OR(X313="估算法",X313="算法类",X313="无法识别"),"低",IF(M313&lt;2,IF(N313&lt;51,"低","中"),IF(M313&lt;6,IF(N313&lt;20,"低",IF(N313&lt;51,"中","高")),IF(N313&lt;20,"中","高")))),"不计算")))</f>
        <v/>
      </c>
      <c r="P313" s="142">
        <f>IFERROR(IF(I313="EI",IF(O313="低",3,IF(O313="中",4,6)),IF(I313="EO",IF(O313="低",4,IF(O313="中",5,7)),IF(I313="EQ",IF(O313="低",3,IF(O313="中",4,6)),IF(I313="ILF",IF(O313="低",7,IF(O313="中",10,15)),IF(I313="EIF",IF(O313="低",5,IF(O313="中",7,10)),"不计算")))))*Q313,"不计算")</f>
        <v/>
      </c>
      <c r="Q313" s="142" t="n">
        <v>0.333333333333333</v>
      </c>
      <c r="R313" s="143">
        <f>调整因子!$F$13</f>
        <v/>
      </c>
      <c r="S313" s="76" t="n">
        <v>1</v>
      </c>
      <c r="T313" s="144">
        <f>IFERROR(P313*R313,0)</f>
        <v/>
      </c>
      <c r="U313" s="144">
        <f>T313*S313</f>
        <v/>
      </c>
      <c r="V313" s="88" t="inlineStr">
        <is>
          <t>插件组表</t>
        </is>
      </c>
      <c r="W313" s="89" t="n"/>
      <c r="X313" s="88" t="inlineStr">
        <is>
          <t>插件组表{组ID|响应码、响应内容、响应头}</t>
        </is>
      </c>
      <c r="Y313" s="88" t="n"/>
      <c r="Z313" s="88" t="n"/>
      <c r="AA313" s="96" t="inlineStr">
        <is>
          <t>漏洞处置单表</t>
        </is>
      </c>
    </row>
    <row r="314" ht="32.4" customHeight="1">
      <c r="A314" s="69">
        <f>ROW()-1</f>
        <v/>
      </c>
      <c r="B314" s="53" t="n"/>
      <c r="C314" s="78" t="n">
        <v>2025</v>
      </c>
      <c r="D314" s="78" t="inlineStr">
        <is>
          <t>张明峰</t>
        </is>
      </c>
      <c r="E314" s="53" t="n"/>
      <c r="F314" s="53" t="n"/>
      <c r="G314" s="53" t="n"/>
      <c r="H314" s="81" t="inlineStr">
        <is>
          <t>添加引擎服务器</t>
        </is>
      </c>
      <c r="I314" s="76" t="inlineStr">
        <is>
          <t>EI</t>
        </is>
      </c>
      <c r="J314" s="108" t="n"/>
      <c r="K314" s="108" t="n"/>
      <c r="L314" s="83">
        <f>IF(OR(X314="估算法",X314="算法类",X314="无法识别"),"",IF(V314="",IF(OR(I314="EI",I314="EO",I314="EQ"),0,""),LEN(V314)-LEN(SUBSTITUTE(V314,"、",""))+1))</f>
        <v/>
      </c>
      <c r="M314" s="83">
        <f>IF(OR(X314="估算法",X314="算法类",X314="无法识别"),"",IF(W314="",IF(OR(I314="ILF",I314="EIF"),0,""),LEN(W314)-LEN(SUBSTITUTE(W314,"、",""))+1))</f>
        <v/>
      </c>
      <c r="N314" s="83">
        <f>IF(OR(X314="估算法",X314="算法类",X314="无法识别"),"",IF(X314="",IF(OR(I314="ILF",I314="EIF",I314="EI",I314="EO",I314="EQ"),0,""),LEN(X314)-LEN(SUBSTITUTE(SUBSTITUTE(SUBSTITUTE(SUBSTITUTE(SUBSTITUTE(X314,"|}","--"),"{|","--"),CHAR(10),""),"、",""),"|",""))+IF(AND(OR(I314="EI",I314="EO",I314="EQ"),$AD$1="NESMA"),2,1)))</f>
        <v/>
      </c>
      <c r="O314" s="84">
        <f>IF(I314="EI",IF(OR(X314="估算法",X314="算法类"),"中",IF(X314="无法识别","低",IF(L314&lt;2,IF(N314&lt;16,"低","中"),IF(L314&lt;3,IF(N314&lt;5,"低",IF(N314&lt;16,"中","高")),IF(N314&lt;5,"中","高"))))),IF(OR(I314="EO",I314="EQ"),IF(OR(X314="估算法",X314="算法类"),"中",IF(X314="无法识别","低",IF(L314&lt;2,IF(N314&lt;20,"低","中"),IF(L314&lt;4,IF(N314&lt;6,"低",IF(N314&lt;20,"中","高")),IF(N314&lt;6,"中","高"))))),IF(OR(I314="ILF",I314="EIF"),IF(OR(X314="估算法",X314="算法类",X314="无法识别"),"低",IF(M314&lt;2,IF(N314&lt;51,"低","中"),IF(M314&lt;6,IF(N314&lt;20,"低",IF(N314&lt;51,"中","高")),IF(N314&lt;20,"中","高")))),"不计算")))</f>
        <v/>
      </c>
      <c r="P314" s="142">
        <f>IFERROR(IF(I314="EI",IF(O314="低",3,IF(O314="中",4,6)),IF(I314="EO",IF(O314="低",4,IF(O314="中",5,7)),IF(I314="EQ",IF(O314="低",3,IF(O314="中",4,6)),IF(I314="ILF",IF(O314="低",7,IF(O314="中",10,15)),IF(I314="EIF",IF(O314="低",5,IF(O314="中",7,10)),"不计算")))))*Q314,"不计算")</f>
        <v/>
      </c>
      <c r="Q314" s="142" t="n">
        <v>1</v>
      </c>
      <c r="R314" s="143">
        <f>调整因子!$F$13</f>
        <v/>
      </c>
      <c r="S314" s="70" t="n">
        <v>1</v>
      </c>
      <c r="T314" s="144">
        <f>IFERROR(P314*R314,0)</f>
        <v/>
      </c>
      <c r="U314" s="144">
        <f>T314*S314</f>
        <v/>
      </c>
      <c r="V314" s="88" t="inlineStr">
        <is>
          <t>引擎基本信息表、引擎版本管理表、插件组表、插件部署状态表、安全资源注册请求参数表</t>
        </is>
      </c>
      <c r="W314" s="89" t="n"/>
      <c r="X314" s="88" t="inlineStr">
        <is>
          <t>插件组表{组ID、组名称、组编码、描述}、引擎基本信息表{引擎名称、引擎IP、引擎端口、描述、版本|响应码、响应内容、响应头}、引擎版本管理表{版本ID、引擎ID、版本号、发布说明、发布时间}、插件部署状态表{插件编号、插件版本号、部署环境、部署状态|部署记录编号、部署时间}、安全资源注册请求参数表{插件编号、安全资源描述、IP范围|请求编号}</t>
        </is>
      </c>
      <c r="Y314" s="88" t="n"/>
      <c r="Z314" s="88" t="n"/>
      <c r="AA314" s="96" t="inlineStr">
        <is>
          <t>漏洞处置单表、漏洞统计数据表</t>
        </is>
      </c>
    </row>
    <row r="315" ht="32.4" customHeight="1">
      <c r="A315" s="69">
        <f>ROW()-1</f>
        <v/>
      </c>
      <c r="B315" s="53" t="n"/>
      <c r="C315" s="78" t="n">
        <v>2025</v>
      </c>
      <c r="D315" s="78" t="inlineStr">
        <is>
          <t>张明峰</t>
        </is>
      </c>
      <c r="E315" s="53" t="n"/>
      <c r="F315" s="53" t="n"/>
      <c r="G315" s="53" t="n"/>
      <c r="H315" s="81" t="inlineStr">
        <is>
          <t>修改引擎服务器</t>
        </is>
      </c>
      <c r="I315" s="76" t="inlineStr">
        <is>
          <t>EI</t>
        </is>
      </c>
      <c r="J315" s="108" t="n"/>
      <c r="K315" s="108" t="n"/>
      <c r="L315" s="83">
        <f>IF(OR(X315="估算法",X315="算法类",X315="无法识别"),"",IF(V315="",IF(OR(I315="EI",I315="EO",I315="EQ"),0,""),LEN(V315)-LEN(SUBSTITUTE(V315,"、",""))+1))</f>
        <v/>
      </c>
      <c r="M315" s="83">
        <f>IF(OR(X315="估算法",X315="算法类",X315="无法识别"),"",IF(W315="",IF(OR(I315="ILF",I315="EIF"),0,""),LEN(W315)-LEN(SUBSTITUTE(W315,"、",""))+1))</f>
        <v/>
      </c>
      <c r="N315" s="83">
        <f>IF(OR(X315="估算法",X315="算法类",X315="无法识别"),"",IF(X315="",IF(OR(I315="ILF",I315="EIF",I315="EI",I315="EO",I315="EQ"),0,""),LEN(X315)-LEN(SUBSTITUTE(SUBSTITUTE(SUBSTITUTE(SUBSTITUTE(SUBSTITUTE(X315,"|}","--"),"{|","--"),CHAR(10),""),"、",""),"|",""))+IF(AND(OR(I315="EI",I315="EO",I315="EQ"),$AD$1="NESMA"),2,1)))</f>
        <v/>
      </c>
      <c r="O315" s="84">
        <f>IF(I315="EI",IF(OR(X315="估算法",X315="算法类"),"中",IF(X315="无法识别","低",IF(L315&lt;2,IF(N315&lt;16,"低","中"),IF(L315&lt;3,IF(N315&lt;5,"低",IF(N315&lt;16,"中","高")),IF(N315&lt;5,"中","高"))))),IF(OR(I315="EO",I315="EQ"),IF(OR(X315="估算法",X315="算法类"),"中",IF(X315="无法识别","低",IF(L315&lt;2,IF(N315&lt;20,"低","中"),IF(L315&lt;4,IF(N315&lt;6,"低",IF(N315&lt;20,"中","高")),IF(N315&lt;6,"中","高"))))),IF(OR(I315="ILF",I315="EIF"),IF(OR(X315="估算法",X315="算法类",X315="无法识别"),"低",IF(M315&lt;2,IF(N315&lt;51,"低","中"),IF(M315&lt;6,IF(N315&lt;20,"低",IF(N315&lt;51,"中","高")),IF(N315&lt;20,"中","高")))),"不计算")))</f>
        <v/>
      </c>
      <c r="P315" s="142">
        <f>IFERROR(IF(I315="EI",IF(O315="低",3,IF(O315="中",4,6)),IF(I315="EO",IF(O315="低",4,IF(O315="中",5,7)),IF(I315="EQ",IF(O315="低",3,IF(O315="中",4,6)),IF(I315="ILF",IF(O315="低",7,IF(O315="中",10,15)),IF(I315="EIF",IF(O315="低",5,IF(O315="中",7,10)),"不计算")))))*Q315,"不计算")</f>
        <v/>
      </c>
      <c r="Q315" s="142" t="n">
        <v>0.333333333333333</v>
      </c>
      <c r="R315" s="143">
        <f>调整因子!$F$13</f>
        <v/>
      </c>
      <c r="S315" s="70" t="n">
        <v>1</v>
      </c>
      <c r="T315" s="144">
        <f>IFERROR(P315*R315,0)</f>
        <v/>
      </c>
      <c r="U315" s="144">
        <f>T315*S315</f>
        <v/>
      </c>
      <c r="V315" s="88" t="inlineStr">
        <is>
          <t>插件组表、引擎基本信息表、引擎版本管理表、插件部署状态表、插件执行记录表</t>
        </is>
      </c>
      <c r="W315" s="89" t="n"/>
      <c r="X315" s="88" t="inlineStr">
        <is>
          <t>引擎版本管理表{版本ID、引擎ID、版本号、发布说明、发布时间}、引擎基本信息表{引擎ID、引擎名称、引擎IP、引擎端口、描述、版本|响应码、响应内容、响应头}、插件组表{组ID、组名称、组编码、描述}、插件部署状态表{插件编号、部署环境、部署状态|部署记录编号、部署状态、部署时间}、插件执行记录表{插件编号、实例编号、执行结果|执行记录编号、开始时间、结束时间、执行结果、日志摘要}</t>
        </is>
      </c>
      <c r="Y315" s="88" t="n"/>
      <c r="Z315" s="88" t="n"/>
      <c r="AA315" s="96" t="inlineStr">
        <is>
          <t>验证记录表</t>
        </is>
      </c>
    </row>
    <row r="316">
      <c r="A316" s="69">
        <f>ROW()-1</f>
        <v/>
      </c>
      <c r="B316" s="53" t="n"/>
      <c r="C316" s="78" t="n">
        <v>2025</v>
      </c>
      <c r="D316" s="78" t="inlineStr">
        <is>
          <t>张明峰</t>
        </is>
      </c>
      <c r="E316" s="53" t="n"/>
      <c r="F316" s="53" t="n"/>
      <c r="G316" s="53" t="n"/>
      <c r="H316" s="81" t="inlineStr">
        <is>
          <t>删除引擎服务器</t>
        </is>
      </c>
      <c r="I316" s="76" t="inlineStr">
        <is>
          <t>EI</t>
        </is>
      </c>
      <c r="J316" s="108" t="n"/>
      <c r="K316" s="108" t="n"/>
      <c r="L316" s="83">
        <f>IF(OR(X316="估算法",X316="算法类",X316="无法识别"),"",IF(V316="",IF(OR(I316="EI",I316="EO",I316="EQ"),0,""),LEN(V316)-LEN(SUBSTITUTE(V316,"、",""))+1))</f>
        <v/>
      </c>
      <c r="M316" s="83">
        <f>IF(OR(X316="估算法",X316="算法类",X316="无法识别"),"",IF(W316="",IF(OR(I316="ILF",I316="EIF"),0,""),LEN(W316)-LEN(SUBSTITUTE(W316,"、",""))+1))</f>
        <v/>
      </c>
      <c r="N316" s="83">
        <f>IF(OR(X316="估算法",X316="算法类",X316="无法识别"),"",IF(X316="",IF(OR(I316="ILF",I316="EIF",I316="EI",I316="EO",I316="EQ"),0,""),LEN(X316)-LEN(SUBSTITUTE(SUBSTITUTE(SUBSTITUTE(SUBSTITUTE(SUBSTITUTE(X316,"|}","--"),"{|","--"),CHAR(10),""),"、",""),"|",""))+IF(AND(OR(I316="EI",I316="EO",I316="EQ"),$AD$1="NESMA"),2,1)))</f>
        <v/>
      </c>
      <c r="O316" s="84">
        <f>IF(I316="EI",IF(OR(X316="估算法",X316="算法类"),"中",IF(X316="无法识别","低",IF(L316&lt;2,IF(N316&lt;16,"低","中"),IF(L316&lt;3,IF(N316&lt;5,"低",IF(N316&lt;16,"中","高")),IF(N316&lt;5,"中","高"))))),IF(OR(I316="EO",I316="EQ"),IF(OR(X316="估算法",X316="算法类"),"中",IF(X316="无法识别","低",IF(L316&lt;2,IF(N316&lt;20,"低","中"),IF(L316&lt;4,IF(N316&lt;6,"低",IF(N316&lt;20,"中","高")),IF(N316&lt;6,"中","高"))))),IF(OR(I316="ILF",I316="EIF"),IF(OR(X316="估算法",X316="算法类",X316="无法识别"),"低",IF(M316&lt;2,IF(N316&lt;51,"低","中"),IF(M316&lt;6,IF(N316&lt;20,"低",IF(N316&lt;51,"中","高")),IF(N316&lt;20,"中","高")))),"不计算")))</f>
        <v/>
      </c>
      <c r="P316" s="142">
        <f>IFERROR(IF(I316="EI",IF(O316="低",3,IF(O316="中",4,6)),IF(I316="EO",IF(O316="低",4,IF(O316="中",5,7)),IF(I316="EQ",IF(O316="低",3,IF(O316="中",4,6)),IF(I316="ILF",IF(O316="低",7,IF(O316="中",10,15)),IF(I316="EIF",IF(O316="低",5,IF(O316="中",7,10)),"不计算")))))*Q316,"不计算")</f>
        <v/>
      </c>
      <c r="Q316" s="142" t="n">
        <v>0.333333333333333</v>
      </c>
      <c r="R316" s="143">
        <f>调整因子!$F$13</f>
        <v/>
      </c>
      <c r="S316" s="76" t="n">
        <v>1</v>
      </c>
      <c r="T316" s="144">
        <f>IFERROR(P316*R316,0)</f>
        <v/>
      </c>
      <c r="U316" s="144">
        <f>T316*S316</f>
        <v/>
      </c>
      <c r="V316" s="88" t="inlineStr">
        <is>
          <t>引擎基本信息表、插件部署状态表、插件执行记录表</t>
        </is>
      </c>
      <c r="W316" s="89" t="n"/>
      <c r="X316" s="88" t="inlineStr">
        <is>
          <t>引擎基本信息表{引擎ID|响应码、响应内容、响应头}、插件部署状态表{插件编号|部署记录编号、部署状态}、插件执行记录表{插件编号|执行记录编号、开始时间、结束时间、执行结果}</t>
        </is>
      </c>
      <c r="Y316" s="88" t="n"/>
      <c r="Z316" s="88" t="n"/>
      <c r="AA316" s="96" t="inlineStr">
        <is>
          <t>模板分类表</t>
        </is>
      </c>
    </row>
    <row r="317" ht="21.6" customHeight="1">
      <c r="A317" s="69">
        <f>ROW()-1</f>
        <v/>
      </c>
      <c r="B317" s="53" t="n"/>
      <c r="C317" s="78" t="n">
        <v>2025</v>
      </c>
      <c r="D317" s="78" t="inlineStr">
        <is>
          <t>张明峰</t>
        </is>
      </c>
      <c r="E317" s="53" t="n"/>
      <c r="F317" s="53" t="n"/>
      <c r="G317" s="53" t="n"/>
      <c r="H317" s="81" t="inlineStr">
        <is>
          <t>查看引擎服务器列表</t>
        </is>
      </c>
      <c r="I317" s="76" t="inlineStr">
        <is>
          <t>EQ</t>
        </is>
      </c>
      <c r="J317" s="108" t="n"/>
      <c r="K317" s="108" t="n"/>
      <c r="L317" s="83">
        <f>IF(OR(X317="估算法",X317="算法类",X317="无法识别"),"",IF(V317="",IF(OR(I317="EI",I317="EO",I317="EQ"),0,""),LEN(V317)-LEN(SUBSTITUTE(V317,"、",""))+1))</f>
        <v/>
      </c>
      <c r="M317" s="83">
        <f>IF(OR(X317="估算法",X317="算法类",X317="无法识别"),"",IF(W317="",IF(OR(I317="ILF",I317="EIF"),0,""),LEN(W317)-LEN(SUBSTITUTE(W317,"、",""))+1))</f>
        <v/>
      </c>
      <c r="N317" s="83">
        <f>IF(OR(X317="估算法",X317="算法类",X317="无法识别"),"",IF(X317="",IF(OR(I317="ILF",I317="EIF",I317="EI",I317="EO",I317="EQ"),0,""),LEN(X317)-LEN(SUBSTITUTE(SUBSTITUTE(SUBSTITUTE(SUBSTITUTE(SUBSTITUTE(X317,"|}","--"),"{|","--"),CHAR(10),""),"、",""),"|",""))+IF(AND(OR(I317="EI",I317="EO",I317="EQ"),$AD$1="NESMA"),2,1)))</f>
        <v/>
      </c>
      <c r="O317" s="84">
        <f>IF(I317="EI",IF(OR(X317="估算法",X317="算法类"),"中",IF(X317="无法识别","低",IF(L317&lt;2,IF(N317&lt;16,"低","中"),IF(L317&lt;3,IF(N317&lt;5,"低",IF(N317&lt;16,"中","高")),IF(N317&lt;5,"中","高"))))),IF(OR(I317="EO",I317="EQ"),IF(OR(X317="估算法",X317="算法类"),"中",IF(X317="无法识别","低",IF(L317&lt;2,IF(N317&lt;20,"低","中"),IF(L317&lt;4,IF(N317&lt;6,"低",IF(N317&lt;20,"中","高")),IF(N317&lt;6,"中","高"))))),IF(OR(I317="ILF",I317="EIF"),IF(OR(X317="估算法",X317="算法类",X317="无法识别"),"低",IF(M317&lt;2,IF(N317&lt;51,"低","中"),IF(M317&lt;6,IF(N317&lt;20,"低",IF(N317&lt;51,"中","高")),IF(N317&lt;20,"中","高")))),"不计算")))</f>
        <v/>
      </c>
      <c r="P317" s="142">
        <f>IFERROR(IF(I317="EI",IF(O317="低",3,IF(O317="中",4,6)),IF(I317="EO",IF(O317="低",4,IF(O317="中",5,7)),IF(I317="EQ",IF(O317="低",3,IF(O317="中",4,6)),IF(I317="ILF",IF(O317="低",7,IF(O317="中",10,15)),IF(I317="EIF",IF(O317="低",5,IF(O317="中",7,10)),"不计算")))))*Q317,"不计算")</f>
        <v/>
      </c>
      <c r="Q317" s="142" t="n">
        <v>1</v>
      </c>
      <c r="R317" s="143">
        <f>调整因子!$F$13</f>
        <v/>
      </c>
      <c r="S317" s="70" t="n">
        <v>1</v>
      </c>
      <c r="T317" s="144">
        <f>IFERROR(P317*R317,0)</f>
        <v/>
      </c>
      <c r="U317" s="144">
        <f>T317*S317</f>
        <v/>
      </c>
      <c r="V317" s="88" t="inlineStr">
        <is>
          <t>插件组表、引擎基本信息表</t>
        </is>
      </c>
      <c r="W317" s="89" t="n"/>
      <c r="X317" s="88" t="inlineStr">
        <is>
          <t>插件组表{组ID、组名称、组编码、描述}、引擎基本信息表{引擎名称、引擎IP、引擎端口、描述、版本|响应码、响应内容、响应头}</t>
        </is>
      </c>
      <c r="Y317" s="88" t="n"/>
      <c r="Z317" s="88" t="n"/>
      <c r="AA317" s="96" t="inlineStr">
        <is>
          <t>资产同步任务表</t>
        </is>
      </c>
    </row>
    <row r="318" ht="32.4" customHeight="1">
      <c r="A318" s="69">
        <f>ROW()-1</f>
        <v/>
      </c>
      <c r="B318" s="53" t="n"/>
      <c r="C318" s="78" t="n">
        <v>2025</v>
      </c>
      <c r="D318" s="78" t="inlineStr">
        <is>
          <t>张明峰</t>
        </is>
      </c>
      <c r="E318" s="53" t="n"/>
      <c r="F318" s="53" t="n"/>
      <c r="G318" s="53" t="n"/>
      <c r="H318" s="81" t="inlineStr">
        <is>
          <t>查看引擎服务器摘要</t>
        </is>
      </c>
      <c r="I318" s="76" t="inlineStr">
        <is>
          <t>EQ</t>
        </is>
      </c>
      <c r="J318" s="108" t="n"/>
      <c r="K318" s="108" t="n"/>
      <c r="L318" s="83">
        <f>IF(OR(X318="估算法",X318="算法类",X318="无法识别"),"",IF(V318="",IF(OR(I318="EI",I318="EO",I318="EQ"),0,""),LEN(V318)-LEN(SUBSTITUTE(V318,"、",""))+1))</f>
        <v/>
      </c>
      <c r="M318" s="83">
        <f>IF(OR(X318="估算法",X318="算法类",X318="无法识别"),"",IF(W318="",IF(OR(I318="ILF",I318="EIF"),0,""),LEN(W318)-LEN(SUBSTITUTE(W318,"、",""))+1))</f>
        <v/>
      </c>
      <c r="N318" s="83">
        <f>IF(OR(X318="估算法",X318="算法类",X318="无法识别"),"",IF(X318="",IF(OR(I318="ILF",I318="EIF",I318="EI",I318="EO",I318="EQ"),0,""),LEN(X318)-LEN(SUBSTITUTE(SUBSTITUTE(SUBSTITUTE(SUBSTITUTE(SUBSTITUTE(X318,"|}","--"),"{|","--"),CHAR(10),""),"、",""),"|",""))+IF(AND(OR(I318="EI",I318="EO",I318="EQ"),$AD$1="NESMA"),2,1)))</f>
        <v/>
      </c>
      <c r="O318" s="84">
        <f>IF(I318="EI",IF(OR(X318="估算法",X318="算法类"),"中",IF(X318="无法识别","低",IF(L318&lt;2,IF(N318&lt;16,"低","中"),IF(L318&lt;3,IF(N318&lt;5,"低",IF(N318&lt;16,"中","高")),IF(N318&lt;5,"中","高"))))),IF(OR(I318="EO",I318="EQ"),IF(OR(X318="估算法",X318="算法类"),"中",IF(X318="无法识别","低",IF(L318&lt;2,IF(N318&lt;20,"低","中"),IF(L318&lt;4,IF(N318&lt;6,"低",IF(N318&lt;20,"中","高")),IF(N318&lt;6,"中","高"))))),IF(OR(I318="ILF",I318="EIF"),IF(OR(X318="估算法",X318="算法类",X318="无法识别"),"低",IF(M318&lt;2,IF(N318&lt;51,"低","中"),IF(M318&lt;6,IF(N318&lt;20,"低",IF(N318&lt;51,"中","高")),IF(N318&lt;20,"中","高")))),"不计算")))</f>
        <v/>
      </c>
      <c r="P318" s="142">
        <f>IFERROR(IF(I318="EI",IF(O318="低",3,IF(O318="中",4,6)),IF(I318="EO",IF(O318="低",4,IF(O318="中",5,7)),IF(I318="EQ",IF(O318="低",3,IF(O318="中",4,6)),IF(I318="ILF",IF(O318="低",7,IF(O318="中",10,15)),IF(I318="EIF",IF(O318="低",5,IF(O318="中",7,10)),"不计算")))))*Q318,"不计算")</f>
        <v/>
      </c>
      <c r="Q318" s="142" t="n">
        <v>1</v>
      </c>
      <c r="R318" s="143">
        <f>调整因子!$F$13</f>
        <v/>
      </c>
      <c r="S318" s="70" t="n">
        <v>1</v>
      </c>
      <c r="T318" s="144">
        <f>IFERROR(P318*R318,0)</f>
        <v/>
      </c>
      <c r="U318" s="144">
        <f>T318*S318</f>
        <v/>
      </c>
      <c r="V318" s="88" t="inlineStr">
        <is>
          <t>引擎基本信息表、插件组表、引擎版本管理表</t>
        </is>
      </c>
      <c r="W318" s="89" t="n"/>
      <c r="X318" s="88" t="inlineStr">
        <is>
          <t>引擎版本管理表{|版本ID、引擎ID、版本号、发布说明、发布时间}、引擎基本信息表{引擎ID|引擎名称、引擎IP、引擎端口、描述、版本}、插件组表{|组名称、组编码、描述}</t>
        </is>
      </c>
      <c r="Y318" s="88" t="n"/>
      <c r="Z318" s="88" t="n"/>
      <c r="AA318" s="96" t="inlineStr">
        <is>
          <t>加密规则表、标签分类表</t>
        </is>
      </c>
    </row>
    <row r="319" ht="21.6" customHeight="1">
      <c r="A319" s="69">
        <f>ROW()-1</f>
        <v/>
      </c>
      <c r="B319" s="53" t="n"/>
      <c r="C319" s="78" t="n">
        <v>2025</v>
      </c>
      <c r="D319" s="78" t="inlineStr">
        <is>
          <t>张明峰</t>
        </is>
      </c>
      <c r="E319" s="53" t="n"/>
      <c r="F319" s="53" t="n"/>
      <c r="G319" s="53" t="n"/>
      <c r="H319" s="81" t="inlineStr">
        <is>
          <t>引擎离线导入插件</t>
        </is>
      </c>
      <c r="I319" s="76" t="inlineStr">
        <is>
          <t>EI</t>
        </is>
      </c>
      <c r="J319" s="108" t="n"/>
      <c r="K319" s="108" t="n"/>
      <c r="L319" s="83">
        <f>IF(OR(X319="估算法",X319="算法类",X319="无法识别"),"",IF(V319="",IF(OR(I319="EI",I319="EO",I319="EQ"),0,""),LEN(V319)-LEN(SUBSTITUTE(V319,"、",""))+1))</f>
        <v/>
      </c>
      <c r="M319" s="83">
        <f>IF(OR(X319="估算法",X319="算法类",X319="无法识别"),"",IF(W319="",IF(OR(I319="ILF",I319="EIF"),0,""),LEN(W319)-LEN(SUBSTITUTE(W319,"、",""))+1))</f>
        <v/>
      </c>
      <c r="N319" s="83">
        <f>IF(OR(X319="估算法",X319="算法类",X319="无法识别"),"",IF(X319="",IF(OR(I319="ILF",I319="EIF",I319="EI",I319="EO",I319="EQ"),0,""),LEN(X319)-LEN(SUBSTITUTE(SUBSTITUTE(SUBSTITUTE(SUBSTITUTE(SUBSTITUTE(X319,"|}","--"),"{|","--"),CHAR(10),""),"、",""),"|",""))+IF(AND(OR(I319="EI",I319="EO",I319="EQ"),$AD$1="NESMA"),2,1)))</f>
        <v/>
      </c>
      <c r="O319" s="84">
        <f>IF(I319="EI",IF(OR(X319="估算法",X319="算法类"),"中",IF(X319="无法识别","低",IF(L319&lt;2,IF(N319&lt;16,"低","中"),IF(L319&lt;3,IF(N319&lt;5,"低",IF(N319&lt;16,"中","高")),IF(N319&lt;5,"中","高"))))),IF(OR(I319="EO",I319="EQ"),IF(OR(X319="估算法",X319="算法类"),"中",IF(X319="无法识别","低",IF(L319&lt;2,IF(N319&lt;20,"低","中"),IF(L319&lt;4,IF(N319&lt;6,"低",IF(N319&lt;20,"中","高")),IF(N319&lt;6,"中","高"))))),IF(OR(I319="ILF",I319="EIF"),IF(OR(X319="估算法",X319="算法类",X319="无法识别"),"低",IF(M319&lt;2,IF(N319&lt;51,"低","中"),IF(M319&lt;6,IF(N319&lt;20,"低",IF(N319&lt;51,"中","高")),IF(N319&lt;20,"中","高")))),"不计算")))</f>
        <v/>
      </c>
      <c r="P319" s="142">
        <f>IFERROR(IF(I319="EI",IF(O319="低",3,IF(O319="中",4,6)),IF(I319="EO",IF(O319="低",4,IF(O319="中",5,7)),IF(I319="EQ",IF(O319="低",3,IF(O319="中",4,6)),IF(I319="ILF",IF(O319="低",7,IF(O319="中",10,15)),IF(I319="EIF",IF(O319="低",5,IF(O319="中",7,10)),"不计算")))))*Q319,"不计算")</f>
        <v/>
      </c>
      <c r="Q319" s="142" t="n">
        <v>1</v>
      </c>
      <c r="R319" s="143">
        <f>调整因子!$F$13</f>
        <v/>
      </c>
      <c r="S319" s="76" t="n">
        <v>1</v>
      </c>
      <c r="T319" s="144">
        <f>IFERROR(P319*R319,0)</f>
        <v/>
      </c>
      <c r="U319" s="144">
        <f>T319*S319</f>
        <v/>
      </c>
      <c r="V319" s="88" t="inlineStr">
        <is>
          <t>引擎基本信息表</t>
        </is>
      </c>
      <c r="W319" s="89" t="n"/>
      <c r="X319" s="88" t="inlineStr">
        <is>
          <t>引擎基本信息表{引擎ID、引擎名称、引擎IP、引擎端口、描述、版本|响应码、响应内容、响应头}</t>
        </is>
      </c>
      <c r="Y319" s="88" t="n"/>
      <c r="Z319" s="88" t="n"/>
      <c r="AA319" s="96" t="inlineStr">
        <is>
          <t>任务趋势分析表、通报对象表</t>
        </is>
      </c>
    </row>
    <row r="320" ht="21.6" customHeight="1">
      <c r="A320" s="69">
        <f>ROW()-1</f>
        <v/>
      </c>
      <c r="B320" s="53" t="n"/>
      <c r="C320" s="78" t="n">
        <v>2025</v>
      </c>
      <c r="D320" s="78" t="inlineStr">
        <is>
          <t>张明峰</t>
        </is>
      </c>
      <c r="E320" s="53" t="n"/>
      <c r="F320" s="53" t="n"/>
      <c r="G320" s="53" t="n"/>
      <c r="H320" s="81" t="inlineStr">
        <is>
          <t>引擎在线同步插件</t>
        </is>
      </c>
      <c r="I320" s="76" t="inlineStr">
        <is>
          <t>EI</t>
        </is>
      </c>
      <c r="J320" s="108" t="n"/>
      <c r="K320" s="108" t="n"/>
      <c r="L320" s="83">
        <f>IF(OR(X320="估算法",X320="算法类",X320="无法识别"),"",IF(V320="",IF(OR(I320="EI",I320="EO",I320="EQ"),0,""),LEN(V320)-LEN(SUBSTITUTE(V320,"、",""))+1))</f>
        <v/>
      </c>
      <c r="M320" s="83">
        <f>IF(OR(X320="估算法",X320="算法类",X320="无法识别"),"",IF(W320="",IF(OR(I320="ILF",I320="EIF"),0,""),LEN(W320)-LEN(SUBSTITUTE(W320,"、",""))+1))</f>
        <v/>
      </c>
      <c r="N320" s="83">
        <f>IF(OR(X320="估算法",X320="算法类",X320="无法识别"),"",IF(X320="",IF(OR(I320="ILF",I320="EIF",I320="EI",I320="EO",I320="EQ"),0,""),LEN(X320)-LEN(SUBSTITUTE(SUBSTITUTE(SUBSTITUTE(SUBSTITUTE(SUBSTITUTE(X320,"|}","--"),"{|","--"),CHAR(10),""),"、",""),"|",""))+IF(AND(OR(I320="EI",I320="EO",I320="EQ"),$AD$1="NESMA"),2,1)))</f>
        <v/>
      </c>
      <c r="O320" s="84">
        <f>IF(I320="EI",IF(OR(X320="估算法",X320="算法类"),"中",IF(X320="无法识别","低",IF(L320&lt;2,IF(N320&lt;16,"低","中"),IF(L320&lt;3,IF(N320&lt;5,"低",IF(N320&lt;16,"中","高")),IF(N320&lt;5,"中","高"))))),IF(OR(I320="EO",I320="EQ"),IF(OR(X320="估算法",X320="算法类"),"中",IF(X320="无法识别","低",IF(L320&lt;2,IF(N320&lt;20,"低","中"),IF(L320&lt;4,IF(N320&lt;6,"低",IF(N320&lt;20,"中","高")),IF(N320&lt;6,"中","高"))))),IF(OR(I320="ILF",I320="EIF"),IF(OR(X320="估算法",X320="算法类",X320="无法识别"),"低",IF(M320&lt;2,IF(N320&lt;51,"低","中"),IF(M320&lt;6,IF(N320&lt;20,"低",IF(N320&lt;51,"中","高")),IF(N320&lt;20,"中","高")))),"不计算")))</f>
        <v/>
      </c>
      <c r="P320" s="142">
        <f>IFERROR(IF(I320="EI",IF(O320="低",3,IF(O320="中",4,6)),IF(I320="EO",IF(O320="低",4,IF(O320="中",5,7)),IF(I320="EQ",IF(O320="低",3,IF(O320="中",4,6)),IF(I320="ILF",IF(O320="低",7,IF(O320="中",10,15)),IF(I320="EIF",IF(O320="低",5,IF(O320="中",7,10)),"不计算")))))*Q320,"不计算")</f>
        <v/>
      </c>
      <c r="Q320" s="142" t="n">
        <v>1</v>
      </c>
      <c r="R320" s="143">
        <f>调整因子!$F$13</f>
        <v/>
      </c>
      <c r="S320" s="70" t="n">
        <v>1</v>
      </c>
      <c r="T320" s="144">
        <f>IFERROR(P320*R320,0)</f>
        <v/>
      </c>
      <c r="U320" s="144">
        <f>T320*S320</f>
        <v/>
      </c>
      <c r="V320" s="88" t="inlineStr">
        <is>
          <t>引擎基本信息表</t>
        </is>
      </c>
      <c r="W320" s="89" t="n"/>
      <c r="X320" s="88" t="inlineStr">
        <is>
          <t>引擎基本信息表{引擎ID、引擎名称、引擎IP、引擎端口、描述、版本|响应码、响应内容、响应头}</t>
        </is>
      </c>
      <c r="Y320" s="88" t="n"/>
      <c r="Z320" s="88" t="n"/>
      <c r="AA320" s="96" t="inlineStr">
        <is>
          <t>考核指标配置表、任务统计数据表</t>
        </is>
      </c>
    </row>
    <row r="321">
      <c r="A321" s="69">
        <f>ROW()-1</f>
        <v/>
      </c>
      <c r="B321" s="53" t="n"/>
      <c r="C321" s="78" t="n">
        <v>2025</v>
      </c>
      <c r="D321" s="78" t="inlineStr">
        <is>
          <t>张明峰</t>
        </is>
      </c>
      <c r="E321" s="53" t="n"/>
      <c r="F321" s="53" t="n"/>
      <c r="G321" s="53" t="n"/>
      <c r="H321" s="81" t="inlineStr">
        <is>
          <t>查看引擎插件导入记录</t>
        </is>
      </c>
      <c r="I321" s="76" t="inlineStr">
        <is>
          <t>EQ</t>
        </is>
      </c>
      <c r="J321" s="108" t="n"/>
      <c r="K321" s="108" t="n"/>
      <c r="L321" s="83">
        <f>IF(OR(X321="估算法",X321="算法类",X321="无法识别"),"",IF(V321="",IF(OR(I321="EI",I321="EO",I321="EQ"),0,""),LEN(V321)-LEN(SUBSTITUTE(V321,"、",""))+1))</f>
        <v/>
      </c>
      <c r="M321" s="83">
        <f>IF(OR(X321="估算法",X321="算法类",X321="无法识别"),"",IF(W321="",IF(OR(I321="ILF",I321="EIF"),0,""),LEN(W321)-LEN(SUBSTITUTE(W321,"、",""))+1))</f>
        <v/>
      </c>
      <c r="N321" s="83">
        <f>IF(OR(X321="估算法",X321="算法类",X321="无法识别"),"",IF(X321="",IF(OR(I321="ILF",I321="EIF",I321="EI",I321="EO",I321="EQ"),0,""),LEN(X321)-LEN(SUBSTITUTE(SUBSTITUTE(SUBSTITUTE(SUBSTITUTE(SUBSTITUTE(X321,"|}","--"),"{|","--"),CHAR(10),""),"、",""),"|",""))+IF(AND(OR(I321="EI",I321="EO",I321="EQ"),$AD$1="NESMA"),2,1)))</f>
        <v/>
      </c>
      <c r="O321" s="84">
        <f>IF(I321="EI",IF(OR(X321="估算法",X321="算法类"),"中",IF(X321="无法识别","低",IF(L321&lt;2,IF(N321&lt;16,"低","中"),IF(L321&lt;3,IF(N321&lt;5,"低",IF(N321&lt;16,"中","高")),IF(N321&lt;5,"中","高"))))),IF(OR(I321="EO",I321="EQ"),IF(OR(X321="估算法",X321="算法类"),"中",IF(X321="无法识别","低",IF(L321&lt;2,IF(N321&lt;20,"低","中"),IF(L321&lt;4,IF(N321&lt;6,"低",IF(N321&lt;20,"中","高")),IF(N321&lt;6,"中","高"))))),IF(OR(I321="ILF",I321="EIF"),IF(OR(X321="估算法",X321="算法类",X321="无法识别"),"低",IF(M321&lt;2,IF(N321&lt;51,"低","中"),IF(M321&lt;6,IF(N321&lt;20,"低",IF(N321&lt;51,"中","高")),IF(N321&lt;20,"中","高")))),"不计算")))</f>
        <v/>
      </c>
      <c r="P321" s="142">
        <f>IFERROR(IF(I321="EI",IF(O321="低",3,IF(O321="中",4,6)),IF(I321="EO",IF(O321="低",4,IF(O321="中",5,7)),IF(I321="EQ",IF(O321="低",3,IF(O321="中",4,6)),IF(I321="ILF",IF(O321="低",7,IF(O321="中",10,15)),IF(I321="EIF",IF(O321="低",5,IF(O321="中",7,10)),"不计算")))))*Q321,"不计算")</f>
        <v/>
      </c>
      <c r="Q321" s="142" t="n">
        <v>1</v>
      </c>
      <c r="R321" s="143">
        <f>调整因子!$F$13</f>
        <v/>
      </c>
      <c r="S321" s="70" t="n">
        <v>1</v>
      </c>
      <c r="T321" s="144">
        <f>IFERROR(P321*R321,0)</f>
        <v/>
      </c>
      <c r="U321" s="144">
        <f>T321*S321</f>
        <v/>
      </c>
      <c r="V321" s="88" t="inlineStr">
        <is>
          <t>导入记录表</t>
        </is>
      </c>
      <c r="W321" s="89" t="n"/>
      <c r="X321" s="88" t="inlineStr">
        <is>
          <t>导入记录表{记录ID、导入文件路径、导入时间、导入人}</t>
        </is>
      </c>
      <c r="Y321" s="88" t="n"/>
      <c r="Z321" s="88" t="n"/>
      <c r="AA321" s="96" t="inlineStr">
        <is>
          <t>修复步骤表</t>
        </is>
      </c>
    </row>
    <row r="322">
      <c r="A322" s="69">
        <f>ROW()-1</f>
        <v/>
      </c>
      <c r="B322" s="53" t="n"/>
      <c r="C322" s="78" t="n">
        <v>2025</v>
      </c>
      <c r="D322" s="78" t="inlineStr">
        <is>
          <t>张明峰</t>
        </is>
      </c>
      <c r="E322" s="53" t="n"/>
      <c r="F322" s="53" t="n"/>
      <c r="G322" s="53" t="n"/>
      <c r="H322" s="81" t="inlineStr">
        <is>
          <t>查看引擎插件同步记录</t>
        </is>
      </c>
      <c r="I322" s="76" t="inlineStr">
        <is>
          <t>EQ</t>
        </is>
      </c>
      <c r="J322" s="108" t="n"/>
      <c r="K322" s="108" t="n"/>
      <c r="L322" s="83">
        <f>IF(OR(X322="估算法",X322="算法类",X322="无法识别"),"",IF(V322="",IF(OR(I322="EI",I322="EO",I322="EQ"),0,""),LEN(V322)-LEN(SUBSTITUTE(V322,"、",""))+1))</f>
        <v/>
      </c>
      <c r="M322" s="83">
        <f>IF(OR(X322="估算法",X322="算法类",X322="无法识别"),"",IF(W322="",IF(OR(I322="ILF",I322="EIF"),0,""),LEN(W322)-LEN(SUBSTITUTE(W322,"、",""))+1))</f>
        <v/>
      </c>
      <c r="N322" s="83">
        <f>IF(OR(X322="估算法",X322="算法类",X322="无法识别"),"",IF(X322="",IF(OR(I322="ILF",I322="EIF",I322="EI",I322="EO",I322="EQ"),0,""),LEN(X322)-LEN(SUBSTITUTE(SUBSTITUTE(SUBSTITUTE(SUBSTITUTE(SUBSTITUTE(X322,"|}","--"),"{|","--"),CHAR(10),""),"、",""),"|",""))+IF(AND(OR(I322="EI",I322="EO",I322="EQ"),$AD$1="NESMA"),2,1)))</f>
        <v/>
      </c>
      <c r="O322" s="84">
        <f>IF(I322="EI",IF(OR(X322="估算法",X322="算法类"),"中",IF(X322="无法识别","低",IF(L322&lt;2,IF(N322&lt;16,"低","中"),IF(L322&lt;3,IF(N322&lt;5,"低",IF(N322&lt;16,"中","高")),IF(N322&lt;5,"中","高"))))),IF(OR(I322="EO",I322="EQ"),IF(OR(X322="估算法",X322="算法类"),"中",IF(X322="无法识别","低",IF(L322&lt;2,IF(N322&lt;20,"低","中"),IF(L322&lt;4,IF(N322&lt;6,"低",IF(N322&lt;20,"中","高")),IF(N322&lt;6,"中","高"))))),IF(OR(I322="ILF",I322="EIF"),IF(OR(X322="估算法",X322="算法类",X322="无法识别"),"低",IF(M322&lt;2,IF(N322&lt;51,"低","中"),IF(M322&lt;6,IF(N322&lt;20,"低",IF(N322&lt;51,"中","高")),IF(N322&lt;20,"中","高")))),"不计算")))</f>
        <v/>
      </c>
      <c r="P322" s="142">
        <f>IFERROR(IF(I322="EI",IF(O322="低",3,IF(O322="中",4,6)),IF(I322="EO",IF(O322="低",4,IF(O322="中",5,7)),IF(I322="EQ",IF(O322="低",3,IF(O322="中",4,6)),IF(I322="ILF",IF(O322="低",7,IF(O322="中",10,15)),IF(I322="EIF",IF(O322="低",5,IF(O322="中",7,10)),"不计算")))))*Q322,"不计算")</f>
        <v/>
      </c>
      <c r="Q322" s="142" t="n">
        <v>0.333333333333333</v>
      </c>
      <c r="R322" s="143">
        <f>调整因子!$F$13</f>
        <v/>
      </c>
      <c r="S322" s="76" t="n">
        <v>1</v>
      </c>
      <c r="T322" s="144">
        <f>IFERROR(P322*R322,0)</f>
        <v/>
      </c>
      <c r="U322" s="144">
        <f>T322*S322</f>
        <v/>
      </c>
      <c r="V322" s="88" t="inlineStr">
        <is>
          <t>同步记录表</t>
        </is>
      </c>
      <c r="W322" s="89" t="n"/>
      <c r="X322" s="88" t="inlineStr">
        <is>
          <t>同步记录表{记录ID、同步类型、同步时间、同步状态}</t>
        </is>
      </c>
      <c r="Y322" s="88" t="n"/>
      <c r="Z322" s="88" t="n"/>
      <c r="AA322" s="96" t="inlineStr">
        <is>
          <t>推送规则表</t>
        </is>
      </c>
    </row>
    <row r="323">
      <c r="A323" s="69">
        <f>ROW()-1</f>
        <v/>
      </c>
      <c r="B323" s="53" t="n"/>
      <c r="C323" s="78" t="n">
        <v>2025</v>
      </c>
      <c r="D323" s="78" t="inlineStr">
        <is>
          <t>张明峰</t>
        </is>
      </c>
      <c r="E323" s="53" t="n"/>
      <c r="F323" s="53" t="n"/>
      <c r="G323" s="53" t="n"/>
      <c r="H323" s="81" t="inlineStr">
        <is>
          <t>插件组表</t>
        </is>
      </c>
      <c r="I323" s="76" t="inlineStr">
        <is>
          <t>ILF</t>
        </is>
      </c>
      <c r="J323" s="108" t="n"/>
      <c r="K323" s="108" t="n"/>
      <c r="L323" s="83">
        <f>IF(OR(X323="估算法",X323="算法类",X323="无法识别"),"",IF(V323="",IF(OR(I323="EI",I323="EO",I323="EQ"),0,""),LEN(V323)-LEN(SUBSTITUTE(V323,"、",""))+1))</f>
        <v/>
      </c>
      <c r="M323" s="83">
        <f>IF(OR(X323="估算法",X323="算法类",X323="无法识别"),"",IF(W323="",IF(OR(I323="ILF",I323="EIF"),0,""),LEN(W323)-LEN(SUBSTITUTE(W323,"、",""))+1))</f>
        <v/>
      </c>
      <c r="N323" s="83">
        <f>IF(OR(X323="估算法",X323="算法类",X323="无法识别"),"",IF(X323="",IF(OR(I323="ILF",I323="EIF",I323="EI",I323="EO",I323="EQ"),0,""),LEN(X323)-LEN(SUBSTITUTE(SUBSTITUTE(SUBSTITUTE(SUBSTITUTE(SUBSTITUTE(X323,"|}","--"),"{|","--"),CHAR(10),""),"、",""),"|",""))+IF(AND(OR(I323="EI",I323="EO",I323="EQ"),$AD$1="NESMA"),2,1)))</f>
        <v/>
      </c>
      <c r="O323" s="84">
        <f>IF(I323="EI",IF(OR(X323="估算法",X323="算法类"),"中",IF(X323="无法识别","低",IF(L323&lt;2,IF(N323&lt;16,"低","中"),IF(L323&lt;3,IF(N323&lt;5,"低",IF(N323&lt;16,"中","高")),IF(N323&lt;5,"中","高"))))),IF(OR(I323="EO",I323="EQ"),IF(OR(X323="估算法",X323="算法类"),"中",IF(X323="无法识别","低",IF(L323&lt;2,IF(N323&lt;20,"低","中"),IF(L323&lt;4,IF(N323&lt;6,"低",IF(N323&lt;20,"中","高")),IF(N323&lt;6,"中","高"))))),IF(OR(I323="ILF",I323="EIF"),IF(OR(X323="估算法",X323="算法类",X323="无法识别"),"低",IF(M323&lt;2,IF(N323&lt;51,"低","中"),IF(M323&lt;6,IF(N323&lt;20,"低",IF(N323&lt;51,"中","高")),IF(N323&lt;20,"中","高")))),"不计算")))</f>
        <v/>
      </c>
      <c r="P323" s="142">
        <f>IFERROR(IF(I323="EI",IF(O323="低",3,IF(O323="中",4,6)),IF(I323="EO",IF(O323="低",4,IF(O323="中",5,7)),IF(I323="EQ",IF(O323="低",3,IF(O323="中",4,6)),IF(I323="ILF",IF(O323="低",7,IF(O323="中",10,15)),IF(I323="EIF",IF(O323="低",5,IF(O323="中",7,10)),"不计算")))))*Q323,"不计算")</f>
        <v/>
      </c>
      <c r="Q323" s="142" t="n">
        <v>1</v>
      </c>
      <c r="R323" s="143">
        <f>调整因子!$F$13</f>
        <v/>
      </c>
      <c r="S323" s="70" t="n">
        <v>1</v>
      </c>
      <c r="T323" s="144">
        <f>IFERROR(P323*R323,0)</f>
        <v/>
      </c>
      <c r="U323" s="144">
        <f>T323*S323</f>
        <v/>
      </c>
      <c r="V323" s="89" t="n"/>
      <c r="W323" s="88" t="inlineStr">
        <is>
          <t>插件组表</t>
        </is>
      </c>
      <c r="X323" s="88" t="inlineStr">
        <is>
          <t>插件组表{组ID、组名称、组编码、描述|响应码、响应内容、响应头}</t>
        </is>
      </c>
      <c r="Y323" s="88">
        <f>IF(COUNTIFS(V:V,"*"&amp;H323&amp;"*")&gt;0,"存在","不存在")</f>
        <v/>
      </c>
      <c r="Z323" s="88">
        <f>IF(COUNTIFS(AA:AA,"*"&amp;H323&amp;"*")&gt;0,"存在","不存在")</f>
        <v/>
      </c>
      <c r="AA323" s="96" t="inlineStr">
        <is>
          <t>推送规则表、提醒规则表</t>
        </is>
      </c>
    </row>
    <row r="324" ht="21.6" customHeight="1">
      <c r="A324" s="69">
        <f>ROW()-1</f>
        <v/>
      </c>
      <c r="B324" s="53" t="n"/>
      <c r="C324" s="78" t="n">
        <v>2025</v>
      </c>
      <c r="D324" s="78" t="inlineStr">
        <is>
          <t>张明峰</t>
        </is>
      </c>
      <c r="E324" s="53" t="n"/>
      <c r="F324" s="53" t="n"/>
      <c r="G324" s="53" t="n"/>
      <c r="H324" s="81" t="inlineStr">
        <is>
          <t>引擎基本信息表</t>
        </is>
      </c>
      <c r="I324" s="76" t="inlineStr">
        <is>
          <t>ILF</t>
        </is>
      </c>
      <c r="J324" s="108" t="n"/>
      <c r="K324" s="108" t="n"/>
      <c r="L324" s="83">
        <f>IF(OR(X324="估算法",X324="算法类",X324="无法识别"),"",IF(V324="",IF(OR(I324="EI",I324="EO",I324="EQ"),0,""),LEN(V324)-LEN(SUBSTITUTE(V324,"、",""))+1))</f>
        <v/>
      </c>
      <c r="M324" s="83">
        <f>IF(OR(X324="估算法",X324="算法类",X324="无法识别"),"",IF(W324="",IF(OR(I324="ILF",I324="EIF"),0,""),LEN(W324)-LEN(SUBSTITUTE(W324,"、",""))+1))</f>
        <v/>
      </c>
      <c r="N324" s="83">
        <f>IF(OR(X324="估算法",X324="算法类",X324="无法识别"),"",IF(X324="",IF(OR(I324="ILF",I324="EIF",I324="EI",I324="EO",I324="EQ"),0,""),LEN(X324)-LEN(SUBSTITUTE(SUBSTITUTE(SUBSTITUTE(SUBSTITUTE(SUBSTITUTE(X324,"|}","--"),"{|","--"),CHAR(10),""),"、",""),"|",""))+IF(AND(OR(I324="EI",I324="EO",I324="EQ"),$AD$1="NESMA"),2,1)))</f>
        <v/>
      </c>
      <c r="O324" s="84">
        <f>IF(I324="EI",IF(OR(X324="估算法",X324="算法类"),"中",IF(X324="无法识别","低",IF(L324&lt;2,IF(N324&lt;16,"低","中"),IF(L324&lt;3,IF(N324&lt;5,"低",IF(N324&lt;16,"中","高")),IF(N324&lt;5,"中","高"))))),IF(OR(I324="EO",I324="EQ"),IF(OR(X324="估算法",X324="算法类"),"中",IF(X324="无法识别","低",IF(L324&lt;2,IF(N324&lt;20,"低","中"),IF(L324&lt;4,IF(N324&lt;6,"低",IF(N324&lt;20,"中","高")),IF(N324&lt;6,"中","高"))))),IF(OR(I324="ILF",I324="EIF"),IF(OR(X324="估算法",X324="算法类",X324="无法识别"),"低",IF(M324&lt;2,IF(N324&lt;51,"低","中"),IF(M324&lt;6,IF(N324&lt;20,"低",IF(N324&lt;51,"中","高")),IF(N324&lt;20,"中","高")))),"不计算")))</f>
        <v/>
      </c>
      <c r="P324" s="142">
        <f>IFERROR(IF(I324="EI",IF(O324="低",3,IF(O324="中",4,6)),IF(I324="EO",IF(O324="低",4,IF(O324="中",5,7)),IF(I324="EQ",IF(O324="低",3,IF(O324="中",4,6)),IF(I324="ILF",IF(O324="低",7,IF(O324="中",10,15)),IF(I324="EIF",IF(O324="低",5,IF(O324="中",7,10)),"不计算")))))*Q324,"不计算")</f>
        <v/>
      </c>
      <c r="Q324" s="142" t="n">
        <v>1</v>
      </c>
      <c r="R324" s="143">
        <f>调整因子!$F$13</f>
        <v/>
      </c>
      <c r="S324" s="70" t="n">
        <v>1</v>
      </c>
      <c r="T324" s="144">
        <f>IFERROR(P324*R324,0)</f>
        <v/>
      </c>
      <c r="U324" s="144">
        <f>T324*S324</f>
        <v/>
      </c>
      <c r="V324" s="89" t="n"/>
      <c r="W324" s="88" t="inlineStr">
        <is>
          <t>引擎基本信息表</t>
        </is>
      </c>
      <c r="X324" s="88" t="inlineStr">
        <is>
          <t>引擎基本信息表{引擎ID、引擎名称、引擎IP、引擎端口、描述、版本|响应码、响应内容、响应头}</t>
        </is>
      </c>
      <c r="Y324" s="88">
        <f>IF(COUNTIFS(V:V,"*"&amp;H324&amp;"*")&gt;0,"存在","不存在")</f>
        <v/>
      </c>
      <c r="Z324" s="88">
        <f>IF(COUNTIFS(AA:AA,"*"&amp;H324&amp;"*")&gt;0,"存在","不存在")</f>
        <v/>
      </c>
      <c r="AA324" s="96" t="inlineStr">
        <is>
          <t>推送规则表</t>
        </is>
      </c>
    </row>
    <row r="325">
      <c r="A325" s="69">
        <f>ROW()-1</f>
        <v/>
      </c>
      <c r="B325" s="53" t="n"/>
      <c r="C325" s="78" t="n">
        <v>2025</v>
      </c>
      <c r="D325" s="78" t="inlineStr">
        <is>
          <t>张明峰</t>
        </is>
      </c>
      <c r="E325" s="53" t="n"/>
      <c r="F325" s="53" t="n"/>
      <c r="G325" s="53" t="n"/>
      <c r="H325" s="81" t="inlineStr">
        <is>
          <t>引擎版本管理表</t>
        </is>
      </c>
      <c r="I325" s="76" t="inlineStr">
        <is>
          <t>ILF</t>
        </is>
      </c>
      <c r="J325" s="108" t="n"/>
      <c r="K325" s="108" t="n"/>
      <c r="L325" s="83">
        <f>IF(OR(X325="估算法",X325="算法类",X325="无法识别"),"",IF(V325="",IF(OR(I325="EI",I325="EO",I325="EQ"),0,""),LEN(V325)-LEN(SUBSTITUTE(V325,"、",""))+1))</f>
        <v/>
      </c>
      <c r="M325" s="83">
        <f>IF(OR(X325="估算法",X325="算法类",X325="无法识别"),"",IF(W325="",IF(OR(I325="ILF",I325="EIF"),0,""),LEN(W325)-LEN(SUBSTITUTE(W325,"、",""))+1))</f>
        <v/>
      </c>
      <c r="N325" s="83">
        <f>IF(OR(X325="估算法",X325="算法类",X325="无法识别"),"",IF(X325="",IF(OR(I325="ILF",I325="EIF",I325="EI",I325="EO",I325="EQ"),0,""),LEN(X325)-LEN(SUBSTITUTE(SUBSTITUTE(SUBSTITUTE(SUBSTITUTE(SUBSTITUTE(X325,"|}","--"),"{|","--"),CHAR(10),""),"、",""),"|",""))+IF(AND(OR(I325="EI",I325="EO",I325="EQ"),$AD$1="NESMA"),2,1)))</f>
        <v/>
      </c>
      <c r="O325" s="84">
        <f>IF(I325="EI",IF(OR(X325="估算法",X325="算法类"),"中",IF(X325="无法识别","低",IF(L325&lt;2,IF(N325&lt;16,"低","中"),IF(L325&lt;3,IF(N325&lt;5,"低",IF(N325&lt;16,"中","高")),IF(N325&lt;5,"中","高"))))),IF(OR(I325="EO",I325="EQ"),IF(OR(X325="估算法",X325="算法类"),"中",IF(X325="无法识别","低",IF(L325&lt;2,IF(N325&lt;20,"低","中"),IF(L325&lt;4,IF(N325&lt;6,"低",IF(N325&lt;20,"中","高")),IF(N325&lt;6,"中","高"))))),IF(OR(I325="ILF",I325="EIF"),IF(OR(X325="估算法",X325="算法类",X325="无法识别"),"低",IF(M325&lt;2,IF(N325&lt;51,"低","中"),IF(M325&lt;6,IF(N325&lt;20,"低",IF(N325&lt;51,"中","高")),IF(N325&lt;20,"中","高")))),"不计算")))</f>
        <v/>
      </c>
      <c r="P325" s="142">
        <f>IFERROR(IF(I325="EI",IF(O325="低",3,IF(O325="中",4,6)),IF(I325="EO",IF(O325="低",4,IF(O325="中",5,7)),IF(I325="EQ",IF(O325="低",3,IF(O325="中",4,6)),IF(I325="ILF",IF(O325="低",7,IF(O325="中",10,15)),IF(I325="EIF",IF(O325="低",5,IF(O325="中",7,10)),"不计算")))))*Q325,"不计算")</f>
        <v/>
      </c>
      <c r="Q325" s="142" t="n">
        <v>1</v>
      </c>
      <c r="R325" s="143">
        <f>调整因子!$F$13</f>
        <v/>
      </c>
      <c r="S325" s="76" t="n">
        <v>1</v>
      </c>
      <c r="T325" s="144">
        <f>IFERROR(P325*R325,0)</f>
        <v/>
      </c>
      <c r="U325" s="144">
        <f>T325*S325</f>
        <v/>
      </c>
      <c r="V325" s="89" t="n"/>
      <c r="W325" s="88" t="inlineStr">
        <is>
          <t>引擎版本管理表</t>
        </is>
      </c>
      <c r="X325" s="88" t="inlineStr">
        <is>
          <t>引擎版本管理表{版本ID、引擎ID、版本号、发布说明、发布时间}</t>
        </is>
      </c>
      <c r="Y325" s="88">
        <f>IF(COUNTIFS(V:V,"*"&amp;H325&amp;"*")&gt;0,"存在","不存在")</f>
        <v/>
      </c>
      <c r="Z325" s="88">
        <f>IF(COUNTIFS(AA:AA,"*"&amp;H325&amp;"*")&gt;0,"存在","不存在")</f>
        <v/>
      </c>
      <c r="AA325" s="96" t="inlineStr">
        <is>
          <t>数据清洗任务表、资产同步任务表</t>
        </is>
      </c>
    </row>
    <row r="326">
      <c r="A326" s="69">
        <f>ROW()-1</f>
        <v/>
      </c>
      <c r="B326" s="53" t="n"/>
      <c r="C326" s="78" t="n">
        <v>2025</v>
      </c>
      <c r="D326" s="78" t="inlineStr">
        <is>
          <t>张明峰</t>
        </is>
      </c>
      <c r="E326" s="53" t="n"/>
      <c r="F326" s="53" t="n"/>
      <c r="G326" s="53" t="n"/>
      <c r="H326" s="81" t="inlineStr">
        <is>
          <t>插件部署状态表</t>
        </is>
      </c>
      <c r="I326" s="76" t="inlineStr">
        <is>
          <t>ILF</t>
        </is>
      </c>
      <c r="J326" s="98" t="inlineStr">
        <is>
          <t>添加引用「添加引擎服务器、修改引擎服务器、删除引擎服务器」</t>
        </is>
      </c>
      <c r="K326" s="108" t="inlineStr">
        <is>
          <t>数据库表未被本系统所使用</t>
        </is>
      </c>
      <c r="L326" s="83">
        <f>IF(OR(X326="估算法",X326="算法类",X326="无法识别"),"",IF(V326="",IF(OR(I326="EI",I326="EO",I326="EQ"),0,""),LEN(V326)-LEN(SUBSTITUTE(V326,"、",""))+1))</f>
        <v/>
      </c>
      <c r="M326" s="83">
        <f>IF(OR(X326="估算法",X326="算法类",X326="无法识别"),"",IF(W326="",IF(OR(I326="ILF",I326="EIF"),0,""),LEN(W326)-LEN(SUBSTITUTE(W326,"、",""))+1))</f>
        <v/>
      </c>
      <c r="N326" s="83">
        <f>IF(OR(X326="估算法",X326="算法类",X326="无法识别"),"",IF(X326="",IF(OR(I326="ILF",I326="EIF",I326="EI",I326="EO",I326="EQ"),0,""),LEN(X326)-LEN(SUBSTITUTE(SUBSTITUTE(SUBSTITUTE(SUBSTITUTE(SUBSTITUTE(X326,"|}","--"),"{|","--"),CHAR(10),""),"、",""),"|",""))+IF(AND(OR(I326="EI",I326="EO",I326="EQ"),$AD$1="NESMA"),2,1)))</f>
        <v/>
      </c>
      <c r="O326" s="84">
        <f>IF(I326="EI",IF(OR(X326="估算法",X326="算法类"),"中",IF(X326="无法识别","低",IF(L326&lt;2,IF(N326&lt;16,"低","中"),IF(L326&lt;3,IF(N326&lt;5,"低",IF(N326&lt;16,"中","高")),IF(N326&lt;5,"中","高"))))),IF(OR(I326="EO",I326="EQ"),IF(OR(X326="估算法",X326="算法类"),"中",IF(X326="无法识别","低",IF(L326&lt;2,IF(N326&lt;20,"低","中"),IF(L326&lt;4,IF(N326&lt;6,"低",IF(N326&lt;20,"中","高")),IF(N326&lt;6,"中","高"))))),IF(OR(I326="ILF",I326="EIF"),IF(OR(X326="估算法",X326="算法类",X326="无法识别"),"低",IF(M326&lt;2,IF(N326&lt;51,"低","中"),IF(M326&lt;6,IF(N326&lt;20,"低",IF(N326&lt;51,"中","高")),IF(N326&lt;20,"中","高")))),"不计算")))</f>
        <v/>
      </c>
      <c r="P326" s="142">
        <f>IFERROR(IF(I326="EI",IF(O326="低",3,IF(O326="中",4,6)),IF(I326="EO",IF(O326="低",4,IF(O326="中",5,7)),IF(I326="EQ",IF(O326="低",3,IF(O326="中",4,6)),IF(I326="ILF",IF(O326="低",7,IF(O326="中",10,15)),IF(I326="EIF",IF(O326="低",5,IF(O326="中",7,10)),"不计算")))))*Q326,"不计算")</f>
        <v/>
      </c>
      <c r="Q326" s="142" t="n">
        <v>1</v>
      </c>
      <c r="R326" s="143">
        <f>调整因子!$F$13</f>
        <v/>
      </c>
      <c r="S326" s="70" t="n">
        <v>1</v>
      </c>
      <c r="T326" s="144">
        <f>IFERROR(P326*R326,0)</f>
        <v/>
      </c>
      <c r="U326" s="144">
        <f>T326*S326</f>
        <v/>
      </c>
      <c r="V326" s="89" t="n"/>
      <c r="W326" s="88" t="inlineStr">
        <is>
          <t>插件部署状态表</t>
        </is>
      </c>
      <c r="X326" s="88" t="inlineStr">
        <is>
          <t>插件部署状态表{状态ID、插件ID、环境、部署状态、部署时间}</t>
        </is>
      </c>
      <c r="Y326" s="88">
        <f>IF(COUNTIFS(V:V,"*"&amp;H326&amp;"*")&gt;0,"存在","不存在")</f>
        <v/>
      </c>
      <c r="Z326" s="88">
        <f>IF(COUNTIFS(AA:AA,"*"&amp;H326&amp;"*")&gt;0,"存在","不存在")</f>
        <v/>
      </c>
      <c r="AA326" s="96" t="inlineStr">
        <is>
          <t>数据清洗任务表</t>
        </is>
      </c>
    </row>
    <row r="327">
      <c r="A327" s="69">
        <f>ROW()-1</f>
        <v/>
      </c>
      <c r="B327" s="53" t="n"/>
      <c r="C327" s="78" t="n">
        <v>2025</v>
      </c>
      <c r="D327" s="78" t="inlineStr">
        <is>
          <t>张明峰</t>
        </is>
      </c>
      <c r="E327" s="53" t="n"/>
      <c r="F327" s="53" t="n"/>
      <c r="G327" s="53" t="n"/>
      <c r="H327" s="81" t="inlineStr">
        <is>
          <t>插件执行记录表</t>
        </is>
      </c>
      <c r="I327" s="76" t="inlineStr">
        <is>
          <t>ILF</t>
        </is>
      </c>
      <c r="J327" s="98" t="inlineStr">
        <is>
          <t>添加引用「添加引擎服务器、修改引擎服务器、删除引擎服务器」</t>
        </is>
      </c>
      <c r="K327" s="108" t="inlineStr">
        <is>
          <t>数据库表未被本系统所使用</t>
        </is>
      </c>
      <c r="L327" s="83">
        <f>IF(OR(X327="估算法",X327="算法类",X327="无法识别"),"",IF(V327="",IF(OR(I327="EI",I327="EO",I327="EQ"),0,""),LEN(V327)-LEN(SUBSTITUTE(V327,"、",""))+1))</f>
        <v/>
      </c>
      <c r="M327" s="83">
        <f>IF(OR(X327="估算法",X327="算法类",X327="无法识别"),"",IF(W327="",IF(OR(I327="ILF",I327="EIF"),0,""),LEN(W327)-LEN(SUBSTITUTE(W327,"、",""))+1))</f>
        <v/>
      </c>
      <c r="N327" s="83">
        <f>IF(OR(X327="估算法",X327="算法类",X327="无法识别"),"",IF(X327="",IF(OR(I327="ILF",I327="EIF",I327="EI",I327="EO",I327="EQ"),0,""),LEN(X327)-LEN(SUBSTITUTE(SUBSTITUTE(SUBSTITUTE(SUBSTITUTE(SUBSTITUTE(X327,"|}","--"),"{|","--"),CHAR(10),""),"、",""),"|",""))+IF(AND(OR(I327="EI",I327="EO",I327="EQ"),$AD$1="NESMA"),2,1)))</f>
        <v/>
      </c>
      <c r="O327" s="84">
        <f>IF(I327="EI",IF(OR(X327="估算法",X327="算法类"),"中",IF(X327="无法识别","低",IF(L327&lt;2,IF(N327&lt;16,"低","中"),IF(L327&lt;3,IF(N327&lt;5,"低",IF(N327&lt;16,"中","高")),IF(N327&lt;5,"中","高"))))),IF(OR(I327="EO",I327="EQ"),IF(OR(X327="估算法",X327="算法类"),"中",IF(X327="无法识别","低",IF(L327&lt;2,IF(N327&lt;20,"低","中"),IF(L327&lt;4,IF(N327&lt;6,"低",IF(N327&lt;20,"中","高")),IF(N327&lt;6,"中","高"))))),IF(OR(I327="ILF",I327="EIF"),IF(OR(X327="估算法",X327="算法类",X327="无法识别"),"低",IF(M327&lt;2,IF(N327&lt;51,"低","中"),IF(M327&lt;6,IF(N327&lt;20,"低",IF(N327&lt;51,"中","高")),IF(N327&lt;20,"中","高")))),"不计算")))</f>
        <v/>
      </c>
      <c r="P327" s="142">
        <f>IFERROR(IF(I327="EI",IF(O327="低",3,IF(O327="中",4,6)),IF(I327="EO",IF(O327="低",4,IF(O327="中",5,7)),IF(I327="EQ",IF(O327="低",3,IF(O327="中",4,6)),IF(I327="ILF",IF(O327="低",7,IF(O327="中",10,15)),IF(I327="EIF",IF(O327="低",5,IF(O327="中",7,10)),"不计算")))))*Q327,"不计算")</f>
        <v/>
      </c>
      <c r="Q327" s="142" t="n">
        <v>1</v>
      </c>
      <c r="R327" s="143">
        <f>调整因子!$F$13</f>
        <v/>
      </c>
      <c r="S327" s="70" t="n">
        <v>1</v>
      </c>
      <c r="T327" s="144">
        <f>IFERROR(P327*R327,0)</f>
        <v/>
      </c>
      <c r="U327" s="144">
        <f>T327*S327</f>
        <v/>
      </c>
      <c r="V327" s="89" t="n"/>
      <c r="W327" s="88" t="inlineStr">
        <is>
          <t>插件执行记录表</t>
        </is>
      </c>
      <c r="X327" s="88" t="inlineStr">
        <is>
          <t>插件执行记录表{记录ID、插件ID、开始时间、结束时间、结果、日志}</t>
        </is>
      </c>
      <c r="Y327" s="88">
        <f>IF(COUNTIFS(V:V,"*"&amp;H327&amp;"*")&gt;0,"存在","不存在")</f>
        <v/>
      </c>
      <c r="Z327" s="88">
        <f>IF(COUNTIFS(AA:AA,"*"&amp;H327&amp;"*")&gt;0,"存在","不存在")</f>
        <v/>
      </c>
      <c r="AA327" s="96" t="inlineStr">
        <is>
          <t>推送规则表、提醒规则表</t>
        </is>
      </c>
    </row>
    <row r="328">
      <c r="A328" s="69">
        <f>ROW()-1</f>
        <v/>
      </c>
      <c r="B328" s="53" t="n"/>
      <c r="C328" s="78" t="n">
        <v>2025</v>
      </c>
      <c r="D328" s="78" t="inlineStr">
        <is>
          <t>张明峰</t>
        </is>
      </c>
      <c r="E328" s="53" t="n"/>
      <c r="F328" s="53" t="n"/>
      <c r="G328" s="53" t="n"/>
      <c r="H328" s="81" t="inlineStr">
        <is>
          <t>安全资源注册请求参数表</t>
        </is>
      </c>
      <c r="I328" s="76" t="inlineStr">
        <is>
          <t>ILF</t>
        </is>
      </c>
      <c r="J328" s="98" t="inlineStr">
        <is>
          <t>添加引用「添加引擎服务器、修改引擎服务器、删除引擎服务器」</t>
        </is>
      </c>
      <c r="K328" s="108" t="inlineStr">
        <is>
          <t>数据库表未被本系统所使用</t>
        </is>
      </c>
      <c r="L328" s="83">
        <f>IF(OR(X328="估算法",X328="算法类",X328="无法识别"),"",IF(V328="",IF(OR(I328="EI",I328="EO",I328="EQ"),0,""),LEN(V328)-LEN(SUBSTITUTE(V328,"、",""))+1))</f>
        <v/>
      </c>
      <c r="M328" s="83">
        <f>IF(OR(X328="估算法",X328="算法类",X328="无法识别"),"",IF(W328="",IF(OR(I328="ILF",I328="EIF"),0,""),LEN(W328)-LEN(SUBSTITUTE(W328,"、",""))+1))</f>
        <v/>
      </c>
      <c r="N328" s="83">
        <f>IF(OR(X328="估算法",X328="算法类",X328="无法识别"),"",IF(X328="",IF(OR(I328="ILF",I328="EIF",I328="EI",I328="EO",I328="EQ"),0,""),LEN(X328)-LEN(SUBSTITUTE(SUBSTITUTE(SUBSTITUTE(SUBSTITUTE(SUBSTITUTE(X328,"|}","--"),"{|","--"),CHAR(10),""),"、",""),"|",""))+IF(AND(OR(I328="EI",I328="EO",I328="EQ"),$AD$1="NESMA"),2,1)))</f>
        <v/>
      </c>
      <c r="O328" s="84">
        <f>IF(I328="EI",IF(OR(X328="估算法",X328="算法类"),"中",IF(X328="无法识别","低",IF(L328&lt;2,IF(N328&lt;16,"低","中"),IF(L328&lt;3,IF(N328&lt;5,"低",IF(N328&lt;16,"中","高")),IF(N328&lt;5,"中","高"))))),IF(OR(I328="EO",I328="EQ"),IF(OR(X328="估算法",X328="算法类"),"中",IF(X328="无法识别","低",IF(L328&lt;2,IF(N328&lt;20,"低","中"),IF(L328&lt;4,IF(N328&lt;6,"低",IF(N328&lt;20,"中","高")),IF(N328&lt;6,"中","高"))))),IF(OR(I328="ILF",I328="EIF"),IF(OR(X328="估算法",X328="算法类",X328="无法识别"),"低",IF(M328&lt;2,IF(N328&lt;51,"低","中"),IF(M328&lt;6,IF(N328&lt;20,"低",IF(N328&lt;51,"中","高")),IF(N328&lt;20,"中","高")))),"不计算")))</f>
        <v/>
      </c>
      <c r="P328" s="142">
        <f>IFERROR(IF(I328="EI",IF(O328="低",3,IF(O328="中",4,6)),IF(I328="EO",IF(O328="低",4,IF(O328="中",5,7)),IF(I328="EQ",IF(O328="低",3,IF(O328="中",4,6)),IF(I328="ILF",IF(O328="低",7,IF(O328="中",10,15)),IF(I328="EIF",IF(O328="低",5,IF(O328="中",7,10)),"不计算")))))*Q328,"不计算")</f>
        <v/>
      </c>
      <c r="Q328" s="142" t="n">
        <v>1</v>
      </c>
      <c r="R328" s="143">
        <f>调整因子!$F$13</f>
        <v/>
      </c>
      <c r="S328" s="76" t="n">
        <v>1</v>
      </c>
      <c r="T328" s="144">
        <f>IFERROR(P328*R328,0)</f>
        <v/>
      </c>
      <c r="U328" s="144">
        <f>T328*S328</f>
        <v/>
      </c>
      <c r="V328" s="89" t="n"/>
      <c r="W328" s="88" t="inlineStr">
        <is>
          <t>安全资源注册请求参数表</t>
        </is>
      </c>
      <c r="X328" s="88" t="inlineStr">
        <is>
          <t>安全资源注册请求参数表{请求ID、插件ID、安全资源描述、IP范围}</t>
        </is>
      </c>
      <c r="Y328" s="88">
        <f>IF(COUNTIFS(V:V,"*"&amp;H328&amp;"*")&gt;0,"存在","不存在")</f>
        <v/>
      </c>
      <c r="Z328" s="88">
        <f>IF(COUNTIFS(AA:AA,"*"&amp;H328&amp;"*")&gt;0,"存在","不存在")</f>
        <v/>
      </c>
      <c r="AA328" s="96" t="inlineStr">
        <is>
          <t>推送规则表、提醒规则表</t>
        </is>
      </c>
    </row>
    <row r="329">
      <c r="A329" s="69">
        <f>ROW()-1</f>
        <v/>
      </c>
      <c r="B329" s="53" t="n"/>
      <c r="C329" s="78" t="n">
        <v>2025</v>
      </c>
      <c r="D329" s="78" t="inlineStr">
        <is>
          <t>张明峰</t>
        </is>
      </c>
      <c r="E329" s="53" t="n"/>
      <c r="F329" s="53" t="n"/>
      <c r="G329" s="53" t="n"/>
      <c r="H329" s="81" t="inlineStr">
        <is>
          <t>导入记录表</t>
        </is>
      </c>
      <c r="I329" s="76" t="n"/>
      <c r="J329" s="99" t="inlineStr">
        <is>
          <t>删除</t>
        </is>
      </c>
      <c r="K329" s="108" t="inlineStr">
        <is>
          <t>非ILF-流水</t>
        </is>
      </c>
      <c r="L329" s="83">
        <f>IF(OR(X329="估算法",X329="算法类",X329="无法识别"),"",IF(V329="",IF(OR(I329="EI",I329="EO",I329="EQ"),0,""),LEN(V329)-LEN(SUBSTITUTE(V329,"、",""))+1))</f>
        <v/>
      </c>
      <c r="M329" s="83">
        <f>IF(OR(X329="估算法",X329="算法类",X329="无法识别"),"",IF(W329="",IF(OR(I329="ILF",I329="EIF"),0,""),LEN(W329)-LEN(SUBSTITUTE(W329,"、",""))+1))</f>
        <v/>
      </c>
      <c r="N329" s="83">
        <f>IF(OR(X329="估算法",X329="算法类",X329="无法识别"),"",IF(X329="",IF(OR(I329="ILF",I329="EIF",I329="EI",I329="EO",I329="EQ"),0,""),LEN(X329)-LEN(SUBSTITUTE(SUBSTITUTE(SUBSTITUTE(SUBSTITUTE(SUBSTITUTE(X329,"|}","--"),"{|","--"),CHAR(10),""),"、",""),"|",""))+IF(AND(OR(I329="EI",I329="EO",I329="EQ"),$AD$1="NESMA"),2,1)))</f>
        <v/>
      </c>
      <c r="O329" s="84">
        <f>IF(I329="EI",IF(OR(X329="估算法",X329="算法类"),"中",IF(X329="无法识别","低",IF(L329&lt;2,IF(N329&lt;16,"低","中"),IF(L329&lt;3,IF(N329&lt;5,"低",IF(N329&lt;16,"中","高")),IF(N329&lt;5,"中","高"))))),IF(OR(I329="EO",I329="EQ"),IF(OR(X329="估算法",X329="算法类"),"中",IF(X329="无法识别","低",IF(L329&lt;2,IF(N329&lt;20,"低","中"),IF(L329&lt;4,IF(N329&lt;6,"低",IF(N329&lt;20,"中","高")),IF(N329&lt;6,"中","高"))))),IF(OR(I329="ILF",I329="EIF"),IF(OR(X329="估算法",X329="算法类",X329="无法识别"),"低",IF(M329&lt;2,IF(N329&lt;51,"低","中"),IF(M329&lt;6,IF(N329&lt;20,"低",IF(N329&lt;51,"中","高")),IF(N329&lt;20,"中","高")))),"不计算")))</f>
        <v/>
      </c>
      <c r="P329" s="142">
        <f>IFERROR(IF(I329="EI",IF(O329="低",3,IF(O329="中",4,6)),IF(I329="EO",IF(O329="低",4,IF(O329="中",5,7)),IF(I329="EQ",IF(O329="低",3,IF(O329="中",4,6)),IF(I329="ILF",IF(O329="低",7,IF(O329="中",10,15)),IF(I329="EIF",IF(O329="低",5,IF(O329="中",7,10)),"不计算")))))*Q329,"不计算")</f>
        <v/>
      </c>
      <c r="Q329" s="142" t="n">
        <v>1</v>
      </c>
      <c r="R329" s="143">
        <f>调整因子!$F$13</f>
        <v/>
      </c>
      <c r="S329" s="70" t="n">
        <v>1</v>
      </c>
      <c r="T329" s="144">
        <f>IFERROR(P329*R329,0)</f>
        <v/>
      </c>
      <c r="U329" s="144">
        <f>T329*S329</f>
        <v/>
      </c>
      <c r="V329" s="89" t="n"/>
      <c r="W329" s="88" t="inlineStr">
        <is>
          <t>导入记录表</t>
        </is>
      </c>
      <c r="X329" s="88" t="inlineStr">
        <is>
          <t>导入记录表{记录ID、导入文件路径、导入时间、导入人}</t>
        </is>
      </c>
      <c r="Y329" s="88">
        <f>IF(COUNTIFS(V:V,"*"&amp;H329&amp;"*")&gt;0,"存在","不存在")</f>
        <v/>
      </c>
      <c r="Z329" s="88">
        <f>IF(COUNTIFS(AA:AA,"*"&amp;H329&amp;"*")&gt;0,"存在","不存在")</f>
        <v/>
      </c>
      <c r="AA329" s="96" t="inlineStr">
        <is>
          <t>推送规则表</t>
        </is>
      </c>
    </row>
    <row r="330">
      <c r="A330" s="69">
        <f>ROW()-1</f>
        <v/>
      </c>
      <c r="B330" s="53" t="n"/>
      <c r="C330" s="78" t="n">
        <v>2025</v>
      </c>
      <c r="D330" s="78" t="inlineStr">
        <is>
          <t>张明峰</t>
        </is>
      </c>
      <c r="E330" s="53" t="n"/>
      <c r="F330" s="53" t="n"/>
      <c r="G330" s="54" t="n"/>
      <c r="H330" s="81" t="inlineStr">
        <is>
          <t>同步记录表</t>
        </is>
      </c>
      <c r="I330" s="76" t="n"/>
      <c r="J330" s="99" t="inlineStr">
        <is>
          <t>删除</t>
        </is>
      </c>
      <c r="K330" s="108" t="inlineStr">
        <is>
          <t>非ILF-流水</t>
        </is>
      </c>
      <c r="L330" s="83">
        <f>IF(OR(X330="估算法",X330="算法类",X330="无法识别"),"",IF(V330="",IF(OR(I330="EI",I330="EO",I330="EQ"),0,""),LEN(V330)-LEN(SUBSTITUTE(V330,"、",""))+1))</f>
        <v/>
      </c>
      <c r="M330" s="83">
        <f>IF(OR(X330="估算法",X330="算法类",X330="无法识别"),"",IF(W330="",IF(OR(I330="ILF",I330="EIF"),0,""),LEN(W330)-LEN(SUBSTITUTE(W330,"、",""))+1))</f>
        <v/>
      </c>
      <c r="N330" s="83">
        <f>IF(OR(X330="估算法",X330="算法类",X330="无法识别"),"",IF(X330="",IF(OR(I330="ILF",I330="EIF",I330="EI",I330="EO",I330="EQ"),0,""),LEN(X330)-LEN(SUBSTITUTE(SUBSTITUTE(SUBSTITUTE(SUBSTITUTE(SUBSTITUTE(X330,"|}","--"),"{|","--"),CHAR(10),""),"、",""),"|",""))+IF(AND(OR(I330="EI",I330="EO",I330="EQ"),$AD$1="NESMA"),2,1)))</f>
        <v/>
      </c>
      <c r="O330" s="84">
        <f>IF(I330="EI",IF(OR(X330="估算法",X330="算法类"),"中",IF(X330="无法识别","低",IF(L330&lt;2,IF(N330&lt;16,"低","中"),IF(L330&lt;3,IF(N330&lt;5,"低",IF(N330&lt;16,"中","高")),IF(N330&lt;5,"中","高"))))),IF(OR(I330="EO",I330="EQ"),IF(OR(X330="估算法",X330="算法类"),"中",IF(X330="无法识别","低",IF(L330&lt;2,IF(N330&lt;20,"低","中"),IF(L330&lt;4,IF(N330&lt;6,"低",IF(N330&lt;20,"中","高")),IF(N330&lt;6,"中","高"))))),IF(OR(I330="ILF",I330="EIF"),IF(OR(X330="估算法",X330="算法类",X330="无法识别"),"低",IF(M330&lt;2,IF(N330&lt;51,"低","中"),IF(M330&lt;6,IF(N330&lt;20,"低",IF(N330&lt;51,"中","高")),IF(N330&lt;20,"中","高")))),"不计算")))</f>
        <v/>
      </c>
      <c r="P330" s="142">
        <f>IFERROR(IF(I330="EI",IF(O330="低",3,IF(O330="中",4,6)),IF(I330="EO",IF(O330="低",4,IF(O330="中",5,7)),IF(I330="EQ",IF(O330="低",3,IF(O330="中",4,6)),IF(I330="ILF",IF(O330="低",7,IF(O330="中",10,15)),IF(I330="EIF",IF(O330="低",5,IF(O330="中",7,10)),"不计算")))))*Q330,"不计算")</f>
        <v/>
      </c>
      <c r="Q330" s="142" t="n">
        <v>1</v>
      </c>
      <c r="R330" s="143">
        <f>调整因子!$F$13</f>
        <v/>
      </c>
      <c r="S330" s="70" t="n">
        <v>1</v>
      </c>
      <c r="T330" s="144">
        <f>IFERROR(P330*R330,0)</f>
        <v/>
      </c>
      <c r="U330" s="144">
        <f>T330*S330</f>
        <v/>
      </c>
      <c r="V330" s="89" t="n"/>
      <c r="W330" s="88" t="inlineStr">
        <is>
          <t>同步记录表</t>
        </is>
      </c>
      <c r="X330" s="88" t="inlineStr">
        <is>
          <t>同步记录表{记录ID、同步类型、同步时间、同步状态}</t>
        </is>
      </c>
      <c r="Y330" s="88">
        <f>IF(COUNTIFS(V:V,"*"&amp;H330&amp;"*")&gt;0,"存在","不存在")</f>
        <v/>
      </c>
      <c r="Z330" s="88">
        <f>IF(COUNTIFS(AA:AA,"*"&amp;H330&amp;"*")&gt;0,"存在","不存在")</f>
        <v/>
      </c>
      <c r="AA330" s="96" t="inlineStr">
        <is>
          <t>任务故障记录表、分类层级关系表</t>
        </is>
      </c>
    </row>
    <row r="331">
      <c r="A331" s="69" t="n"/>
      <c r="B331" s="53" t="n"/>
      <c r="C331" s="78" t="n"/>
      <c r="D331" s="78" t="inlineStr">
        <is>
          <t>张明峰</t>
        </is>
      </c>
      <c r="E331" s="53" t="n"/>
      <c r="F331" s="53" t="n"/>
      <c r="G331" s="76" t="inlineStr">
        <is>
          <t>插件任务管理</t>
        </is>
      </c>
      <c r="K331" s="108" t="n"/>
      <c r="L331" s="83">
        <f>IF(OR(X331="估算法",X331="算法类",X331="无法识别"),"",IF(V331="",IF(OR(I199="EI",I199="EO",I199="EQ"),0,""),LEN(V331)-LEN(SUBSTITUTE(V331,"、",""))+1))</f>
        <v/>
      </c>
      <c r="M331" s="83">
        <f>IF(OR(X331="估算法",X331="算法类",X331="无法识别"),"",IF(W331="",IF(OR(I199="ILF",I199="EIF"),0,""),LEN(W331)-LEN(SUBSTITUTE(W331,"、",""))+1))</f>
        <v/>
      </c>
      <c r="N331" s="83">
        <f>IF(OR(X331="估算法",X331="算法类",X331="无法识别"),"",IF(X331="",IF(OR(I199="ILF",I199="EIF",I199="EI",I199="EO",I199="EQ"),0,""),LEN(X331)-LEN(SUBSTITUTE(SUBSTITUTE(SUBSTITUTE(SUBSTITUTE(SUBSTITUTE(X331,"|}","--"),"{|","--"),CHAR(10),""),"、",""),"|",""))+IF(AND(OR(I199="EI",I199="EO",I199="EQ"),$AD$1="NESMA"),2,1)))</f>
        <v/>
      </c>
      <c r="O331" s="84">
        <f>IF(I199="EI",IF(OR(X331="估算法",X331="算法类"),"中",IF(X331="无法识别","低",IF(L331&lt;2,IF(N331&lt;16,"低","中"),IF(L331&lt;3,IF(N331&lt;5,"低",IF(N331&lt;16,"中","高")),IF(N331&lt;5,"中","高"))))),IF(OR(I199="EO",I199="EQ"),IF(OR(X331="估算法",X331="算法类"),"中",IF(X331="无法识别","低",IF(L331&lt;2,IF(N331&lt;20,"低","中"),IF(L331&lt;4,IF(N331&lt;6,"低",IF(N331&lt;20,"中","高")),IF(N331&lt;6,"中","高"))))),IF(OR(I199="ILF",I199="EIF"),IF(OR(X331="估算法",X331="算法类",X331="无法识别"),"低",IF(M331&lt;2,IF(N331&lt;51,"低","中"),IF(M331&lt;6,IF(N331&lt;20,"低",IF(N331&lt;51,"中","高")),IF(N331&lt;20,"中","高")))),"不计算")))</f>
        <v/>
      </c>
      <c r="P331" s="142">
        <f>IFERROR(IF(I199="EI",IF(O331="低",3,IF(O331="中",4,6)),IF(I199="EO",IF(O331="低",4,IF(O331="中",5,7)),IF(I199="EQ",IF(O331="低",3,IF(O331="中",4,6)),IF(I199="ILF",IF(O331="低",7,IF(O331="中",10,15)),IF(I199="EIF",IF(O331="低",5,IF(O331="中",7,10)),"不计算")))))*Q331,"不计算")</f>
        <v/>
      </c>
      <c r="Q331" s="142" t="n">
        <v>1</v>
      </c>
      <c r="R331" s="143">
        <f>调整因子!$F$13</f>
        <v/>
      </c>
      <c r="S331" s="76" t="n">
        <v>1</v>
      </c>
      <c r="T331" s="144">
        <f>IFERROR(P331*R331,0)</f>
        <v/>
      </c>
      <c r="U331" s="144">
        <f>T331*S331</f>
        <v/>
      </c>
      <c r="V331" s="89" t="n"/>
      <c r="W331" s="88" t="n"/>
      <c r="X331" s="88" t="n"/>
      <c r="Y331" s="88" t="n"/>
      <c r="Z331" s="88" t="n"/>
      <c r="AA331" s="96" t="n"/>
    </row>
    <row r="332" ht="21.6" customHeight="1">
      <c r="A332" s="69">
        <f>ROW()-1</f>
        <v/>
      </c>
      <c r="B332" s="53" t="n"/>
      <c r="C332" s="78" t="n">
        <v>2025</v>
      </c>
      <c r="D332" s="78" t="inlineStr">
        <is>
          <t>张明峰</t>
        </is>
      </c>
      <c r="E332" s="53" t="n"/>
      <c r="F332" s="53" t="n"/>
      <c r="G332" s="53" t="n"/>
      <c r="H332" s="81" t="inlineStr">
        <is>
          <t>创建任务高级配置查询漏洞列表</t>
        </is>
      </c>
      <c r="I332" s="76" t="inlineStr">
        <is>
          <t>EI</t>
        </is>
      </c>
      <c r="J332" s="108" t="n"/>
      <c r="K332" s="108" t="n"/>
      <c r="L332" s="83">
        <f>IF(OR(X332="估算法",X332="算法类",X332="无法识别"),"",IF(V332="",IF(OR(I332="EI",I332="EO",I332="EQ"),0,""),LEN(V332)-LEN(SUBSTITUTE(V332,"、",""))+1))</f>
        <v/>
      </c>
      <c r="M332" s="83">
        <f>IF(OR(X332="估算法",X332="算法类",X332="无法识别"),"",IF(W332="",IF(OR(I332="ILF",I332="EIF"),0,""),LEN(W332)-LEN(SUBSTITUTE(W332,"、",""))+1))</f>
        <v/>
      </c>
      <c r="N332" s="83">
        <f>IF(OR(X332="估算法",X332="算法类",X332="无法识别"),"",IF(X332="",IF(OR(I332="ILF",I332="EIF",I332="EI",I332="EO",I332="EQ"),0,""),LEN(X332)-LEN(SUBSTITUTE(SUBSTITUTE(SUBSTITUTE(SUBSTITUTE(SUBSTITUTE(X332,"|}","--"),"{|","--"),CHAR(10),""),"、",""),"|",""))+IF(AND(OR(I332="EI",I332="EO",I332="EQ"),$AD$1="NESMA"),2,1)))</f>
        <v/>
      </c>
      <c r="O332" s="84">
        <f>IF(I332="EI",IF(OR(X332="估算法",X332="算法类"),"中",IF(X332="无法识别","低",IF(L332&lt;2,IF(N332&lt;16,"低","中"),IF(L332&lt;3,IF(N332&lt;5,"低",IF(N332&lt;16,"中","高")),IF(N332&lt;5,"中","高"))))),IF(OR(I332="EO",I332="EQ"),IF(OR(X332="估算法",X332="算法类"),"中",IF(X332="无法识别","低",IF(L332&lt;2,IF(N332&lt;20,"低","中"),IF(L332&lt;4,IF(N332&lt;6,"低",IF(N332&lt;20,"中","高")),IF(N332&lt;6,"中","高"))))),IF(OR(I332="ILF",I332="EIF"),IF(OR(X332="估算法",X332="算法类",X332="无法识别"),"低",IF(M332&lt;2,IF(N332&lt;51,"低","中"),IF(M332&lt;6,IF(N332&lt;20,"低",IF(N332&lt;51,"中","高")),IF(N332&lt;20,"中","高")))),"不计算")))</f>
        <v/>
      </c>
      <c r="P332" s="142">
        <f>IFERROR(IF(I332="EI",IF(O332="低",3,IF(O332="中",4,6)),IF(I332="EO",IF(O332="低",4,IF(O332="中",5,7)),IF(I332="EQ",IF(O332="低",3,IF(O332="中",4,6)),IF(I332="ILF",IF(O332="低",7,IF(O332="中",10,15)),IF(I332="EIF",IF(O332="低",5,IF(O332="中",7,10)),"不计算")))))*Q332,"不计算")</f>
        <v/>
      </c>
      <c r="Q332" s="142" t="n">
        <v>1</v>
      </c>
      <c r="R332" s="143">
        <f>调整因子!$F$13</f>
        <v/>
      </c>
      <c r="S332" s="76" t="n">
        <v>1</v>
      </c>
      <c r="T332" s="144">
        <f>IFERROR(P332*R332,0)</f>
        <v/>
      </c>
      <c r="U332" s="144">
        <f>T332*S332</f>
        <v/>
      </c>
      <c r="V332" s="88" t="inlineStr">
        <is>
          <t>漏洞概况表</t>
        </is>
      </c>
      <c r="W332" s="100" t="n"/>
      <c r="X332" s="88" t="inlineStr">
        <is>
          <t>漏洞概况表{概况ID、任务ID、总漏洞数、严重漏洞数、高危漏洞数、中危漏洞数、低危漏洞数、详情}</t>
        </is>
      </c>
      <c r="Y332" s="88" t="n"/>
      <c r="Z332" s="88" t="n"/>
      <c r="AA332" s="96" t="inlineStr">
        <is>
          <t>扫描盲区记录表、故障知识库表</t>
        </is>
      </c>
    </row>
    <row r="333" ht="21.6" customHeight="1">
      <c r="A333" s="69">
        <f>ROW()-1</f>
        <v/>
      </c>
      <c r="B333" s="53" t="n"/>
      <c r="C333" s="78" t="n">
        <v>2025</v>
      </c>
      <c r="D333" s="78" t="inlineStr">
        <is>
          <t>张明峰</t>
        </is>
      </c>
      <c r="E333" s="53" t="n"/>
      <c r="F333" s="53" t="n"/>
      <c r="G333" s="53" t="n"/>
      <c r="H333" s="81" t="inlineStr">
        <is>
          <t>创建任务高级配置查询扫描序列</t>
        </is>
      </c>
      <c r="I333" s="76" t="n"/>
      <c r="J333" s="99" t="inlineStr">
        <is>
          <t>删除</t>
        </is>
      </c>
      <c r="K333" s="108" t="inlineStr">
        <is>
          <t>和上行合并，输入输出字段完全一致</t>
        </is>
      </c>
      <c r="L333" s="83">
        <f>IF(OR(X333="估算法",X333="算法类",X333="无法识别"),"",IF(V333="",IF(OR(I333="EI",I333="EO",I333="EQ"),0,""),LEN(V333)-LEN(SUBSTITUTE(V333,"、",""))+1))</f>
        <v/>
      </c>
      <c r="M333" s="83">
        <f>IF(OR(X333="估算法",X333="算法类",X333="无法识别"),"",IF(W333="",IF(OR(I333="ILF",I333="EIF"),0,""),LEN(W333)-LEN(SUBSTITUTE(W333,"、",""))+1))</f>
        <v/>
      </c>
      <c r="N333" s="83">
        <f>IF(OR(X333="估算法",X333="算法类",X333="无法识别"),"",IF(X333="",IF(OR(I333="ILF",I333="EIF",I333="EI",I333="EO",I333="EQ"),0,""),LEN(X333)-LEN(SUBSTITUTE(SUBSTITUTE(SUBSTITUTE(SUBSTITUTE(SUBSTITUTE(X333,"|}","--"),"{|","--"),CHAR(10),""),"、",""),"|",""))+IF(AND(OR(I333="EI",I333="EO",I333="EQ"),$AD$1="NESMA"),2,1)))</f>
        <v/>
      </c>
      <c r="O333" s="84">
        <f>IF(I333="EI",IF(OR(X333="估算法",X333="算法类"),"中",IF(X333="无法识别","低",IF(L333&lt;2,IF(N333&lt;16,"低","中"),IF(L333&lt;3,IF(N333&lt;5,"低",IF(N333&lt;16,"中","高")),IF(N333&lt;5,"中","高"))))),IF(OR(I333="EO",I333="EQ"),IF(OR(X333="估算法",X333="算法类"),"中",IF(X333="无法识别","低",IF(L333&lt;2,IF(N333&lt;20,"低","中"),IF(L333&lt;4,IF(N333&lt;6,"低",IF(N333&lt;20,"中","高")),IF(N333&lt;6,"中","高"))))),IF(OR(I333="ILF",I333="EIF"),IF(OR(X333="估算法",X333="算法类",X333="无法识别"),"低",IF(M333&lt;2,IF(N333&lt;51,"低","中"),IF(M333&lt;6,IF(N333&lt;20,"低",IF(N333&lt;51,"中","高")),IF(N333&lt;20,"中","高")))),"不计算")))</f>
        <v/>
      </c>
      <c r="P333" s="142">
        <f>IFERROR(IF(I333="EI",IF(O333="低",3,IF(O333="中",4,6)),IF(I333="EO",IF(O333="低",4,IF(O333="中",5,7)),IF(I333="EQ",IF(O333="低",3,IF(O333="中",4,6)),IF(I333="ILF",IF(O333="低",7,IF(O333="中",10,15)),IF(I333="EIF",IF(O333="低",5,IF(O333="中",7,10)),"不计算")))))*Q333,"不计算")</f>
        <v/>
      </c>
      <c r="Q333" s="142" t="n">
        <v>1</v>
      </c>
      <c r="R333" s="143">
        <f>调整因子!$F$13</f>
        <v/>
      </c>
      <c r="S333" s="70" t="n">
        <v>1</v>
      </c>
      <c r="T333" s="144">
        <f>IFERROR(P333*R333,0)</f>
        <v/>
      </c>
      <c r="U333" s="144">
        <f>T333*S333</f>
        <v/>
      </c>
      <c r="V333" s="88" t="inlineStr">
        <is>
          <t>漏洞概况表</t>
        </is>
      </c>
      <c r="W333" s="100" t="n"/>
      <c r="X333" s="88" t="inlineStr">
        <is>
          <t>漏洞概况表{概况ID、任务ID、总漏洞数、严重漏洞数、高危漏洞数、中危漏洞数、低危漏洞数、详情}</t>
        </is>
      </c>
      <c r="Y333" s="88" t="n"/>
      <c r="Z333" s="88" t="n"/>
      <c r="AA333" s="96" t="inlineStr">
        <is>
          <t>资产查询接口配置表、扫描盲区记录表</t>
        </is>
      </c>
    </row>
    <row r="334" ht="21.6" customHeight="1">
      <c r="A334" s="69">
        <f>ROW()-1</f>
        <v/>
      </c>
      <c r="B334" s="53" t="n"/>
      <c r="C334" s="78" t="n">
        <v>2025</v>
      </c>
      <c r="D334" s="78" t="inlineStr">
        <is>
          <t>张明峰</t>
        </is>
      </c>
      <c r="E334" s="53" t="n"/>
      <c r="F334" s="53" t="n"/>
      <c r="G334" s="53" t="n"/>
      <c r="H334" s="81" t="inlineStr">
        <is>
          <t>创建任务高级配置查询模板策略</t>
        </is>
      </c>
      <c r="I334" s="76" t="inlineStr">
        <is>
          <t>EQ</t>
        </is>
      </c>
      <c r="J334" s="98" t="inlineStr">
        <is>
          <t>修改「FTR、DET」</t>
        </is>
      </c>
      <c r="K334" s="108" t="inlineStr">
        <is>
          <t>和上行合并，输入输出字段完全一致</t>
        </is>
      </c>
      <c r="L334" s="83">
        <f>IF(OR(X334="估算法",X334="算法类",X334="无法识别"),"",IF(V334="",IF(OR(I334="EI",I334="EO",I334="EQ"),0,""),LEN(V334)-LEN(SUBSTITUTE(V334,"、",""))+1))</f>
        <v/>
      </c>
      <c r="M334" s="83">
        <f>IF(OR(X334="估算法",X334="算法类",X334="无法识别"),"",IF(W334="",IF(OR(I334="ILF",I334="EIF"),0,""),LEN(W334)-LEN(SUBSTITUTE(W334,"、",""))+1))</f>
        <v/>
      </c>
      <c r="N334" s="83">
        <f>IF(OR(X334="估算法",X334="算法类",X334="无法识别"),"",IF(X334="",IF(OR(I334="ILF",I334="EIF",I334="EI",I334="EO",I334="EQ"),0,""),LEN(X334)-LEN(SUBSTITUTE(SUBSTITUTE(SUBSTITUTE(SUBSTITUTE(SUBSTITUTE(X334,"|}","--"),"{|","--"),CHAR(10),""),"、",""),"|",""))+IF(AND(OR(I334="EI",I334="EO",I334="EQ"),$AD$1="NESMA"),2,1)))</f>
        <v/>
      </c>
      <c r="O334" s="84">
        <f>IF(I334="EI",IF(OR(X334="估算法",X334="算法类"),"中",IF(X334="无法识别","低",IF(L334&lt;2,IF(N334&lt;16,"低","中"),IF(L334&lt;3,IF(N334&lt;5,"低",IF(N334&lt;16,"中","高")),IF(N334&lt;5,"中","高"))))),IF(OR(I334="EO",I334="EQ"),IF(OR(X334="估算法",X334="算法类"),"中",IF(X334="无法识别","低",IF(L334&lt;2,IF(N334&lt;20,"低","中"),IF(L334&lt;4,IF(N334&lt;6,"低",IF(N334&lt;20,"中","高")),IF(N334&lt;6,"中","高"))))),IF(OR(I334="ILF",I334="EIF"),IF(OR(X334="估算法",X334="算法类",X334="无法识别"),"低",IF(M334&lt;2,IF(N334&lt;51,"低","中"),IF(M334&lt;6,IF(N334&lt;20,"低",IF(N334&lt;51,"中","高")),IF(N334&lt;20,"中","高")))),"不计算")))</f>
        <v/>
      </c>
      <c r="P334" s="142">
        <f>IFERROR(IF(I334="EI",IF(O334="低",3,IF(O334="中",4,6)),IF(I334="EO",IF(O334="低",4,IF(O334="中",5,7)),IF(I334="EQ",IF(O334="低",3,IF(O334="中",4,6)),IF(I334="ILF",IF(O334="低",7,IF(O334="中",10,15)),IF(I334="EIF",IF(O334="低",5,IF(O334="中",7,10)),"不计算")))))*Q334,"不计算")</f>
        <v/>
      </c>
      <c r="Q334" s="142" t="n">
        <v>1</v>
      </c>
      <c r="R334" s="143">
        <f>调整因子!$F$13</f>
        <v/>
      </c>
      <c r="S334" s="70" t="n">
        <v>1</v>
      </c>
      <c r="T334" s="144">
        <f>IFERROR(P334*R334,0)</f>
        <v/>
      </c>
      <c r="U334" s="144">
        <f>T334*S334</f>
        <v/>
      </c>
      <c r="V334" s="88" t="inlineStr">
        <is>
          <t>漏洞概况表</t>
        </is>
      </c>
      <c r="W334" s="100" t="n"/>
      <c r="X334" s="88" t="inlineStr">
        <is>
          <t>漏洞概况表{概况ID、任务ID、总漏洞数、严重漏洞数、高危漏洞数、中危漏洞数、低危漏洞数、详情}</t>
        </is>
      </c>
      <c r="Y334" s="88" t="n"/>
      <c r="Z334" s="88" t="n"/>
      <c r="AA334" s="96" t="inlineStr">
        <is>
          <t>资产同步任务表</t>
        </is>
      </c>
    </row>
    <row r="335" ht="21.6" customHeight="1">
      <c r="A335" s="69">
        <f>ROW()-1</f>
        <v/>
      </c>
      <c r="B335" s="53" t="n"/>
      <c r="C335" s="78" t="n">
        <v>2025</v>
      </c>
      <c r="D335" s="78" t="inlineStr">
        <is>
          <t>张明峰</t>
        </is>
      </c>
      <c r="E335" s="53" t="n"/>
      <c r="F335" s="53" t="n"/>
      <c r="G335" s="53" t="n"/>
      <c r="H335" s="81" t="inlineStr">
        <is>
          <t>提交插件任务</t>
        </is>
      </c>
      <c r="I335" s="76" t="inlineStr">
        <is>
          <t>EI</t>
        </is>
      </c>
      <c r="J335" s="108" t="n"/>
      <c r="K335" s="108" t="n"/>
      <c r="L335" s="83">
        <f>IF(OR(X335="估算法",X335="算法类",X335="无法识别"),"",IF(V335="",IF(OR(I335="EI",I335="EO",I335="EQ"),0,""),LEN(V335)-LEN(SUBSTITUTE(V335,"、",""))+1))</f>
        <v/>
      </c>
      <c r="M335" s="83">
        <f>IF(OR(X335="估算法",X335="算法类",X335="无法识别"),"",IF(W335="",IF(OR(I335="ILF",I335="EIF"),0,""),LEN(W335)-LEN(SUBSTITUTE(W335,"、",""))+1))</f>
        <v/>
      </c>
      <c r="N335" s="83">
        <f>IF(OR(X335="估算法",X335="算法类",X335="无法识别"),"",IF(X335="",IF(OR(I335="ILF",I335="EIF",I335="EI",I335="EO",I335="EQ"),0,""),LEN(X335)-LEN(SUBSTITUTE(SUBSTITUTE(SUBSTITUTE(SUBSTITUTE(SUBSTITUTE(X335,"|}","--"),"{|","--"),CHAR(10),""),"、",""),"|",""))+IF(AND(OR(I335="EI",I335="EO",I335="EQ"),$AD$1="NESMA"),2,1)))</f>
        <v/>
      </c>
      <c r="O335" s="84">
        <f>IF(I335="EI",IF(OR(X335="估算法",X335="算法类"),"中",IF(X335="无法识别","低",IF(L335&lt;2,IF(N335&lt;16,"低","中"),IF(L335&lt;3,IF(N335&lt;5,"低",IF(N335&lt;16,"中","高")),IF(N335&lt;5,"中","高"))))),IF(OR(I335="EO",I335="EQ"),IF(OR(X335="估算法",X335="算法类"),"中",IF(X335="无法识别","低",IF(L335&lt;2,IF(N335&lt;20,"低","中"),IF(L335&lt;4,IF(N335&lt;6,"低",IF(N335&lt;20,"中","高")),IF(N335&lt;6,"中","高"))))),IF(OR(I335="ILF",I335="EIF"),IF(OR(X335="估算法",X335="算法类",X335="无法识别"),"低",IF(M335&lt;2,IF(N335&lt;51,"低","中"),IF(M335&lt;6,IF(N335&lt;20,"低",IF(N335&lt;51,"中","高")),IF(N335&lt;20,"中","高")))),"不计算")))</f>
        <v/>
      </c>
      <c r="P335" s="142">
        <f>IFERROR(IF(I335="EI",IF(O335="低",3,IF(O335="中",4,6)),IF(I335="EO",IF(O335="低",4,IF(O335="中",5,7)),IF(I335="EQ",IF(O335="低",3,IF(O335="中",4,6)),IF(I335="ILF",IF(O335="低",7,IF(O335="中",10,15)),IF(I335="EIF",IF(O335="低",5,IF(O335="中",7,10)),"不计算")))))*Q335,"不计算")</f>
        <v/>
      </c>
      <c r="Q335" s="142" t="n">
        <v>1</v>
      </c>
      <c r="R335" s="143">
        <f>调整因子!$F$13</f>
        <v/>
      </c>
      <c r="S335" s="76" t="n">
        <v>1</v>
      </c>
      <c r="T335" s="144">
        <f>IFERROR(P335*R335,0)</f>
        <v/>
      </c>
      <c r="U335" s="144">
        <f>T335*S335</f>
        <v/>
      </c>
      <c r="V335" s="88" t="inlineStr">
        <is>
          <t>插件任务实例表、插件任务高级配置表、插件任务基本信息表</t>
        </is>
      </c>
      <c r="W335" s="100" t="n"/>
      <c r="X335" s="88" t="inlineStr">
        <is>
          <t>插件任务实例表{实例ID、任务ID、资产ID、状态、开始时间、结束时间|响应状态码、返回数据信息}、插件任务高级配置表{任务编号、配置项键、配置项值|配置编号、更新时间}、插件任务基本信息表{任务编号|任务编号、插件编号、任务名称、任务状态}</t>
        </is>
      </c>
      <c r="Y335" s="88" t="n"/>
      <c r="Z335" s="88" t="n"/>
      <c r="AA335" s="96" t="inlineStr">
        <is>
          <t>扫描策略模板表</t>
        </is>
      </c>
    </row>
    <row r="336" ht="21.6" customHeight="1">
      <c r="A336" s="69">
        <f>ROW()-1</f>
        <v/>
      </c>
      <c r="B336" s="53" t="n"/>
      <c r="C336" s="78" t="n">
        <v>2025</v>
      </c>
      <c r="D336" s="78" t="inlineStr">
        <is>
          <t>张明峰</t>
        </is>
      </c>
      <c r="E336" s="53" t="n"/>
      <c r="F336" s="53" t="n"/>
      <c r="G336" s="53" t="n"/>
      <c r="H336" s="81" t="inlineStr">
        <is>
          <t>查看插件任务列表</t>
        </is>
      </c>
      <c r="I336" s="76" t="inlineStr">
        <is>
          <t>EQ</t>
        </is>
      </c>
      <c r="J336" s="108" t="n"/>
      <c r="K336" s="108" t="n"/>
      <c r="L336" s="83">
        <f>IF(OR(X336="估算法",X336="算法类",X336="无法识别"),"",IF(V336="",IF(OR(I336="EI",I336="EO",I336="EQ"),0,""),LEN(V336)-LEN(SUBSTITUTE(V336,"、",""))+1))</f>
        <v/>
      </c>
      <c r="M336" s="83">
        <f>IF(OR(X336="估算法",X336="算法类",X336="无法识别"),"",IF(W336="",IF(OR(I336="ILF",I336="EIF"),0,""),LEN(W336)-LEN(SUBSTITUTE(W336,"、",""))+1))</f>
        <v/>
      </c>
      <c r="N336" s="83">
        <f>IF(OR(X336="估算法",X336="算法类",X336="无法识别"),"",IF(X336="",IF(OR(I336="ILF",I336="EIF",I336="EI",I336="EO",I336="EQ"),0,""),LEN(X336)-LEN(SUBSTITUTE(SUBSTITUTE(SUBSTITUTE(SUBSTITUTE(SUBSTITUTE(X336,"|}","--"),"{|","--"),CHAR(10),""),"、",""),"|",""))+IF(AND(OR(I336="EI",I336="EO",I336="EQ"),$AD$1="NESMA"),2,1)))</f>
        <v/>
      </c>
      <c r="O336" s="84">
        <f>IF(I336="EI",IF(OR(X336="估算法",X336="算法类"),"中",IF(X336="无法识别","低",IF(L336&lt;2,IF(N336&lt;16,"低","中"),IF(L336&lt;3,IF(N336&lt;5,"低",IF(N336&lt;16,"中","高")),IF(N336&lt;5,"中","高"))))),IF(OR(I336="EO",I336="EQ"),IF(OR(X336="估算法",X336="算法类"),"中",IF(X336="无法识别","低",IF(L336&lt;2,IF(N336&lt;20,"低","中"),IF(L336&lt;4,IF(N336&lt;6,"低",IF(N336&lt;20,"中","高")),IF(N336&lt;6,"中","高"))))),IF(OR(I336="ILF",I336="EIF"),IF(OR(X336="估算法",X336="算法类",X336="无法识别"),"低",IF(M336&lt;2,IF(N336&lt;51,"低","中"),IF(M336&lt;6,IF(N336&lt;20,"低",IF(N336&lt;51,"中","高")),IF(N336&lt;20,"中","高")))),"不计算")))</f>
        <v/>
      </c>
      <c r="P336" s="142">
        <f>IFERROR(IF(I336="EI",IF(O336="低",3,IF(O336="中",4,6)),IF(I336="EO",IF(O336="低",4,IF(O336="中",5,7)),IF(I336="EQ",IF(O336="低",3,IF(O336="中",4,6)),IF(I336="ILF",IF(O336="低",7,IF(O336="中",10,15)),IF(I336="EIF",IF(O336="低",5,IF(O336="中",7,10)),"不计算")))))*Q336,"不计算")</f>
        <v/>
      </c>
      <c r="Q336" s="142" t="n">
        <v>1</v>
      </c>
      <c r="R336" s="143">
        <f>调整因子!$F$13</f>
        <v/>
      </c>
      <c r="S336" s="70" t="n">
        <v>1</v>
      </c>
      <c r="T336" s="144">
        <f>IFERROR(P336*R336,0)</f>
        <v/>
      </c>
      <c r="U336" s="144">
        <f>T336*S336</f>
        <v/>
      </c>
      <c r="V336" s="88" t="inlineStr">
        <is>
          <t>插件任务实例表</t>
        </is>
      </c>
      <c r="W336" s="100" t="n"/>
      <c r="X336" s="88" t="inlineStr">
        <is>
          <t>插件任务实例表{实例ID、任务ID、资产ID、状态、开始时间、结束时间|响应状态码、返回数据信息}</t>
        </is>
      </c>
      <c r="Y336" s="88" t="n"/>
      <c r="Z336" s="88" t="n"/>
      <c r="AA336" s="96" t="inlineStr">
        <is>
          <t>修复步骤表</t>
        </is>
      </c>
    </row>
    <row r="337" ht="21.6" customHeight="1">
      <c r="A337" s="69">
        <f>ROW()-1</f>
        <v/>
      </c>
      <c r="B337" s="53" t="n"/>
      <c r="C337" s="78" t="n">
        <v>2025</v>
      </c>
      <c r="D337" s="78" t="inlineStr">
        <is>
          <t>张明峰</t>
        </is>
      </c>
      <c r="E337" s="53" t="n"/>
      <c r="F337" s="53" t="n"/>
      <c r="G337" s="53" t="n"/>
      <c r="H337" s="81" t="inlineStr">
        <is>
          <t>查看插件任务详情</t>
        </is>
      </c>
      <c r="I337" s="76" t="inlineStr">
        <is>
          <t>EQ</t>
        </is>
      </c>
      <c r="J337" s="108" t="n"/>
      <c r="K337" s="108" t="n"/>
      <c r="L337" s="83">
        <f>IF(OR(X337="估算法",X337="算法类",X337="无法识别"),"",IF(V337="",IF(OR(I337="EI",I337="EO",I337="EQ"),0,""),LEN(V337)-LEN(SUBSTITUTE(V337,"、",""))+1))</f>
        <v/>
      </c>
      <c r="M337" s="83">
        <f>IF(OR(X337="估算法",X337="算法类",X337="无法识别"),"",IF(W337="",IF(OR(I337="ILF",I337="EIF"),0,""),LEN(W337)-LEN(SUBSTITUTE(W337,"、",""))+1))</f>
        <v/>
      </c>
      <c r="N337" s="83">
        <f>IF(OR(X337="估算法",X337="算法类",X337="无法识别"),"",IF(X337="",IF(OR(I337="ILF",I337="EIF",I337="EI",I337="EO",I337="EQ"),0,""),LEN(X337)-LEN(SUBSTITUTE(SUBSTITUTE(SUBSTITUTE(SUBSTITUTE(SUBSTITUTE(X337,"|}","--"),"{|","--"),CHAR(10),""),"、",""),"|",""))+IF(AND(OR(I337="EI",I337="EO",I337="EQ"),$AD$1="NESMA"),2,1)))</f>
        <v/>
      </c>
      <c r="O337" s="84">
        <f>IF(I337="EI",IF(OR(X337="估算法",X337="算法类"),"中",IF(X337="无法识别","低",IF(L337&lt;2,IF(N337&lt;16,"低","中"),IF(L337&lt;3,IF(N337&lt;5,"低",IF(N337&lt;16,"中","高")),IF(N337&lt;5,"中","高"))))),IF(OR(I337="EO",I337="EQ"),IF(OR(X337="估算法",X337="算法类"),"中",IF(X337="无法识别","低",IF(L337&lt;2,IF(N337&lt;20,"低","中"),IF(L337&lt;4,IF(N337&lt;6,"低",IF(N337&lt;20,"中","高")),IF(N337&lt;6,"中","高"))))),IF(OR(I337="ILF",I337="EIF"),IF(OR(X337="估算法",X337="算法类",X337="无法识别"),"低",IF(M337&lt;2,IF(N337&lt;51,"低","中"),IF(M337&lt;6,IF(N337&lt;20,"低",IF(N337&lt;51,"中","高")),IF(N337&lt;20,"中","高")))),"不计算")))</f>
        <v/>
      </c>
      <c r="P337" s="142">
        <f>IFERROR(IF(I337="EI",IF(O337="低",3,IF(O337="中",4,6)),IF(I337="EO",IF(O337="低",4,IF(O337="中",5,7)),IF(I337="EQ",IF(O337="低",3,IF(O337="中",4,6)),IF(I337="ILF",IF(O337="低",7,IF(O337="中",10,15)),IF(I337="EIF",IF(O337="低",5,IF(O337="中",7,10)),"不计算")))))*Q337,"不计算")</f>
        <v/>
      </c>
      <c r="Q337" s="142" t="n">
        <v>1</v>
      </c>
      <c r="R337" s="143">
        <f>调整因子!$F$13</f>
        <v/>
      </c>
      <c r="S337" s="70" t="n">
        <v>1</v>
      </c>
      <c r="T337" s="144">
        <f>IFERROR(P337*R337,0)</f>
        <v/>
      </c>
      <c r="U337" s="144">
        <f>T337*S337</f>
        <v/>
      </c>
      <c r="V337" s="88" t="inlineStr">
        <is>
          <t>插件任务实例表</t>
        </is>
      </c>
      <c r="W337" s="100" t="n"/>
      <c r="X337" s="88" t="inlineStr">
        <is>
          <t>插件任务实例表{实例ID、任务ID、资产ID、状态、开始时间、结束时间|响应状态码、返回数据信息}</t>
        </is>
      </c>
      <c r="Y337" s="88" t="n"/>
      <c r="Z337" s="88" t="n"/>
      <c r="AA337" s="96" t="inlineStr">
        <is>
          <t>复测任务表</t>
        </is>
      </c>
    </row>
    <row r="338" ht="21.6" customHeight="1">
      <c r="A338" s="69">
        <f>ROW()-1</f>
        <v/>
      </c>
      <c r="B338" s="53" t="n"/>
      <c r="C338" s="78" t="n">
        <v>2025</v>
      </c>
      <c r="D338" s="78" t="inlineStr">
        <is>
          <t>张明峰</t>
        </is>
      </c>
      <c r="E338" s="53" t="n"/>
      <c r="F338" s="53" t="n"/>
      <c r="G338" s="53" t="n"/>
      <c r="H338" s="81" t="inlineStr">
        <is>
          <t>插件任务实例状态自动更新</t>
        </is>
      </c>
      <c r="I338" s="76" t="n"/>
      <c r="J338" s="99" t="inlineStr">
        <is>
          <t>删除</t>
        </is>
      </c>
      <c r="K338" s="108" t="inlineStr">
        <is>
          <t>和下行合并，相同数据输入输出</t>
        </is>
      </c>
      <c r="L338" s="83">
        <f>IF(OR(X338="估算法",X338="算法类",X338="无法识别"),"",IF(V338="",IF(OR(I338="EI",I338="EO",I338="EQ"),0,""),LEN(V338)-LEN(SUBSTITUTE(V338,"、",""))+1))</f>
        <v/>
      </c>
      <c r="M338" s="83">
        <f>IF(OR(X338="估算法",X338="算法类",X338="无法识别"),"",IF(W338="",IF(OR(I338="ILF",I338="EIF"),0,""),LEN(W338)-LEN(SUBSTITUTE(W338,"、",""))+1))</f>
        <v/>
      </c>
      <c r="N338" s="83">
        <f>IF(OR(X338="估算法",X338="算法类",X338="无法识别"),"",IF(X338="",IF(OR(I338="ILF",I338="EIF",I338="EI",I338="EO",I338="EQ"),0,""),LEN(X338)-LEN(SUBSTITUTE(SUBSTITUTE(SUBSTITUTE(SUBSTITUTE(SUBSTITUTE(X338,"|}","--"),"{|","--"),CHAR(10),""),"、",""),"|",""))+IF(AND(OR(I338="EI",I338="EO",I338="EQ"),$AD$1="NESMA"),2,1)))</f>
        <v/>
      </c>
      <c r="O338" s="84">
        <f>IF(I338="EI",IF(OR(X338="估算法",X338="算法类"),"中",IF(X338="无法识别","低",IF(L338&lt;2,IF(N338&lt;16,"低","中"),IF(L338&lt;3,IF(N338&lt;5,"低",IF(N338&lt;16,"中","高")),IF(N338&lt;5,"中","高"))))),IF(OR(I338="EO",I338="EQ"),IF(OR(X338="估算法",X338="算法类"),"中",IF(X338="无法识别","低",IF(L338&lt;2,IF(N338&lt;20,"低","中"),IF(L338&lt;4,IF(N338&lt;6,"低",IF(N338&lt;20,"中","高")),IF(N338&lt;6,"中","高"))))),IF(OR(I338="ILF",I338="EIF"),IF(OR(X338="估算法",X338="算法类",X338="无法识别"),"低",IF(M338&lt;2,IF(N338&lt;51,"低","中"),IF(M338&lt;6,IF(N338&lt;20,"低",IF(N338&lt;51,"中","高")),IF(N338&lt;20,"中","高")))),"不计算")))</f>
        <v/>
      </c>
      <c r="P338" s="142">
        <f>IFERROR(IF(I338="EI",IF(O338="低",3,IF(O338="中",4,6)),IF(I338="EO",IF(O338="低",4,IF(O338="中",5,7)),IF(I338="EQ",IF(O338="低",3,IF(O338="中",4,6)),IF(I338="ILF",IF(O338="低",7,IF(O338="中",10,15)),IF(I338="EIF",IF(O338="低",5,IF(O338="中",7,10)),"不计算")))))*Q338,"不计算")</f>
        <v/>
      </c>
      <c r="Q338" s="142" t="n">
        <v>1</v>
      </c>
      <c r="R338" s="143">
        <f>调整因子!$F$13</f>
        <v/>
      </c>
      <c r="S338" s="76" t="n">
        <v>1</v>
      </c>
      <c r="T338" s="144">
        <f>IFERROR(P338*R338,0)</f>
        <v/>
      </c>
      <c r="U338" s="144">
        <f>T338*S338</f>
        <v/>
      </c>
      <c r="V338" s="88" t="inlineStr">
        <is>
          <t>插件任务实例表</t>
        </is>
      </c>
      <c r="W338" s="100" t="n"/>
      <c r="X338" s="88" t="inlineStr">
        <is>
          <t>插件任务实例表{实例ID、任务ID、资产ID、状态、开始时间、结束时间|响应状态码、返回数据信息}</t>
        </is>
      </c>
      <c r="Y338" s="88" t="n"/>
      <c r="Z338" s="88" t="n"/>
      <c r="AA338" s="96" t="inlineStr">
        <is>
          <t>通报对象表、分布分析表</t>
        </is>
      </c>
    </row>
    <row r="339" ht="21.6" customHeight="1">
      <c r="A339" s="69">
        <f>ROW()-1</f>
        <v/>
      </c>
      <c r="B339" s="53" t="n"/>
      <c r="C339" s="78" t="n">
        <v>2025</v>
      </c>
      <c r="D339" s="78" t="inlineStr">
        <is>
          <t>张明峰</t>
        </is>
      </c>
      <c r="E339" s="53" t="n"/>
      <c r="F339" s="53" t="n"/>
      <c r="G339" s="53" t="n"/>
      <c r="H339" s="81" t="inlineStr">
        <is>
          <t>查询插件任务实例列表</t>
        </is>
      </c>
      <c r="I339" s="76" t="inlineStr">
        <is>
          <t>EQ</t>
        </is>
      </c>
      <c r="J339" s="108" t="n"/>
      <c r="K339" s="108" t="n"/>
      <c r="L339" s="83">
        <f>IF(OR(X339="估算法",X339="算法类",X339="无法识别"),"",IF(V339="",IF(OR(I339="EI",I339="EO",I339="EQ"),0,""),LEN(V339)-LEN(SUBSTITUTE(V339,"、",""))+1))</f>
        <v/>
      </c>
      <c r="M339" s="83">
        <f>IF(OR(X339="估算法",X339="算法类",X339="无法识别"),"",IF(W339="",IF(OR(I339="ILF",I339="EIF"),0,""),LEN(W339)-LEN(SUBSTITUTE(W339,"、",""))+1))</f>
        <v/>
      </c>
      <c r="N339" s="83">
        <f>IF(OR(X339="估算法",X339="算法类",X339="无法识别"),"",IF(X339="",IF(OR(I339="ILF",I339="EIF",I339="EI",I339="EO",I339="EQ"),0,""),LEN(X339)-LEN(SUBSTITUTE(SUBSTITUTE(SUBSTITUTE(SUBSTITUTE(SUBSTITUTE(X339,"|}","--"),"{|","--"),CHAR(10),""),"、",""),"|",""))+IF(AND(OR(I339="EI",I339="EO",I339="EQ"),$AD$1="NESMA"),2,1)))</f>
        <v/>
      </c>
      <c r="O339" s="84">
        <f>IF(I339="EI",IF(OR(X339="估算法",X339="算法类"),"中",IF(X339="无法识别","低",IF(L339&lt;2,IF(N339&lt;16,"低","中"),IF(L339&lt;3,IF(N339&lt;5,"低",IF(N339&lt;16,"中","高")),IF(N339&lt;5,"中","高"))))),IF(OR(I339="EO",I339="EQ"),IF(OR(X339="估算法",X339="算法类"),"中",IF(X339="无法识别","低",IF(L339&lt;2,IF(N339&lt;20,"低","中"),IF(L339&lt;4,IF(N339&lt;6,"低",IF(N339&lt;20,"中","高")),IF(N339&lt;6,"中","高"))))),IF(OR(I339="ILF",I339="EIF"),IF(OR(X339="估算法",X339="算法类",X339="无法识别"),"低",IF(M339&lt;2,IF(N339&lt;51,"低","中"),IF(M339&lt;6,IF(N339&lt;20,"低",IF(N339&lt;51,"中","高")),IF(N339&lt;20,"中","高")))),"不计算")))</f>
        <v/>
      </c>
      <c r="P339" s="142">
        <f>IFERROR(IF(I339="EI",IF(O339="低",3,IF(O339="中",4,6)),IF(I339="EO",IF(O339="低",4,IF(O339="中",5,7)),IF(I339="EQ",IF(O339="低",3,IF(O339="中",4,6)),IF(I339="ILF",IF(O339="低",7,IF(O339="中",10,15)),IF(I339="EIF",IF(O339="低",5,IF(O339="中",7,10)),"不计算")))))*Q339,"不计算")</f>
        <v/>
      </c>
      <c r="Q339" s="142" t="n">
        <v>1</v>
      </c>
      <c r="R339" s="143">
        <f>调整因子!$F$13</f>
        <v/>
      </c>
      <c r="S339" s="70" t="n">
        <v>1</v>
      </c>
      <c r="T339" s="144">
        <f>IFERROR(P339*R339,0)</f>
        <v/>
      </c>
      <c r="U339" s="144">
        <f>T339*S339</f>
        <v/>
      </c>
      <c r="V339" s="88" t="inlineStr">
        <is>
          <t>插件任务实例表</t>
        </is>
      </c>
      <c r="W339" s="100" t="n"/>
      <c r="X339" s="88" t="inlineStr">
        <is>
          <t>插件任务实例表{实例ID、任务ID、资产ID、状态、开始时间、结束时间|响应状态码、返回数据信息}</t>
        </is>
      </c>
      <c r="Y339" s="88" t="n"/>
      <c r="Z339" s="88" t="n"/>
      <c r="AA339" s="96" t="inlineStr">
        <is>
          <t>接口参数配置表、处置单配置表</t>
        </is>
      </c>
    </row>
    <row r="340" ht="21.6" customHeight="1">
      <c r="A340" s="69">
        <f>ROW()-1</f>
        <v/>
      </c>
      <c r="B340" s="53" t="n"/>
      <c r="C340" s="78" t="n">
        <v>2025</v>
      </c>
      <c r="D340" s="78" t="inlineStr">
        <is>
          <t>张明峰</t>
        </is>
      </c>
      <c r="E340" s="53" t="n"/>
      <c r="F340" s="53" t="n"/>
      <c r="G340" s="53" t="n"/>
      <c r="H340" s="81" t="inlineStr">
        <is>
          <t>查看插件任务资产概况</t>
        </is>
      </c>
      <c r="I340" s="76" t="inlineStr">
        <is>
          <t>EQ</t>
        </is>
      </c>
      <c r="J340" s="108" t="n"/>
      <c r="K340" s="108" t="n"/>
      <c r="L340" s="83">
        <f>IF(OR(X340="估算法",X340="算法类",X340="无法识别"),"",IF(V340="",IF(OR(I340="EI",I340="EO",I340="EQ"),0,""),LEN(V340)-LEN(SUBSTITUTE(V340,"、",""))+1))</f>
        <v/>
      </c>
      <c r="M340" s="83">
        <f>IF(OR(X340="估算法",X340="算法类",X340="无法识别"),"",IF(W340="",IF(OR(I340="ILF",I340="EIF"),0,""),LEN(W340)-LEN(SUBSTITUTE(W340,"、",""))+1))</f>
        <v/>
      </c>
      <c r="N340" s="83">
        <f>IF(OR(X340="估算法",X340="算法类",X340="无法识别"),"",IF(X340="",IF(OR(I340="ILF",I340="EIF",I340="EI",I340="EO",I340="EQ"),0,""),LEN(X340)-LEN(SUBSTITUTE(SUBSTITUTE(SUBSTITUTE(SUBSTITUTE(SUBSTITUTE(X340,"|}","--"),"{|","--"),CHAR(10),""),"、",""),"|",""))+IF(AND(OR(I340="EI",I340="EO",I340="EQ"),$AD$1="NESMA"),2,1)))</f>
        <v/>
      </c>
      <c r="O340" s="84">
        <f>IF(I340="EI",IF(OR(X340="估算法",X340="算法类"),"中",IF(X340="无法识别","低",IF(L340&lt;2,IF(N340&lt;16,"低","中"),IF(L340&lt;3,IF(N340&lt;5,"低",IF(N340&lt;16,"中","高")),IF(N340&lt;5,"中","高"))))),IF(OR(I340="EO",I340="EQ"),IF(OR(X340="估算法",X340="算法类"),"中",IF(X340="无法识别","低",IF(L340&lt;2,IF(N340&lt;20,"低","中"),IF(L340&lt;4,IF(N340&lt;6,"低",IF(N340&lt;20,"中","高")),IF(N340&lt;6,"中","高"))))),IF(OR(I340="ILF",I340="EIF"),IF(OR(X340="估算法",X340="算法类",X340="无法识别"),"低",IF(M340&lt;2,IF(N340&lt;51,"低","中"),IF(M340&lt;6,IF(N340&lt;20,"低",IF(N340&lt;51,"中","高")),IF(N340&lt;20,"中","高")))),"不计算")))</f>
        <v/>
      </c>
      <c r="P340" s="142">
        <f>IFERROR(IF(I340="EI",IF(O340="低",3,IF(O340="中",4,6)),IF(I340="EO",IF(O340="低",4,IF(O340="中",5,7)),IF(I340="EQ",IF(O340="低",3,IF(O340="中",4,6)),IF(I340="ILF",IF(O340="低",7,IF(O340="中",10,15)),IF(I340="EIF",IF(O340="低",5,IF(O340="中",7,10)),"不计算")))))*Q340,"不计算")</f>
        <v/>
      </c>
      <c r="Q340" s="142" t="n">
        <v>1</v>
      </c>
      <c r="R340" s="143">
        <f>调整因子!$F$13</f>
        <v/>
      </c>
      <c r="S340" s="70" t="n">
        <v>1</v>
      </c>
      <c r="T340" s="144">
        <f>IFERROR(P340*R340,0)</f>
        <v/>
      </c>
      <c r="U340" s="144">
        <f>T340*S340</f>
        <v/>
      </c>
      <c r="V340" s="88" t="inlineStr">
        <is>
          <t>插件任务基本信息表、漏洞概况表</t>
        </is>
      </c>
      <c r="W340" s="100" t="n"/>
      <c r="X340" s="88" t="inlineStr">
        <is>
          <t>插件任务基本信息表{任务ID、任务名称、描述、插件ID、状态、创建时间、资产概况表{概况ID、任务ID、总资产数、已扫描资产数、失败资产数、详情}</t>
        </is>
      </c>
      <c r="Y340" s="88" t="n"/>
      <c r="Z340" s="88" t="n"/>
      <c r="AA340" s="96" t="inlineStr">
        <is>
          <t>日志采集配置表</t>
        </is>
      </c>
    </row>
    <row r="341" ht="21.6" customHeight="1">
      <c r="A341" s="69">
        <f>ROW()-1</f>
        <v/>
      </c>
      <c r="B341" s="53" t="n"/>
      <c r="C341" s="78" t="n">
        <v>2025</v>
      </c>
      <c r="D341" s="78" t="inlineStr">
        <is>
          <t>张明峰</t>
        </is>
      </c>
      <c r="E341" s="53" t="n"/>
      <c r="F341" s="53" t="n"/>
      <c r="G341" s="53" t="n"/>
      <c r="H341" s="81" t="inlineStr">
        <is>
          <t>导出插件任务资产概况</t>
        </is>
      </c>
      <c r="I341" s="76" t="inlineStr">
        <is>
          <t>EO</t>
        </is>
      </c>
      <c r="J341" s="108" t="n"/>
      <c r="K341" s="108" t="n"/>
      <c r="L341" s="83">
        <f>IF(OR(X341="估算法",X341="算法类",X341="无法识别"),"",IF(V341="",IF(OR(I341="EI",I341="EO",I341="EQ"),0,""),LEN(V341)-LEN(SUBSTITUTE(V341,"、",""))+1))</f>
        <v/>
      </c>
      <c r="M341" s="83">
        <f>IF(OR(X341="估算法",X341="算法类",X341="无法识别"),"",IF(W341="",IF(OR(I341="ILF",I341="EIF"),0,""),LEN(W341)-LEN(SUBSTITUTE(W341,"、",""))+1))</f>
        <v/>
      </c>
      <c r="N341" s="83">
        <f>IF(OR(X341="估算法",X341="算法类",X341="无法识别"),"",IF(X341="",IF(OR(I341="ILF",I341="EIF",I341="EI",I341="EO",I341="EQ"),0,""),LEN(X341)-LEN(SUBSTITUTE(SUBSTITUTE(SUBSTITUTE(SUBSTITUTE(SUBSTITUTE(X341,"|}","--"),"{|","--"),CHAR(10),""),"、",""),"|",""))+IF(AND(OR(I341="EI",I341="EO",I341="EQ"),$AD$1="NESMA"),2,1)))</f>
        <v/>
      </c>
      <c r="O341" s="84">
        <f>IF(I341="EI",IF(OR(X341="估算法",X341="算法类"),"中",IF(X341="无法识别","低",IF(L341&lt;2,IF(N341&lt;16,"低","中"),IF(L341&lt;3,IF(N341&lt;5,"低",IF(N341&lt;16,"中","高")),IF(N341&lt;5,"中","高"))))),IF(OR(I341="EO",I341="EQ"),IF(OR(X341="估算法",X341="算法类"),"中",IF(X341="无法识别","低",IF(L341&lt;2,IF(N341&lt;20,"低","中"),IF(L341&lt;4,IF(N341&lt;6,"低",IF(N341&lt;20,"中","高")),IF(N341&lt;6,"中","高"))))),IF(OR(I341="ILF",I341="EIF"),IF(OR(X341="估算法",X341="算法类",X341="无法识别"),"低",IF(M341&lt;2,IF(N341&lt;51,"低","中"),IF(M341&lt;6,IF(N341&lt;20,"低",IF(N341&lt;51,"中","高")),IF(N341&lt;20,"中","高")))),"不计算")))</f>
        <v/>
      </c>
      <c r="P341" s="142">
        <f>IFERROR(IF(I341="EI",IF(O341="低",3,IF(O341="中",4,6)),IF(I341="EO",IF(O341="低",4,IF(O341="中",5,7)),IF(I341="EQ",IF(O341="低",3,IF(O341="中",4,6)),IF(I341="ILF",IF(O341="低",7,IF(O341="中",10,15)),IF(I341="EIF",IF(O341="低",5,IF(O341="中",7,10)),"不计算")))))*Q341,"不计算")</f>
        <v/>
      </c>
      <c r="Q341" s="142" t="n">
        <v>1</v>
      </c>
      <c r="R341" s="143">
        <f>调整因子!$F$13</f>
        <v/>
      </c>
      <c r="S341" s="76" t="n">
        <v>1</v>
      </c>
      <c r="T341" s="144">
        <f>IFERROR(P341*R341,0)</f>
        <v/>
      </c>
      <c r="U341" s="144">
        <f>T341*S341</f>
        <v/>
      </c>
      <c r="V341" s="88" t="inlineStr">
        <is>
          <t>插件任务基本信息表、漏洞概况表</t>
        </is>
      </c>
      <c r="W341" s="100" t="n"/>
      <c r="X341" s="88" t="inlineStr">
        <is>
          <t>插件任务基本信息表{任务ID、任务名称、描述、插件ID、状态、创建时间、资产概况表{概况ID、任务ID、总资产数、已扫描资产数、失败资产数、详情}</t>
        </is>
      </c>
      <c r="Y341" s="88" t="n"/>
      <c r="Z341" s="88" t="n"/>
      <c r="AA341" s="96" t="inlineStr">
        <is>
          <t>态势大屏配置表、同步任务调度表</t>
        </is>
      </c>
    </row>
    <row r="342" ht="21.6" customHeight="1">
      <c r="A342" s="69">
        <f>ROW()-1</f>
        <v/>
      </c>
      <c r="B342" s="53" t="n"/>
      <c r="C342" s="78" t="n">
        <v>2025</v>
      </c>
      <c r="D342" s="78" t="inlineStr">
        <is>
          <t>张明峰</t>
        </is>
      </c>
      <c r="E342" s="53" t="n"/>
      <c r="F342" s="53" t="n"/>
      <c r="G342" s="53" t="n"/>
      <c r="H342" s="81" t="inlineStr">
        <is>
          <t>查看插件任务漏洞概况</t>
        </is>
      </c>
      <c r="I342" s="76" t="inlineStr">
        <is>
          <t>EQ</t>
        </is>
      </c>
      <c r="J342" s="108" t="n"/>
      <c r="K342" s="108" t="n"/>
      <c r="L342" s="83">
        <f>IF(OR(X342="估算法",X342="算法类",X342="无法识别"),"",IF(V342="",IF(OR(I342="EI",I342="EO",I342="EQ"),0,""),LEN(V342)-LEN(SUBSTITUTE(V342,"、",""))+1))</f>
        <v/>
      </c>
      <c r="M342" s="83">
        <f>IF(OR(X342="估算法",X342="算法类",X342="无法识别"),"",IF(W342="",IF(OR(I342="ILF",I342="EIF"),0,""),LEN(W342)-LEN(SUBSTITUTE(W342,"、",""))+1))</f>
        <v/>
      </c>
      <c r="N342" s="83">
        <f>IF(OR(X342="估算法",X342="算法类",X342="无法识别"),"",IF(X342="",IF(OR(I342="ILF",I342="EIF",I342="EI",I342="EO",I342="EQ"),0,""),LEN(X342)-LEN(SUBSTITUTE(SUBSTITUTE(SUBSTITUTE(SUBSTITUTE(SUBSTITUTE(X342,"|}","--"),"{|","--"),CHAR(10),""),"、",""),"|",""))+IF(AND(OR(I342="EI",I342="EO",I342="EQ"),$AD$1="NESMA"),2,1)))</f>
        <v/>
      </c>
      <c r="O342" s="84">
        <f>IF(I342="EI",IF(OR(X342="估算法",X342="算法类"),"中",IF(X342="无法识别","低",IF(L342&lt;2,IF(N342&lt;16,"低","中"),IF(L342&lt;3,IF(N342&lt;5,"低",IF(N342&lt;16,"中","高")),IF(N342&lt;5,"中","高"))))),IF(OR(I342="EO",I342="EQ"),IF(OR(X342="估算法",X342="算法类"),"中",IF(X342="无法识别","低",IF(L342&lt;2,IF(N342&lt;20,"低","中"),IF(L342&lt;4,IF(N342&lt;6,"低",IF(N342&lt;20,"中","高")),IF(N342&lt;6,"中","高"))))),IF(OR(I342="ILF",I342="EIF"),IF(OR(X342="估算法",X342="算法类",X342="无法识别"),"低",IF(M342&lt;2,IF(N342&lt;51,"低","中"),IF(M342&lt;6,IF(N342&lt;20,"低",IF(N342&lt;51,"中","高")),IF(N342&lt;20,"中","高")))),"不计算")))</f>
        <v/>
      </c>
      <c r="P342" s="142">
        <f>IFERROR(IF(I342="EI",IF(O342="低",3,IF(O342="中",4,6)),IF(I342="EO",IF(O342="低",4,IF(O342="中",5,7)),IF(I342="EQ",IF(O342="低",3,IF(O342="中",4,6)),IF(I342="ILF",IF(O342="低",7,IF(O342="中",10,15)),IF(I342="EIF",IF(O342="低",5,IF(O342="中",7,10)),"不计算")))))*Q342,"不计算")</f>
        <v/>
      </c>
      <c r="Q342" s="142" t="n">
        <v>1</v>
      </c>
      <c r="R342" s="143">
        <f>调整因子!$F$13</f>
        <v/>
      </c>
      <c r="S342" s="70" t="n">
        <v>1</v>
      </c>
      <c r="T342" s="144">
        <f>IFERROR(P342*R342,0)</f>
        <v/>
      </c>
      <c r="U342" s="144">
        <f>T342*S342</f>
        <v/>
      </c>
      <c r="V342" s="88" t="inlineStr">
        <is>
          <t>漏洞概况表</t>
        </is>
      </c>
      <c r="W342" s="100" t="n"/>
      <c r="X342" s="88" t="inlineStr">
        <is>
          <t>漏洞概况表{概况ID、任务ID、总漏洞数、严重漏洞数、高危漏洞数、中危漏洞数、低危漏洞数、详情}</t>
        </is>
      </c>
      <c r="Y342" s="88" t="n"/>
      <c r="Z342" s="88" t="n"/>
      <c r="AA342" s="96" t="inlineStr">
        <is>
          <t>任务优先级配置表、接口参数表</t>
        </is>
      </c>
    </row>
    <row r="343" ht="21.6" customHeight="1">
      <c r="A343" s="69">
        <f>ROW()-1</f>
        <v/>
      </c>
      <c r="B343" s="53" t="n"/>
      <c r="C343" s="78" t="n">
        <v>2025</v>
      </c>
      <c r="D343" s="78" t="inlineStr">
        <is>
          <t>张明峰</t>
        </is>
      </c>
      <c r="E343" s="53" t="n"/>
      <c r="F343" s="53" t="n"/>
      <c r="G343" s="53" t="n"/>
      <c r="H343" s="81" t="inlineStr">
        <is>
          <t>查看插件任务引擎概况</t>
        </is>
      </c>
      <c r="I343" s="76" t="inlineStr">
        <is>
          <t>EQ</t>
        </is>
      </c>
      <c r="J343" s="98" t="inlineStr">
        <is>
          <t>修改「FTR、DET」</t>
        </is>
      </c>
      <c r="K343" s="108" t="inlineStr">
        <is>
          <t>和上行合并，输入输出字段完全一致</t>
        </is>
      </c>
      <c r="L343" s="83">
        <f>IF(OR(X343="估算法",X343="算法类",X343="无法识别"),"",IF(V343="",IF(OR(I343="EI",I343="EO",I343="EQ"),0,""),LEN(V343)-LEN(SUBSTITUTE(V343,"、",""))+1))</f>
        <v/>
      </c>
      <c r="M343" s="83">
        <f>IF(OR(X343="估算法",X343="算法类",X343="无法识别"),"",IF(W343="",IF(OR(I343="ILF",I343="EIF"),0,""),LEN(W343)-LEN(SUBSTITUTE(W343,"、",""))+1))</f>
        <v/>
      </c>
      <c r="N343" s="83">
        <f>IF(OR(X343="估算法",X343="算法类",X343="无法识别"),"",IF(X343="",IF(OR(I343="ILF",I343="EIF",I343="EI",I343="EO",I343="EQ"),0,""),LEN(X343)-LEN(SUBSTITUTE(SUBSTITUTE(SUBSTITUTE(SUBSTITUTE(SUBSTITUTE(X343,"|}","--"),"{|","--"),CHAR(10),""),"、",""),"|",""))+IF(AND(OR(I343="EI",I343="EO",I343="EQ"),$AD$1="NESMA"),2,1)))</f>
        <v/>
      </c>
      <c r="O343" s="84">
        <f>IF(I343="EI",IF(OR(X343="估算法",X343="算法类"),"中",IF(X343="无法识别","低",IF(L343&lt;2,IF(N343&lt;16,"低","中"),IF(L343&lt;3,IF(N343&lt;5,"低",IF(N343&lt;16,"中","高")),IF(N343&lt;5,"中","高"))))),IF(OR(I343="EO",I343="EQ"),IF(OR(X343="估算法",X343="算法类"),"中",IF(X343="无法识别","低",IF(L343&lt;2,IF(N343&lt;20,"低","中"),IF(L343&lt;4,IF(N343&lt;6,"低",IF(N343&lt;20,"中","高")),IF(N343&lt;6,"中","高"))))),IF(OR(I343="ILF",I343="EIF"),IF(OR(X343="估算法",X343="算法类",X343="无法识别"),"低",IF(M343&lt;2,IF(N343&lt;51,"低","中"),IF(M343&lt;6,IF(N343&lt;20,"低",IF(N343&lt;51,"中","高")),IF(N343&lt;20,"中","高")))),"不计算")))</f>
        <v/>
      </c>
      <c r="P343" s="142">
        <f>IFERROR(IF(I343="EI",IF(O343="低",3,IF(O343="中",4,6)),IF(I343="EO",IF(O343="低",4,IF(O343="中",5,7)),IF(I343="EQ",IF(O343="低",3,IF(O343="中",4,6)),IF(I343="ILF",IF(O343="低",7,IF(O343="中",10,15)),IF(I343="EIF",IF(O343="低",5,IF(O343="中",7,10)),"不计算")))))*Q343,"不计算")</f>
        <v/>
      </c>
      <c r="Q343" s="142" t="n">
        <v>1</v>
      </c>
      <c r="R343" s="143">
        <f>调整因子!$F$13</f>
        <v/>
      </c>
      <c r="S343" s="70" t="n">
        <v>1</v>
      </c>
      <c r="T343" s="144">
        <f>IFERROR(P343*R343,0)</f>
        <v/>
      </c>
      <c r="U343" s="144">
        <f>T343*S343</f>
        <v/>
      </c>
      <c r="V343" s="88" t="inlineStr">
        <is>
          <t>漏洞概况表</t>
        </is>
      </c>
      <c r="W343" s="100" t="n"/>
      <c r="X343" s="88" t="inlineStr">
        <is>
          <t>漏洞概况表{概况ID、任务ID、总漏洞数、严重漏洞数、高危漏洞数、中危漏洞数、低危漏洞数、详情}</t>
        </is>
      </c>
      <c r="Y343" s="88" t="n"/>
      <c r="Z343" s="88" t="n"/>
      <c r="AA343" s="96" t="inlineStr">
        <is>
          <t>考核指标配置表、任务趋势分析表</t>
        </is>
      </c>
    </row>
    <row r="344" ht="21.6" customHeight="1">
      <c r="A344" s="69">
        <f>ROW()-1</f>
        <v/>
      </c>
      <c r="B344" s="53" t="n"/>
      <c r="C344" s="78" t="n">
        <v>2025</v>
      </c>
      <c r="D344" s="78" t="inlineStr">
        <is>
          <t>张明峰</t>
        </is>
      </c>
      <c r="E344" s="53" t="n"/>
      <c r="F344" s="53" t="n"/>
      <c r="G344" s="53" t="n"/>
      <c r="H344" s="81" t="inlineStr">
        <is>
          <t>导出插件任务漏洞结果</t>
        </is>
      </c>
      <c r="I344" s="76" t="inlineStr">
        <is>
          <t>EO</t>
        </is>
      </c>
      <c r="J344" s="108" t="n"/>
      <c r="K344" s="108" t="n"/>
      <c r="L344" s="83">
        <f>IF(OR(X344="估算法",X344="算法类",X344="无法识别"),"",IF(V344="",IF(OR(I344="EI",I344="EO",I344="EQ"),0,""),LEN(V344)-LEN(SUBSTITUTE(V344,"、",""))+1))</f>
        <v/>
      </c>
      <c r="M344" s="83">
        <f>IF(OR(X344="估算法",X344="算法类",X344="无法识别"),"",IF(W344="",IF(OR(I344="ILF",I344="EIF"),0,""),LEN(W344)-LEN(SUBSTITUTE(W344,"、",""))+1))</f>
        <v/>
      </c>
      <c r="N344" s="83">
        <f>IF(OR(X344="估算法",X344="算法类",X344="无法识别"),"",IF(X344="",IF(OR(I344="ILF",I344="EIF",I344="EI",I344="EO",I344="EQ"),0,""),LEN(X344)-LEN(SUBSTITUTE(SUBSTITUTE(SUBSTITUTE(SUBSTITUTE(SUBSTITUTE(X344,"|}","--"),"{|","--"),CHAR(10),""),"、",""),"|",""))+IF(AND(OR(I344="EI",I344="EO",I344="EQ"),$AD$1="NESMA"),2,1)))</f>
        <v/>
      </c>
      <c r="O344" s="84">
        <f>IF(I344="EI",IF(OR(X344="估算法",X344="算法类"),"中",IF(X344="无法识别","低",IF(L344&lt;2,IF(N344&lt;16,"低","中"),IF(L344&lt;3,IF(N344&lt;5,"低",IF(N344&lt;16,"中","高")),IF(N344&lt;5,"中","高"))))),IF(OR(I344="EO",I344="EQ"),IF(OR(X344="估算法",X344="算法类"),"中",IF(X344="无法识别","低",IF(L344&lt;2,IF(N344&lt;20,"低","中"),IF(L344&lt;4,IF(N344&lt;6,"低",IF(N344&lt;20,"中","高")),IF(N344&lt;6,"中","高"))))),IF(OR(I344="ILF",I344="EIF"),IF(OR(X344="估算法",X344="算法类",X344="无法识别"),"低",IF(M344&lt;2,IF(N344&lt;51,"低","中"),IF(M344&lt;6,IF(N344&lt;20,"低",IF(N344&lt;51,"中","高")),IF(N344&lt;20,"中","高")))),"不计算")))</f>
        <v/>
      </c>
      <c r="P344" s="142">
        <f>IFERROR(IF(I344="EI",IF(O344="低",3,IF(O344="中",4,6)),IF(I344="EO",IF(O344="低",4,IF(O344="中",5,7)),IF(I344="EQ",IF(O344="低",3,IF(O344="中",4,6)),IF(I344="ILF",IF(O344="低",7,IF(O344="中",10,15)),IF(I344="EIF",IF(O344="低",5,IF(O344="中",7,10)),"不计算")))))*Q344,"不计算")</f>
        <v/>
      </c>
      <c r="Q344" s="142" t="n">
        <v>1</v>
      </c>
      <c r="R344" s="143">
        <f>调整因子!$F$13</f>
        <v/>
      </c>
      <c r="S344" s="76" t="n">
        <v>1</v>
      </c>
      <c r="T344" s="144">
        <f>IFERROR(P344*R344,0)</f>
        <v/>
      </c>
      <c r="U344" s="144">
        <f>T344*S344</f>
        <v/>
      </c>
      <c r="V344" s="88" t="inlineStr">
        <is>
          <t>漏洞概况表</t>
        </is>
      </c>
      <c r="W344" s="100" t="n"/>
      <c r="X344" s="88" t="inlineStr">
        <is>
          <t>漏洞概况表{概况ID、任务ID、总漏洞数、严重漏洞数、高危漏洞数、中危漏洞数、低危漏洞数、详情}</t>
        </is>
      </c>
      <c r="Y344" s="88" t="n"/>
      <c r="Z344" s="88" t="n"/>
      <c r="AA344" s="96" t="inlineStr">
        <is>
          <t>方案审批表</t>
        </is>
      </c>
    </row>
    <row r="345">
      <c r="A345" s="69">
        <f>ROW()-1</f>
        <v/>
      </c>
      <c r="B345" s="53" t="n"/>
      <c r="C345" s="78" t="n">
        <v>2025</v>
      </c>
      <c r="D345" s="78" t="inlineStr">
        <is>
          <t>张明峰</t>
        </is>
      </c>
      <c r="E345" s="53" t="n"/>
      <c r="F345" s="53" t="n"/>
      <c r="G345" s="53" t="n"/>
      <c r="H345" s="81" t="inlineStr">
        <is>
          <t>查看插件任务报告</t>
        </is>
      </c>
      <c r="I345" s="76" t="inlineStr">
        <is>
          <t>EQ</t>
        </is>
      </c>
      <c r="J345" s="108" t="n"/>
      <c r="K345" s="108" t="n"/>
      <c r="L345" s="83">
        <f>IF(OR(X345="估算法",X345="算法类",X345="无法识别"),"",IF(V345="",IF(OR(I345="EI",I345="EO",I345="EQ"),0,""),LEN(V345)-LEN(SUBSTITUTE(V345,"、",""))+1))</f>
        <v/>
      </c>
      <c r="M345" s="83">
        <f>IF(OR(X345="估算法",X345="算法类",X345="无法识别"),"",IF(W345="",IF(OR(I345="ILF",I345="EIF"),0,""),LEN(W345)-LEN(SUBSTITUTE(W345,"、",""))+1))</f>
        <v/>
      </c>
      <c r="N345" s="83">
        <f>IF(OR(X345="估算法",X345="算法类",X345="无法识别"),"",IF(X345="",IF(OR(I345="ILF",I345="EIF",I345="EI",I345="EO",I345="EQ"),0,""),LEN(X345)-LEN(SUBSTITUTE(SUBSTITUTE(SUBSTITUTE(SUBSTITUTE(SUBSTITUTE(X345,"|}","--"),"{|","--"),CHAR(10),""),"、",""),"|",""))+IF(AND(OR(I345="EI",I345="EO",I345="EQ"),$AD$1="NESMA"),2,1)))</f>
        <v/>
      </c>
      <c r="O345" s="84">
        <f>IF(I345="EI",IF(OR(X345="估算法",X345="算法类"),"中",IF(X345="无法识别","低",IF(L345&lt;2,IF(N345&lt;16,"低","中"),IF(L345&lt;3,IF(N345&lt;5,"低",IF(N345&lt;16,"中","高")),IF(N345&lt;5,"中","高"))))),IF(OR(I345="EO",I345="EQ"),IF(OR(X345="估算法",X345="算法类"),"中",IF(X345="无法识别","低",IF(L345&lt;2,IF(N345&lt;20,"低","中"),IF(L345&lt;4,IF(N345&lt;6,"低",IF(N345&lt;20,"中","高")),IF(N345&lt;6,"中","高"))))),IF(OR(I345="ILF",I345="EIF"),IF(OR(X345="估算法",X345="算法类",X345="无法识别"),"低",IF(M345&lt;2,IF(N345&lt;51,"低","中"),IF(M345&lt;6,IF(N345&lt;20,"低",IF(N345&lt;51,"中","高")),IF(N345&lt;20,"中","高")))),"不计算")))</f>
        <v/>
      </c>
      <c r="P345" s="142">
        <f>IFERROR(IF(I345="EI",IF(O345="低",3,IF(O345="中",4,6)),IF(I345="EO",IF(O345="低",4,IF(O345="中",5,7)),IF(I345="EQ",IF(O345="低",3,IF(O345="中",4,6)),IF(I345="ILF",IF(O345="低",7,IF(O345="中",10,15)),IF(I345="EIF",IF(O345="低",5,IF(O345="中",7,10)),"不计算")))))*Q345,"不计算")</f>
        <v/>
      </c>
      <c r="Q345" s="142" t="n">
        <v>1</v>
      </c>
      <c r="R345" s="143">
        <f>调整因子!$F$13</f>
        <v/>
      </c>
      <c r="S345" s="70" t="n">
        <v>1</v>
      </c>
      <c r="T345" s="144">
        <f>IFERROR(P345*R345,0)</f>
        <v/>
      </c>
      <c r="U345" s="144">
        <f>T345*S345</f>
        <v/>
      </c>
      <c r="V345" s="88" t="inlineStr">
        <is>
          <t>插件任务基本信息表</t>
        </is>
      </c>
      <c r="W345" s="100" t="n"/>
      <c r="X345" s="88" t="inlineStr">
        <is>
          <t>插件任务基本信息表{任务ID、任务名称、描述、插件ID、状态、创建时间}</t>
        </is>
      </c>
      <c r="Y345" s="88" t="n"/>
      <c r="Z345" s="88" t="n"/>
      <c r="AA345" s="96" t="inlineStr">
        <is>
          <t>数据清洗任务表</t>
        </is>
      </c>
    </row>
    <row r="346" ht="43.2" customHeight="1">
      <c r="A346" s="69">
        <f>ROW()-1</f>
        <v/>
      </c>
      <c r="B346" s="53" t="n"/>
      <c r="C346" s="78" t="n">
        <v>2025</v>
      </c>
      <c r="D346" s="78" t="inlineStr">
        <is>
          <t>张明峰</t>
        </is>
      </c>
      <c r="E346" s="53" t="n"/>
      <c r="F346" s="53" t="n"/>
      <c r="G346" s="53" t="n"/>
      <c r="H346" s="81" t="inlineStr">
        <is>
          <t>生成插件任务报告</t>
        </is>
      </c>
      <c r="I346" s="76" t="inlineStr">
        <is>
          <t>EO</t>
        </is>
      </c>
      <c r="J346" s="108" t="n"/>
      <c r="K346" s="108" t="n"/>
      <c r="L346" s="83">
        <f>IF(OR(X346="估算法",X346="算法类",X346="无法识别"),"",IF(V346="",IF(OR(I346="EI",I346="EO",I346="EQ"),0,""),LEN(V346)-LEN(SUBSTITUTE(V346,"、",""))+1))</f>
        <v/>
      </c>
      <c r="M346" s="83">
        <f>IF(OR(X346="估算法",X346="算法类",X346="无法识别"),"",IF(W346="",IF(OR(I346="ILF",I346="EIF"),0,""),LEN(W346)-LEN(SUBSTITUTE(W346,"、",""))+1))</f>
        <v/>
      </c>
      <c r="N346" s="83">
        <f>IF(OR(X346="估算法",X346="算法类",X346="无法识别"),"",IF(X346="",IF(OR(I346="ILF",I346="EIF",I346="EI",I346="EO",I346="EQ"),0,""),LEN(X346)-LEN(SUBSTITUTE(SUBSTITUTE(SUBSTITUTE(SUBSTITUTE(SUBSTITUTE(X346,"|}","--"),"{|","--"),CHAR(10),""),"、",""),"|",""))+IF(AND(OR(I346="EI",I346="EO",I346="EQ"),$AD$1="NESMA"),2,1)))</f>
        <v/>
      </c>
      <c r="O346" s="84">
        <f>IF(I346="EI",IF(OR(X346="估算法",X346="算法类"),"中",IF(X346="无法识别","低",IF(L346&lt;2,IF(N346&lt;16,"低","中"),IF(L346&lt;3,IF(N346&lt;5,"低",IF(N346&lt;16,"中","高")),IF(N346&lt;5,"中","高"))))),IF(OR(I346="EO",I346="EQ"),IF(OR(X346="估算法",X346="算法类"),"中",IF(X346="无法识别","低",IF(L346&lt;2,IF(N346&lt;20,"低","中"),IF(L346&lt;4,IF(N346&lt;6,"低",IF(N346&lt;20,"中","高")),IF(N346&lt;6,"中","高"))))),IF(OR(I346="ILF",I346="EIF"),IF(OR(X346="估算法",X346="算法类",X346="无法识别"),"低",IF(M346&lt;2,IF(N346&lt;51,"低","中"),IF(M346&lt;6,IF(N346&lt;20,"低",IF(N346&lt;51,"中","高")),IF(N346&lt;20,"中","高")))),"不计算")))</f>
        <v/>
      </c>
      <c r="P346" s="142">
        <f>IFERROR(IF(I346="EI",IF(O346="低",3,IF(O346="中",4,6)),IF(I346="EO",IF(O346="低",4,IF(O346="中",5,7)),IF(I346="EQ",IF(O346="低",3,IF(O346="中",4,6)),IF(I346="ILF",IF(O346="低",7,IF(O346="中",10,15)),IF(I346="EIF",IF(O346="低",5,IF(O346="中",7,10)),"不计算")))))*Q346,"不计算")</f>
        <v/>
      </c>
      <c r="Q346" s="142" t="n">
        <v>1</v>
      </c>
      <c r="R346" s="143">
        <f>调整因子!$F$13</f>
        <v/>
      </c>
      <c r="S346" s="70" t="n">
        <v>1</v>
      </c>
      <c r="T346" s="144">
        <f>IFERROR(P346*R346,0)</f>
        <v/>
      </c>
      <c r="U346" s="144">
        <f>T346*S346</f>
        <v/>
      </c>
      <c r="V346" s="88" t="inlineStr">
        <is>
          <t>插件任务报告表、报告模板表、报告生成记录表</t>
        </is>
      </c>
      <c r="W346" s="89" t="n"/>
      <c r="X346" s="88" t="inlineStr">
        <is>
          <t>插件任务报告表{报告ID、任务ID、报告内容、生成时间、下载链接}、报告模板表{模板ID、模板名称、内容、创建时间|响应状态码、返回数据信息|响应状态码、返回数据信息}、报告生成记录表{记录ID、报告ID、生成时间、生成人|响应状态码、返回数据信息}、报告生成记录表{报告编号、任务编号|记录编号、生成时间、生成人}</t>
        </is>
      </c>
      <c r="Y346" s="88" t="n"/>
      <c r="Z346" s="88" t="n"/>
      <c r="AA346" s="96" t="inlineStr">
        <is>
          <t>数据清洗任务表</t>
        </is>
      </c>
    </row>
    <row r="347" ht="32.4" customHeight="1">
      <c r="A347" s="69">
        <f>ROW()-1</f>
        <v/>
      </c>
      <c r="B347" s="53" t="n"/>
      <c r="C347" s="78" t="n">
        <v>2025</v>
      </c>
      <c r="D347" s="78" t="inlineStr">
        <is>
          <t>张明峰</t>
        </is>
      </c>
      <c r="E347" s="53" t="n"/>
      <c r="F347" s="53" t="n"/>
      <c r="G347" s="53" t="n"/>
      <c r="H347" s="81" t="inlineStr">
        <is>
          <t>下载插件任务报告</t>
        </is>
      </c>
      <c r="I347" s="76" t="inlineStr">
        <is>
          <t>EO</t>
        </is>
      </c>
      <c r="J347" s="108" t="n"/>
      <c r="K347" s="108" t="n"/>
      <c r="L347" s="83">
        <f>IF(OR(X347="估算法",X347="算法类",X347="无法识别"),"",IF(V347="",IF(OR(I347="EI",I347="EO",I347="EQ"),0,""),LEN(V347)-LEN(SUBSTITUTE(V347,"、",""))+1))</f>
        <v/>
      </c>
      <c r="M347" s="83">
        <f>IF(OR(X347="估算法",X347="算法类",X347="无法识别"),"",IF(W347="",IF(OR(I347="ILF",I347="EIF"),0,""),LEN(W347)-LEN(SUBSTITUTE(W347,"、",""))+1))</f>
        <v/>
      </c>
      <c r="N347" s="83">
        <f>IF(OR(X347="估算法",X347="算法类",X347="无法识别"),"",IF(X347="",IF(OR(I347="ILF",I347="EIF",I347="EI",I347="EO",I347="EQ"),0,""),LEN(X347)-LEN(SUBSTITUTE(SUBSTITUTE(SUBSTITUTE(SUBSTITUTE(SUBSTITUTE(X347,"|}","--"),"{|","--"),CHAR(10),""),"、",""),"|",""))+IF(AND(OR(I347="EI",I347="EO",I347="EQ"),$AD$1="NESMA"),2,1)))</f>
        <v/>
      </c>
      <c r="O347" s="84">
        <f>IF(I347="EI",IF(OR(X347="估算法",X347="算法类"),"中",IF(X347="无法识别","低",IF(L347&lt;2,IF(N347&lt;16,"低","中"),IF(L347&lt;3,IF(N347&lt;5,"低",IF(N347&lt;16,"中","高")),IF(N347&lt;5,"中","高"))))),IF(OR(I347="EO",I347="EQ"),IF(OR(X347="估算法",X347="算法类"),"中",IF(X347="无法识别","低",IF(L347&lt;2,IF(N347&lt;20,"低","中"),IF(L347&lt;4,IF(N347&lt;6,"低",IF(N347&lt;20,"中","高")),IF(N347&lt;6,"中","高"))))),IF(OR(I347="ILF",I347="EIF"),IF(OR(X347="估算法",X347="算法类",X347="无法识别"),"低",IF(M347&lt;2,IF(N347&lt;51,"低","中"),IF(M347&lt;6,IF(N347&lt;20,"低",IF(N347&lt;51,"中","高")),IF(N347&lt;20,"中","高")))),"不计算")))</f>
        <v/>
      </c>
      <c r="P347" s="142">
        <f>IFERROR(IF(I347="EI",IF(O347="低",3,IF(O347="中",4,6)),IF(I347="EO",IF(O347="低",4,IF(O347="中",5,7)),IF(I347="EQ",IF(O347="低",3,IF(O347="中",4,6)),IF(I347="ILF",IF(O347="低",7,IF(O347="中",10,15)),IF(I347="EIF",IF(O347="低",5,IF(O347="中",7,10)),"不计算")))))*Q347,"不计算")</f>
        <v/>
      </c>
      <c r="Q347" s="142" t="n">
        <v>1</v>
      </c>
      <c r="R347" s="143">
        <f>调整因子!$F$13</f>
        <v/>
      </c>
      <c r="S347" s="76" t="n">
        <v>1</v>
      </c>
      <c r="T347" s="144">
        <f>IFERROR(P347*R347,0)</f>
        <v/>
      </c>
      <c r="U347" s="144">
        <f>T347*S347</f>
        <v/>
      </c>
      <c r="V347" s="88" t="inlineStr">
        <is>
          <t>插件任务报告表、报告模板表</t>
        </is>
      </c>
      <c r="W347" s="89" t="n"/>
      <c r="X347" s="88" t="inlineStr">
        <is>
          <t>插件任务报告表{报告ID、任务ID、报告内容、生成时间、下载链接}、报告模板表{模板ID、模板名称、内容、创建时间|响应状态码、返回数据信息|响应状态码、返回数据信息}</t>
        </is>
      </c>
      <c r="Y347" s="88" t="n"/>
      <c r="Z347" s="88" t="n"/>
      <c r="AA347" s="96" t="inlineStr">
        <is>
          <t>数据清洗任务表、资产同步任务表</t>
        </is>
      </c>
    </row>
    <row r="348">
      <c r="A348" s="69">
        <f>ROW()-1</f>
        <v/>
      </c>
      <c r="B348" s="53" t="n"/>
      <c r="C348" s="78" t="n">
        <v>2025</v>
      </c>
      <c r="D348" s="78" t="inlineStr">
        <is>
          <t>张明峰</t>
        </is>
      </c>
      <c r="E348" s="53" t="n"/>
      <c r="F348" s="53" t="n"/>
      <c r="G348" s="53" t="n"/>
      <c r="H348" s="81" t="inlineStr">
        <is>
          <t>插件任务基本信息表</t>
        </is>
      </c>
      <c r="I348" s="76" t="inlineStr">
        <is>
          <t>ILF</t>
        </is>
      </c>
      <c r="J348" s="108" t="n"/>
      <c r="K348" s="108" t="inlineStr">
        <is>
          <t>数据库表未被本系统所维护</t>
        </is>
      </c>
      <c r="L348" s="83">
        <f>IF(OR(X348="估算法",X348="算法类",X348="无法识别"),"",IF(V348="",IF(OR(I348="EI",I348="EO",I348="EQ"),0,""),LEN(V348)-LEN(SUBSTITUTE(V348,"、",""))+1))</f>
        <v/>
      </c>
      <c r="M348" s="83">
        <f>IF(OR(X348="估算法",X348="算法类",X348="无法识别"),"",IF(W348="",IF(OR(I348="ILF",I348="EIF"),0,""),LEN(W348)-LEN(SUBSTITUTE(W348,"、",""))+1))</f>
        <v/>
      </c>
      <c r="N348" s="83">
        <f>IF(OR(X348="估算法",X348="算法类",X348="无法识别"),"",IF(X348="",IF(OR(I348="ILF",I348="EIF",I348="EI",I348="EO",I348="EQ"),0,""),LEN(X348)-LEN(SUBSTITUTE(SUBSTITUTE(SUBSTITUTE(SUBSTITUTE(SUBSTITUTE(X348,"|}","--"),"{|","--"),CHAR(10),""),"、",""),"|",""))+IF(AND(OR(I348="EI",I348="EO",I348="EQ"),$AD$1="NESMA"),2,1)))</f>
        <v/>
      </c>
      <c r="O348" s="84">
        <f>IF(I348="EI",IF(OR(X348="估算法",X348="算法类"),"中",IF(X348="无法识别","低",IF(L348&lt;2,IF(N348&lt;16,"低","中"),IF(L348&lt;3,IF(N348&lt;5,"低",IF(N348&lt;16,"中","高")),IF(N348&lt;5,"中","高"))))),IF(OR(I348="EO",I348="EQ"),IF(OR(X348="估算法",X348="算法类"),"中",IF(X348="无法识别","低",IF(L348&lt;2,IF(N348&lt;20,"低","中"),IF(L348&lt;4,IF(N348&lt;6,"低",IF(N348&lt;20,"中","高")),IF(N348&lt;6,"中","高"))))),IF(OR(I348="ILF",I348="EIF"),IF(OR(X348="估算法",X348="算法类",X348="无法识别"),"低",IF(M348&lt;2,IF(N348&lt;51,"低","中"),IF(M348&lt;6,IF(N348&lt;20,"低",IF(N348&lt;51,"中","高")),IF(N348&lt;20,"中","高")))),"不计算")))</f>
        <v/>
      </c>
      <c r="P348" s="142">
        <f>IFERROR(IF(I348="EI",IF(O348="低",3,IF(O348="中",4,6)),IF(I348="EO",IF(O348="低",4,IF(O348="中",5,7)),IF(I348="EQ",IF(O348="低",3,IF(O348="中",4,6)),IF(I348="ILF",IF(O348="低",7,IF(O348="中",10,15)),IF(I348="EIF",IF(O348="低",5,IF(O348="中",7,10)),"不计算")))))*Q348,"不计算")</f>
        <v/>
      </c>
      <c r="Q348" s="142" t="n">
        <v>0</v>
      </c>
      <c r="R348" s="143">
        <f>调整因子!$F$13</f>
        <v/>
      </c>
      <c r="S348" s="70" t="n">
        <v>1</v>
      </c>
      <c r="T348" s="144">
        <f>IFERROR(P348*R348,0)</f>
        <v/>
      </c>
      <c r="U348" s="144">
        <f>T348*S348</f>
        <v/>
      </c>
      <c r="V348" s="89" t="n"/>
      <c r="W348" s="88" t="inlineStr">
        <is>
          <t>插件任务基本信息表</t>
        </is>
      </c>
      <c r="X348" s="88" t="inlineStr">
        <is>
          <t>插件任务基本信息表{任务ID、任务名称、描述、插件ID、状态、创建时间}</t>
        </is>
      </c>
      <c r="Y348" s="88">
        <f>IF(COUNTIFS(V:V,"*"&amp;H348&amp;"*")&gt;0,"存在","不存在")</f>
        <v/>
      </c>
      <c r="Z348" s="88">
        <f>IF(COUNTIFS(AA:AA,"*"&amp;H348&amp;"*")&gt;0,"存在","不存在")</f>
        <v/>
      </c>
      <c r="AA348" s="96" t="inlineStr">
        <is>
          <t>数据清洗任务表</t>
        </is>
      </c>
    </row>
    <row r="349" ht="21.6" customHeight="1">
      <c r="A349" s="69">
        <f>ROW()-1</f>
        <v/>
      </c>
      <c r="B349" s="53" t="n"/>
      <c r="C349" s="78" t="n">
        <v>2025</v>
      </c>
      <c r="D349" s="78" t="inlineStr">
        <is>
          <t>张明峰</t>
        </is>
      </c>
      <c r="E349" s="53" t="n"/>
      <c r="F349" s="53" t="n"/>
      <c r="G349" s="53" t="n"/>
      <c r="H349" s="81" t="inlineStr">
        <is>
          <t>插件任务高级配置表</t>
        </is>
      </c>
      <c r="I349" s="76" t="inlineStr">
        <is>
          <t>ILF</t>
        </is>
      </c>
      <c r="J349" s="98" t="inlineStr">
        <is>
          <t>添加引用「提交插件任务」</t>
        </is>
      </c>
      <c r="K349" s="108" t="inlineStr">
        <is>
          <t>数据库表未被本系统所使用</t>
        </is>
      </c>
      <c r="L349" s="83">
        <f>IF(OR(X349="估算法",X349="算法类",X349="无法识别"),"",IF(V349="",IF(OR(I349="EI",I349="EO",I349="EQ"),0,""),LEN(V349)-LEN(SUBSTITUTE(V349,"、",""))+1))</f>
        <v/>
      </c>
      <c r="M349" s="83">
        <f>IF(OR(X349="估算法",X349="算法类",X349="无法识别"),"",IF(W349="",IF(OR(I349="ILF",I349="EIF"),0,""),LEN(W349)-LEN(SUBSTITUTE(W349,"、",""))+1))</f>
        <v/>
      </c>
      <c r="N349" s="83">
        <f>IF(OR(X349="估算法",X349="算法类",X349="无法识别"),"",IF(X349="",IF(OR(I349="ILF",I349="EIF",I349="EI",I349="EO",I349="EQ"),0,""),LEN(X349)-LEN(SUBSTITUTE(SUBSTITUTE(SUBSTITUTE(SUBSTITUTE(SUBSTITUTE(X349,"|}","--"),"{|","--"),CHAR(10),""),"、",""),"|",""))+IF(AND(OR(I349="EI",I349="EO",I349="EQ"),$AD$1="NESMA"),2,1)))</f>
        <v/>
      </c>
      <c r="O349" s="84">
        <f>IF(I349="EI",IF(OR(X349="估算法",X349="算法类"),"中",IF(X349="无法识别","低",IF(L349&lt;2,IF(N349&lt;16,"低","中"),IF(L349&lt;3,IF(N349&lt;5,"低",IF(N349&lt;16,"中","高")),IF(N349&lt;5,"中","高"))))),IF(OR(I349="EO",I349="EQ"),IF(OR(X349="估算法",X349="算法类"),"中",IF(X349="无法识别","低",IF(L349&lt;2,IF(N349&lt;20,"低","中"),IF(L349&lt;4,IF(N349&lt;6,"低",IF(N349&lt;20,"中","高")),IF(N349&lt;6,"中","高"))))),IF(OR(I349="ILF",I349="EIF"),IF(OR(X349="估算法",X349="算法类",X349="无法识别"),"低",IF(M349&lt;2,IF(N349&lt;51,"低","中"),IF(M349&lt;6,IF(N349&lt;20,"低",IF(N349&lt;51,"中","高")),IF(N349&lt;20,"中","高")))),"不计算")))</f>
        <v/>
      </c>
      <c r="P349" s="142">
        <f>IFERROR(IF(I349="EI",IF(O349="低",3,IF(O349="中",4,6)),IF(I349="EO",IF(O349="低",4,IF(O349="中",5,7)),IF(I349="EQ",IF(O349="低",3,IF(O349="中",4,6)),IF(I349="ILF",IF(O349="低",7,IF(O349="中",10,15)),IF(I349="EIF",IF(O349="低",5,IF(O349="中",7,10)),"不计算")))))*Q349,"不计算")</f>
        <v/>
      </c>
      <c r="Q349" s="142" t="n">
        <v>1</v>
      </c>
      <c r="R349" s="143">
        <f>调整因子!$F$13</f>
        <v/>
      </c>
      <c r="S349" s="70" t="n">
        <v>1</v>
      </c>
      <c r="T349" s="144">
        <f>IFERROR(P349*R349,0)</f>
        <v/>
      </c>
      <c r="U349" s="144">
        <f>T349*S349</f>
        <v/>
      </c>
      <c r="V349" s="89" t="n"/>
      <c r="W349" s="88" t="inlineStr">
        <is>
          <t>插件任务高级配置表</t>
        </is>
      </c>
      <c r="X349" s="88" t="inlineStr">
        <is>
          <t>插件任务高级配置表{配置ID、任务ID、高级配置内容、创建时间|响应状态码、返回数据信息}</t>
        </is>
      </c>
      <c r="Y349" s="88">
        <f>IF(COUNTIFS(V:V,"*"&amp;H349&amp;"*")&gt;0,"存在","不存在")</f>
        <v/>
      </c>
      <c r="Z349" s="88">
        <f>IF(COUNTIFS(AA:AA,"*"&amp;H349&amp;"*")&gt;0,"存在","不存在")</f>
        <v/>
      </c>
      <c r="AA349" s="96" t="inlineStr">
        <is>
          <t>数据清洗任务表、资产同步任务表</t>
        </is>
      </c>
    </row>
    <row r="350" ht="21.6" customHeight="1">
      <c r="A350" s="69">
        <f>ROW()-1</f>
        <v/>
      </c>
      <c r="B350" s="53" t="n"/>
      <c r="C350" s="78" t="n">
        <v>2025</v>
      </c>
      <c r="D350" s="78" t="inlineStr">
        <is>
          <t>张明峰</t>
        </is>
      </c>
      <c r="E350" s="53" t="n"/>
      <c r="F350" s="53" t="n"/>
      <c r="G350" s="53" t="n"/>
      <c r="H350" s="81" t="inlineStr">
        <is>
          <t>插件任务实例表</t>
        </is>
      </c>
      <c r="I350" s="76" t="n"/>
      <c r="J350" s="108" t="n"/>
      <c r="K350" s="108" t="inlineStr">
        <is>
          <t>非ILF - 运行时状态</t>
        </is>
      </c>
      <c r="L350" s="83">
        <f>IF(OR(X350="估算法",X350="算法类",X350="无法识别"),"",IF(V350="",IF(OR(I350="EI",I350="EO",I350="EQ"),0,""),LEN(V350)-LEN(SUBSTITUTE(V350,"、",""))+1))</f>
        <v/>
      </c>
      <c r="M350" s="83">
        <f>IF(OR(X350="估算法",X350="算法类",X350="无法识别"),"",IF(W350="",IF(OR(I350="ILF",I350="EIF"),0,""),LEN(W350)-LEN(SUBSTITUTE(W350,"、",""))+1))</f>
        <v/>
      </c>
      <c r="N350" s="83">
        <f>IF(OR(X350="估算法",X350="算法类",X350="无法识别"),"",IF(X350="",IF(OR(I350="ILF",I350="EIF",I350="EI",I350="EO",I350="EQ"),0,""),LEN(X350)-LEN(SUBSTITUTE(SUBSTITUTE(SUBSTITUTE(SUBSTITUTE(SUBSTITUTE(X350,"|}","--"),"{|","--"),CHAR(10),""),"、",""),"|",""))+IF(AND(OR(I350="EI",I350="EO",I350="EQ"),$AD$1="NESMA"),2,1)))</f>
        <v/>
      </c>
      <c r="O350" s="84">
        <f>IF(I350="EI",IF(OR(X350="估算法",X350="算法类"),"中",IF(X350="无法识别","低",IF(L350&lt;2,IF(N350&lt;16,"低","中"),IF(L350&lt;3,IF(N350&lt;5,"低",IF(N350&lt;16,"中","高")),IF(N350&lt;5,"中","高"))))),IF(OR(I350="EO",I350="EQ"),IF(OR(X350="估算法",X350="算法类"),"中",IF(X350="无法识别","低",IF(L350&lt;2,IF(N350&lt;20,"低","中"),IF(L350&lt;4,IF(N350&lt;6,"低",IF(N350&lt;20,"中","高")),IF(N350&lt;6,"中","高"))))),IF(OR(I350="ILF",I350="EIF"),IF(OR(X350="估算法",X350="算法类",X350="无法识别"),"低",IF(M350&lt;2,IF(N350&lt;51,"低","中"),IF(M350&lt;6,IF(N350&lt;20,"低",IF(N350&lt;51,"中","高")),IF(N350&lt;20,"中","高")))),"不计算")))</f>
        <v/>
      </c>
      <c r="P350" s="142">
        <f>IFERROR(IF(I350="EI",IF(O350="低",3,IF(O350="中",4,6)),IF(I350="EO",IF(O350="低",4,IF(O350="中",5,7)),IF(I350="EQ",IF(O350="低",3,IF(O350="中",4,6)),IF(I350="ILF",IF(O350="低",7,IF(O350="中",10,15)),IF(I350="EIF",IF(O350="低",5,IF(O350="中",7,10)),"不计算")))))*Q350,"不计算")</f>
        <v/>
      </c>
      <c r="Q350" s="142" t="n">
        <v>1</v>
      </c>
      <c r="R350" s="143">
        <f>调整因子!$F$13</f>
        <v/>
      </c>
      <c r="S350" s="76" t="n">
        <v>1</v>
      </c>
      <c r="T350" s="144">
        <f>IFERROR(P350*R350,0)</f>
        <v/>
      </c>
      <c r="U350" s="144">
        <f>T350*S350</f>
        <v/>
      </c>
      <c r="V350" s="89" t="n"/>
      <c r="W350" s="88" t="inlineStr">
        <is>
          <t>插件任务实例表</t>
        </is>
      </c>
      <c r="X350" s="88" t="inlineStr">
        <is>
          <t>插件任务实例表{实例ID、任务ID、资产ID、状态、开始时间、结束时间|响应状态码、返回数据信息}</t>
        </is>
      </c>
      <c r="Y350" s="88">
        <f>IF(COUNTIFS(V:V,"*"&amp;H350&amp;"*")&gt;0,"存在","不存在")</f>
        <v/>
      </c>
      <c r="Z350" s="88">
        <f>IF(COUNTIFS(AA:AA,"*"&amp;H350&amp;"*")&gt;0,"存在","不存在")</f>
        <v/>
      </c>
      <c r="AA350" s="96" t="inlineStr">
        <is>
          <t>同步失败重试记录表</t>
        </is>
      </c>
    </row>
    <row r="351">
      <c r="A351" s="69">
        <f>ROW()-1</f>
        <v/>
      </c>
      <c r="B351" s="53" t="n"/>
      <c r="C351" s="78" t="n">
        <v>2025</v>
      </c>
      <c r="D351" s="78" t="inlineStr">
        <is>
          <t>张明峰</t>
        </is>
      </c>
      <c r="E351" s="53" t="n"/>
      <c r="F351" s="53" t="n"/>
      <c r="G351" s="53" t="n"/>
      <c r="H351" s="81" t="inlineStr">
        <is>
          <t>资产概况表</t>
        </is>
      </c>
      <c r="I351" s="76" t="n"/>
      <c r="J351" s="108" t="n"/>
      <c r="K351" s="108" t="inlineStr">
        <is>
          <t>数据库表未被本系统所使用</t>
        </is>
      </c>
      <c r="L351" s="83">
        <f>IF(OR(X351="估算法",X351="算法类",X351="无法识别"),"",IF(V351="",IF(OR(I351="EI",I351="EO",I351="EQ"),0,""),LEN(V351)-LEN(SUBSTITUTE(V351,"、",""))+1))</f>
        <v/>
      </c>
      <c r="M351" s="83">
        <f>IF(OR(X351="估算法",X351="算法类",X351="无法识别"),"",IF(W351="",IF(OR(I351="ILF",I351="EIF"),0,""),LEN(W351)-LEN(SUBSTITUTE(W351,"、",""))+1))</f>
        <v/>
      </c>
      <c r="N351" s="83">
        <f>IF(OR(X351="估算法",X351="算法类",X351="无法识别"),"",IF(X351="",IF(OR(I351="ILF",I351="EIF",I351="EI",I351="EO",I351="EQ"),0,""),LEN(X351)-LEN(SUBSTITUTE(SUBSTITUTE(SUBSTITUTE(SUBSTITUTE(SUBSTITUTE(X351,"|}","--"),"{|","--"),CHAR(10),""),"、",""),"|",""))+IF(AND(OR(I351="EI",I351="EO",I351="EQ"),$AD$1="NESMA"),2,1)))</f>
        <v/>
      </c>
      <c r="O351" s="84">
        <f>IF(I351="EI",IF(OR(X351="估算法",X351="算法类"),"中",IF(X351="无法识别","低",IF(L351&lt;2,IF(N351&lt;16,"低","中"),IF(L351&lt;3,IF(N351&lt;5,"低",IF(N351&lt;16,"中","高")),IF(N351&lt;5,"中","高"))))),IF(OR(I351="EO",I351="EQ"),IF(OR(X351="估算法",X351="算法类"),"中",IF(X351="无法识别","低",IF(L351&lt;2,IF(N351&lt;20,"低","中"),IF(L351&lt;4,IF(N351&lt;6,"低",IF(N351&lt;20,"中","高")),IF(N351&lt;6,"中","高"))))),IF(OR(I351="ILF",I351="EIF"),IF(OR(X351="估算法",X351="算法类",X351="无法识别"),"低",IF(M351&lt;2,IF(N351&lt;51,"低","中"),IF(M351&lt;6,IF(N351&lt;20,"低",IF(N351&lt;51,"中","高")),IF(N351&lt;20,"中","高")))),"不计算")))</f>
        <v/>
      </c>
      <c r="P351" s="142">
        <f>IFERROR(IF(I351="EI",IF(O351="低",3,IF(O351="中",4,6)),IF(I351="EO",IF(O351="低",4,IF(O351="中",5,7)),IF(I351="EQ",IF(O351="低",3,IF(O351="中",4,6)),IF(I351="ILF",IF(O351="低",7,IF(O351="中",10,15)),IF(I351="EIF",IF(O351="低",5,IF(O351="中",7,10)),"不计算")))))*Q351,"不计算")</f>
        <v/>
      </c>
      <c r="Q351" s="142" t="n">
        <v>1</v>
      </c>
      <c r="R351" s="143">
        <f>调整因子!$F$13</f>
        <v/>
      </c>
      <c r="S351" s="70" t="n">
        <v>1</v>
      </c>
      <c r="T351" s="144">
        <f>IFERROR(P351*R351,0)</f>
        <v/>
      </c>
      <c r="U351" s="144">
        <f>T351*S351</f>
        <v/>
      </c>
      <c r="V351" s="89" t="n"/>
      <c r="W351" s="88" t="inlineStr">
        <is>
          <t>资产概况表</t>
        </is>
      </c>
      <c r="X351" s="88" t="inlineStr">
        <is>
          <t>资产概况表{概况ID、任务ID、总资产数、已扫描资产数、失败资产数、详情}</t>
        </is>
      </c>
      <c r="Y351" s="88">
        <f>IF(COUNTIFS(V:V,"*"&amp;H351&amp;"*")&gt;0,"存在","不存在")</f>
        <v/>
      </c>
      <c r="Z351" s="88">
        <f>IF(COUNTIFS(AA:AA,"*"&amp;H351&amp;"*")&gt;0,"存在","不存在")</f>
        <v/>
      </c>
      <c r="AA351" s="96" t="inlineStr">
        <is>
          <t>资产扫描覆盖表</t>
        </is>
      </c>
    </row>
    <row r="352" ht="21.6" customHeight="1">
      <c r="A352" s="69">
        <f>ROW()-1</f>
        <v/>
      </c>
      <c r="B352" s="53" t="n"/>
      <c r="C352" s="78" t="n">
        <v>2025</v>
      </c>
      <c r="D352" s="78" t="inlineStr">
        <is>
          <t>张明峰</t>
        </is>
      </c>
      <c r="E352" s="53" t="n"/>
      <c r="F352" s="53" t="n"/>
      <c r="G352" s="53" t="n"/>
      <c r="H352" s="81" t="inlineStr">
        <is>
          <t>漏洞概况表</t>
        </is>
      </c>
      <c r="I352" s="76" t="inlineStr">
        <is>
          <t>ILF</t>
        </is>
      </c>
      <c r="J352" s="108" t="n"/>
      <c r="K352" s="108" t="n"/>
      <c r="L352" s="83">
        <f>IF(OR(X352="估算法",X352="算法类",X352="无法识别"),"",IF(V352="",IF(OR(I352="EI",I352="EO",I352="EQ"),0,""),LEN(V352)-LEN(SUBSTITUTE(V352,"、",""))+1))</f>
        <v/>
      </c>
      <c r="M352" s="83">
        <f>IF(OR(X352="估算法",X352="算法类",X352="无法识别"),"",IF(W352="",IF(OR(I352="ILF",I352="EIF"),0,""),LEN(W352)-LEN(SUBSTITUTE(W352,"、",""))+1))</f>
        <v/>
      </c>
      <c r="N352" s="83">
        <f>IF(OR(X352="估算法",X352="算法类",X352="无法识别"),"",IF(X352="",IF(OR(I352="ILF",I352="EIF",I352="EI",I352="EO",I352="EQ"),0,""),LEN(X352)-LEN(SUBSTITUTE(SUBSTITUTE(SUBSTITUTE(SUBSTITUTE(SUBSTITUTE(X352,"|}","--"),"{|","--"),CHAR(10),""),"、",""),"|",""))+IF(AND(OR(I352="EI",I352="EO",I352="EQ"),$AD$1="NESMA"),2,1)))</f>
        <v/>
      </c>
      <c r="O352" s="84">
        <f>IF(I352="EI",IF(OR(X352="估算法",X352="算法类"),"中",IF(X352="无法识别","低",IF(L352&lt;2,IF(N352&lt;16,"低","中"),IF(L352&lt;3,IF(N352&lt;5,"低",IF(N352&lt;16,"中","高")),IF(N352&lt;5,"中","高"))))),IF(OR(I352="EO",I352="EQ"),IF(OR(X352="估算法",X352="算法类"),"中",IF(X352="无法识别","低",IF(L352&lt;2,IF(N352&lt;20,"低","中"),IF(L352&lt;4,IF(N352&lt;6,"低",IF(N352&lt;20,"中","高")),IF(N352&lt;6,"中","高"))))),IF(OR(I352="ILF",I352="EIF"),IF(OR(X352="估算法",X352="算法类",X352="无法识别"),"低",IF(M352&lt;2,IF(N352&lt;51,"低","中"),IF(M352&lt;6,IF(N352&lt;20,"低",IF(N352&lt;51,"中","高")),IF(N352&lt;20,"中","高")))),"不计算")))</f>
        <v/>
      </c>
      <c r="P352" s="142">
        <f>IFERROR(IF(I352="EI",IF(O352="低",3,IF(O352="中",4,6)),IF(I352="EO",IF(O352="低",4,IF(O352="中",5,7)),IF(I352="EQ",IF(O352="低",3,IF(O352="中",4,6)),IF(I352="ILF",IF(O352="低",7,IF(O352="中",10,15)),IF(I352="EIF",IF(O352="低",5,IF(O352="中",7,10)),"不计算")))))*Q352,"不计算")</f>
        <v/>
      </c>
      <c r="Q352" s="142" t="n">
        <v>1</v>
      </c>
      <c r="R352" s="143">
        <f>调整因子!$F$13</f>
        <v/>
      </c>
      <c r="S352" s="70" t="n">
        <v>1</v>
      </c>
      <c r="T352" s="144">
        <f>IFERROR(P352*R352,0)</f>
        <v/>
      </c>
      <c r="U352" s="144">
        <f>T352*S352</f>
        <v/>
      </c>
      <c r="V352" s="89" t="n"/>
      <c r="W352" s="88" t="inlineStr">
        <is>
          <t>漏洞概况表</t>
        </is>
      </c>
      <c r="X352" s="88" t="inlineStr">
        <is>
          <t>漏洞概况表{概况ID、任务ID、总漏洞数、严重漏洞数、高危漏洞数、中危漏洞数、低危漏洞数、详情}</t>
        </is>
      </c>
      <c r="Y352" s="88">
        <f>IF(COUNTIFS(V:V,"*"&amp;H352&amp;"*")&gt;0,"存在","不存在")</f>
        <v/>
      </c>
      <c r="Z352" s="88">
        <f>IF(COUNTIFS(AA:AA,"*"&amp;H352&amp;"*")&gt;0,"存在","不存在")</f>
        <v/>
      </c>
      <c r="AA352" s="96" t="inlineStr">
        <is>
          <t>复测配置表、漏洞处置单表</t>
        </is>
      </c>
    </row>
    <row r="353">
      <c r="A353" s="69">
        <f>ROW()-1</f>
        <v/>
      </c>
      <c r="B353" s="53" t="n"/>
      <c r="C353" s="78" t="n">
        <v>2025</v>
      </c>
      <c r="D353" s="78" t="inlineStr">
        <is>
          <t>张明峰</t>
        </is>
      </c>
      <c r="E353" s="53" t="n"/>
      <c r="F353" s="53" t="n"/>
      <c r="G353" s="53" t="n"/>
      <c r="H353" s="81" t="inlineStr">
        <is>
          <t>插件任务报告表</t>
        </is>
      </c>
      <c r="I353" s="76" t="inlineStr">
        <is>
          <t>ILF</t>
        </is>
      </c>
      <c r="J353" s="108" t="n"/>
      <c r="K353" s="108" t="inlineStr">
        <is>
          <t>数据库表未被本系统所维护</t>
        </is>
      </c>
      <c r="L353" s="83">
        <f>IF(OR(X353="估算法",X353="算法类",X353="无法识别"),"",IF(V353="",IF(OR(I353="EI",I353="EO",I353="EQ"),0,""),LEN(V353)-LEN(SUBSTITUTE(V353,"、",""))+1))</f>
        <v/>
      </c>
      <c r="M353" s="83">
        <f>IF(OR(X353="估算法",X353="算法类",X353="无法识别"),"",IF(W353="",IF(OR(I353="ILF",I353="EIF"),0,""),LEN(W353)-LEN(SUBSTITUTE(W353,"、",""))+1))</f>
        <v/>
      </c>
      <c r="N353" s="83">
        <f>IF(OR(X353="估算法",X353="算法类",X353="无法识别"),"",IF(X353="",IF(OR(I353="ILF",I353="EIF",I353="EI",I353="EO",I353="EQ"),0,""),LEN(X353)-LEN(SUBSTITUTE(SUBSTITUTE(SUBSTITUTE(SUBSTITUTE(SUBSTITUTE(X353,"|}","--"),"{|","--"),CHAR(10),""),"、",""),"|",""))+IF(AND(OR(I353="EI",I353="EO",I353="EQ"),$AD$1="NESMA"),2,1)))</f>
        <v/>
      </c>
      <c r="O353" s="84">
        <f>IF(I353="EI",IF(OR(X353="估算法",X353="算法类"),"中",IF(X353="无法识别","低",IF(L353&lt;2,IF(N353&lt;16,"低","中"),IF(L353&lt;3,IF(N353&lt;5,"低",IF(N353&lt;16,"中","高")),IF(N353&lt;5,"中","高"))))),IF(OR(I353="EO",I353="EQ"),IF(OR(X353="估算法",X353="算法类"),"中",IF(X353="无法识别","低",IF(L353&lt;2,IF(N353&lt;20,"低","中"),IF(L353&lt;4,IF(N353&lt;6,"低",IF(N353&lt;20,"中","高")),IF(N353&lt;6,"中","高"))))),IF(OR(I353="ILF",I353="EIF"),IF(OR(X353="估算法",X353="算法类",X353="无法识别"),"低",IF(M353&lt;2,IF(N353&lt;51,"低","中"),IF(M353&lt;6,IF(N353&lt;20,"低",IF(N353&lt;51,"中","高")),IF(N353&lt;20,"中","高")))),"不计算")))</f>
        <v/>
      </c>
      <c r="P353" s="142">
        <f>IFERROR(IF(I353="EI",IF(O353="低",3,IF(O353="中",4,6)),IF(I353="EO",IF(O353="低",4,IF(O353="中",5,7)),IF(I353="EQ",IF(O353="低",3,IF(O353="中",4,6)),IF(I353="ILF",IF(O353="低",7,IF(O353="中",10,15)),IF(I353="EIF",IF(O353="低",5,IF(O353="中",7,10)),"不计算")))))*Q353,"不计算")</f>
        <v/>
      </c>
      <c r="Q353" s="142" t="n">
        <v>0</v>
      </c>
      <c r="R353" s="143">
        <f>调整因子!$F$13</f>
        <v/>
      </c>
      <c r="S353" s="76" t="n">
        <v>1</v>
      </c>
      <c r="T353" s="144">
        <f>IFERROR(P353*R353,0)</f>
        <v/>
      </c>
      <c r="U353" s="144">
        <f>T353*S353</f>
        <v/>
      </c>
      <c r="V353" s="89" t="n"/>
      <c r="W353" s="88" t="inlineStr">
        <is>
          <t>插件任务报告表</t>
        </is>
      </c>
      <c r="X353" s="88" t="inlineStr">
        <is>
          <t>插件任务报告表{报告ID、任务ID、报告内容、生成时间、下载链接}</t>
        </is>
      </c>
      <c r="Y353" s="88">
        <f>IF(COUNTIFS(V:V,"*"&amp;H353&amp;"*")&gt;0,"存在","不存在")</f>
        <v/>
      </c>
      <c r="Z353" s="88">
        <f>IF(COUNTIFS(AA:AA,"*"&amp;H353&amp;"*")&gt;0,"存在","不存在")</f>
        <v/>
      </c>
      <c r="AA353" s="96" t="inlineStr">
        <is>
          <t>报告解析结果表、离线扫描报告表</t>
        </is>
      </c>
    </row>
    <row r="354" ht="21.6" customHeight="1">
      <c r="A354" s="69">
        <f>ROW()-1</f>
        <v/>
      </c>
      <c r="B354" s="53" t="n"/>
      <c r="C354" s="78" t="n">
        <v>2025</v>
      </c>
      <c r="D354" s="78" t="inlineStr">
        <is>
          <t>张明峰</t>
        </is>
      </c>
      <c r="E354" s="53" t="n"/>
      <c r="F354" s="53" t="n"/>
      <c r="G354" s="53" t="n"/>
      <c r="H354" s="81" t="inlineStr">
        <is>
          <t>报告模板表</t>
        </is>
      </c>
      <c r="I354" s="76" t="n"/>
      <c r="J354" s="99" t="inlineStr">
        <is>
          <t>删除</t>
        </is>
      </c>
      <c r="K354" s="108" t="inlineStr">
        <is>
          <t>重复数据库表</t>
        </is>
      </c>
      <c r="L354" s="83">
        <f>IF(OR(X354="估算法",X354="算法类",X354="无法识别"),"",IF(V354="",IF(OR(I354="EI",I354="EO",I354="EQ"),0,""),LEN(V354)-LEN(SUBSTITUTE(V354,"、",""))+1))</f>
        <v/>
      </c>
      <c r="M354" s="83">
        <f>IF(OR(X354="估算法",X354="算法类",X354="无法识别"),"",IF(W354="",IF(OR(I354="ILF",I354="EIF"),0,""),LEN(W354)-LEN(SUBSTITUTE(W354,"、",""))+1))</f>
        <v/>
      </c>
      <c r="N354" s="83">
        <f>IF(OR(X354="估算法",X354="算法类",X354="无法识别"),"",IF(X354="",IF(OR(I354="ILF",I354="EIF",I354="EI",I354="EO",I354="EQ"),0,""),LEN(X354)-LEN(SUBSTITUTE(SUBSTITUTE(SUBSTITUTE(SUBSTITUTE(SUBSTITUTE(X354,"|}","--"),"{|","--"),CHAR(10),""),"、",""),"|",""))+IF(AND(OR(I354="EI",I354="EO",I354="EQ"),$AD$1="NESMA"),2,1)))</f>
        <v/>
      </c>
      <c r="O354" s="84">
        <f>IF(I354="EI",IF(OR(X354="估算法",X354="算法类"),"中",IF(X354="无法识别","低",IF(L354&lt;2,IF(N354&lt;16,"低","中"),IF(L354&lt;3,IF(N354&lt;5,"低",IF(N354&lt;16,"中","高")),IF(N354&lt;5,"中","高"))))),IF(OR(I354="EO",I354="EQ"),IF(OR(X354="估算法",X354="算法类"),"中",IF(X354="无法识别","低",IF(L354&lt;2,IF(N354&lt;20,"低","中"),IF(L354&lt;4,IF(N354&lt;6,"低",IF(N354&lt;20,"中","高")),IF(N354&lt;6,"中","高"))))),IF(OR(I354="ILF",I354="EIF"),IF(OR(X354="估算法",X354="算法类",X354="无法识别"),"低",IF(M354&lt;2,IF(N354&lt;51,"低","中"),IF(M354&lt;6,IF(N354&lt;20,"低",IF(N354&lt;51,"中","高")),IF(N354&lt;20,"中","高")))),"不计算")))</f>
        <v/>
      </c>
      <c r="P354" s="142">
        <f>IFERROR(IF(I354="EI",IF(O354="低",3,IF(O354="中",4,6)),IF(I354="EO",IF(O354="低",4,IF(O354="中",5,7)),IF(I354="EQ",IF(O354="低",3,IF(O354="中",4,6)),IF(I354="ILF",IF(O354="低",7,IF(O354="中",10,15)),IF(I354="EIF",IF(O354="低",5,IF(O354="中",7,10)),"不计算")))))*Q354,"不计算")</f>
        <v/>
      </c>
      <c r="Q354" s="142" t="n">
        <v>1</v>
      </c>
      <c r="R354" s="143">
        <f>调整因子!$F$13</f>
        <v/>
      </c>
      <c r="S354" s="70" t="n">
        <v>1</v>
      </c>
      <c r="T354" s="144">
        <f>IFERROR(P354*R354,0)</f>
        <v/>
      </c>
      <c r="U354" s="144">
        <f>T354*S354</f>
        <v/>
      </c>
      <c r="V354" s="89" t="n"/>
      <c r="W354" s="88" t="inlineStr">
        <is>
          <t>报告模板表</t>
        </is>
      </c>
      <c r="X354" s="88" t="inlineStr">
        <is>
          <t>报告模板表{模板ID、模板名称、内容、创建时间|响应状态码、返回数据信息|响应状态码、返回数据信息}</t>
        </is>
      </c>
      <c r="Y354" s="88">
        <f>IF(COUNTIFS(V:V,"*"&amp;H354&amp;"*")&gt;0,"存在","不存在")</f>
        <v/>
      </c>
      <c r="Z354" s="88">
        <f>IF(COUNTIFS(AA:AA,"*"&amp;H354&amp;"*")&gt;0,"存在","不存在")</f>
        <v/>
      </c>
      <c r="AA354" s="96" t="inlineStr">
        <is>
          <t>数据清洗任务表</t>
        </is>
      </c>
    </row>
    <row r="355">
      <c r="A355" s="69">
        <f>ROW()-1</f>
        <v/>
      </c>
      <c r="B355" s="53" t="n"/>
      <c r="C355" s="78" t="n">
        <v>2025</v>
      </c>
      <c r="D355" s="78" t="inlineStr">
        <is>
          <t>张明峰</t>
        </is>
      </c>
      <c r="E355" s="53" t="n"/>
      <c r="F355" s="53" t="n"/>
      <c r="G355" s="54" t="n"/>
      <c r="H355" s="81" t="inlineStr">
        <is>
          <t>报告生成记录表</t>
        </is>
      </c>
      <c r="I355" s="76" t="inlineStr">
        <is>
          <t>ILF</t>
        </is>
      </c>
      <c r="J355" s="108" t="inlineStr">
        <is>
          <t>添加引用「生成插件任务报告」</t>
        </is>
      </c>
      <c r="K355" s="108" t="inlineStr">
        <is>
          <t>数据库表未被本系统所维护</t>
        </is>
      </c>
      <c r="L355" s="83">
        <f>IF(OR(X355="估算法",X355="算法类",X355="无法识别"),"",IF(V355="",IF(OR(I355="EI",I355="EO",I355="EQ"),0,""),LEN(V355)-LEN(SUBSTITUTE(V355,"、",""))+1))</f>
        <v/>
      </c>
      <c r="M355" s="83">
        <f>IF(OR(X355="估算法",X355="算法类",X355="无法识别"),"",IF(W355="",IF(OR(I355="ILF",I355="EIF"),0,""),LEN(W355)-LEN(SUBSTITUTE(W355,"、",""))+1))</f>
        <v/>
      </c>
      <c r="N355" s="83">
        <f>IF(OR(X355="估算法",X355="算法类",X355="无法识别"),"",IF(X355="",IF(OR(I355="ILF",I355="EIF",I355="EI",I355="EO",I355="EQ"),0,""),LEN(X355)-LEN(SUBSTITUTE(SUBSTITUTE(SUBSTITUTE(SUBSTITUTE(SUBSTITUTE(X355,"|}","--"),"{|","--"),CHAR(10),""),"、",""),"|",""))+IF(AND(OR(I355="EI",I355="EO",I355="EQ"),$AD$1="NESMA"),2,1)))</f>
        <v/>
      </c>
      <c r="O355" s="84">
        <f>IF(I355="EI",IF(OR(X355="估算法",X355="算法类"),"中",IF(X355="无法识别","低",IF(L355&lt;2,IF(N355&lt;16,"低","中"),IF(L355&lt;3,IF(N355&lt;5,"低",IF(N355&lt;16,"中","高")),IF(N355&lt;5,"中","高"))))),IF(OR(I355="EO",I355="EQ"),IF(OR(X355="估算法",X355="算法类"),"中",IF(X355="无法识别","低",IF(L355&lt;2,IF(N355&lt;20,"低","中"),IF(L355&lt;4,IF(N355&lt;6,"低",IF(N355&lt;20,"中","高")),IF(N355&lt;6,"中","高"))))),IF(OR(I355="ILF",I355="EIF"),IF(OR(X355="估算法",X355="算法类",X355="无法识别"),"低",IF(M355&lt;2,IF(N355&lt;51,"低","中"),IF(M355&lt;6,IF(N355&lt;20,"低",IF(N355&lt;51,"中","高")),IF(N355&lt;20,"中","高")))),"不计算")))</f>
        <v/>
      </c>
      <c r="P355" s="142">
        <f>IFERROR(IF(I355="EI",IF(O355="低",3,IF(O355="中",4,6)),IF(I355="EO",IF(O355="低",4,IF(O355="中",5,7)),IF(I355="EQ",IF(O355="低",3,IF(O355="中",4,6)),IF(I355="ILF",IF(O355="低",7,IF(O355="中",10,15)),IF(I355="EIF",IF(O355="低",5,IF(O355="中",7,10)),"不计算")))))*Q355,"不计算")</f>
        <v/>
      </c>
      <c r="Q355" s="142" t="n">
        <v>0</v>
      </c>
      <c r="R355" s="143">
        <f>调整因子!$F$13</f>
        <v/>
      </c>
      <c r="S355" s="70" t="n">
        <v>1</v>
      </c>
      <c r="T355" s="144">
        <f>IFERROR(P355*R355,0)</f>
        <v/>
      </c>
      <c r="U355" s="144">
        <f>T355*S355</f>
        <v/>
      </c>
      <c r="V355" s="89" t="n"/>
      <c r="W355" s="88" t="inlineStr">
        <is>
          <t>报告生成记录表</t>
        </is>
      </c>
      <c r="X355" s="88" t="inlineStr">
        <is>
          <t>报告生成记录表{记录ID、报告ID、生成时间、生成人|响应状态码、返回数据信息}</t>
        </is>
      </c>
      <c r="Y355" s="88">
        <f>IF(COUNTIFS(V:V,"*"&amp;H355&amp;"*")&gt;0,"存在","不存在")</f>
        <v/>
      </c>
      <c r="Z355" s="88">
        <f>IF(COUNTIFS(AA:AA,"*"&amp;H355&amp;"*")&gt;0,"存在","不存在")</f>
        <v/>
      </c>
      <c r="AA355" s="96" t="inlineStr">
        <is>
          <t>数据清洗任务表、资产同步任务表</t>
        </is>
      </c>
    </row>
    <row r="356">
      <c r="A356" s="69">
        <f>ROW()-1</f>
        <v/>
      </c>
      <c r="B356" s="53" t="n"/>
      <c r="C356" s="78" t="n">
        <v>2025</v>
      </c>
      <c r="D356" s="78" t="inlineStr">
        <is>
          <t>张明峰</t>
        </is>
      </c>
      <c r="E356" s="53" t="n"/>
      <c r="F356" s="53" t="n"/>
      <c r="G356" s="76" t="inlineStr">
        <is>
          <t>插件调用综合展示</t>
        </is>
      </c>
      <c r="H356" s="81" t="inlineStr">
        <is>
          <t>插件类型视图展示</t>
        </is>
      </c>
      <c r="I356" s="76" t="inlineStr">
        <is>
          <t>EO</t>
        </is>
      </c>
      <c r="J356" s="108" t="n"/>
      <c r="K356" s="108" t="n"/>
      <c r="L356" s="83">
        <f>IF(OR(X356="估算法",X356="算法类",X356="无法识别"),"",IF(V356="",IF(OR(I356="EI",I356="EO",I356="EQ"),0,""),LEN(V356)-LEN(SUBSTITUTE(V356,"、",""))+1))</f>
        <v/>
      </c>
      <c r="M356" s="83">
        <f>IF(OR(X356="估算法",X356="算法类",X356="无法识别"),"",IF(W356="",IF(OR(I356="ILF",I356="EIF"),0,""),LEN(W356)-LEN(SUBSTITUTE(W356,"、",""))+1))</f>
        <v/>
      </c>
      <c r="N356" s="83">
        <f>IF(OR(X356="估算法",X356="算法类",X356="无法识别"),"",IF(X356="",IF(OR(I356="ILF",I356="EIF",I356="EI",I356="EO",I356="EQ"),0,""),LEN(X356)-LEN(SUBSTITUTE(SUBSTITUTE(SUBSTITUTE(SUBSTITUTE(SUBSTITUTE(X356,"|}","--"),"{|","--"),CHAR(10),""),"、",""),"|",""))+IF(AND(OR(I356="EI",I356="EO",I356="EQ"),$AD$1="NESMA"),2,1)))</f>
        <v/>
      </c>
      <c r="O356" s="84">
        <f>IF(I356="EI",IF(OR(X356="估算法",X356="算法类"),"中",IF(X356="无法识别","低",IF(L356&lt;2,IF(N356&lt;16,"低","中"),IF(L356&lt;3,IF(N356&lt;5,"低",IF(N356&lt;16,"中","高")),IF(N356&lt;5,"中","高"))))),IF(OR(I356="EO",I356="EQ"),IF(OR(X356="估算法",X356="算法类"),"中",IF(X356="无法识别","低",IF(L356&lt;2,IF(N356&lt;20,"低","中"),IF(L356&lt;4,IF(N356&lt;6,"低",IF(N356&lt;20,"中","高")),IF(N356&lt;6,"中","高"))))),IF(OR(I356="ILF",I356="EIF"),IF(OR(X356="估算法",X356="算法类",X356="无法识别"),"低",IF(M356&lt;2,IF(N356&lt;51,"低","中"),IF(M356&lt;6,IF(N356&lt;20,"低",IF(N356&lt;51,"中","高")),IF(N356&lt;20,"中","高")))),"不计算")))</f>
        <v/>
      </c>
      <c r="P356" s="142">
        <f>IFERROR(IF(I356="EI",IF(O356="低",3,IF(O356="中",4,6)),IF(I356="EO",IF(O356="低",4,IF(O356="中",5,7)),IF(I356="EQ",IF(O356="低",3,IF(O356="中",4,6)),IF(I356="ILF",IF(O356="低",7,IF(O356="中",10,15)),IF(I356="EIF",IF(O356="低",5,IF(O356="中",7,10)),"不计算")))))*Q356,"不计算")</f>
        <v/>
      </c>
      <c r="Q356" s="142" t="n">
        <v>1</v>
      </c>
      <c r="R356" s="143">
        <f>调整因子!$F$13</f>
        <v/>
      </c>
      <c r="S356" s="76" t="n">
        <v>1</v>
      </c>
      <c r="T356" s="144">
        <f>IFERROR(P356*R356,0)</f>
        <v/>
      </c>
      <c r="U356" s="144">
        <f>T356*S356</f>
        <v/>
      </c>
      <c r="V356" s="88" t="inlineStr">
        <is>
          <t>插件类型统计数据表</t>
        </is>
      </c>
      <c r="W356" s="100" t="n"/>
      <c r="X356" s="88" t="inlineStr">
        <is>
          <t>插件类型统计数据表{数据ID、插件类型、数量、统计时间}</t>
        </is>
      </c>
      <c r="Y356" s="88" t="n"/>
      <c r="Z356" s="88" t="n"/>
      <c r="AA356" s="96" t="inlineStr">
        <is>
          <t>数据清洗任务表、资产同步任务表</t>
        </is>
      </c>
    </row>
    <row r="357">
      <c r="A357" s="69">
        <f>ROW()-1</f>
        <v/>
      </c>
      <c r="B357" s="53" t="n"/>
      <c r="C357" s="78" t="n">
        <v>2025</v>
      </c>
      <c r="D357" s="78" t="inlineStr">
        <is>
          <t>张明峰</t>
        </is>
      </c>
      <c r="E357" s="53" t="n"/>
      <c r="F357" s="53" t="n"/>
      <c r="G357" s="53" t="n"/>
      <c r="H357" s="81" t="inlineStr">
        <is>
          <t>漏洞类型统计视图展示</t>
        </is>
      </c>
      <c r="I357" s="76" t="inlineStr">
        <is>
          <t>EO</t>
        </is>
      </c>
      <c r="J357" s="108" t="n"/>
      <c r="K357" s="108" t="n"/>
      <c r="L357" s="83">
        <f>IF(OR(X357="估算法",X357="算法类",X357="无法识别"),"",IF(V357="",IF(OR(I357="EI",I357="EO",I357="EQ"),0,""),LEN(V357)-LEN(SUBSTITUTE(V357,"、",""))+1))</f>
        <v/>
      </c>
      <c r="M357" s="83">
        <f>IF(OR(X357="估算法",X357="算法类",X357="无法识别"),"",IF(W357="",IF(OR(I357="ILF",I357="EIF"),0,""),LEN(W357)-LEN(SUBSTITUTE(W357,"、",""))+1))</f>
        <v/>
      </c>
      <c r="N357" s="83">
        <f>IF(OR(X357="估算法",X357="算法类",X357="无法识别"),"",IF(X357="",IF(OR(I357="ILF",I357="EIF",I357="EI",I357="EO",I357="EQ"),0,""),LEN(X357)-LEN(SUBSTITUTE(SUBSTITUTE(SUBSTITUTE(SUBSTITUTE(SUBSTITUTE(X357,"|}","--"),"{|","--"),CHAR(10),""),"、",""),"|",""))+IF(AND(OR(I357="EI",I357="EO",I357="EQ"),$AD$1="NESMA"),2,1)))</f>
        <v/>
      </c>
      <c r="O357" s="84">
        <f>IF(I357="EI",IF(OR(X357="估算法",X357="算法类"),"中",IF(X357="无法识别","低",IF(L357&lt;2,IF(N357&lt;16,"低","中"),IF(L357&lt;3,IF(N357&lt;5,"低",IF(N357&lt;16,"中","高")),IF(N357&lt;5,"中","高"))))),IF(OR(I357="EO",I357="EQ"),IF(OR(X357="估算法",X357="算法类"),"中",IF(X357="无法识别","低",IF(L357&lt;2,IF(N357&lt;20,"低","中"),IF(L357&lt;4,IF(N357&lt;6,"低",IF(N357&lt;20,"中","高")),IF(N357&lt;6,"中","高"))))),IF(OR(I357="ILF",I357="EIF"),IF(OR(X357="估算法",X357="算法类",X357="无法识别"),"低",IF(M357&lt;2,IF(N357&lt;51,"低","中"),IF(M357&lt;6,IF(N357&lt;20,"低",IF(N357&lt;51,"中","高")),IF(N357&lt;20,"中","高")))),"不计算")))</f>
        <v/>
      </c>
      <c r="P357" s="142">
        <f>IFERROR(IF(I357="EI",IF(O357="低",3,IF(O357="中",4,6)),IF(I357="EO",IF(O357="低",4,IF(O357="中",5,7)),IF(I357="EQ",IF(O357="低",3,IF(O357="中",4,6)),IF(I357="ILF",IF(O357="低",7,IF(O357="中",10,15)),IF(I357="EIF",IF(O357="低",5,IF(O357="中",7,10)),"不计算")))))*Q357,"不计算")</f>
        <v/>
      </c>
      <c r="Q357" s="142" t="n">
        <v>0.666666666666667</v>
      </c>
      <c r="R357" s="143">
        <f>调整因子!$F$13</f>
        <v/>
      </c>
      <c r="S357" s="70" t="n">
        <v>1</v>
      </c>
      <c r="T357" s="144">
        <f>IFERROR(P357*R357,0)</f>
        <v/>
      </c>
      <c r="U357" s="144">
        <f>T357*S357</f>
        <v/>
      </c>
      <c r="V357" s="88" t="inlineStr">
        <is>
          <t>漏洞类型统计数据表</t>
        </is>
      </c>
      <c r="W357" s="100" t="n"/>
      <c r="X357" s="88" t="inlineStr">
        <is>
          <t>漏洞类型统计数据表{数据ID、漏洞类型、数量、统计时间}</t>
        </is>
      </c>
      <c r="Y357" s="88" t="n"/>
      <c r="Z357" s="88" t="n"/>
      <c r="AA357" s="96" t="inlineStr">
        <is>
          <t>数据清洗任务表、资产同步任务表</t>
        </is>
      </c>
    </row>
    <row r="358">
      <c r="A358" s="69">
        <f>ROW()-1</f>
        <v/>
      </c>
      <c r="B358" s="53" t="n"/>
      <c r="C358" s="78" t="n">
        <v>2025</v>
      </c>
      <c r="D358" s="78" t="inlineStr">
        <is>
          <t>张明峰</t>
        </is>
      </c>
      <c r="E358" s="53" t="n"/>
      <c r="F358" s="53" t="n"/>
      <c r="G358" s="53" t="n"/>
      <c r="H358" s="81" t="inlineStr">
        <is>
          <t>插件等级统计视图展示</t>
        </is>
      </c>
      <c r="I358" s="76" t="inlineStr">
        <is>
          <t>EO</t>
        </is>
      </c>
      <c r="J358" s="108" t="n"/>
      <c r="K358" s="108" t="n"/>
      <c r="L358" s="83">
        <f>IF(OR(X358="估算法",X358="算法类",X358="无法识别"),"",IF(V358="",IF(OR(I358="EI",I358="EO",I358="EQ"),0,""),LEN(V358)-LEN(SUBSTITUTE(V358,"、",""))+1))</f>
        <v/>
      </c>
      <c r="M358" s="83">
        <f>IF(OR(X358="估算法",X358="算法类",X358="无法识别"),"",IF(W358="",IF(OR(I358="ILF",I358="EIF"),0,""),LEN(W358)-LEN(SUBSTITUTE(W358,"、",""))+1))</f>
        <v/>
      </c>
      <c r="N358" s="83">
        <f>IF(OR(X358="估算法",X358="算法类",X358="无法识别"),"",IF(X358="",IF(OR(I358="ILF",I358="EIF",I358="EI",I358="EO",I358="EQ"),0,""),LEN(X358)-LEN(SUBSTITUTE(SUBSTITUTE(SUBSTITUTE(SUBSTITUTE(SUBSTITUTE(X358,"|}","--"),"{|","--"),CHAR(10),""),"、",""),"|",""))+IF(AND(OR(I358="EI",I358="EO",I358="EQ"),$AD$1="NESMA"),2,1)))</f>
        <v/>
      </c>
      <c r="O358" s="84">
        <f>IF(I358="EI",IF(OR(X358="估算法",X358="算法类"),"中",IF(X358="无法识别","低",IF(L358&lt;2,IF(N358&lt;16,"低","中"),IF(L358&lt;3,IF(N358&lt;5,"低",IF(N358&lt;16,"中","高")),IF(N358&lt;5,"中","高"))))),IF(OR(I358="EO",I358="EQ"),IF(OR(X358="估算法",X358="算法类"),"中",IF(X358="无法识别","低",IF(L358&lt;2,IF(N358&lt;20,"低","中"),IF(L358&lt;4,IF(N358&lt;6,"低",IF(N358&lt;20,"中","高")),IF(N358&lt;6,"中","高"))))),IF(OR(I358="ILF",I358="EIF"),IF(OR(X358="估算法",X358="算法类",X358="无法识别"),"低",IF(M358&lt;2,IF(N358&lt;51,"低","中"),IF(M358&lt;6,IF(N358&lt;20,"低",IF(N358&lt;51,"中","高")),IF(N358&lt;20,"中","高")))),"不计算")))</f>
        <v/>
      </c>
      <c r="P358" s="142">
        <f>IFERROR(IF(I358="EI",IF(O358="低",3,IF(O358="中",4,6)),IF(I358="EO",IF(O358="低",4,IF(O358="中",5,7)),IF(I358="EQ",IF(O358="低",3,IF(O358="中",4,6)),IF(I358="ILF",IF(O358="低",7,IF(O358="中",10,15)),IF(I358="EIF",IF(O358="低",5,IF(O358="中",7,10)),"不计算")))))*Q358,"不计算")</f>
        <v/>
      </c>
      <c r="Q358" s="142" t="n">
        <v>0.666666666666667</v>
      </c>
      <c r="R358" s="143">
        <f>调整因子!$F$13</f>
        <v/>
      </c>
      <c r="S358" s="70" t="n">
        <v>1</v>
      </c>
      <c r="T358" s="144">
        <f>IFERROR(P358*R358,0)</f>
        <v/>
      </c>
      <c r="U358" s="144">
        <f>T358*S358</f>
        <v/>
      </c>
      <c r="V358" s="88" t="inlineStr">
        <is>
          <t>插件等级统计数据表</t>
        </is>
      </c>
      <c r="W358" s="100" t="n"/>
      <c r="X358" s="88" t="inlineStr">
        <is>
          <t>插件等级统计数据表{数据ID、插件等级、数量、统计时间}</t>
        </is>
      </c>
      <c r="Y358" s="88" t="n"/>
      <c r="Z358" s="88" t="n"/>
      <c r="AA358" s="96" t="inlineStr">
        <is>
          <t>数据清洗任务表、资产同步任务表</t>
        </is>
      </c>
    </row>
    <row r="359">
      <c r="A359" s="69">
        <f>ROW()-1</f>
        <v/>
      </c>
      <c r="B359" s="53" t="n"/>
      <c r="C359" s="78" t="n">
        <v>2025</v>
      </c>
      <c r="D359" s="78" t="inlineStr">
        <is>
          <t>张明峰</t>
        </is>
      </c>
      <c r="E359" s="53" t="n"/>
      <c r="F359" s="53" t="n"/>
      <c r="G359" s="53" t="n"/>
      <c r="H359" s="81" t="inlineStr">
        <is>
          <t>漏洞时间趋势统计视图展示</t>
        </is>
      </c>
      <c r="I359" s="76" t="inlineStr">
        <is>
          <t>EO</t>
        </is>
      </c>
      <c r="J359" s="108" t="n"/>
      <c r="K359" s="108" t="n"/>
      <c r="L359" s="83">
        <f>IF(OR(X359="估算法",X359="算法类",X359="无法识别"),"",IF(V359="",IF(OR(I359="EI",I359="EO",I359="EQ"),0,""),LEN(V359)-LEN(SUBSTITUTE(V359,"、",""))+1))</f>
        <v/>
      </c>
      <c r="M359" s="83">
        <f>IF(OR(X359="估算法",X359="算法类",X359="无法识别"),"",IF(W359="",IF(OR(I359="ILF",I359="EIF"),0,""),LEN(W359)-LEN(SUBSTITUTE(W359,"、",""))+1))</f>
        <v/>
      </c>
      <c r="N359" s="83">
        <f>IF(OR(X359="估算法",X359="算法类",X359="无法识别"),"",IF(X359="",IF(OR(I359="ILF",I359="EIF",I359="EI",I359="EO",I359="EQ"),0,""),LEN(X359)-LEN(SUBSTITUTE(SUBSTITUTE(SUBSTITUTE(SUBSTITUTE(SUBSTITUTE(X359,"|}","--"),"{|","--"),CHAR(10),""),"、",""),"|",""))+IF(AND(OR(I359="EI",I359="EO",I359="EQ"),$AD$1="NESMA"),2,1)))</f>
        <v/>
      </c>
      <c r="O359" s="84">
        <f>IF(I359="EI",IF(OR(X359="估算法",X359="算法类"),"中",IF(X359="无法识别","低",IF(L359&lt;2,IF(N359&lt;16,"低","中"),IF(L359&lt;3,IF(N359&lt;5,"低",IF(N359&lt;16,"中","高")),IF(N359&lt;5,"中","高"))))),IF(OR(I359="EO",I359="EQ"),IF(OR(X359="估算法",X359="算法类"),"中",IF(X359="无法识别","低",IF(L359&lt;2,IF(N359&lt;20,"低","中"),IF(L359&lt;4,IF(N359&lt;6,"低",IF(N359&lt;20,"中","高")),IF(N359&lt;6,"中","高"))))),IF(OR(I359="ILF",I359="EIF"),IF(OR(X359="估算法",X359="算法类",X359="无法识别"),"低",IF(M359&lt;2,IF(N359&lt;51,"低","中"),IF(M359&lt;6,IF(N359&lt;20,"低",IF(N359&lt;51,"中","高")),IF(N359&lt;20,"中","高")))),"不计算")))</f>
        <v/>
      </c>
      <c r="P359" s="142">
        <f>IFERROR(IF(I359="EI",IF(O359="低",3,IF(O359="中",4,6)),IF(I359="EO",IF(O359="低",4,IF(O359="中",5,7)),IF(I359="EQ",IF(O359="低",3,IF(O359="中",4,6)),IF(I359="ILF",IF(O359="低",7,IF(O359="中",10,15)),IF(I359="EIF",IF(O359="低",5,IF(O359="中",7,10)),"不计算")))))*Q359,"不计算")</f>
        <v/>
      </c>
      <c r="Q359" s="142" t="n">
        <v>0.666666666666667</v>
      </c>
      <c r="R359" s="143">
        <f>调整因子!$F$13</f>
        <v/>
      </c>
      <c r="S359" s="76" t="n">
        <v>1</v>
      </c>
      <c r="T359" s="144">
        <f>IFERROR(P359*R359,0)</f>
        <v/>
      </c>
      <c r="U359" s="144">
        <f>T359*S359</f>
        <v/>
      </c>
      <c r="V359" s="88" t="inlineStr">
        <is>
          <t>漏洞时间趋势统计表</t>
        </is>
      </c>
      <c r="W359" s="100" t="n"/>
      <c r="X359" s="88" t="inlineStr">
        <is>
          <t>漏洞时间趋势统计表{统计ID、时间段、漏洞数量、统计时间}</t>
        </is>
      </c>
      <c r="Y359" s="88" t="n"/>
      <c r="Z359" s="88" t="n"/>
      <c r="AA359" s="96" t="inlineStr">
        <is>
          <t>任务优先级配置表</t>
        </is>
      </c>
    </row>
    <row r="360">
      <c r="A360" s="69">
        <f>ROW()-1</f>
        <v/>
      </c>
      <c r="B360" s="53" t="n"/>
      <c r="C360" s="78" t="n">
        <v>2025</v>
      </c>
      <c r="D360" s="78" t="inlineStr">
        <is>
          <t>张明峰</t>
        </is>
      </c>
      <c r="E360" s="53" t="n"/>
      <c r="F360" s="53" t="n"/>
      <c r="G360" s="53" t="n"/>
      <c r="H360" s="81" t="inlineStr">
        <is>
          <t>漏洞概念验证检测结果IP风险率展示</t>
        </is>
      </c>
      <c r="I360" s="76" t="inlineStr">
        <is>
          <t>EO</t>
        </is>
      </c>
      <c r="J360" s="108" t="n"/>
      <c r="K360" s="108" t="n"/>
      <c r="L360" s="83">
        <f>IF(OR(X360="估算法",X360="算法类",X360="无法识别"),"",IF(V360="",IF(OR(I360="EI",I360="EO",I360="EQ"),0,""),LEN(V360)-LEN(SUBSTITUTE(V360,"、",""))+1))</f>
        <v/>
      </c>
      <c r="M360" s="83">
        <f>IF(OR(X360="估算法",X360="算法类",X360="无法识别"),"",IF(W360="",IF(OR(I360="ILF",I360="EIF"),0,""),LEN(W360)-LEN(SUBSTITUTE(W360,"、",""))+1))</f>
        <v/>
      </c>
      <c r="N360" s="83">
        <f>IF(OR(X360="估算法",X360="算法类",X360="无法识别"),"",IF(X360="",IF(OR(I360="ILF",I360="EIF",I360="EI",I360="EO",I360="EQ"),0,""),LEN(X360)-LEN(SUBSTITUTE(SUBSTITUTE(SUBSTITUTE(SUBSTITUTE(SUBSTITUTE(X360,"|}","--"),"{|","--"),CHAR(10),""),"、",""),"|",""))+IF(AND(OR(I360="EI",I360="EO",I360="EQ"),$AD$1="NESMA"),2,1)))</f>
        <v/>
      </c>
      <c r="O360" s="84">
        <f>IF(I360="EI",IF(OR(X360="估算法",X360="算法类"),"中",IF(X360="无法识别","低",IF(L360&lt;2,IF(N360&lt;16,"低","中"),IF(L360&lt;3,IF(N360&lt;5,"低",IF(N360&lt;16,"中","高")),IF(N360&lt;5,"中","高"))))),IF(OR(I360="EO",I360="EQ"),IF(OR(X360="估算法",X360="算法类"),"中",IF(X360="无法识别","低",IF(L360&lt;2,IF(N360&lt;20,"低","中"),IF(L360&lt;4,IF(N360&lt;6,"低",IF(N360&lt;20,"中","高")),IF(N360&lt;6,"中","高"))))),IF(OR(I360="ILF",I360="EIF"),IF(OR(X360="估算法",X360="算法类",X360="无法识别"),"低",IF(M360&lt;2,IF(N360&lt;51,"低","中"),IF(M360&lt;6,IF(N360&lt;20,"低",IF(N360&lt;51,"中","高")),IF(N360&lt;20,"中","高")))),"不计算")))</f>
        <v/>
      </c>
      <c r="P360" s="142">
        <f>IFERROR(IF(I360="EI",IF(O360="低",3,IF(O360="中",4,6)),IF(I360="EO",IF(O360="低",4,IF(O360="中",5,7)),IF(I360="EQ",IF(O360="低",3,IF(O360="中",4,6)),IF(I360="ILF",IF(O360="低",7,IF(O360="中",10,15)),IF(I360="EIF",IF(O360="低",5,IF(O360="中",7,10)),"不计算")))))*Q360,"不计算")</f>
        <v/>
      </c>
      <c r="Q360" s="142" t="n">
        <v>0.666666666666667</v>
      </c>
      <c r="R360" s="143">
        <f>调整因子!$F$13</f>
        <v/>
      </c>
      <c r="S360" s="70" t="n">
        <v>1</v>
      </c>
      <c r="T360" s="144">
        <f>IFERROR(P360*R360,0)</f>
        <v/>
      </c>
      <c r="U360" s="144">
        <f>T360*S360</f>
        <v/>
      </c>
      <c r="V360" s="88" t="inlineStr">
        <is>
          <t>IP风险率统计表</t>
        </is>
      </c>
      <c r="W360" s="100" t="n"/>
      <c r="X360" s="88" t="inlineStr">
        <is>
          <t>IP风险率统计表{统计ID、IP地址、风险率、统计时间}</t>
        </is>
      </c>
      <c r="Y360" s="88" t="n"/>
      <c r="Z360" s="88" t="n"/>
      <c r="AA360" s="96" t="inlineStr">
        <is>
          <t>模板配置表、推送配置表</t>
        </is>
      </c>
    </row>
    <row r="361">
      <c r="A361" s="69">
        <f>ROW()-1</f>
        <v/>
      </c>
      <c r="B361" s="53" t="n"/>
      <c r="C361" s="78" t="n">
        <v>2025</v>
      </c>
      <c r="D361" s="78" t="inlineStr">
        <is>
          <t>张明峰</t>
        </is>
      </c>
      <c r="E361" s="53" t="n"/>
      <c r="F361" s="53" t="n"/>
      <c r="G361" s="53" t="n"/>
      <c r="H361" s="81" t="inlineStr">
        <is>
          <t>漏洞概念验证检测结果端口风险率展示</t>
        </is>
      </c>
      <c r="I361" s="76" t="inlineStr">
        <is>
          <t>EO</t>
        </is>
      </c>
      <c r="J361" s="108" t="n"/>
      <c r="K361" s="108" t="n"/>
      <c r="L361" s="83">
        <f>IF(OR(X361="估算法",X361="算法类",X361="无法识别"),"",IF(V361="",IF(OR(I361="EI",I361="EO",I361="EQ"),0,""),LEN(V361)-LEN(SUBSTITUTE(V361,"、",""))+1))</f>
        <v/>
      </c>
      <c r="M361" s="83">
        <f>IF(OR(X361="估算法",X361="算法类",X361="无法识别"),"",IF(W361="",IF(OR(I361="ILF",I361="EIF"),0,""),LEN(W361)-LEN(SUBSTITUTE(W361,"、",""))+1))</f>
        <v/>
      </c>
      <c r="N361" s="83">
        <f>IF(OR(X361="估算法",X361="算法类",X361="无法识别"),"",IF(X361="",IF(OR(I361="ILF",I361="EIF",I361="EI",I361="EO",I361="EQ"),0,""),LEN(X361)-LEN(SUBSTITUTE(SUBSTITUTE(SUBSTITUTE(SUBSTITUTE(SUBSTITUTE(X361,"|}","--"),"{|","--"),CHAR(10),""),"、",""),"|",""))+IF(AND(OR(I361="EI",I361="EO",I361="EQ"),$AD$1="NESMA"),2,1)))</f>
        <v/>
      </c>
      <c r="O361" s="84">
        <f>IF(I361="EI",IF(OR(X361="估算法",X361="算法类"),"中",IF(X361="无法识别","低",IF(L361&lt;2,IF(N361&lt;16,"低","中"),IF(L361&lt;3,IF(N361&lt;5,"低",IF(N361&lt;16,"中","高")),IF(N361&lt;5,"中","高"))))),IF(OR(I361="EO",I361="EQ"),IF(OR(X361="估算法",X361="算法类"),"中",IF(X361="无法识别","低",IF(L361&lt;2,IF(N361&lt;20,"低","中"),IF(L361&lt;4,IF(N361&lt;6,"低",IF(N361&lt;20,"中","高")),IF(N361&lt;6,"中","高"))))),IF(OR(I361="ILF",I361="EIF"),IF(OR(X361="估算法",X361="算法类",X361="无法识别"),"低",IF(M361&lt;2,IF(N361&lt;51,"低","中"),IF(M361&lt;6,IF(N361&lt;20,"低",IF(N361&lt;51,"中","高")),IF(N361&lt;20,"中","高")))),"不计算")))</f>
        <v/>
      </c>
      <c r="P361" s="142">
        <f>IFERROR(IF(I361="EI",IF(O361="低",3,IF(O361="中",4,6)),IF(I361="EO",IF(O361="低",4,IF(O361="中",5,7)),IF(I361="EQ",IF(O361="低",3,IF(O361="中",4,6)),IF(I361="ILF",IF(O361="低",7,IF(O361="中",10,15)),IF(I361="EIF",IF(O361="低",5,IF(O361="中",7,10)),"不计算")))))*Q361,"不计算")</f>
        <v/>
      </c>
      <c r="Q361" s="142" t="n">
        <v>0.666666666666667</v>
      </c>
      <c r="R361" s="143">
        <f>调整因子!$F$13</f>
        <v/>
      </c>
      <c r="S361" s="70" t="n">
        <v>1</v>
      </c>
      <c r="T361" s="144">
        <f>IFERROR(P361*R361,0)</f>
        <v/>
      </c>
      <c r="U361" s="144">
        <f>T361*S361</f>
        <v/>
      </c>
      <c r="V361" s="88" t="inlineStr">
        <is>
          <t>端口风险率统计表</t>
        </is>
      </c>
      <c r="W361" s="100" t="n"/>
      <c r="X361" s="88" t="inlineStr">
        <is>
          <t>端口风险率统计表{统计ID、端口号、风险率、统计时间}</t>
        </is>
      </c>
      <c r="Y361" s="88" t="n"/>
      <c r="Z361" s="88" t="n"/>
      <c r="AA361" s="96" t="inlineStr">
        <is>
          <t>同步失败重试记录表</t>
        </is>
      </c>
    </row>
    <row r="362">
      <c r="A362" s="69">
        <f>ROW()-1</f>
        <v/>
      </c>
      <c r="B362" s="53" t="n"/>
      <c r="C362" s="78" t="n">
        <v>2025</v>
      </c>
      <c r="D362" s="78" t="inlineStr">
        <is>
          <t>张明峰</t>
        </is>
      </c>
      <c r="E362" s="53" t="n"/>
      <c r="F362" s="53" t="n"/>
      <c r="G362" s="53" t="n"/>
      <c r="H362" s="81" t="inlineStr">
        <is>
          <t>漏洞概念验证检测结果协议风险率展示</t>
        </is>
      </c>
      <c r="I362" s="76" t="inlineStr">
        <is>
          <t>EO</t>
        </is>
      </c>
      <c r="J362" s="108" t="n"/>
      <c r="K362" s="108" t="n"/>
      <c r="L362" s="83">
        <f>IF(OR(X362="估算法",X362="算法类",X362="无法识别"),"",IF(V362="",IF(OR(I362="EI",I362="EO",I362="EQ"),0,""),LEN(V362)-LEN(SUBSTITUTE(V362,"、",""))+1))</f>
        <v/>
      </c>
      <c r="M362" s="83">
        <f>IF(OR(X362="估算法",X362="算法类",X362="无法识别"),"",IF(W362="",IF(OR(I362="ILF",I362="EIF"),0,""),LEN(W362)-LEN(SUBSTITUTE(W362,"、",""))+1))</f>
        <v/>
      </c>
      <c r="N362" s="83">
        <f>IF(OR(X362="估算法",X362="算法类",X362="无法识别"),"",IF(X362="",IF(OR(I362="ILF",I362="EIF",I362="EI",I362="EO",I362="EQ"),0,""),LEN(X362)-LEN(SUBSTITUTE(SUBSTITUTE(SUBSTITUTE(SUBSTITUTE(SUBSTITUTE(X362,"|}","--"),"{|","--"),CHAR(10),""),"、",""),"|",""))+IF(AND(OR(I362="EI",I362="EO",I362="EQ"),$AD$1="NESMA"),2,1)))</f>
        <v/>
      </c>
      <c r="O362" s="84">
        <f>IF(I362="EI",IF(OR(X362="估算法",X362="算法类"),"中",IF(X362="无法识别","低",IF(L362&lt;2,IF(N362&lt;16,"低","中"),IF(L362&lt;3,IF(N362&lt;5,"低",IF(N362&lt;16,"中","高")),IF(N362&lt;5,"中","高"))))),IF(OR(I362="EO",I362="EQ"),IF(OR(X362="估算法",X362="算法类"),"中",IF(X362="无法识别","低",IF(L362&lt;2,IF(N362&lt;20,"低","中"),IF(L362&lt;4,IF(N362&lt;6,"低",IF(N362&lt;20,"中","高")),IF(N362&lt;6,"中","高"))))),IF(OR(I362="ILF",I362="EIF"),IF(OR(X362="估算法",X362="算法类",X362="无法识别"),"低",IF(M362&lt;2,IF(N362&lt;51,"低","中"),IF(M362&lt;6,IF(N362&lt;20,"低",IF(N362&lt;51,"中","高")),IF(N362&lt;20,"中","高")))),"不计算")))</f>
        <v/>
      </c>
      <c r="P362" s="142">
        <f>IFERROR(IF(I362="EI",IF(O362="低",3,IF(O362="中",4,6)),IF(I362="EO",IF(O362="低",4,IF(O362="中",5,7)),IF(I362="EQ",IF(O362="低",3,IF(O362="中",4,6)),IF(I362="ILF",IF(O362="低",7,IF(O362="中",10,15)),IF(I362="EIF",IF(O362="低",5,IF(O362="中",7,10)),"不计算")))))*Q362,"不计算")</f>
        <v/>
      </c>
      <c r="Q362" s="142" t="n">
        <v>0.666666666666667</v>
      </c>
      <c r="R362" s="143">
        <f>调整因子!$F$13</f>
        <v/>
      </c>
      <c r="S362" s="76" t="n">
        <v>1</v>
      </c>
      <c r="T362" s="144">
        <f>IFERROR(P362*R362,0)</f>
        <v/>
      </c>
      <c r="U362" s="144">
        <f>T362*S362</f>
        <v/>
      </c>
      <c r="V362" s="88" t="inlineStr">
        <is>
          <t>协议风险率统计表</t>
        </is>
      </c>
      <c r="W362" s="100" t="n"/>
      <c r="X362" s="88" t="inlineStr">
        <is>
          <t>协议风险率统计表{统计ID、协议类型、风险率、统计时间}</t>
        </is>
      </c>
      <c r="Y362" s="88" t="n"/>
      <c r="Z362" s="88" t="n"/>
      <c r="AA362" s="96" t="inlineStr">
        <is>
          <t>模板配置表</t>
        </is>
      </c>
    </row>
    <row r="363">
      <c r="A363" s="69">
        <f>ROW()-1</f>
        <v/>
      </c>
      <c r="B363" s="53" t="n"/>
      <c r="C363" s="78" t="n">
        <v>2025</v>
      </c>
      <c r="D363" s="78" t="inlineStr">
        <is>
          <t>张明峰</t>
        </is>
      </c>
      <c r="E363" s="53" t="n"/>
      <c r="F363" s="53" t="n"/>
      <c r="G363" s="53" t="n"/>
      <c r="H363" s="81" t="inlineStr">
        <is>
          <t>插件类型统计数据表</t>
        </is>
      </c>
      <c r="I363" s="76" t="inlineStr">
        <is>
          <t>ILF</t>
        </is>
      </c>
      <c r="J363" s="108" t="n"/>
      <c r="K363" s="108" t="inlineStr">
        <is>
          <t>数据库表未被本系统所维护</t>
        </is>
      </c>
      <c r="L363" s="83">
        <f>IF(OR(X363="估算法",X363="算法类",X363="无法识别"),"",IF(V363="",IF(OR(I363="EI",I363="EO",I363="EQ"),0,""),LEN(V363)-LEN(SUBSTITUTE(V363,"、",""))+1))</f>
        <v/>
      </c>
      <c r="M363" s="83">
        <f>IF(OR(X363="估算法",X363="算法类",X363="无法识别"),"",IF(W363="",IF(OR(I363="ILF",I363="EIF"),0,""),LEN(W363)-LEN(SUBSTITUTE(W363,"、",""))+1))</f>
        <v/>
      </c>
      <c r="N363" s="83">
        <f>IF(OR(X363="估算法",X363="算法类",X363="无法识别"),"",IF(X363="",IF(OR(I363="ILF",I363="EIF",I363="EI",I363="EO",I363="EQ"),0,""),LEN(X363)-LEN(SUBSTITUTE(SUBSTITUTE(SUBSTITUTE(SUBSTITUTE(SUBSTITUTE(X363,"|}","--"),"{|","--"),CHAR(10),""),"、",""),"|",""))+IF(AND(OR(I363="EI",I363="EO",I363="EQ"),$AD$1="NESMA"),2,1)))</f>
        <v/>
      </c>
      <c r="O363" s="84">
        <f>IF(I363="EI",IF(OR(X363="估算法",X363="算法类"),"中",IF(X363="无法识别","低",IF(L363&lt;2,IF(N363&lt;16,"低","中"),IF(L363&lt;3,IF(N363&lt;5,"低",IF(N363&lt;16,"中","高")),IF(N363&lt;5,"中","高"))))),IF(OR(I363="EO",I363="EQ"),IF(OR(X363="估算法",X363="算法类"),"中",IF(X363="无法识别","低",IF(L363&lt;2,IF(N363&lt;20,"低","中"),IF(L363&lt;4,IF(N363&lt;6,"低",IF(N363&lt;20,"中","高")),IF(N363&lt;6,"中","高"))))),IF(OR(I363="ILF",I363="EIF"),IF(OR(X363="估算法",X363="算法类",X363="无法识别"),"低",IF(M363&lt;2,IF(N363&lt;51,"低","中"),IF(M363&lt;6,IF(N363&lt;20,"低",IF(N363&lt;51,"中","高")),IF(N363&lt;20,"中","高")))),"不计算")))</f>
        <v/>
      </c>
      <c r="P363" s="142">
        <f>IFERROR(IF(I363="EI",IF(O363="低",3,IF(O363="中",4,6)),IF(I363="EO",IF(O363="低",4,IF(O363="中",5,7)),IF(I363="EQ",IF(O363="低",3,IF(O363="中",4,6)),IF(I363="ILF",IF(O363="低",7,IF(O363="中",10,15)),IF(I363="EIF",IF(O363="低",5,IF(O363="中",7,10)),"不计算")))))*Q363,"不计算")</f>
        <v/>
      </c>
      <c r="Q363" s="142" t="n">
        <v>0</v>
      </c>
      <c r="R363" s="143">
        <f>调整因子!$F$13</f>
        <v/>
      </c>
      <c r="S363" s="70" t="n">
        <v>1</v>
      </c>
      <c r="T363" s="144">
        <f>IFERROR(P363*R363,0)</f>
        <v/>
      </c>
      <c r="U363" s="144">
        <f>T363*S363</f>
        <v/>
      </c>
      <c r="V363" s="89" t="n"/>
      <c r="W363" s="88" t="inlineStr">
        <is>
          <t>插件类型统计数据表</t>
        </is>
      </c>
      <c r="X363" s="88" t="inlineStr">
        <is>
          <t>插件类型统计数据表{数据ID、插件类型、数量、统计时间}</t>
        </is>
      </c>
      <c r="Y363" s="88">
        <f>IF(COUNTIFS(V:V,"*"&amp;H363&amp;"*")&gt;0,"存在","不存在")</f>
        <v/>
      </c>
      <c r="Z363" s="88">
        <f>IF(COUNTIFS(AA:AA,"*"&amp;H363&amp;"*")&gt;0,"存在","不存在")</f>
        <v/>
      </c>
      <c r="AA363" s="96" t="inlineStr">
        <is>
          <t>数据清洗任务表、资产同步任务表</t>
        </is>
      </c>
    </row>
    <row r="364">
      <c r="A364" s="69">
        <f>ROW()-1</f>
        <v/>
      </c>
      <c r="B364" s="53" t="n"/>
      <c r="C364" s="78" t="n">
        <v>2025</v>
      </c>
      <c r="D364" s="78" t="inlineStr">
        <is>
          <t>张明峰</t>
        </is>
      </c>
      <c r="E364" s="53" t="n"/>
      <c r="F364" s="53" t="n"/>
      <c r="G364" s="53" t="n"/>
      <c r="H364" s="81" t="inlineStr">
        <is>
          <t>漏洞类型统计数据表</t>
        </is>
      </c>
      <c r="I364" s="76" t="inlineStr">
        <is>
          <t>ILF</t>
        </is>
      </c>
      <c r="J364" s="108" t="n"/>
      <c r="K364" s="108" t="inlineStr">
        <is>
          <t>数据库表未被本系统所维护</t>
        </is>
      </c>
      <c r="L364" s="83">
        <f>IF(OR(X364="估算法",X364="算法类",X364="无法识别"),"",IF(V364="",IF(OR(I364="EI",I364="EO",I364="EQ"),0,""),LEN(V364)-LEN(SUBSTITUTE(V364,"、",""))+1))</f>
        <v/>
      </c>
      <c r="M364" s="83">
        <f>IF(OR(X364="估算法",X364="算法类",X364="无法识别"),"",IF(W364="",IF(OR(I364="ILF",I364="EIF"),0,""),LEN(W364)-LEN(SUBSTITUTE(W364,"、",""))+1))</f>
        <v/>
      </c>
      <c r="N364" s="83">
        <f>IF(OR(X364="估算法",X364="算法类",X364="无法识别"),"",IF(X364="",IF(OR(I364="ILF",I364="EIF",I364="EI",I364="EO",I364="EQ"),0,""),LEN(X364)-LEN(SUBSTITUTE(SUBSTITUTE(SUBSTITUTE(SUBSTITUTE(SUBSTITUTE(X364,"|}","--"),"{|","--"),CHAR(10),""),"、",""),"|",""))+IF(AND(OR(I364="EI",I364="EO",I364="EQ"),$AD$1="NESMA"),2,1)))</f>
        <v/>
      </c>
      <c r="O364" s="84">
        <f>IF(I364="EI",IF(OR(X364="估算法",X364="算法类"),"中",IF(X364="无法识别","低",IF(L364&lt;2,IF(N364&lt;16,"低","中"),IF(L364&lt;3,IF(N364&lt;5,"低",IF(N364&lt;16,"中","高")),IF(N364&lt;5,"中","高"))))),IF(OR(I364="EO",I364="EQ"),IF(OR(X364="估算法",X364="算法类"),"中",IF(X364="无法识别","低",IF(L364&lt;2,IF(N364&lt;20,"低","中"),IF(L364&lt;4,IF(N364&lt;6,"低",IF(N364&lt;20,"中","高")),IF(N364&lt;6,"中","高"))))),IF(OR(I364="ILF",I364="EIF"),IF(OR(X364="估算法",X364="算法类",X364="无法识别"),"低",IF(M364&lt;2,IF(N364&lt;51,"低","中"),IF(M364&lt;6,IF(N364&lt;20,"低",IF(N364&lt;51,"中","高")),IF(N364&lt;20,"中","高")))),"不计算")))</f>
        <v/>
      </c>
      <c r="P364" s="142">
        <f>IFERROR(IF(I364="EI",IF(O364="低",3,IF(O364="中",4,6)),IF(I364="EO",IF(O364="低",4,IF(O364="中",5,7)),IF(I364="EQ",IF(O364="低",3,IF(O364="中",4,6)),IF(I364="ILF",IF(O364="低",7,IF(O364="中",10,15)),IF(I364="EIF",IF(O364="低",5,IF(O364="中",7,10)),"不计算")))))*Q364,"不计算")</f>
        <v/>
      </c>
      <c r="Q364" s="142" t="n">
        <v>0</v>
      </c>
      <c r="R364" s="143">
        <f>调整因子!$F$13</f>
        <v/>
      </c>
      <c r="S364" s="70" t="n">
        <v>1</v>
      </c>
      <c r="T364" s="144">
        <f>IFERROR(P364*R364,0)</f>
        <v/>
      </c>
      <c r="U364" s="144">
        <f>T364*S364</f>
        <v/>
      </c>
      <c r="V364" s="89" t="n"/>
      <c r="W364" s="88" t="inlineStr">
        <is>
          <t>漏洞类型统计数据表</t>
        </is>
      </c>
      <c r="X364" s="88" t="inlineStr">
        <is>
          <t>漏洞类型统计数据表{数据ID、漏洞类型、数量、统计时间}</t>
        </is>
      </c>
      <c r="Y364" s="88">
        <f>IF(COUNTIFS(V:V,"*"&amp;H364&amp;"*")&gt;0,"存在","不存在")</f>
        <v/>
      </c>
      <c r="Z364" s="88">
        <f>IF(COUNTIFS(AA:AA,"*"&amp;H364&amp;"*")&gt;0,"存在","不存在")</f>
        <v/>
      </c>
      <c r="AA364" s="96" t="inlineStr">
        <is>
          <t>数据清洗任务表</t>
        </is>
      </c>
    </row>
    <row r="365">
      <c r="A365" s="69">
        <f>ROW()-1</f>
        <v/>
      </c>
      <c r="B365" s="53" t="n"/>
      <c r="C365" s="78" t="n">
        <v>2025</v>
      </c>
      <c r="D365" s="78" t="inlineStr">
        <is>
          <t>张明峰</t>
        </is>
      </c>
      <c r="E365" s="53" t="n"/>
      <c r="F365" s="53" t="n"/>
      <c r="G365" s="53" t="n"/>
      <c r="H365" s="81" t="inlineStr">
        <is>
          <t>插件等级统计数据表</t>
        </is>
      </c>
      <c r="I365" s="76" t="inlineStr">
        <is>
          <t>ILF</t>
        </is>
      </c>
      <c r="J365" s="108" t="n"/>
      <c r="K365" s="108" t="inlineStr">
        <is>
          <t>数据库表未被本系统所维护</t>
        </is>
      </c>
      <c r="L365" s="83">
        <f>IF(OR(X365="估算法",X365="算法类",X365="无法识别"),"",IF(V365="",IF(OR(I365="EI",I365="EO",I365="EQ"),0,""),LEN(V365)-LEN(SUBSTITUTE(V365,"、",""))+1))</f>
        <v/>
      </c>
      <c r="M365" s="83">
        <f>IF(OR(X365="估算法",X365="算法类",X365="无法识别"),"",IF(W365="",IF(OR(I365="ILF",I365="EIF"),0,""),LEN(W365)-LEN(SUBSTITUTE(W365,"、",""))+1))</f>
        <v/>
      </c>
      <c r="N365" s="83">
        <f>IF(OR(X365="估算法",X365="算法类",X365="无法识别"),"",IF(X365="",IF(OR(I365="ILF",I365="EIF",I365="EI",I365="EO",I365="EQ"),0,""),LEN(X365)-LEN(SUBSTITUTE(SUBSTITUTE(SUBSTITUTE(SUBSTITUTE(SUBSTITUTE(X365,"|}","--"),"{|","--"),CHAR(10),""),"、",""),"|",""))+IF(AND(OR(I365="EI",I365="EO",I365="EQ"),$AD$1="NESMA"),2,1)))</f>
        <v/>
      </c>
      <c r="O365" s="84">
        <f>IF(I365="EI",IF(OR(X365="估算法",X365="算法类"),"中",IF(X365="无法识别","低",IF(L365&lt;2,IF(N365&lt;16,"低","中"),IF(L365&lt;3,IF(N365&lt;5,"低",IF(N365&lt;16,"中","高")),IF(N365&lt;5,"中","高"))))),IF(OR(I365="EO",I365="EQ"),IF(OR(X365="估算法",X365="算法类"),"中",IF(X365="无法识别","低",IF(L365&lt;2,IF(N365&lt;20,"低","中"),IF(L365&lt;4,IF(N365&lt;6,"低",IF(N365&lt;20,"中","高")),IF(N365&lt;6,"中","高"))))),IF(OR(I365="ILF",I365="EIF"),IF(OR(X365="估算法",X365="算法类",X365="无法识别"),"低",IF(M365&lt;2,IF(N365&lt;51,"低","中"),IF(M365&lt;6,IF(N365&lt;20,"低",IF(N365&lt;51,"中","高")),IF(N365&lt;20,"中","高")))),"不计算")))</f>
        <v/>
      </c>
      <c r="P365" s="142">
        <f>IFERROR(IF(I365="EI",IF(O365="低",3,IF(O365="中",4,6)),IF(I365="EO",IF(O365="低",4,IF(O365="中",5,7)),IF(I365="EQ",IF(O365="低",3,IF(O365="中",4,6)),IF(I365="ILF",IF(O365="低",7,IF(O365="中",10,15)),IF(I365="EIF",IF(O365="低",5,IF(O365="中",7,10)),"不计算")))))*Q365,"不计算")</f>
        <v/>
      </c>
      <c r="Q365" s="142" t="n">
        <v>0</v>
      </c>
      <c r="R365" s="143">
        <f>调整因子!$F$13</f>
        <v/>
      </c>
      <c r="S365" s="76" t="n">
        <v>1</v>
      </c>
      <c r="T365" s="144">
        <f>IFERROR(P365*R365,0)</f>
        <v/>
      </c>
      <c r="U365" s="144">
        <f>T365*S365</f>
        <v/>
      </c>
      <c r="V365" s="89" t="n"/>
      <c r="W365" s="88" t="inlineStr">
        <is>
          <t>插件等级统计数据表</t>
        </is>
      </c>
      <c r="X365" s="88" t="inlineStr">
        <is>
          <t>插件等级统计数据表{数据ID、插件等级、数量、统计时间}</t>
        </is>
      </c>
      <c r="Y365" s="88">
        <f>IF(COUNTIFS(V:V,"*"&amp;H365&amp;"*")&gt;0,"存在","不存在")</f>
        <v/>
      </c>
      <c r="Z365" s="88">
        <f>IF(COUNTIFS(AA:AA,"*"&amp;H365&amp;"*")&gt;0,"存在","不存在")</f>
        <v/>
      </c>
      <c r="AA365" s="96" t="inlineStr">
        <is>
          <t>数据清洗任务表</t>
        </is>
      </c>
    </row>
    <row r="366">
      <c r="A366" s="69">
        <f>ROW()-1</f>
        <v/>
      </c>
      <c r="B366" s="53" t="n"/>
      <c r="C366" s="78" t="n">
        <v>2025</v>
      </c>
      <c r="D366" s="78" t="inlineStr">
        <is>
          <t>张明峰</t>
        </is>
      </c>
      <c r="E366" s="53" t="n"/>
      <c r="F366" s="53" t="n"/>
      <c r="G366" s="53" t="n"/>
      <c r="H366" s="81" t="inlineStr">
        <is>
          <t>漏洞时间趋势统计表</t>
        </is>
      </c>
      <c r="I366" s="76" t="inlineStr">
        <is>
          <t>ILF</t>
        </is>
      </c>
      <c r="J366" s="108" t="n"/>
      <c r="K366" s="108" t="inlineStr">
        <is>
          <t>数据库表未被本系统所维护</t>
        </is>
      </c>
      <c r="L366" s="83">
        <f>IF(OR(X366="估算法",X366="算法类",X366="无法识别"),"",IF(V366="",IF(OR(I366="EI",I366="EO",I366="EQ"),0,""),LEN(V366)-LEN(SUBSTITUTE(V366,"、",""))+1))</f>
        <v/>
      </c>
      <c r="M366" s="83">
        <f>IF(OR(X366="估算法",X366="算法类",X366="无法识别"),"",IF(W366="",IF(OR(I366="ILF",I366="EIF"),0,""),LEN(W366)-LEN(SUBSTITUTE(W366,"、",""))+1))</f>
        <v/>
      </c>
      <c r="N366" s="83">
        <f>IF(OR(X366="估算法",X366="算法类",X366="无法识别"),"",IF(X366="",IF(OR(I366="ILF",I366="EIF",I366="EI",I366="EO",I366="EQ"),0,""),LEN(X366)-LEN(SUBSTITUTE(SUBSTITUTE(SUBSTITUTE(SUBSTITUTE(SUBSTITUTE(X366,"|}","--"),"{|","--"),CHAR(10),""),"、",""),"|",""))+IF(AND(OR(I366="EI",I366="EO",I366="EQ"),$AD$1="NESMA"),2,1)))</f>
        <v/>
      </c>
      <c r="O366" s="84">
        <f>IF(I366="EI",IF(OR(X366="估算法",X366="算法类"),"中",IF(X366="无法识别","低",IF(L366&lt;2,IF(N366&lt;16,"低","中"),IF(L366&lt;3,IF(N366&lt;5,"低",IF(N366&lt;16,"中","高")),IF(N366&lt;5,"中","高"))))),IF(OR(I366="EO",I366="EQ"),IF(OR(X366="估算法",X366="算法类"),"中",IF(X366="无法识别","低",IF(L366&lt;2,IF(N366&lt;20,"低","中"),IF(L366&lt;4,IF(N366&lt;6,"低",IF(N366&lt;20,"中","高")),IF(N366&lt;6,"中","高"))))),IF(OR(I366="ILF",I366="EIF"),IF(OR(X366="估算法",X366="算法类",X366="无法识别"),"低",IF(M366&lt;2,IF(N366&lt;51,"低","中"),IF(M366&lt;6,IF(N366&lt;20,"低",IF(N366&lt;51,"中","高")),IF(N366&lt;20,"中","高")))),"不计算")))</f>
        <v/>
      </c>
      <c r="P366" s="142">
        <f>IFERROR(IF(I366="EI",IF(O366="低",3,IF(O366="中",4,6)),IF(I366="EO",IF(O366="低",4,IF(O366="中",5,7)),IF(I366="EQ",IF(O366="低",3,IF(O366="中",4,6)),IF(I366="ILF",IF(O366="低",7,IF(O366="中",10,15)),IF(I366="EIF",IF(O366="低",5,IF(O366="中",7,10)),"不计算")))))*Q366,"不计算")</f>
        <v/>
      </c>
      <c r="Q366" s="142" t="n">
        <v>0</v>
      </c>
      <c r="R366" s="143">
        <f>调整因子!$F$13</f>
        <v/>
      </c>
      <c r="S366" s="70" t="n">
        <v>1</v>
      </c>
      <c r="T366" s="144">
        <f>IFERROR(P366*R366,0)</f>
        <v/>
      </c>
      <c r="U366" s="144">
        <f>T366*S366</f>
        <v/>
      </c>
      <c r="V366" s="89" t="n"/>
      <c r="W366" s="88" t="inlineStr">
        <is>
          <t>漏洞时间趋势统计表</t>
        </is>
      </c>
      <c r="X366" s="88" t="inlineStr">
        <is>
          <t>漏洞时间趋势统计表{统计ID、时间段、漏洞数量、统计时间}</t>
        </is>
      </c>
      <c r="Y366" s="88">
        <f>IF(COUNTIFS(V:V,"*"&amp;H366&amp;"*")&gt;0,"存在","不存在")</f>
        <v/>
      </c>
      <c r="Z366" s="88">
        <f>IF(COUNTIFS(AA:AA,"*"&amp;H366&amp;"*")&gt;0,"存在","不存在")</f>
        <v/>
      </c>
      <c r="AA366" s="96" t="inlineStr">
        <is>
          <t>数据清洗任务表</t>
        </is>
      </c>
    </row>
    <row r="367">
      <c r="A367" s="69">
        <f>ROW()-1</f>
        <v/>
      </c>
      <c r="B367" s="53" t="n"/>
      <c r="C367" s="78" t="n">
        <v>2025</v>
      </c>
      <c r="D367" s="78" t="inlineStr">
        <is>
          <t>张明峰</t>
        </is>
      </c>
      <c r="E367" s="53" t="n"/>
      <c r="F367" s="53" t="n"/>
      <c r="G367" s="53" t="n"/>
      <c r="H367" s="81" t="inlineStr">
        <is>
          <t>IP风险率统计表</t>
        </is>
      </c>
      <c r="I367" s="76" t="inlineStr">
        <is>
          <t>ILF</t>
        </is>
      </c>
      <c r="J367" s="108" t="n"/>
      <c r="K367" s="108" t="inlineStr">
        <is>
          <t>数据库表未被本系统所维护</t>
        </is>
      </c>
      <c r="L367" s="83">
        <f>IF(OR(X367="估算法",X367="算法类",X367="无法识别"),"",IF(V367="",IF(OR(I367="EI",I367="EO",I367="EQ"),0,""),LEN(V367)-LEN(SUBSTITUTE(V367,"、",""))+1))</f>
        <v/>
      </c>
      <c r="M367" s="83">
        <f>IF(OR(X367="估算法",X367="算法类",X367="无法识别"),"",IF(W367="",IF(OR(I367="ILF",I367="EIF"),0,""),LEN(W367)-LEN(SUBSTITUTE(W367,"、",""))+1))</f>
        <v/>
      </c>
      <c r="N367" s="83">
        <f>IF(OR(X367="估算法",X367="算法类",X367="无法识别"),"",IF(X367="",IF(OR(I367="ILF",I367="EIF",I367="EI",I367="EO",I367="EQ"),0,""),LEN(X367)-LEN(SUBSTITUTE(SUBSTITUTE(SUBSTITUTE(SUBSTITUTE(SUBSTITUTE(X367,"|}","--"),"{|","--"),CHAR(10),""),"、",""),"|",""))+IF(AND(OR(I367="EI",I367="EO",I367="EQ"),$AD$1="NESMA"),2,1)))</f>
        <v/>
      </c>
      <c r="O367" s="84">
        <f>IF(I367="EI",IF(OR(X367="估算法",X367="算法类"),"中",IF(X367="无法识别","低",IF(L367&lt;2,IF(N367&lt;16,"低","中"),IF(L367&lt;3,IF(N367&lt;5,"低",IF(N367&lt;16,"中","高")),IF(N367&lt;5,"中","高"))))),IF(OR(I367="EO",I367="EQ"),IF(OR(X367="估算法",X367="算法类"),"中",IF(X367="无法识别","低",IF(L367&lt;2,IF(N367&lt;20,"低","中"),IF(L367&lt;4,IF(N367&lt;6,"低",IF(N367&lt;20,"中","高")),IF(N367&lt;6,"中","高"))))),IF(OR(I367="ILF",I367="EIF"),IF(OR(X367="估算法",X367="算法类",X367="无法识别"),"低",IF(M367&lt;2,IF(N367&lt;51,"低","中"),IF(M367&lt;6,IF(N367&lt;20,"低",IF(N367&lt;51,"中","高")),IF(N367&lt;20,"中","高")))),"不计算")))</f>
        <v/>
      </c>
      <c r="P367" s="142">
        <f>IFERROR(IF(I367="EI",IF(O367="低",3,IF(O367="中",4,6)),IF(I367="EO",IF(O367="低",4,IF(O367="中",5,7)),IF(I367="EQ",IF(O367="低",3,IF(O367="中",4,6)),IF(I367="ILF",IF(O367="低",7,IF(O367="中",10,15)),IF(I367="EIF",IF(O367="低",5,IF(O367="中",7,10)),"不计算")))))*Q367,"不计算")</f>
        <v/>
      </c>
      <c r="Q367" s="142" t="n">
        <v>0</v>
      </c>
      <c r="R367" s="143">
        <f>调整因子!$F$13</f>
        <v/>
      </c>
      <c r="S367" s="70" t="n">
        <v>1</v>
      </c>
      <c r="T367" s="144">
        <f>IFERROR(P367*R367,0)</f>
        <v/>
      </c>
      <c r="U367" s="144">
        <f>T367*S367</f>
        <v/>
      </c>
      <c r="V367" s="89" t="n"/>
      <c r="W367" s="88" t="inlineStr">
        <is>
          <t>IP风险率统计表</t>
        </is>
      </c>
      <c r="X367" s="88" t="inlineStr">
        <is>
          <t>IP风险率统计表{统计ID、IP地址、风险率、统计时间}</t>
        </is>
      </c>
      <c r="Y367" s="88">
        <f>IF(COUNTIFS(V:V,"*"&amp;H367&amp;"*")&gt;0,"存在","不存在")</f>
        <v/>
      </c>
      <c r="Z367" s="88">
        <f>IF(COUNTIFS(AA:AA,"*"&amp;H367&amp;"*")&gt;0,"存在","不存在")</f>
        <v/>
      </c>
      <c r="AA367" s="96" t="inlineStr">
        <is>
          <t>漏洞查询接口配置表</t>
        </is>
      </c>
    </row>
    <row r="368">
      <c r="A368" s="69">
        <f>ROW()-1</f>
        <v/>
      </c>
      <c r="B368" s="53" t="n"/>
      <c r="C368" s="78" t="n">
        <v>2025</v>
      </c>
      <c r="D368" s="78" t="inlineStr">
        <is>
          <t>张明峰</t>
        </is>
      </c>
      <c r="E368" s="53" t="n"/>
      <c r="F368" s="53" t="n"/>
      <c r="G368" s="53" t="n"/>
      <c r="H368" s="81" t="inlineStr">
        <is>
          <t>端口风险率统计表</t>
        </is>
      </c>
      <c r="I368" s="76" t="inlineStr">
        <is>
          <t>ILF</t>
        </is>
      </c>
      <c r="J368" s="108" t="n"/>
      <c r="K368" s="108" t="inlineStr">
        <is>
          <t>数据库表未被本系统所维护</t>
        </is>
      </c>
      <c r="L368" s="83">
        <f>IF(OR(X368="估算法",X368="算法类",X368="无法识别"),"",IF(V368="",IF(OR(I368="EI",I368="EO",I368="EQ"),0,""),LEN(V368)-LEN(SUBSTITUTE(V368,"、",""))+1))</f>
        <v/>
      </c>
      <c r="M368" s="83">
        <f>IF(OR(X368="估算法",X368="算法类",X368="无法识别"),"",IF(W368="",IF(OR(I368="ILF",I368="EIF"),0,""),LEN(W368)-LEN(SUBSTITUTE(W368,"、",""))+1))</f>
        <v/>
      </c>
      <c r="N368" s="83">
        <f>IF(OR(X368="估算法",X368="算法类",X368="无法识别"),"",IF(X368="",IF(OR(I368="ILF",I368="EIF",I368="EI",I368="EO",I368="EQ"),0,""),LEN(X368)-LEN(SUBSTITUTE(SUBSTITUTE(SUBSTITUTE(SUBSTITUTE(SUBSTITUTE(X368,"|}","--"),"{|","--"),CHAR(10),""),"、",""),"|",""))+IF(AND(OR(I368="EI",I368="EO",I368="EQ"),$AD$1="NESMA"),2,1)))</f>
        <v/>
      </c>
      <c r="O368" s="84">
        <f>IF(I368="EI",IF(OR(X368="估算法",X368="算法类"),"中",IF(X368="无法识别","低",IF(L368&lt;2,IF(N368&lt;16,"低","中"),IF(L368&lt;3,IF(N368&lt;5,"低",IF(N368&lt;16,"中","高")),IF(N368&lt;5,"中","高"))))),IF(OR(I368="EO",I368="EQ"),IF(OR(X368="估算法",X368="算法类"),"中",IF(X368="无法识别","低",IF(L368&lt;2,IF(N368&lt;20,"低","中"),IF(L368&lt;4,IF(N368&lt;6,"低",IF(N368&lt;20,"中","高")),IF(N368&lt;6,"中","高"))))),IF(OR(I368="ILF",I368="EIF"),IF(OR(X368="估算法",X368="算法类",X368="无法识别"),"低",IF(M368&lt;2,IF(N368&lt;51,"低","中"),IF(M368&lt;6,IF(N368&lt;20,"低",IF(N368&lt;51,"中","高")),IF(N368&lt;20,"中","高")))),"不计算")))</f>
        <v/>
      </c>
      <c r="P368" s="142">
        <f>IFERROR(IF(I368="EI",IF(O368="低",3,IF(O368="中",4,6)),IF(I368="EO",IF(O368="低",4,IF(O368="中",5,7)),IF(I368="EQ",IF(O368="低",3,IF(O368="中",4,6)),IF(I368="ILF",IF(O368="低",7,IF(O368="中",10,15)),IF(I368="EIF",IF(O368="低",5,IF(O368="中",7,10)),"不计算")))))*Q368,"不计算")</f>
        <v/>
      </c>
      <c r="Q368" s="142" t="n">
        <v>0</v>
      </c>
      <c r="R368" s="143">
        <f>调整因子!$F$13</f>
        <v/>
      </c>
      <c r="S368" s="76" t="n">
        <v>1</v>
      </c>
      <c r="T368" s="144">
        <f>IFERROR(P368*R368,0)</f>
        <v/>
      </c>
      <c r="U368" s="144">
        <f>T368*S368</f>
        <v/>
      </c>
      <c r="V368" s="89" t="n"/>
      <c r="W368" s="88" t="inlineStr">
        <is>
          <t>端口风险率统计表</t>
        </is>
      </c>
      <c r="X368" s="88" t="inlineStr">
        <is>
          <t>端口风险率统计表{统计ID、端口号、风险率、统计时间}</t>
        </is>
      </c>
      <c r="Y368" s="88">
        <f>IF(COUNTIFS(V:V,"*"&amp;H368&amp;"*")&gt;0,"存在","不存在")</f>
        <v/>
      </c>
      <c r="Z368" s="88">
        <f>IF(COUNTIFS(AA:AA,"*"&amp;H368&amp;"*")&gt;0,"存在","不存在")</f>
        <v/>
      </c>
      <c r="AA368" s="96" t="inlineStr">
        <is>
          <t>任务优先级配置表</t>
        </is>
      </c>
    </row>
    <row r="369">
      <c r="A369" s="69">
        <f>ROW()-1</f>
        <v/>
      </c>
      <c r="B369" s="53" t="n"/>
      <c r="C369" s="78" t="n">
        <v>2025</v>
      </c>
      <c r="D369" s="78" t="inlineStr">
        <is>
          <t>张明峰</t>
        </is>
      </c>
      <c r="E369" s="53" t="n"/>
      <c r="F369" s="53" t="n"/>
      <c r="G369" s="54" t="n"/>
      <c r="H369" s="81" t="inlineStr">
        <is>
          <t>协议风险率统计表</t>
        </is>
      </c>
      <c r="I369" s="76" t="inlineStr">
        <is>
          <t>ILF</t>
        </is>
      </c>
      <c r="J369" s="108" t="n"/>
      <c r="K369" s="108" t="inlineStr">
        <is>
          <t>数据库表未被本系统所维护</t>
        </is>
      </c>
      <c r="L369" s="83">
        <f>IF(OR(X369="估算法",X369="算法类",X369="无法识别"),"",IF(V369="",IF(OR(I369="EI",I369="EO",I369="EQ"),0,""),LEN(V369)-LEN(SUBSTITUTE(V369,"、",""))+1))</f>
        <v/>
      </c>
      <c r="M369" s="83">
        <f>IF(OR(X369="估算法",X369="算法类",X369="无法识别"),"",IF(W369="",IF(OR(I369="ILF",I369="EIF"),0,""),LEN(W369)-LEN(SUBSTITUTE(W369,"、",""))+1))</f>
        <v/>
      </c>
      <c r="N369" s="83">
        <f>IF(OR(X369="估算法",X369="算法类",X369="无法识别"),"",IF(X369="",IF(OR(I369="ILF",I369="EIF",I369="EI",I369="EO",I369="EQ"),0,""),LEN(X369)-LEN(SUBSTITUTE(SUBSTITUTE(SUBSTITUTE(SUBSTITUTE(SUBSTITUTE(X369,"|}","--"),"{|","--"),CHAR(10),""),"、",""),"|",""))+IF(AND(OR(I369="EI",I369="EO",I369="EQ"),$AD$1="NESMA"),2,1)))</f>
        <v/>
      </c>
      <c r="O369" s="84">
        <f>IF(I369="EI",IF(OR(X369="估算法",X369="算法类"),"中",IF(X369="无法识别","低",IF(L369&lt;2,IF(N369&lt;16,"低","中"),IF(L369&lt;3,IF(N369&lt;5,"低",IF(N369&lt;16,"中","高")),IF(N369&lt;5,"中","高"))))),IF(OR(I369="EO",I369="EQ"),IF(OR(X369="估算法",X369="算法类"),"中",IF(X369="无法识别","低",IF(L369&lt;2,IF(N369&lt;20,"低","中"),IF(L369&lt;4,IF(N369&lt;6,"低",IF(N369&lt;20,"中","高")),IF(N369&lt;6,"中","高"))))),IF(OR(I369="ILF",I369="EIF"),IF(OR(X369="估算法",X369="算法类",X369="无法识别"),"低",IF(M369&lt;2,IF(N369&lt;51,"低","中"),IF(M369&lt;6,IF(N369&lt;20,"低",IF(N369&lt;51,"中","高")),IF(N369&lt;20,"中","高")))),"不计算")))</f>
        <v/>
      </c>
      <c r="P369" s="142">
        <f>IFERROR(IF(I369="EI",IF(O369="低",3,IF(O369="中",4,6)),IF(I369="EO",IF(O369="低",4,IF(O369="中",5,7)),IF(I369="EQ",IF(O369="低",3,IF(O369="中",4,6)),IF(I369="ILF",IF(O369="低",7,IF(O369="中",10,15)),IF(I369="EIF",IF(O369="低",5,IF(O369="中",7,10)),"不计算")))))*Q369,"不计算")</f>
        <v/>
      </c>
      <c r="Q369" s="142" t="n">
        <v>0</v>
      </c>
      <c r="R369" s="143">
        <f>调整因子!$F$13</f>
        <v/>
      </c>
      <c r="S369" s="70" t="n">
        <v>1</v>
      </c>
      <c r="T369" s="144">
        <f>IFERROR(P369*R369,0)</f>
        <v/>
      </c>
      <c r="U369" s="144">
        <f>T369*S369</f>
        <v/>
      </c>
      <c r="V369" s="89" t="n"/>
      <c r="W369" s="88" t="inlineStr">
        <is>
          <t>协议风险率统计表</t>
        </is>
      </c>
      <c r="X369" s="88" t="inlineStr">
        <is>
          <t>协议风险率统计表{统计ID、协议类型、风险率、统计时间}</t>
        </is>
      </c>
      <c r="Y369" s="88">
        <f>IF(COUNTIFS(V:V,"*"&amp;H369&amp;"*")&gt;0,"存在","不存在")</f>
        <v/>
      </c>
      <c r="Z369" s="88">
        <f>IF(COUNTIFS(AA:AA,"*"&amp;H369&amp;"*")&gt;0,"存在","不存在")</f>
        <v/>
      </c>
      <c r="AA369" s="96" t="inlineStr">
        <is>
          <t>任务优先级配置表、模板参数配置表</t>
        </is>
      </c>
    </row>
    <row r="370">
      <c r="A370" s="69">
        <f>ROW()-1</f>
        <v/>
      </c>
      <c r="B370" s="53" t="n"/>
      <c r="C370" s="78" t="n">
        <v>2025</v>
      </c>
      <c r="D370" s="78" t="inlineStr">
        <is>
          <t>张明峰</t>
        </is>
      </c>
      <c r="E370" s="53" t="n"/>
      <c r="F370" s="53" t="n"/>
      <c r="G370" s="76" t="inlineStr">
        <is>
          <t>部企接口信息</t>
        </is>
      </c>
      <c r="H370" s="81" t="inlineStr">
        <is>
          <t>查看部企接口列表</t>
        </is>
      </c>
      <c r="I370" s="76" t="inlineStr">
        <is>
          <t>EQ</t>
        </is>
      </c>
      <c r="J370" s="108" t="n"/>
      <c r="K370" s="108" t="n"/>
      <c r="L370" s="83">
        <f>IF(OR(X370="估算法",X370="算法类",X370="无法识别"),"",IF(V370="",IF(OR(I370="EI",I370="EO",I370="EQ"),0,""),LEN(V370)-LEN(SUBSTITUTE(V370,"、",""))+1))</f>
        <v/>
      </c>
      <c r="M370" s="83">
        <f>IF(OR(X370="估算法",X370="算法类",X370="无法识别"),"",IF(W370="",IF(OR(I370="ILF",I370="EIF"),0,""),LEN(W370)-LEN(SUBSTITUTE(W370,"、",""))+1))</f>
        <v/>
      </c>
      <c r="N370" s="83">
        <f>IF(OR(X370="估算法",X370="算法类",X370="无法识别"),"",IF(X370="",IF(OR(I370="ILF",I370="EIF",I370="EI",I370="EO",I370="EQ"),0,""),LEN(X370)-LEN(SUBSTITUTE(SUBSTITUTE(SUBSTITUTE(SUBSTITUTE(SUBSTITUTE(X370,"|}","--"),"{|","--"),CHAR(10),""),"、",""),"|",""))+IF(AND(OR(I370="EI",I370="EO",I370="EQ"),$AD$1="NESMA"),2,1)))</f>
        <v/>
      </c>
      <c r="O370" s="84">
        <f>IF(I370="EI",IF(OR(X370="估算法",X370="算法类"),"中",IF(X370="无法识别","低",IF(L370&lt;2,IF(N370&lt;16,"低","中"),IF(L370&lt;3,IF(N370&lt;5,"低",IF(N370&lt;16,"中","高")),IF(N370&lt;5,"中","高"))))),IF(OR(I370="EO",I370="EQ"),IF(OR(X370="估算法",X370="算法类"),"中",IF(X370="无法识别","低",IF(L370&lt;2,IF(N370&lt;20,"低","中"),IF(L370&lt;4,IF(N370&lt;6,"低",IF(N370&lt;20,"中","高")),IF(N370&lt;6,"中","高"))))),IF(OR(I370="ILF",I370="EIF"),IF(OR(X370="估算法",X370="算法类",X370="无法识别"),"低",IF(M370&lt;2,IF(N370&lt;51,"低","中"),IF(M370&lt;6,IF(N370&lt;20,"低",IF(N370&lt;51,"中","高")),IF(N370&lt;20,"中","高")))),"不计算")))</f>
        <v/>
      </c>
      <c r="P370" s="142">
        <f>IFERROR(IF(I370="EI",IF(O370="低",3,IF(O370="中",4,6)),IF(I370="EO",IF(O370="低",4,IF(O370="中",5,7)),IF(I370="EQ",IF(O370="低",3,IF(O370="中",4,6)),IF(I370="ILF",IF(O370="低",7,IF(O370="中",10,15)),IF(I370="EIF",IF(O370="低",5,IF(O370="中",7,10)),"不计算")))))*Q370,"不计算")</f>
        <v/>
      </c>
      <c r="Q370" s="142" t="n">
        <v>1</v>
      </c>
      <c r="R370" s="143">
        <f>调整因子!$F$13</f>
        <v/>
      </c>
      <c r="S370" s="70" t="n">
        <v>1</v>
      </c>
      <c r="T370" s="144">
        <f>IFERROR(P370*R370,0)</f>
        <v/>
      </c>
      <c r="U370" s="144">
        <f>T370*S370</f>
        <v/>
      </c>
      <c r="V370" s="88" t="inlineStr">
        <is>
          <t>部企接口配置表</t>
        </is>
      </c>
      <c r="W370" s="100" t="n"/>
      <c r="X370" s="88" t="inlineStr">
        <is>
          <t>部企接口配置表{配置ID、接口名称、配置内容、创建时间}</t>
        </is>
      </c>
      <c r="Y370" s="88" t="n"/>
      <c r="Z370" s="88" t="n"/>
      <c r="AA370" s="96" t="inlineStr">
        <is>
          <t>报告解析结果表</t>
        </is>
      </c>
    </row>
    <row r="371">
      <c r="A371" s="69">
        <f>ROW()-1</f>
        <v/>
      </c>
      <c r="B371" s="53" t="n"/>
      <c r="C371" s="78" t="n">
        <v>2025</v>
      </c>
      <c r="D371" s="78" t="inlineStr">
        <is>
          <t>张明峰</t>
        </is>
      </c>
      <c r="E371" s="53" t="n"/>
      <c r="F371" s="53" t="n"/>
      <c r="G371" s="53" t="n"/>
      <c r="H371" s="81" t="inlineStr">
        <is>
          <t>查看部企接口配置详情</t>
        </is>
      </c>
      <c r="I371" s="76" t="inlineStr">
        <is>
          <t>EQ</t>
        </is>
      </c>
      <c r="J371" s="108" t="n"/>
      <c r="K371" s="108" t="n"/>
      <c r="L371" s="83">
        <f>IF(OR(X371="估算法",X371="算法类",X371="无法识别"),"",IF(V371="",IF(OR(I371="EI",I371="EO",I371="EQ"),0,""),LEN(V371)-LEN(SUBSTITUTE(V371,"、",""))+1))</f>
        <v/>
      </c>
      <c r="M371" s="83">
        <f>IF(OR(X371="估算法",X371="算法类",X371="无法识别"),"",IF(W371="",IF(OR(I371="ILF",I371="EIF"),0,""),LEN(W371)-LEN(SUBSTITUTE(W371,"、",""))+1))</f>
        <v/>
      </c>
      <c r="N371" s="83">
        <f>IF(OR(X371="估算法",X371="算法类",X371="无法识别"),"",IF(X371="",IF(OR(I371="ILF",I371="EIF",I371="EI",I371="EO",I371="EQ"),0,""),LEN(X371)-LEN(SUBSTITUTE(SUBSTITUTE(SUBSTITUTE(SUBSTITUTE(SUBSTITUTE(X371,"|}","--"),"{|","--"),CHAR(10),""),"、",""),"|",""))+IF(AND(OR(I371="EI",I371="EO",I371="EQ"),$AD$1="NESMA"),2,1)))</f>
        <v/>
      </c>
      <c r="O371" s="84">
        <f>IF(I371="EI",IF(OR(X371="估算法",X371="算法类"),"中",IF(X371="无法识别","低",IF(L371&lt;2,IF(N371&lt;16,"低","中"),IF(L371&lt;3,IF(N371&lt;5,"低",IF(N371&lt;16,"中","高")),IF(N371&lt;5,"中","高"))))),IF(OR(I371="EO",I371="EQ"),IF(OR(X371="估算法",X371="算法类"),"中",IF(X371="无法识别","低",IF(L371&lt;2,IF(N371&lt;20,"低","中"),IF(L371&lt;4,IF(N371&lt;6,"低",IF(N371&lt;20,"中","高")),IF(N371&lt;6,"中","高"))))),IF(OR(I371="ILF",I371="EIF"),IF(OR(X371="估算法",X371="算法类",X371="无法识别"),"低",IF(M371&lt;2,IF(N371&lt;51,"低","中"),IF(M371&lt;6,IF(N371&lt;20,"低",IF(N371&lt;51,"中","高")),IF(N371&lt;20,"中","高")))),"不计算")))</f>
        <v/>
      </c>
      <c r="P371" s="142">
        <f>IFERROR(IF(I371="EI",IF(O371="低",3,IF(O371="中",4,6)),IF(I371="EO",IF(O371="低",4,IF(O371="中",5,7)),IF(I371="EQ",IF(O371="低",3,IF(O371="中",4,6)),IF(I371="ILF",IF(O371="低",7,IF(O371="中",10,15)),IF(I371="EIF",IF(O371="低",5,IF(O371="中",7,10)),"不计算")))))*Q371,"不计算")</f>
        <v/>
      </c>
      <c r="Q371" s="142" t="n">
        <v>1</v>
      </c>
      <c r="R371" s="143">
        <f>调整因子!$F$13</f>
        <v/>
      </c>
      <c r="S371" s="76" t="n">
        <v>1</v>
      </c>
      <c r="T371" s="144">
        <f>IFERROR(P371*R371,0)</f>
        <v/>
      </c>
      <c r="U371" s="144">
        <f>T371*S371</f>
        <v/>
      </c>
      <c r="V371" s="88" t="inlineStr">
        <is>
          <t>部企接口配置表</t>
        </is>
      </c>
      <c r="W371" s="100" t="n"/>
      <c r="X371" s="88" t="inlineStr">
        <is>
          <t>部企接口配置表{配置ID、接口名称、配置内容、创建时间}</t>
        </is>
      </c>
      <c r="Y371" s="88" t="n"/>
      <c r="Z371" s="88" t="n"/>
      <c r="AA371" s="96" t="inlineStr">
        <is>
          <t>推送日志表、扫描策略模板表</t>
        </is>
      </c>
    </row>
    <row r="372">
      <c r="A372" s="69">
        <f>ROW()-1</f>
        <v/>
      </c>
      <c r="B372" s="53" t="n"/>
      <c r="C372" s="78" t="n">
        <v>2025</v>
      </c>
      <c r="D372" s="78" t="inlineStr">
        <is>
          <t>张明峰</t>
        </is>
      </c>
      <c r="E372" s="53" t="n"/>
      <c r="F372" s="53" t="n"/>
      <c r="G372" s="53" t="n"/>
      <c r="H372" s="81" t="inlineStr">
        <is>
          <t>查看部企接口调用记录</t>
        </is>
      </c>
      <c r="I372" s="76" t="inlineStr">
        <is>
          <t>EQ</t>
        </is>
      </c>
      <c r="J372" s="108" t="n"/>
      <c r="K372" s="108" t="n"/>
      <c r="L372" s="83">
        <f>IF(OR(X372="估算法",X372="算法类",X372="无法识别"),"",IF(V372="",IF(OR(I372="EI",I372="EO",I372="EQ"),0,""),LEN(V372)-LEN(SUBSTITUTE(V372,"、",""))+1))</f>
        <v/>
      </c>
      <c r="M372" s="83">
        <f>IF(OR(X372="估算法",X372="算法类",X372="无法识别"),"",IF(W372="",IF(OR(I372="ILF",I372="EIF"),0,""),LEN(W372)-LEN(SUBSTITUTE(W372,"、",""))+1))</f>
        <v/>
      </c>
      <c r="N372" s="83">
        <f>IF(OR(X372="估算法",X372="算法类",X372="无法识别"),"",IF(X372="",IF(OR(I372="ILF",I372="EIF",I372="EI",I372="EO",I372="EQ"),0,""),LEN(X372)-LEN(SUBSTITUTE(SUBSTITUTE(SUBSTITUTE(SUBSTITUTE(SUBSTITUTE(X372,"|}","--"),"{|","--"),CHAR(10),""),"、",""),"|",""))+IF(AND(OR(I372="EI",I372="EO",I372="EQ"),$AD$1="NESMA"),2,1)))</f>
        <v/>
      </c>
      <c r="O372" s="84">
        <f>IF(I372="EI",IF(OR(X372="估算法",X372="算法类"),"中",IF(X372="无法识别","低",IF(L372&lt;2,IF(N372&lt;16,"低","中"),IF(L372&lt;3,IF(N372&lt;5,"低",IF(N372&lt;16,"中","高")),IF(N372&lt;5,"中","高"))))),IF(OR(I372="EO",I372="EQ"),IF(OR(X372="估算法",X372="算法类"),"中",IF(X372="无法识别","低",IF(L372&lt;2,IF(N372&lt;20,"低","中"),IF(L372&lt;4,IF(N372&lt;6,"低",IF(N372&lt;20,"中","高")),IF(N372&lt;6,"中","高"))))),IF(OR(I372="ILF",I372="EIF"),IF(OR(X372="估算法",X372="算法类",X372="无法识别"),"低",IF(M372&lt;2,IF(N372&lt;51,"低","中"),IF(M372&lt;6,IF(N372&lt;20,"低",IF(N372&lt;51,"中","高")),IF(N372&lt;20,"中","高")))),"不计算")))</f>
        <v/>
      </c>
      <c r="P372" s="142">
        <f>IFERROR(IF(I372="EI",IF(O372="低",3,IF(O372="中",4,6)),IF(I372="EO",IF(O372="低",4,IF(O372="中",5,7)),IF(I372="EQ",IF(O372="低",3,IF(O372="中",4,6)),IF(I372="ILF",IF(O372="低",7,IF(O372="中",10,15)),IF(I372="EIF",IF(O372="低",5,IF(O372="中",7,10)),"不计算")))))*Q372,"不计算")</f>
        <v/>
      </c>
      <c r="Q372" s="142" t="n">
        <v>1</v>
      </c>
      <c r="R372" s="143">
        <f>调整因子!$F$13</f>
        <v/>
      </c>
      <c r="S372" s="70" t="n">
        <v>1</v>
      </c>
      <c r="T372" s="144">
        <f>IFERROR(P372*R372,0)</f>
        <v/>
      </c>
      <c r="U372" s="144">
        <f>T372*S372</f>
        <v/>
      </c>
      <c r="V372" s="88" t="inlineStr">
        <is>
          <t>部企接口调用记录表</t>
        </is>
      </c>
      <c r="W372" s="100" t="n"/>
      <c r="X372" s="88" t="inlineStr">
        <is>
          <t>部企接口调用记录表{记录ID、接口名称、调用时间、调用结果}</t>
        </is>
      </c>
      <c r="Y372" s="88" t="n"/>
      <c r="Z372" s="88" t="n"/>
      <c r="AA372" s="96" t="inlineStr">
        <is>
          <t>任务优先级配置表、模板参数配置表</t>
        </is>
      </c>
    </row>
    <row r="373">
      <c r="A373" s="69">
        <f>ROW()-1</f>
        <v/>
      </c>
      <c r="B373" s="53" t="n"/>
      <c r="C373" s="78" t="n">
        <v>2025</v>
      </c>
      <c r="D373" s="78" t="inlineStr">
        <is>
          <t>张明峰</t>
        </is>
      </c>
      <c r="E373" s="53" t="n"/>
      <c r="F373" s="53" t="n"/>
      <c r="G373" s="53" t="n"/>
      <c r="H373" s="81" t="inlineStr">
        <is>
          <t>查看部企接口调用内容</t>
        </is>
      </c>
      <c r="I373" s="76" t="inlineStr">
        <is>
          <t>EQ</t>
        </is>
      </c>
      <c r="J373" s="98" t="inlineStr">
        <is>
          <t>修改需求中业务流程</t>
        </is>
      </c>
      <c r="K373" s="108" t="inlineStr">
        <is>
          <t>和下行合并，相同数据输入输出</t>
        </is>
      </c>
      <c r="L373" s="83">
        <f>IF(OR(X373="估算法",X373="算法类",X373="无法识别"),"",IF(V373="",IF(OR(I373="EI",I373="EO",I373="EQ"),0,""),LEN(V373)-LEN(SUBSTITUTE(V373,"、",""))+1))</f>
        <v/>
      </c>
      <c r="M373" s="83">
        <f>IF(OR(X373="估算法",X373="算法类",X373="无法识别"),"",IF(W373="",IF(OR(I373="ILF",I373="EIF"),0,""),LEN(W373)-LEN(SUBSTITUTE(W373,"、",""))+1))</f>
        <v/>
      </c>
      <c r="N373" s="83">
        <f>IF(OR(X373="估算法",X373="算法类",X373="无法识别"),"",IF(X373="",IF(OR(I373="ILF",I373="EIF",I373="EI",I373="EO",I373="EQ"),0,""),LEN(X373)-LEN(SUBSTITUTE(SUBSTITUTE(SUBSTITUTE(SUBSTITUTE(SUBSTITUTE(X373,"|}","--"),"{|","--"),CHAR(10),""),"、",""),"|",""))+IF(AND(OR(I373="EI",I373="EO",I373="EQ"),$AD$1="NESMA"),2,1)))</f>
        <v/>
      </c>
      <c r="O373" s="84">
        <f>IF(I373="EI",IF(OR(X373="估算法",X373="算法类"),"中",IF(X373="无法识别","低",IF(L373&lt;2,IF(N373&lt;16,"低","中"),IF(L373&lt;3,IF(N373&lt;5,"低",IF(N373&lt;16,"中","高")),IF(N373&lt;5,"中","高"))))),IF(OR(I373="EO",I373="EQ"),IF(OR(X373="估算法",X373="算法类"),"中",IF(X373="无法识别","低",IF(L373&lt;2,IF(N373&lt;20,"低","中"),IF(L373&lt;4,IF(N373&lt;6,"低",IF(N373&lt;20,"中","高")),IF(N373&lt;6,"中","高"))))),IF(OR(I373="ILF",I373="EIF"),IF(OR(X373="估算法",X373="算法类",X373="无法识别"),"低",IF(M373&lt;2,IF(N373&lt;51,"低","中"),IF(M373&lt;6,IF(N373&lt;20,"低",IF(N373&lt;51,"中","高")),IF(N373&lt;20,"中","高")))),"不计算")))</f>
        <v/>
      </c>
      <c r="P373" s="142">
        <f>IFERROR(IF(I373="EI",IF(O373="低",3,IF(O373="中",4,6)),IF(I373="EO",IF(O373="低",4,IF(O373="中",5,7)),IF(I373="EQ",IF(O373="低",3,IF(O373="中",4,6)),IF(I373="ILF",IF(O373="低",7,IF(O373="中",10,15)),IF(I373="EIF",IF(O373="低",5,IF(O373="中",7,10)),"不计算")))))*Q373,"不计算")</f>
        <v/>
      </c>
      <c r="Q373" s="142" t="n">
        <v>1</v>
      </c>
      <c r="R373" s="143">
        <f>调整因子!$F$13</f>
        <v/>
      </c>
      <c r="S373" s="70" t="n">
        <v>1</v>
      </c>
      <c r="T373" s="144">
        <f>IFERROR(P373*R373,0)</f>
        <v/>
      </c>
      <c r="U373" s="144">
        <f>T373*S373</f>
        <v/>
      </c>
      <c r="V373" s="88" t="inlineStr">
        <is>
          <t>部企接口调用记录表</t>
        </is>
      </c>
      <c r="W373" s="100" t="n"/>
      <c r="X373" s="88" t="inlineStr">
        <is>
          <t>部企接口调用记录表{记录ID、接口名称、调用时间、调用结果}</t>
        </is>
      </c>
      <c r="Y373" s="88" t="n"/>
      <c r="Z373" s="88" t="n"/>
      <c r="AA373" s="96" t="inlineStr">
        <is>
          <t>采集记录表、接口参数表</t>
        </is>
      </c>
    </row>
    <row r="374">
      <c r="A374" s="69">
        <f>ROW()-1</f>
        <v/>
      </c>
      <c r="B374" s="53" t="n"/>
      <c r="C374" s="78" t="n">
        <v>2025</v>
      </c>
      <c r="D374" s="78" t="inlineStr">
        <is>
          <t>张明峰</t>
        </is>
      </c>
      <c r="E374" s="53" t="n"/>
      <c r="F374" s="53" t="n"/>
      <c r="G374" s="53" t="n"/>
      <c r="H374" s="81" t="inlineStr">
        <is>
          <t>修改部企接口配置信息</t>
        </is>
      </c>
      <c r="I374" s="76" t="inlineStr">
        <is>
          <t>EI</t>
        </is>
      </c>
      <c r="J374" s="108" t="n"/>
      <c r="K374" s="108" t="n"/>
      <c r="L374" s="83">
        <f>IF(OR(X374="估算法",X374="算法类",X374="无法识别"),"",IF(V374="",IF(OR(I374="EI",I374="EO",I374="EQ"),0,""),LEN(V374)-LEN(SUBSTITUTE(V374,"、",""))+1))</f>
        <v/>
      </c>
      <c r="M374" s="83">
        <f>IF(OR(X374="估算法",X374="算法类",X374="无法识别"),"",IF(W374="",IF(OR(I374="ILF",I374="EIF"),0,""),LEN(W374)-LEN(SUBSTITUTE(W374,"、",""))+1))</f>
        <v/>
      </c>
      <c r="N374" s="83">
        <f>IF(OR(X374="估算法",X374="算法类",X374="无法识别"),"",IF(X374="",IF(OR(I374="ILF",I374="EIF",I374="EI",I374="EO",I374="EQ"),0,""),LEN(X374)-LEN(SUBSTITUTE(SUBSTITUTE(SUBSTITUTE(SUBSTITUTE(SUBSTITUTE(X374,"|}","--"),"{|","--"),CHAR(10),""),"、",""),"|",""))+IF(AND(OR(I374="EI",I374="EO",I374="EQ"),$AD$1="NESMA"),2,1)))</f>
        <v/>
      </c>
      <c r="O374" s="84">
        <f>IF(I374="EI",IF(OR(X374="估算法",X374="算法类"),"中",IF(X374="无法识别","低",IF(L374&lt;2,IF(N374&lt;16,"低","中"),IF(L374&lt;3,IF(N374&lt;5,"低",IF(N374&lt;16,"中","高")),IF(N374&lt;5,"中","高"))))),IF(OR(I374="EO",I374="EQ"),IF(OR(X374="估算法",X374="算法类"),"中",IF(X374="无法识别","低",IF(L374&lt;2,IF(N374&lt;20,"低","中"),IF(L374&lt;4,IF(N374&lt;6,"低",IF(N374&lt;20,"中","高")),IF(N374&lt;6,"中","高"))))),IF(OR(I374="ILF",I374="EIF"),IF(OR(X374="估算法",X374="算法类",X374="无法识别"),"低",IF(M374&lt;2,IF(N374&lt;51,"低","中"),IF(M374&lt;6,IF(N374&lt;20,"低",IF(N374&lt;51,"中","高")),IF(N374&lt;20,"中","高")))),"不计算")))</f>
        <v/>
      </c>
      <c r="P374" s="142">
        <f>IFERROR(IF(I374="EI",IF(O374="低",3,IF(O374="中",4,6)),IF(I374="EO",IF(O374="低",4,IF(O374="中",5,7)),IF(I374="EQ",IF(O374="低",3,IF(O374="中",4,6)),IF(I374="ILF",IF(O374="低",7,IF(O374="中",10,15)),IF(I374="EIF",IF(O374="低",5,IF(O374="中",7,10)),"不计算")))))*Q374,"不计算")</f>
        <v/>
      </c>
      <c r="Q374" s="142" t="n">
        <v>0.333333333333333</v>
      </c>
      <c r="R374" s="143">
        <f>调整因子!$F$13</f>
        <v/>
      </c>
      <c r="S374" s="76" t="n">
        <v>1</v>
      </c>
      <c r="T374" s="144">
        <f>IFERROR(P374*R374,0)</f>
        <v/>
      </c>
      <c r="U374" s="144">
        <f>T374*S374</f>
        <v/>
      </c>
      <c r="V374" s="88" t="inlineStr">
        <is>
          <t>部企接口配置表</t>
        </is>
      </c>
      <c r="W374" s="100" t="n"/>
      <c r="X374" s="88" t="inlineStr">
        <is>
          <t>部企接口配置表{配置ID、接口名称、配置内容、创建时间}</t>
        </is>
      </c>
      <c r="Y374" s="88" t="n"/>
      <c r="Z374" s="88" t="n"/>
      <c r="AA374" s="96" t="inlineStr">
        <is>
          <t>任务优先级配置表</t>
        </is>
      </c>
    </row>
    <row r="375" ht="21.6" customHeight="1">
      <c r="A375" s="69">
        <f>ROW()-1</f>
        <v/>
      </c>
      <c r="B375" s="53" t="n"/>
      <c r="C375" s="78" t="n">
        <v>2025</v>
      </c>
      <c r="D375" s="78" t="inlineStr">
        <is>
          <t>张明峰</t>
        </is>
      </c>
      <c r="E375" s="53" t="n"/>
      <c r="F375" s="53" t="n"/>
      <c r="G375" s="53" t="n"/>
      <c r="H375" s="81" t="inlineStr">
        <is>
          <t>接口配置表</t>
        </is>
      </c>
      <c r="I375" s="76" t="inlineStr">
        <is>
          <t>ILF</t>
        </is>
      </c>
      <c r="J375" s="93" t="inlineStr">
        <is>
          <t>修改名称：「部企接口配置表」</t>
        </is>
      </c>
      <c r="K375" s="108" t="n"/>
      <c r="L375" s="83">
        <f>IF(OR(X375="估算法",X375="算法类",X375="无法识别"),"",IF(V375="",IF(OR(I375="EI",I375="EO",I375="EQ"),0,""),LEN(V375)-LEN(SUBSTITUTE(V375,"、",""))+1))</f>
        <v/>
      </c>
      <c r="M375" s="83">
        <f>IF(OR(X375="估算法",X375="算法类",X375="无法识别"),"",IF(W375="",IF(OR(I375="ILF",I375="EIF"),0,""),LEN(W375)-LEN(SUBSTITUTE(W375,"、",""))+1))</f>
        <v/>
      </c>
      <c r="N375" s="83">
        <f>IF(OR(X375="估算法",X375="算法类",X375="无法识别"),"",IF(X375="",IF(OR(I375="ILF",I375="EIF",I375="EI",I375="EO",I375="EQ"),0,""),LEN(X375)-LEN(SUBSTITUTE(SUBSTITUTE(SUBSTITUTE(SUBSTITUTE(SUBSTITUTE(X375,"|}","--"),"{|","--"),CHAR(10),""),"、",""),"|",""))+IF(AND(OR(I375="EI",I375="EO",I375="EQ"),$AD$1="NESMA"),2,1)))</f>
        <v/>
      </c>
      <c r="O375" s="84">
        <f>IF(I375="EI",IF(OR(X375="估算法",X375="算法类"),"中",IF(X375="无法识别","低",IF(L375&lt;2,IF(N375&lt;16,"低","中"),IF(L375&lt;3,IF(N375&lt;5,"低",IF(N375&lt;16,"中","高")),IF(N375&lt;5,"中","高"))))),IF(OR(I375="EO",I375="EQ"),IF(OR(X375="估算法",X375="算法类"),"中",IF(X375="无法识别","低",IF(L375&lt;2,IF(N375&lt;20,"低","中"),IF(L375&lt;4,IF(N375&lt;6,"低",IF(N375&lt;20,"中","高")),IF(N375&lt;6,"中","高"))))),IF(OR(I375="ILF",I375="EIF"),IF(OR(X375="估算法",X375="算法类",X375="无法识别"),"低",IF(M375&lt;2,IF(N375&lt;51,"低","中"),IF(M375&lt;6,IF(N375&lt;20,"低",IF(N375&lt;51,"中","高")),IF(N375&lt;20,"中","高")))),"不计算")))</f>
        <v/>
      </c>
      <c r="P375" s="142">
        <f>IFERROR(IF(I375="EI",IF(O375="低",3,IF(O375="中",4,6)),IF(I375="EO",IF(O375="低",4,IF(O375="中",5,7)),IF(I375="EQ",IF(O375="低",3,IF(O375="中",4,6)),IF(I375="ILF",IF(O375="低",7,IF(O375="中",10,15)),IF(I375="EIF",IF(O375="低",5,IF(O375="中",7,10)),"不计算")))))*Q375,"不计算")</f>
        <v/>
      </c>
      <c r="Q375" s="142" t="n">
        <v>1</v>
      </c>
      <c r="R375" s="143">
        <f>调整因子!$F$13</f>
        <v/>
      </c>
      <c r="S375" s="70" t="n">
        <v>1</v>
      </c>
      <c r="T375" s="144">
        <f>IFERROR(P375*R375,0)</f>
        <v/>
      </c>
      <c r="U375" s="144">
        <f>T375*S375</f>
        <v/>
      </c>
      <c r="V375" s="89" t="n"/>
      <c r="W375" s="88" t="inlineStr">
        <is>
          <t>部企接口配置表</t>
        </is>
      </c>
      <c r="X375" s="88" t="inlineStr">
        <is>
          <t>部企接口配置表{配置ID、接口名称、配置内容、创建时间|响应状态码、返回数据信息}</t>
        </is>
      </c>
      <c r="Y375" s="88">
        <f>IF(COUNTIFS(V:V,"*"&amp;H375&amp;"*")&gt;0,"存在","不存在")</f>
        <v/>
      </c>
      <c r="Z375" s="88">
        <f>IF(COUNTIFS(AA:AA,"*"&amp;H375&amp;"*")&gt;0,"存在","不存在")</f>
        <v/>
      </c>
      <c r="AA375" s="96" t="inlineStr">
        <is>
          <t>推送规则表</t>
        </is>
      </c>
    </row>
    <row r="376">
      <c r="A376" s="69">
        <f>ROW()-1</f>
        <v/>
      </c>
      <c r="B376" s="53" t="n"/>
      <c r="C376" s="78" t="n">
        <v>2025</v>
      </c>
      <c r="D376" s="78" t="inlineStr">
        <is>
          <t>张明峰</t>
        </is>
      </c>
      <c r="E376" s="53" t="n"/>
      <c r="F376" s="53" t="n"/>
      <c r="G376" s="53" t="n"/>
      <c r="H376" s="81" t="inlineStr">
        <is>
          <t>接口信息表</t>
        </is>
      </c>
      <c r="I376" s="76" t="inlineStr">
        <is>
          <t>ILF</t>
        </is>
      </c>
      <c r="J376" s="92" t="inlineStr">
        <is>
          <t>新增</t>
        </is>
      </c>
      <c r="K376" s="108" t="inlineStr">
        <is>
          <t>数据库表未被本系统所维护</t>
        </is>
      </c>
      <c r="L376" s="83">
        <f>IF(OR(X376="估算法",X376="算法类",X376="无法识别"),"",IF(V376="",IF(OR(I376="EI",I376="EO",I376="EQ"),0,""),LEN(V376)-LEN(SUBSTITUTE(V376,"、",""))+1))</f>
        <v/>
      </c>
      <c r="M376" s="83">
        <f>IF(OR(X376="估算法",X376="算法类",X376="无法识别"),"",IF(W376="",IF(OR(I376="ILF",I376="EIF"),0,""),LEN(W376)-LEN(SUBSTITUTE(W376,"、",""))+1))</f>
        <v/>
      </c>
      <c r="N376" s="83">
        <f>IF(OR(X376="估算法",X376="算法类",X376="无法识别"),"",IF(X376="",IF(OR(I376="ILF",I376="EIF",I376="EI",I376="EO",I376="EQ"),0,""),LEN(X376)-LEN(SUBSTITUTE(SUBSTITUTE(SUBSTITUTE(SUBSTITUTE(SUBSTITUTE(X376,"|}","--"),"{|","--"),CHAR(10),""),"、",""),"|",""))+IF(AND(OR(I376="EI",I376="EO",I376="EQ"),$AD$1="NESMA"),2,1)))</f>
        <v/>
      </c>
      <c r="O376" s="84">
        <f>IF(I376="EI",IF(OR(X376="估算法",X376="算法类"),"中",IF(X376="无法识别","低",IF(L376&lt;2,IF(N376&lt;16,"低","中"),IF(L376&lt;3,IF(N376&lt;5,"低",IF(N376&lt;16,"中","高")),IF(N376&lt;5,"中","高"))))),IF(OR(I376="EO",I376="EQ"),IF(OR(X376="估算法",X376="算法类"),"中",IF(X376="无法识别","低",IF(L376&lt;2,IF(N376&lt;20,"低","中"),IF(L376&lt;4,IF(N376&lt;6,"低",IF(N376&lt;20,"中","高")),IF(N376&lt;6,"中","高"))))),IF(OR(I376="ILF",I376="EIF"),IF(OR(X376="估算法",X376="算法类",X376="无法识别"),"低",IF(M376&lt;2,IF(N376&lt;51,"低","中"),IF(M376&lt;6,IF(N376&lt;20,"低",IF(N376&lt;51,"中","高")),IF(N376&lt;20,"中","高")))),"不计算")))</f>
        <v/>
      </c>
      <c r="P376" s="142">
        <f>IFERROR(IF(I376="EI",IF(O376="低",3,IF(O376="中",4,6)),IF(I376="EO",IF(O376="低",4,IF(O376="中",5,7)),IF(I376="EQ",IF(O376="低",3,IF(O376="中",4,6)),IF(I376="ILF",IF(O376="低",7,IF(O376="中",10,15)),IF(I376="EIF",IF(O376="低",5,IF(O376="中",7,10)),"不计算")))))*Q376,"不计算")</f>
        <v/>
      </c>
      <c r="Q376" s="142" t="n">
        <v>0</v>
      </c>
      <c r="R376" s="143">
        <f>调整因子!$F$13</f>
        <v/>
      </c>
      <c r="S376" s="70" t="n">
        <v>1</v>
      </c>
      <c r="T376" s="144">
        <f>IFERROR(P376*R376,0)</f>
        <v/>
      </c>
      <c r="U376" s="144">
        <f>T376*S376</f>
        <v/>
      </c>
      <c r="V376" s="89" t="n"/>
      <c r="W376" s="88" t="inlineStr">
        <is>
          <t>接口信息表</t>
        </is>
      </c>
      <c r="X376" s="88" t="inlineStr">
        <is>
          <t>接口信息表{接口编号、接口名称、接口地址、请求方式、接口版本、接口说明、启用状态、创建时间、更新时间、维护人}</t>
        </is>
      </c>
      <c r="Y376" s="88">
        <f>IF(COUNTIFS(V:V,"*"&amp;H376&amp;"*")&gt;0,"存在","不存在")</f>
        <v/>
      </c>
      <c r="Z376" s="88">
        <f>IF(COUNTIFS(AA:AA,"*"&amp;H376&amp;"*")&gt;0,"存在","不存在")</f>
        <v/>
      </c>
      <c r="AA376" s="96" t="inlineStr">
        <is>
          <t>推送规则表</t>
        </is>
      </c>
    </row>
    <row r="377">
      <c r="A377" s="69">
        <f>ROW()-1</f>
        <v/>
      </c>
      <c r="B377" s="53" t="n"/>
      <c r="C377" s="78" t="n">
        <v>2025</v>
      </c>
      <c r="D377" s="78" t="inlineStr">
        <is>
          <t>张明峰</t>
        </is>
      </c>
      <c r="E377" s="53" t="n"/>
      <c r="F377" s="53" t="n"/>
      <c r="G377" s="53" t="n"/>
      <c r="H377" s="81" t="inlineStr">
        <is>
          <t>接口响应数据表</t>
        </is>
      </c>
      <c r="I377" s="76" t="inlineStr">
        <is>
          <t>ILF</t>
        </is>
      </c>
      <c r="J377" s="92" t="inlineStr">
        <is>
          <t>新增</t>
        </is>
      </c>
      <c r="K377" s="108" t="inlineStr">
        <is>
          <t>数据库表未被本系统所维护</t>
        </is>
      </c>
      <c r="L377" s="83">
        <f>IF(OR(X377="估算法",X377="算法类",X377="无法识别"),"",IF(V377="",IF(OR(I377="EI",I377="EO",I377="EQ"),0,""),LEN(V377)-LEN(SUBSTITUTE(V377,"、",""))+1))</f>
        <v/>
      </c>
      <c r="M377" s="83">
        <f>IF(OR(X377="估算法",X377="算法类",X377="无法识别"),"",IF(W377="",IF(OR(I377="ILF",I377="EIF"),0,""),LEN(W377)-LEN(SUBSTITUTE(W377,"、",""))+1))</f>
        <v/>
      </c>
      <c r="N377" s="83">
        <f>IF(OR(X377="估算法",X377="算法类",X377="无法识别"),"",IF(X377="",IF(OR(I377="ILF",I377="EIF",I377="EI",I377="EO",I377="EQ"),0,""),LEN(X377)-LEN(SUBSTITUTE(SUBSTITUTE(SUBSTITUTE(SUBSTITUTE(SUBSTITUTE(X377,"|}","--"),"{|","--"),CHAR(10),""),"、",""),"|",""))+IF(AND(OR(I377="EI",I377="EO",I377="EQ"),$AD$1="NESMA"),2,1)))</f>
        <v/>
      </c>
      <c r="O377" s="84">
        <f>IF(I377="EI",IF(OR(X377="估算法",X377="算法类"),"中",IF(X377="无法识别","低",IF(L377&lt;2,IF(N377&lt;16,"低","中"),IF(L377&lt;3,IF(N377&lt;5,"低",IF(N377&lt;16,"中","高")),IF(N377&lt;5,"中","高"))))),IF(OR(I377="EO",I377="EQ"),IF(OR(X377="估算法",X377="算法类"),"中",IF(X377="无法识别","低",IF(L377&lt;2,IF(N377&lt;20,"低","中"),IF(L377&lt;4,IF(N377&lt;6,"低",IF(N377&lt;20,"中","高")),IF(N377&lt;6,"中","高"))))),IF(OR(I377="ILF",I377="EIF"),IF(OR(X377="估算法",X377="算法类",X377="无法识别"),"低",IF(M377&lt;2,IF(N377&lt;51,"低","中"),IF(M377&lt;6,IF(N377&lt;20,"低",IF(N377&lt;51,"中","高")),IF(N377&lt;20,"中","高")))),"不计算")))</f>
        <v/>
      </c>
      <c r="P377" s="142">
        <f>IFERROR(IF(I377="EI",IF(O377="低",3,IF(O377="中",4,6)),IF(I377="EO",IF(O377="低",4,IF(O377="中",5,7)),IF(I377="EQ",IF(O377="低",3,IF(O377="中",4,6)),IF(I377="ILF",IF(O377="低",7,IF(O377="中",10,15)),IF(I377="EIF",IF(O377="低",5,IF(O377="中",7,10)),"不计算")))))*Q377,"不计算")</f>
        <v/>
      </c>
      <c r="Q377" s="142" t="n">
        <v>0</v>
      </c>
      <c r="R377" s="143">
        <f>调整因子!$F$13</f>
        <v/>
      </c>
      <c r="S377" s="70" t="n">
        <v>1</v>
      </c>
      <c r="T377" s="144">
        <f>IFERROR(P377*R377,0)</f>
        <v/>
      </c>
      <c r="U377" s="144">
        <f>T377*S377</f>
        <v/>
      </c>
      <c r="V377" s="89" t="n"/>
      <c r="W377" s="88" t="inlineStr">
        <is>
          <t>接口响应数据表</t>
        </is>
      </c>
      <c r="X377" s="88" t="inlineStr">
        <is>
          <t>接口响应数据表{响应编号、调用记录编号、响应状态码、响应头信息、响应体内容、响应时间、解析状态、异常说明、存储路径、创建时间}</t>
        </is>
      </c>
      <c r="Y377" s="88">
        <f>IF(COUNTIFS(V:V,"*"&amp;H377&amp;"*")&gt;0,"存在","不存在")</f>
        <v/>
      </c>
      <c r="Z377" s="88">
        <f>IF(COUNTIFS(AA:AA,"*"&amp;H377&amp;"*")&gt;0,"存在","不存在")</f>
        <v/>
      </c>
      <c r="AA377" s="96" t="inlineStr">
        <is>
          <t>推送规则表</t>
        </is>
      </c>
    </row>
    <row r="378">
      <c r="A378" s="69">
        <f>ROW()-1</f>
        <v/>
      </c>
      <c r="B378" s="53" t="n"/>
      <c r="C378" s="78" t="n">
        <v>2025</v>
      </c>
      <c r="D378" s="78" t="inlineStr">
        <is>
          <t>张明峰</t>
        </is>
      </c>
      <c r="E378" s="53" t="n"/>
      <c r="F378" s="53" t="n"/>
      <c r="G378" s="53" t="n"/>
      <c r="H378" s="81" t="inlineStr">
        <is>
          <t>接口请求数据表</t>
        </is>
      </c>
      <c r="I378" s="76" t="inlineStr">
        <is>
          <t>ILF</t>
        </is>
      </c>
      <c r="J378" s="92" t="inlineStr">
        <is>
          <t>新增</t>
        </is>
      </c>
      <c r="K378" s="108" t="inlineStr">
        <is>
          <t>数据库表未被本系统所维护</t>
        </is>
      </c>
      <c r="L378" s="83">
        <f>IF(OR(X378="估算法",X378="算法类",X378="无法识别"),"",IF(V378="",IF(OR(I378="EI",I378="EO",I378="EQ"),0,""),LEN(V378)-LEN(SUBSTITUTE(V378,"、",""))+1))</f>
        <v/>
      </c>
      <c r="M378" s="83">
        <f>IF(OR(X378="估算法",X378="算法类",X378="无法识别"),"",IF(W378="",IF(OR(I378="ILF",I378="EIF"),0,""),LEN(W378)-LEN(SUBSTITUTE(W378,"、",""))+1))</f>
        <v/>
      </c>
      <c r="N378" s="83">
        <f>IF(OR(X378="估算法",X378="算法类",X378="无法识别"),"",IF(X378="",IF(OR(I378="ILF",I378="EIF",I378="EI",I378="EO",I378="EQ"),0,""),LEN(X378)-LEN(SUBSTITUTE(SUBSTITUTE(SUBSTITUTE(SUBSTITUTE(SUBSTITUTE(X378,"|}","--"),"{|","--"),CHAR(10),""),"、",""),"|",""))+IF(AND(OR(I378="EI",I378="EO",I378="EQ"),$AD$1="NESMA"),2,1)))</f>
        <v/>
      </c>
      <c r="O378" s="84">
        <f>IF(I378="EI",IF(OR(X378="估算法",X378="算法类"),"中",IF(X378="无法识别","低",IF(L378&lt;2,IF(N378&lt;16,"低","中"),IF(L378&lt;3,IF(N378&lt;5,"低",IF(N378&lt;16,"中","高")),IF(N378&lt;5,"中","高"))))),IF(OR(I378="EO",I378="EQ"),IF(OR(X378="估算法",X378="算法类"),"中",IF(X378="无法识别","低",IF(L378&lt;2,IF(N378&lt;20,"低","中"),IF(L378&lt;4,IF(N378&lt;6,"低",IF(N378&lt;20,"中","高")),IF(N378&lt;6,"中","高"))))),IF(OR(I378="ILF",I378="EIF"),IF(OR(X378="估算法",X378="算法类",X378="无法识别"),"低",IF(M378&lt;2,IF(N378&lt;51,"低","中"),IF(M378&lt;6,IF(N378&lt;20,"低",IF(N378&lt;51,"中","高")),IF(N378&lt;20,"中","高")))),"不计算")))</f>
        <v/>
      </c>
      <c r="P378" s="142">
        <f>IFERROR(IF(I378="EI",IF(O378="低",3,IF(O378="中",4,6)),IF(I378="EO",IF(O378="低",4,IF(O378="中",5,7)),IF(I378="EQ",IF(O378="低",3,IF(O378="中",4,6)),IF(I378="ILF",IF(O378="低",7,IF(O378="中",10,15)),IF(I378="EIF",IF(O378="低",5,IF(O378="中",7,10)),"不计算")))))*Q378,"不计算")</f>
        <v/>
      </c>
      <c r="Q378" s="142" t="n">
        <v>0</v>
      </c>
      <c r="R378" s="143">
        <f>调整因子!$F$13</f>
        <v/>
      </c>
      <c r="S378" s="70" t="n">
        <v>1</v>
      </c>
      <c r="T378" s="144">
        <f>IFERROR(P378*R378,0)</f>
        <v/>
      </c>
      <c r="U378" s="144">
        <f>T378*S378</f>
        <v/>
      </c>
      <c r="V378" s="89" t="n"/>
      <c r="W378" s="88" t="inlineStr">
        <is>
          <t>接口请求数据表</t>
        </is>
      </c>
      <c r="X378" s="88" t="inlineStr">
        <is>
          <t>接口请求数据表{请求编号、调用记录编号、请求头信息、请求体内容、请求时间、签名信息、重试次数、发送状态、失败原因、创建时间}</t>
        </is>
      </c>
      <c r="Y378" s="88">
        <f>IF(COUNTIFS(V:V,"*"&amp;H378&amp;"*")&gt;0,"存在","不存在")</f>
        <v/>
      </c>
      <c r="Z378" s="88">
        <f>IF(COUNTIFS(AA:AA,"*"&amp;H378&amp;"*")&gt;0,"存在","不存在")</f>
        <v/>
      </c>
      <c r="AA378" s="96" t="inlineStr">
        <is>
          <t>推送规则表</t>
        </is>
      </c>
    </row>
    <row r="379">
      <c r="A379" s="69">
        <f>ROW()-1</f>
        <v/>
      </c>
      <c r="B379" s="53" t="n"/>
      <c r="C379" s="78" t="n">
        <v>2025</v>
      </c>
      <c r="D379" s="78" t="inlineStr">
        <is>
          <t>张明峰</t>
        </is>
      </c>
      <c r="E379" s="53" t="n"/>
      <c r="F379" s="53" t="n"/>
      <c r="G379" s="54" t="n"/>
      <c r="H379" s="81" t="inlineStr">
        <is>
          <t>部企接口调用记录表</t>
        </is>
      </c>
      <c r="I379" s="76" t="inlineStr">
        <is>
          <t>ILF</t>
        </is>
      </c>
      <c r="J379" s="108" t="n"/>
      <c r="K379" s="108" t="inlineStr">
        <is>
          <t>数据库表未被本系统所维护</t>
        </is>
      </c>
      <c r="L379" s="83">
        <f>IF(OR(X379="估算法",X379="算法类",X379="无法识别"),"",IF(V379="",IF(OR(I379="EI",I379="EO",I379="EQ"),0,""),LEN(V379)-LEN(SUBSTITUTE(V379,"、",""))+1))</f>
        <v/>
      </c>
      <c r="M379" s="83">
        <f>IF(OR(X379="估算法",X379="算法类",X379="无法识别"),"",IF(W379="",IF(OR(I379="ILF",I379="EIF"),0,""),LEN(W379)-LEN(SUBSTITUTE(W379,"、",""))+1))</f>
        <v/>
      </c>
      <c r="N379" s="83">
        <f>IF(OR(X379="估算法",X379="算法类",X379="无法识别"),"",IF(X379="",IF(OR(I379="ILF",I379="EIF",I379="EI",I379="EO",I379="EQ"),0,""),LEN(X379)-LEN(SUBSTITUTE(SUBSTITUTE(SUBSTITUTE(SUBSTITUTE(SUBSTITUTE(X379,"|}","--"),"{|","--"),CHAR(10),""),"、",""),"|",""))+IF(AND(OR(I379="EI",I379="EO",I379="EQ"),$AD$1="NESMA"),2,1)))</f>
        <v/>
      </c>
      <c r="O379" s="84">
        <f>IF(I379="EI",IF(OR(X379="估算法",X379="算法类"),"中",IF(X379="无法识别","低",IF(L379&lt;2,IF(N379&lt;16,"低","中"),IF(L379&lt;3,IF(N379&lt;5,"低",IF(N379&lt;16,"中","高")),IF(N379&lt;5,"中","高"))))),IF(OR(I379="EO",I379="EQ"),IF(OR(X379="估算法",X379="算法类"),"中",IF(X379="无法识别","低",IF(L379&lt;2,IF(N379&lt;20,"低","中"),IF(L379&lt;4,IF(N379&lt;6,"低",IF(N379&lt;20,"中","高")),IF(N379&lt;6,"中","高"))))),IF(OR(I379="ILF",I379="EIF"),IF(OR(X379="估算法",X379="算法类",X379="无法识别"),"低",IF(M379&lt;2,IF(N379&lt;51,"低","中"),IF(M379&lt;6,IF(N379&lt;20,"低",IF(N379&lt;51,"中","高")),IF(N379&lt;20,"中","高")))),"不计算")))</f>
        <v/>
      </c>
      <c r="P379" s="142">
        <f>IFERROR(IF(I379="EI",IF(O379="低",3,IF(O379="中",4,6)),IF(I379="EO",IF(O379="低",4,IF(O379="中",5,7)),IF(I379="EQ",IF(O379="低",3,IF(O379="中",4,6)),IF(I379="ILF",IF(O379="低",7,IF(O379="中",10,15)),IF(I379="EIF",IF(O379="低",5,IF(O379="中",7,10)),"不计算")))))*Q379,"不计算")</f>
        <v/>
      </c>
      <c r="Q379" s="142" t="n">
        <v>0</v>
      </c>
      <c r="R379" s="143">
        <f>调整因子!$F$13</f>
        <v/>
      </c>
      <c r="S379" s="70" t="n">
        <v>1</v>
      </c>
      <c r="T379" s="144">
        <f>IFERROR(P379*R379,0)</f>
        <v/>
      </c>
      <c r="U379" s="144">
        <f>T379*S379</f>
        <v/>
      </c>
      <c r="V379" s="89" t="n"/>
      <c r="W379" s="88" t="inlineStr">
        <is>
          <t>部企接口调用记录表</t>
        </is>
      </c>
      <c r="X379" s="88" t="inlineStr">
        <is>
          <t>部企接口调用记录表{记录ID、接口名称、调用时间、调用结果}</t>
        </is>
      </c>
      <c r="Y379" s="88">
        <f>IF(COUNTIFS(V:V,"*"&amp;H379&amp;"*")&gt;0,"存在","不存在")</f>
        <v/>
      </c>
      <c r="Z379" s="88">
        <f>IF(COUNTIFS(AA:AA,"*"&amp;H379&amp;"*")&gt;0,"存在","不存在")</f>
        <v/>
      </c>
      <c r="AA379" s="96" t="inlineStr">
        <is>
          <t>推送规则表</t>
        </is>
      </c>
    </row>
    <row r="380">
      <c r="A380" s="69">
        <f>ROW()-1</f>
        <v/>
      </c>
      <c r="B380" s="53" t="n"/>
      <c r="C380" s="78" t="n">
        <v>2025</v>
      </c>
      <c r="D380" s="78" t="inlineStr">
        <is>
          <t>张明峰</t>
        </is>
      </c>
      <c r="E380" s="53" t="n"/>
      <c r="F380" s="53" t="n"/>
      <c r="G380" s="76" t="inlineStr">
        <is>
          <t>平台接口信息</t>
        </is>
      </c>
      <c r="H380" s="81" t="inlineStr">
        <is>
          <t>查看平台接口列表</t>
        </is>
      </c>
      <c r="I380" s="76" t="inlineStr">
        <is>
          <t>EQ</t>
        </is>
      </c>
      <c r="J380" s="108" t="n"/>
      <c r="K380" s="108" t="n"/>
      <c r="L380" s="83">
        <f>IF(OR(X380="估算法",X380="算法类",X380="无法识别"),"",IF(V380="",IF(OR(I380="EI",I380="EO",I380="EQ"),0,""),LEN(V380)-LEN(SUBSTITUTE(V380,"、",""))+1))</f>
        <v/>
      </c>
      <c r="M380" s="83">
        <f>IF(OR(X380="估算法",X380="算法类",X380="无法识别"),"",IF(W380="",IF(OR(I380="ILF",I380="EIF"),0,""),LEN(W380)-LEN(SUBSTITUTE(W380,"、",""))+1))</f>
        <v/>
      </c>
      <c r="N380" s="83">
        <f>IF(OR(X380="估算法",X380="算法类",X380="无法识别"),"",IF(X380="",IF(OR(I380="ILF",I380="EIF",I380="EI",I380="EO",I380="EQ"),0,""),LEN(X380)-LEN(SUBSTITUTE(SUBSTITUTE(SUBSTITUTE(SUBSTITUTE(SUBSTITUTE(X380,"|}","--"),"{|","--"),CHAR(10),""),"、",""),"|",""))+IF(AND(OR(I380="EI",I380="EO",I380="EQ"),$AD$1="NESMA"),2,1)))</f>
        <v/>
      </c>
      <c r="O380" s="84">
        <f>IF(I380="EI",IF(OR(X380="估算法",X380="算法类"),"中",IF(X380="无法识别","低",IF(L380&lt;2,IF(N380&lt;16,"低","中"),IF(L380&lt;3,IF(N380&lt;5,"低",IF(N380&lt;16,"中","高")),IF(N380&lt;5,"中","高"))))),IF(OR(I380="EO",I380="EQ"),IF(OR(X380="估算法",X380="算法类"),"中",IF(X380="无法识别","低",IF(L380&lt;2,IF(N380&lt;20,"低","中"),IF(L380&lt;4,IF(N380&lt;6,"低",IF(N380&lt;20,"中","高")),IF(N380&lt;6,"中","高"))))),IF(OR(I380="ILF",I380="EIF"),IF(OR(X380="估算法",X380="算法类",X380="无法识别"),"低",IF(M380&lt;2,IF(N380&lt;51,"低","中"),IF(M380&lt;6,IF(N380&lt;20,"低",IF(N380&lt;51,"中","高")),IF(N380&lt;20,"中","高")))),"不计算")))</f>
        <v/>
      </c>
      <c r="P380" s="142">
        <f>IFERROR(IF(I380="EI",IF(O380="低",3,IF(O380="中",4,6)),IF(I380="EO",IF(O380="低",4,IF(O380="中",5,7)),IF(I380="EQ",IF(O380="低",3,IF(O380="中",4,6)),IF(I380="ILF",IF(O380="低",7,IF(O380="中",10,15)),IF(I380="EIF",IF(O380="低",5,IF(O380="中",7,10)),"不计算")))))*Q380,"不计算")</f>
        <v/>
      </c>
      <c r="Q380" s="142" t="n">
        <v>1</v>
      </c>
      <c r="R380" s="143">
        <f>调整因子!$F$13</f>
        <v/>
      </c>
      <c r="S380" s="76" t="n">
        <v>1</v>
      </c>
      <c r="T380" s="144">
        <f>IFERROR(P380*R380,0)</f>
        <v/>
      </c>
      <c r="U380" s="144">
        <f>T380*S380</f>
        <v/>
      </c>
      <c r="V380" s="88" t="inlineStr">
        <is>
          <t>部企接口配置表</t>
        </is>
      </c>
      <c r="W380" s="100" t="n"/>
      <c r="X380" s="88" t="inlineStr">
        <is>
          <t>部企接口配置表{配置ID、接口名称、配置内容、创建时间}</t>
        </is>
      </c>
      <c r="Y380" s="88" t="n"/>
      <c r="Z380" s="88" t="n"/>
      <c r="AA380" s="96" t="inlineStr">
        <is>
          <t>推送规则表、提醒规则表</t>
        </is>
      </c>
    </row>
    <row r="381">
      <c r="A381" s="69">
        <f>ROW()-1</f>
        <v/>
      </c>
      <c r="B381" s="53" t="n"/>
      <c r="C381" s="78" t="n">
        <v>2025</v>
      </c>
      <c r="D381" s="78" t="inlineStr">
        <is>
          <t>张明峰</t>
        </is>
      </c>
      <c r="E381" s="53" t="n"/>
      <c r="F381" s="53" t="n"/>
      <c r="G381" s="53" t="n"/>
      <c r="H381" s="81" t="inlineStr">
        <is>
          <t>查看平台接口详情</t>
        </is>
      </c>
      <c r="I381" s="76" t="inlineStr">
        <is>
          <t>EQ</t>
        </is>
      </c>
      <c r="J381" s="108" t="n"/>
      <c r="K381" s="108" t="n"/>
      <c r="L381" s="83">
        <f>IF(OR(X381="估算法",X381="算法类",X381="无法识别"),"",IF(V381="",IF(OR(I381="EI",I381="EO",I381="EQ"),0,""),LEN(V381)-LEN(SUBSTITUTE(V381,"、",""))+1))</f>
        <v/>
      </c>
      <c r="M381" s="83">
        <f>IF(OR(X381="估算法",X381="算法类",X381="无法识别"),"",IF(W381="",IF(OR(I381="ILF",I381="EIF"),0,""),LEN(W381)-LEN(SUBSTITUTE(W381,"、",""))+1))</f>
        <v/>
      </c>
      <c r="N381" s="83">
        <f>IF(OR(X381="估算法",X381="算法类",X381="无法识别"),"",IF(X381="",IF(OR(I381="ILF",I381="EIF",I381="EI",I381="EO",I381="EQ"),0,""),LEN(X381)-LEN(SUBSTITUTE(SUBSTITUTE(SUBSTITUTE(SUBSTITUTE(SUBSTITUTE(X381,"|}","--"),"{|","--"),CHAR(10),""),"、",""),"|",""))+IF(AND(OR(I381="EI",I381="EO",I381="EQ"),$AD$1="NESMA"),2,1)))</f>
        <v/>
      </c>
      <c r="O381" s="84">
        <f>IF(I381="EI",IF(OR(X381="估算法",X381="算法类"),"中",IF(X381="无法识别","低",IF(L381&lt;2,IF(N381&lt;16,"低","中"),IF(L381&lt;3,IF(N381&lt;5,"低",IF(N381&lt;16,"中","高")),IF(N381&lt;5,"中","高"))))),IF(OR(I381="EO",I381="EQ"),IF(OR(X381="估算法",X381="算法类"),"中",IF(X381="无法识别","低",IF(L381&lt;2,IF(N381&lt;20,"低","中"),IF(L381&lt;4,IF(N381&lt;6,"低",IF(N381&lt;20,"中","高")),IF(N381&lt;6,"中","高"))))),IF(OR(I381="ILF",I381="EIF"),IF(OR(X381="估算法",X381="算法类",X381="无法识别"),"低",IF(M381&lt;2,IF(N381&lt;51,"低","中"),IF(M381&lt;6,IF(N381&lt;20,"低",IF(N381&lt;51,"中","高")),IF(N381&lt;20,"中","高")))),"不计算")))</f>
        <v/>
      </c>
      <c r="P381" s="142">
        <f>IFERROR(IF(I381="EI",IF(O381="低",3,IF(O381="中",4,6)),IF(I381="EO",IF(O381="低",4,IF(O381="中",5,7)),IF(I381="EQ",IF(O381="低",3,IF(O381="中",4,6)),IF(I381="ILF",IF(O381="低",7,IF(O381="中",10,15)),IF(I381="EIF",IF(O381="低",5,IF(O381="中",7,10)),"不计算")))))*Q381,"不计算")</f>
        <v/>
      </c>
      <c r="Q381" s="142" t="n">
        <v>1</v>
      </c>
      <c r="R381" s="143">
        <f>调整因子!$F$13</f>
        <v/>
      </c>
      <c r="S381" s="70" t="n">
        <v>1</v>
      </c>
      <c r="T381" s="144">
        <f>IFERROR(P381*R381,0)</f>
        <v/>
      </c>
      <c r="U381" s="144">
        <f>T381*S381</f>
        <v/>
      </c>
      <c r="V381" s="88" t="inlineStr">
        <is>
          <t>部企接口配置表</t>
        </is>
      </c>
      <c r="W381" s="100" t="n"/>
      <c r="X381" s="88" t="inlineStr">
        <is>
          <t>部企接口配置表{配置ID、接口名称、配置内容、创建时间}</t>
        </is>
      </c>
      <c r="Y381" s="88" t="n"/>
      <c r="Z381" s="88" t="n"/>
      <c r="AA381" s="96" t="inlineStr">
        <is>
          <t>扫描策略模板表</t>
        </is>
      </c>
    </row>
    <row r="382">
      <c r="A382" s="69">
        <f>ROW()-1</f>
        <v/>
      </c>
      <c r="B382" s="53" t="n"/>
      <c r="C382" s="78" t="n">
        <v>2025</v>
      </c>
      <c r="D382" s="78" t="inlineStr">
        <is>
          <t>张明峰</t>
        </is>
      </c>
      <c r="E382" s="53" t="n"/>
      <c r="F382" s="53" t="n"/>
      <c r="G382" s="53" t="n"/>
      <c r="H382" s="81" t="inlineStr">
        <is>
          <t>查看平台接口调用记录</t>
        </is>
      </c>
      <c r="I382" s="76" t="inlineStr">
        <is>
          <t>EQ</t>
        </is>
      </c>
      <c r="J382" s="108" t="n"/>
      <c r="K382" s="108" t="n"/>
      <c r="L382" s="83">
        <f>IF(OR(X382="估算法",X382="算法类",X382="无法识别"),"",IF(V382="",IF(OR(I382="EI",I382="EO",I382="EQ"),0,""),LEN(V382)-LEN(SUBSTITUTE(V382,"、",""))+1))</f>
        <v/>
      </c>
      <c r="M382" s="83">
        <f>IF(OR(X382="估算法",X382="算法类",X382="无法识别"),"",IF(W382="",IF(OR(I382="ILF",I382="EIF"),0,""),LEN(W382)-LEN(SUBSTITUTE(W382,"、",""))+1))</f>
        <v/>
      </c>
      <c r="N382" s="83">
        <f>IF(OR(X382="估算法",X382="算法类",X382="无法识别"),"",IF(X382="",IF(OR(I382="ILF",I382="EIF",I382="EI",I382="EO",I382="EQ"),0,""),LEN(X382)-LEN(SUBSTITUTE(SUBSTITUTE(SUBSTITUTE(SUBSTITUTE(SUBSTITUTE(X382,"|}","--"),"{|","--"),CHAR(10),""),"、",""),"|",""))+IF(AND(OR(I382="EI",I382="EO",I382="EQ"),$AD$1="NESMA"),2,1)))</f>
        <v/>
      </c>
      <c r="O382" s="84">
        <f>IF(I382="EI",IF(OR(X382="估算法",X382="算法类"),"中",IF(X382="无法识别","低",IF(L382&lt;2,IF(N382&lt;16,"低","中"),IF(L382&lt;3,IF(N382&lt;5,"低",IF(N382&lt;16,"中","高")),IF(N382&lt;5,"中","高"))))),IF(OR(I382="EO",I382="EQ"),IF(OR(X382="估算法",X382="算法类"),"中",IF(X382="无法识别","低",IF(L382&lt;2,IF(N382&lt;20,"低","中"),IF(L382&lt;4,IF(N382&lt;6,"低",IF(N382&lt;20,"中","高")),IF(N382&lt;6,"中","高"))))),IF(OR(I382="ILF",I382="EIF"),IF(OR(X382="估算法",X382="算法类",X382="无法识别"),"低",IF(M382&lt;2,IF(N382&lt;51,"低","中"),IF(M382&lt;6,IF(N382&lt;20,"低",IF(N382&lt;51,"中","高")),IF(N382&lt;20,"中","高")))),"不计算")))</f>
        <v/>
      </c>
      <c r="P382" s="142">
        <f>IFERROR(IF(I382="EI",IF(O382="低",3,IF(O382="中",4,6)),IF(I382="EO",IF(O382="低",4,IF(O382="中",5,7)),IF(I382="EQ",IF(O382="低",3,IF(O382="中",4,6)),IF(I382="ILF",IF(O382="低",7,IF(O382="中",10,15)),IF(I382="EIF",IF(O382="低",5,IF(O382="中",7,10)),"不计算")))))*Q382,"不计算")</f>
        <v/>
      </c>
      <c r="Q382" s="142" t="n">
        <v>1</v>
      </c>
      <c r="R382" s="143">
        <f>调整因子!$F$13</f>
        <v/>
      </c>
      <c r="S382" s="70" t="n">
        <v>1</v>
      </c>
      <c r="T382" s="144">
        <f>IFERROR(P382*R382,0)</f>
        <v/>
      </c>
      <c r="U382" s="144">
        <f>T382*S382</f>
        <v/>
      </c>
      <c r="V382" s="88" t="inlineStr">
        <is>
          <t>部企接口调用记录表</t>
        </is>
      </c>
      <c r="W382" s="100" t="n"/>
      <c r="X382" s="88" t="inlineStr">
        <is>
          <t>部企接口调用记录表{记录ID、接口名称、调用时间、调用结果}</t>
        </is>
      </c>
      <c r="Y382" s="88" t="n"/>
      <c r="Z382" s="88" t="n"/>
      <c r="AA382" s="96" t="inlineStr">
        <is>
          <t>数据清洗任务表</t>
        </is>
      </c>
    </row>
    <row r="383">
      <c r="A383" s="69">
        <f>ROW()-1</f>
        <v/>
      </c>
      <c r="B383" s="53" t="n"/>
      <c r="C383" s="78" t="n">
        <v>2025</v>
      </c>
      <c r="D383" s="78" t="inlineStr">
        <is>
          <t>张明峰</t>
        </is>
      </c>
      <c r="E383" s="53" t="n"/>
      <c r="F383" s="53" t="n"/>
      <c r="G383" s="53" t="n"/>
      <c r="H383" s="81" t="inlineStr">
        <is>
          <t>查看平台调用接口过程</t>
        </is>
      </c>
      <c r="I383" s="76" t="inlineStr">
        <is>
          <t>EQ</t>
        </is>
      </c>
      <c r="J383" s="108" t="n"/>
      <c r="K383" s="108" t="n"/>
      <c r="L383" s="83">
        <f>IF(OR(X383="估算法",X383="算法类",X383="无法识别"),"",IF(V383="",IF(OR(I383="EI",I383="EO",I383="EQ"),0,""),LEN(V383)-LEN(SUBSTITUTE(V383,"、",""))+1))</f>
        <v/>
      </c>
      <c r="M383" s="83">
        <f>IF(OR(X383="估算法",X383="算法类",X383="无法识别"),"",IF(W383="",IF(OR(I383="ILF",I383="EIF"),0,""),LEN(W383)-LEN(SUBSTITUTE(W383,"、",""))+1))</f>
        <v/>
      </c>
      <c r="N383" s="83">
        <f>IF(OR(X383="估算法",X383="算法类",X383="无法识别"),"",IF(X383="",IF(OR(I383="ILF",I383="EIF",I383="EI",I383="EO",I383="EQ"),0,""),LEN(X383)-LEN(SUBSTITUTE(SUBSTITUTE(SUBSTITUTE(SUBSTITUTE(SUBSTITUTE(X383,"|}","--"),"{|","--"),CHAR(10),""),"、",""),"|",""))+IF(AND(OR(I383="EI",I383="EO",I383="EQ"),$AD$1="NESMA"),2,1)))</f>
        <v/>
      </c>
      <c r="O383" s="84">
        <f>IF(I383="EI",IF(OR(X383="估算法",X383="算法类"),"中",IF(X383="无法识别","低",IF(L383&lt;2,IF(N383&lt;16,"低","中"),IF(L383&lt;3,IF(N383&lt;5,"低",IF(N383&lt;16,"中","高")),IF(N383&lt;5,"中","高"))))),IF(OR(I383="EO",I383="EQ"),IF(OR(X383="估算法",X383="算法类"),"中",IF(X383="无法识别","低",IF(L383&lt;2,IF(N383&lt;20,"低","中"),IF(L383&lt;4,IF(N383&lt;6,"低",IF(N383&lt;20,"中","高")),IF(N383&lt;6,"中","高"))))),IF(OR(I383="ILF",I383="EIF"),IF(OR(X383="估算法",X383="算法类",X383="无法识别"),"低",IF(M383&lt;2,IF(N383&lt;51,"低","中"),IF(M383&lt;6,IF(N383&lt;20,"低",IF(N383&lt;51,"中","高")),IF(N383&lt;20,"中","高")))),"不计算")))</f>
        <v/>
      </c>
      <c r="P383" s="142">
        <f>IFERROR(IF(I383="EI",IF(O383="低",3,IF(O383="中",4,6)),IF(I383="EO",IF(O383="低",4,IF(O383="中",5,7)),IF(I383="EQ",IF(O383="低",3,IF(O383="中",4,6)),IF(I383="ILF",IF(O383="低",7,IF(O383="中",10,15)),IF(I383="EIF",IF(O383="低",5,IF(O383="中",7,10)),"不计算")))))*Q383,"不计算")</f>
        <v/>
      </c>
      <c r="Q383" s="142" t="n">
        <v>1</v>
      </c>
      <c r="R383" s="143">
        <f>调整因子!$F$13</f>
        <v/>
      </c>
      <c r="S383" s="76" t="n">
        <v>1</v>
      </c>
      <c r="T383" s="144">
        <f>IFERROR(P383*R383,0)</f>
        <v/>
      </c>
      <c r="U383" s="144">
        <f>T383*S383</f>
        <v/>
      </c>
      <c r="V383" s="88" t="inlineStr">
        <is>
          <t>部企接口配置表</t>
        </is>
      </c>
      <c r="W383" s="100" t="n"/>
      <c r="X383" s="88" t="inlineStr">
        <is>
          <t>部企接口配置表{配置ID、接口名称、配置内容、创建时间}</t>
        </is>
      </c>
      <c r="Y383" s="88" t="n"/>
      <c r="Z383" s="88" t="n"/>
      <c r="AA383" s="96" t="inlineStr">
        <is>
          <t>推送日志表、报告解析结果表</t>
        </is>
      </c>
    </row>
    <row r="384">
      <c r="A384" s="69">
        <f>ROW()-1</f>
        <v/>
      </c>
      <c r="B384" s="53" t="n"/>
      <c r="C384" s="78" t="n">
        <v>2025</v>
      </c>
      <c r="D384" s="78" t="inlineStr">
        <is>
          <t>张明峰</t>
        </is>
      </c>
      <c r="E384" s="53" t="n"/>
      <c r="F384" s="53" t="n"/>
      <c r="G384" s="53" t="n"/>
      <c r="H384" s="81" t="inlineStr">
        <is>
          <t>修改平台接口配置</t>
        </is>
      </c>
      <c r="I384" s="76" t="inlineStr">
        <is>
          <t>EI</t>
        </is>
      </c>
      <c r="J384" s="108" t="n"/>
      <c r="K384" s="108" t="n"/>
      <c r="L384" s="83">
        <f>IF(OR(X384="估算法",X384="算法类",X384="无法识别"),"",IF(V384="",IF(OR(I384="EI",I384="EO",I384="EQ"),0,""),LEN(V384)-LEN(SUBSTITUTE(V384,"、",""))+1))</f>
        <v/>
      </c>
      <c r="M384" s="83">
        <f>IF(OR(X384="估算法",X384="算法类",X384="无法识别"),"",IF(W384="",IF(OR(I384="ILF",I384="EIF"),0,""),LEN(W384)-LEN(SUBSTITUTE(W384,"、",""))+1))</f>
        <v/>
      </c>
      <c r="N384" s="83">
        <f>IF(OR(X384="估算法",X384="算法类",X384="无法识别"),"",IF(X384="",IF(OR(I384="ILF",I384="EIF",I384="EI",I384="EO",I384="EQ"),0,""),LEN(X384)-LEN(SUBSTITUTE(SUBSTITUTE(SUBSTITUTE(SUBSTITUTE(SUBSTITUTE(X384,"|}","--"),"{|","--"),CHAR(10),""),"、",""),"|",""))+IF(AND(OR(I384="EI",I384="EO",I384="EQ"),$AD$1="NESMA"),2,1)))</f>
        <v/>
      </c>
      <c r="O384" s="84">
        <f>IF(I384="EI",IF(OR(X384="估算法",X384="算法类"),"中",IF(X384="无法识别","低",IF(L384&lt;2,IF(N384&lt;16,"低","中"),IF(L384&lt;3,IF(N384&lt;5,"低",IF(N384&lt;16,"中","高")),IF(N384&lt;5,"中","高"))))),IF(OR(I384="EO",I384="EQ"),IF(OR(X384="估算法",X384="算法类"),"中",IF(X384="无法识别","低",IF(L384&lt;2,IF(N384&lt;20,"低","中"),IF(L384&lt;4,IF(N384&lt;6,"低",IF(N384&lt;20,"中","高")),IF(N384&lt;6,"中","高"))))),IF(OR(I384="ILF",I384="EIF"),IF(OR(X384="估算法",X384="算法类",X384="无法识别"),"低",IF(M384&lt;2,IF(N384&lt;51,"低","中"),IF(M384&lt;6,IF(N384&lt;20,"低",IF(N384&lt;51,"中","高")),IF(N384&lt;20,"中","高")))),"不计算")))</f>
        <v/>
      </c>
      <c r="P384" s="142">
        <f>IFERROR(IF(I384="EI",IF(O384="低",3,IF(O384="中",4,6)),IF(I384="EO",IF(O384="低",4,IF(O384="中",5,7)),IF(I384="EQ",IF(O384="低",3,IF(O384="中",4,6)),IF(I384="ILF",IF(O384="低",7,IF(O384="中",10,15)),IF(I384="EIF",IF(O384="低",5,IF(O384="中",7,10)),"不计算")))))*Q384,"不计算")</f>
        <v/>
      </c>
      <c r="Q384" s="142" t="n">
        <v>0.333333333333333</v>
      </c>
      <c r="R384" s="143">
        <f>调整因子!$F$13</f>
        <v/>
      </c>
      <c r="S384" s="70" t="n">
        <v>1</v>
      </c>
      <c r="T384" s="144">
        <f>IFERROR(P384*R384,0)</f>
        <v/>
      </c>
      <c r="U384" s="144">
        <f>T384*S384</f>
        <v/>
      </c>
      <c r="V384" s="88" t="inlineStr">
        <is>
          <t>部企接口配置表</t>
        </is>
      </c>
      <c r="W384" s="100" t="n"/>
      <c r="X384" s="88" t="inlineStr">
        <is>
          <t>部企接口配置表{配置ID、接口名称、配置内容、创建时间}</t>
        </is>
      </c>
      <c r="Y384" s="88" t="n"/>
      <c r="Z384" s="88" t="n"/>
      <c r="AA384" s="96" t="inlineStr">
        <is>
          <t>方案审批表</t>
        </is>
      </c>
    </row>
    <row r="385" ht="21.6" customHeight="1">
      <c r="A385" s="69">
        <f>ROW()-1</f>
        <v/>
      </c>
      <c r="B385" s="53" t="n"/>
      <c r="C385" s="78" t="n">
        <v>2025</v>
      </c>
      <c r="D385" s="78" t="inlineStr">
        <is>
          <t>张明峰</t>
        </is>
      </c>
      <c r="E385" s="53" t="n"/>
      <c r="F385" s="53" t="n"/>
      <c r="G385" s="53" t="n"/>
      <c r="H385" s="81" t="inlineStr">
        <is>
          <t>部企接口配置表</t>
        </is>
      </c>
      <c r="I385" s="76" t="n"/>
      <c r="J385" s="99" t="inlineStr">
        <is>
          <t>删除</t>
        </is>
      </c>
      <c r="K385" s="108" t="n"/>
      <c r="L385" s="83">
        <f>IF(OR(X385="估算法",X385="算法类",X385="无法识别"),"",IF(V385="",IF(OR(I385="EI",I385="EO",I385="EQ"),0,""),LEN(V385)-LEN(SUBSTITUTE(V385,"、",""))+1))</f>
        <v/>
      </c>
      <c r="M385" s="83">
        <f>IF(OR(X385="估算法",X385="算法类",X385="无法识别"),"",IF(W385="",IF(OR(I385="ILF",I385="EIF"),0,""),LEN(W385)-LEN(SUBSTITUTE(W385,"、",""))+1))</f>
        <v/>
      </c>
      <c r="N385" s="83">
        <f>IF(OR(X385="估算法",X385="算法类",X385="无法识别"),"",IF(X385="",IF(OR(I385="ILF",I385="EIF",I385="EI",I385="EO",I385="EQ"),0,""),LEN(X385)-LEN(SUBSTITUTE(SUBSTITUTE(SUBSTITUTE(SUBSTITUTE(SUBSTITUTE(X385,"|}","--"),"{|","--"),CHAR(10),""),"、",""),"|",""))+IF(AND(OR(I385="EI",I385="EO",I385="EQ"),$AD$1="NESMA"),2,1)))</f>
        <v/>
      </c>
      <c r="O385" s="84">
        <f>IF(I385="EI",IF(OR(X385="估算法",X385="算法类"),"中",IF(X385="无法识别","低",IF(L385&lt;2,IF(N385&lt;16,"低","中"),IF(L385&lt;3,IF(N385&lt;5,"低",IF(N385&lt;16,"中","高")),IF(N385&lt;5,"中","高"))))),IF(OR(I385="EO",I385="EQ"),IF(OR(X385="估算法",X385="算法类"),"中",IF(X385="无法识别","低",IF(L385&lt;2,IF(N385&lt;20,"低","中"),IF(L385&lt;4,IF(N385&lt;6,"低",IF(N385&lt;20,"中","高")),IF(N385&lt;6,"中","高"))))),IF(OR(I385="ILF",I385="EIF"),IF(OR(X385="估算法",X385="算法类",X385="无法识别"),"低",IF(M385&lt;2,IF(N385&lt;51,"低","中"),IF(M385&lt;6,IF(N385&lt;20,"低",IF(N385&lt;51,"中","高")),IF(N385&lt;20,"中","高")))),"不计算")))</f>
        <v/>
      </c>
      <c r="P385" s="142">
        <f>IFERROR(IF(I385="EI",IF(O385="低",3,IF(O385="中",4,6)),IF(I385="EO",IF(O385="低",4,IF(O385="中",5,7)),IF(I385="EQ",IF(O385="低",3,IF(O385="中",4,6)),IF(I385="ILF",IF(O385="低",7,IF(O385="中",10,15)),IF(I385="EIF",IF(O385="低",5,IF(O385="中",7,10)),"不计算")))))*Q385,"不计算")</f>
        <v/>
      </c>
      <c r="Q385" s="142" t="n">
        <v>1</v>
      </c>
      <c r="R385" s="143">
        <f>调整因子!$F$13</f>
        <v/>
      </c>
      <c r="S385" s="70" t="n">
        <v>1</v>
      </c>
      <c r="T385" s="144">
        <f>IFERROR(P385*R385,0)</f>
        <v/>
      </c>
      <c r="U385" s="144">
        <f>T385*S385</f>
        <v/>
      </c>
      <c r="V385" s="89" t="n"/>
      <c r="W385" s="88" t="inlineStr">
        <is>
          <t>部企接口配置表</t>
        </is>
      </c>
      <c r="X385" s="88" t="inlineStr">
        <is>
          <t>部企接口配置表{配置ID、接口名称、配置内容、创建时间|响应状态码、返回数据信息}</t>
        </is>
      </c>
      <c r="Y385" s="88" t="n"/>
      <c r="Z385" s="88" t="n"/>
      <c r="AA385" s="96" t="inlineStr">
        <is>
          <t>任务日志表、通报配置表</t>
        </is>
      </c>
    </row>
    <row r="386">
      <c r="A386" s="69">
        <f>ROW()-1</f>
        <v/>
      </c>
      <c r="B386" s="53" t="n"/>
      <c r="C386" s="78" t="n">
        <v>2025</v>
      </c>
      <c r="D386" s="78" t="inlineStr">
        <is>
          <t>张明峰</t>
        </is>
      </c>
      <c r="E386" s="53" t="n"/>
      <c r="F386" s="53" t="n"/>
      <c r="G386" s="54" t="n"/>
      <c r="H386" s="81" t="inlineStr">
        <is>
          <t>部企接口调用记录表</t>
        </is>
      </c>
      <c r="I386" s="76" t="n"/>
      <c r="J386" s="99" t="inlineStr">
        <is>
          <t>删除</t>
        </is>
      </c>
      <c r="K386" s="108" t="n"/>
      <c r="L386" s="83">
        <f>IF(OR(X386="估算法",X386="算法类",X386="无法识别"),"",IF(V386="",IF(OR(I386="EI",I386="EO",I386="EQ"),0,""),LEN(V386)-LEN(SUBSTITUTE(V386,"、",""))+1))</f>
        <v/>
      </c>
      <c r="M386" s="83">
        <f>IF(OR(X386="估算法",X386="算法类",X386="无法识别"),"",IF(W386="",IF(OR(I386="ILF",I386="EIF"),0,""),LEN(W386)-LEN(SUBSTITUTE(W386,"、",""))+1))</f>
        <v/>
      </c>
      <c r="N386" s="83">
        <f>IF(OR(X386="估算法",X386="算法类",X386="无法识别"),"",IF(X386="",IF(OR(I386="ILF",I386="EIF",I386="EI",I386="EO",I386="EQ"),0,""),LEN(X386)-LEN(SUBSTITUTE(SUBSTITUTE(SUBSTITUTE(SUBSTITUTE(SUBSTITUTE(X386,"|}","--"),"{|","--"),CHAR(10),""),"、",""),"|",""))+IF(AND(OR(I386="EI",I386="EO",I386="EQ"),$AD$1="NESMA"),2,1)))</f>
        <v/>
      </c>
      <c r="O386" s="84">
        <f>IF(I386="EI",IF(OR(X386="估算法",X386="算法类"),"中",IF(X386="无法识别","低",IF(L386&lt;2,IF(N386&lt;16,"低","中"),IF(L386&lt;3,IF(N386&lt;5,"低",IF(N386&lt;16,"中","高")),IF(N386&lt;5,"中","高"))))),IF(OR(I386="EO",I386="EQ"),IF(OR(X386="估算法",X386="算法类"),"中",IF(X386="无法识别","低",IF(L386&lt;2,IF(N386&lt;20,"低","中"),IF(L386&lt;4,IF(N386&lt;6,"低",IF(N386&lt;20,"中","高")),IF(N386&lt;6,"中","高"))))),IF(OR(I386="ILF",I386="EIF"),IF(OR(X386="估算法",X386="算法类",X386="无法识别"),"低",IF(M386&lt;2,IF(N386&lt;51,"低","中"),IF(M386&lt;6,IF(N386&lt;20,"低",IF(N386&lt;51,"中","高")),IF(N386&lt;20,"中","高")))),"不计算")))</f>
        <v/>
      </c>
      <c r="P386" s="142">
        <f>IFERROR(IF(I386="EI",IF(O386="低",3,IF(O386="中",4,6)),IF(I386="EO",IF(O386="低",4,IF(O386="中",5,7)),IF(I386="EQ",IF(O386="低",3,IF(O386="中",4,6)),IF(I386="ILF",IF(O386="低",7,IF(O386="中",10,15)),IF(I386="EIF",IF(O386="低",5,IF(O386="中",7,10)),"不计算")))))*Q386,"不计算")</f>
        <v/>
      </c>
      <c r="Q386" s="142" t="n">
        <v>1</v>
      </c>
      <c r="R386" s="143">
        <f>调整因子!$F$13</f>
        <v/>
      </c>
      <c r="S386" s="76" t="n">
        <v>1</v>
      </c>
      <c r="T386" s="144">
        <f>IFERROR(P386*R386,0)</f>
        <v/>
      </c>
      <c r="U386" s="144">
        <f>T386*S386</f>
        <v/>
      </c>
      <c r="V386" s="89" t="n"/>
      <c r="W386" s="88" t="inlineStr">
        <is>
          <t>部企接口调用记录表</t>
        </is>
      </c>
      <c r="X386" s="88" t="inlineStr">
        <is>
          <t>部企接口调用记录表{记录ID、接口名称、调用时间、调用结果}</t>
        </is>
      </c>
      <c r="Y386" s="88" t="n"/>
      <c r="Z386" s="88" t="n"/>
      <c r="AA386" s="96" t="inlineStr">
        <is>
          <t>审计日志表、复测任务表</t>
        </is>
      </c>
    </row>
    <row r="387">
      <c r="A387" s="69">
        <f>ROW()-1</f>
        <v/>
      </c>
      <c r="B387" s="53" t="n"/>
      <c r="C387" s="78" t="n">
        <v>2025</v>
      </c>
      <c r="D387" s="78" t="inlineStr">
        <is>
          <t>张明峰</t>
        </is>
      </c>
      <c r="E387" s="53" t="n"/>
      <c r="F387" s="53" t="n"/>
      <c r="G387" s="76" t="inlineStr">
        <is>
          <t>插件验证接口运维</t>
        </is>
      </c>
      <c r="H387" s="81" t="inlineStr">
        <is>
          <t>查看服务内部接口列表</t>
        </is>
      </c>
      <c r="I387" s="76" t="inlineStr">
        <is>
          <t>EQ</t>
        </is>
      </c>
      <c r="J387" s="108" t="n"/>
      <c r="K387" s="108" t="n"/>
      <c r="L387" s="83">
        <f>IF(OR(X387="估算法",X387="算法类",X387="无法识别"),"",IF(V387="",IF(OR(I387="EI",I387="EO",I387="EQ"),0,""),LEN(V387)-LEN(SUBSTITUTE(V387,"、",""))+1))</f>
        <v/>
      </c>
      <c r="M387" s="83">
        <f>IF(OR(X387="估算法",X387="算法类",X387="无法识别"),"",IF(W387="",IF(OR(I387="ILF",I387="EIF"),0,""),LEN(W387)-LEN(SUBSTITUTE(W387,"、",""))+1))</f>
        <v/>
      </c>
      <c r="N387" s="83">
        <f>IF(OR(X387="估算法",X387="算法类",X387="无法识别"),"",IF(X387="",IF(OR(I387="ILF",I387="EIF",I387="EI",I387="EO",I387="EQ"),0,""),LEN(X387)-LEN(SUBSTITUTE(SUBSTITUTE(SUBSTITUTE(SUBSTITUTE(SUBSTITUTE(X387,"|}","--"),"{|","--"),CHAR(10),""),"、",""),"|",""))+IF(AND(OR(I387="EI",I387="EO",I387="EQ"),$AD$1="NESMA"),2,1)))</f>
        <v/>
      </c>
      <c r="O387" s="84">
        <f>IF(I387="EI",IF(OR(X387="估算法",X387="算法类"),"中",IF(X387="无法识别","低",IF(L387&lt;2,IF(N387&lt;16,"低","中"),IF(L387&lt;3,IF(N387&lt;5,"低",IF(N387&lt;16,"中","高")),IF(N387&lt;5,"中","高"))))),IF(OR(I387="EO",I387="EQ"),IF(OR(X387="估算法",X387="算法类"),"中",IF(X387="无法识别","低",IF(L387&lt;2,IF(N387&lt;20,"低","中"),IF(L387&lt;4,IF(N387&lt;6,"低",IF(N387&lt;20,"中","高")),IF(N387&lt;6,"中","高"))))),IF(OR(I387="ILF",I387="EIF"),IF(OR(X387="估算法",X387="算法类",X387="无法识别"),"低",IF(M387&lt;2,IF(N387&lt;51,"低","中"),IF(M387&lt;6,IF(N387&lt;20,"低",IF(N387&lt;51,"中","高")),IF(N387&lt;20,"中","高")))),"不计算")))</f>
        <v/>
      </c>
      <c r="P387" s="142">
        <f>IFERROR(IF(I387="EI",IF(O387="低",3,IF(O387="中",4,6)),IF(I387="EO",IF(O387="低",4,IF(O387="中",5,7)),IF(I387="EQ",IF(O387="低",3,IF(O387="中",4,6)),IF(I387="ILF",IF(O387="低",7,IF(O387="中",10,15)),IF(I387="EIF",IF(O387="低",5,IF(O387="中",7,10)),"不计算")))))*Q387,"不计算")</f>
        <v/>
      </c>
      <c r="Q387" s="142" t="n">
        <v>1</v>
      </c>
      <c r="R387" s="143">
        <f>调整因子!$F$13</f>
        <v/>
      </c>
      <c r="S387" s="70" t="n">
        <v>1</v>
      </c>
      <c r="T387" s="144">
        <f>IFERROR(P387*R387,0)</f>
        <v/>
      </c>
      <c r="U387" s="144">
        <f>T387*S387</f>
        <v/>
      </c>
      <c r="V387" s="88" t="inlineStr">
        <is>
          <t>部企接口配置表</t>
        </is>
      </c>
      <c r="W387" s="100" t="n"/>
      <c r="X387" s="88" t="inlineStr">
        <is>
          <t>部企接口配置表{配置ID、接口名称、配置内容、创建时间}</t>
        </is>
      </c>
      <c r="Y387" s="88" t="n"/>
      <c r="Z387" s="88" t="n"/>
      <c r="AA387" s="96" t="inlineStr">
        <is>
          <t>推送规则表</t>
        </is>
      </c>
    </row>
    <row r="388">
      <c r="A388" s="69">
        <f>ROW()-1</f>
        <v/>
      </c>
      <c r="B388" s="53" t="n"/>
      <c r="C388" s="78" t="n">
        <v>2025</v>
      </c>
      <c r="D388" s="78" t="inlineStr">
        <is>
          <t>张明峰</t>
        </is>
      </c>
      <c r="E388" s="53" t="n"/>
      <c r="F388" s="53" t="n"/>
      <c r="G388" s="53" t="n"/>
      <c r="H388" s="81" t="inlineStr">
        <is>
          <t>查看服务内部接口配置内容</t>
        </is>
      </c>
      <c r="I388" s="76" t="inlineStr">
        <is>
          <t>EQ</t>
        </is>
      </c>
      <c r="J388" s="108" t="n"/>
      <c r="K388" s="108" t="n"/>
      <c r="L388" s="83">
        <f>IF(OR(X388="估算法",X388="算法类",X388="无法识别"),"",IF(V388="",IF(OR(I388="EI",I388="EO",I388="EQ"),0,""),LEN(V388)-LEN(SUBSTITUTE(V388,"、",""))+1))</f>
        <v/>
      </c>
      <c r="M388" s="83">
        <f>IF(OR(X388="估算法",X388="算法类",X388="无法识别"),"",IF(W388="",IF(OR(I388="ILF",I388="EIF"),0,""),LEN(W388)-LEN(SUBSTITUTE(W388,"、",""))+1))</f>
        <v/>
      </c>
      <c r="N388" s="83">
        <f>IF(OR(X388="估算法",X388="算法类",X388="无法识别"),"",IF(X388="",IF(OR(I388="ILF",I388="EIF",I388="EI",I388="EO",I388="EQ"),0,""),LEN(X388)-LEN(SUBSTITUTE(SUBSTITUTE(SUBSTITUTE(SUBSTITUTE(SUBSTITUTE(X388,"|}","--"),"{|","--"),CHAR(10),""),"、",""),"|",""))+IF(AND(OR(I388="EI",I388="EO",I388="EQ"),$AD$1="NESMA"),2,1)))</f>
        <v/>
      </c>
      <c r="O388" s="84">
        <f>IF(I388="EI",IF(OR(X388="估算法",X388="算法类"),"中",IF(X388="无法识别","低",IF(L388&lt;2,IF(N388&lt;16,"低","中"),IF(L388&lt;3,IF(N388&lt;5,"低",IF(N388&lt;16,"中","高")),IF(N388&lt;5,"中","高"))))),IF(OR(I388="EO",I388="EQ"),IF(OR(X388="估算法",X388="算法类"),"中",IF(X388="无法识别","低",IF(L388&lt;2,IF(N388&lt;20,"低","中"),IF(L388&lt;4,IF(N388&lt;6,"低",IF(N388&lt;20,"中","高")),IF(N388&lt;6,"中","高"))))),IF(OR(I388="ILF",I388="EIF"),IF(OR(X388="估算法",X388="算法类",X388="无法识别"),"低",IF(M388&lt;2,IF(N388&lt;51,"低","中"),IF(M388&lt;6,IF(N388&lt;20,"低",IF(N388&lt;51,"中","高")),IF(N388&lt;20,"中","高")))),"不计算")))</f>
        <v/>
      </c>
      <c r="P388" s="142">
        <f>IFERROR(IF(I388="EI",IF(O388="低",3,IF(O388="中",4,6)),IF(I388="EO",IF(O388="低",4,IF(O388="中",5,7)),IF(I388="EQ",IF(O388="低",3,IF(O388="中",4,6)),IF(I388="ILF",IF(O388="低",7,IF(O388="中",10,15)),IF(I388="EIF",IF(O388="低",5,IF(O388="中",7,10)),"不计算")))))*Q388,"不计算")</f>
        <v/>
      </c>
      <c r="Q388" s="142" t="n">
        <v>1</v>
      </c>
      <c r="R388" s="143">
        <f>调整因子!$F$13</f>
        <v/>
      </c>
      <c r="S388" s="70" t="n">
        <v>1</v>
      </c>
      <c r="T388" s="144">
        <f>IFERROR(P388*R388,0)</f>
        <v/>
      </c>
      <c r="U388" s="144">
        <f>T388*S388</f>
        <v/>
      </c>
      <c r="V388" s="88" t="inlineStr">
        <is>
          <t>部企接口配置表</t>
        </is>
      </c>
      <c r="W388" s="100" t="n"/>
      <c r="X388" s="88" t="inlineStr">
        <is>
          <t>部企接口配置表{配置ID、接口名称、配置内容、创建时间}</t>
        </is>
      </c>
      <c r="Y388" s="88" t="n"/>
      <c r="Z388" s="88" t="n"/>
      <c r="AA388" s="96" t="inlineStr">
        <is>
          <t>处置单关联表、修复方案表</t>
        </is>
      </c>
    </row>
    <row r="389">
      <c r="A389" s="69">
        <f>ROW()-1</f>
        <v/>
      </c>
      <c r="B389" s="53" t="n"/>
      <c r="C389" s="78" t="n">
        <v>2025</v>
      </c>
      <c r="D389" s="78" t="inlineStr">
        <is>
          <t>张明峰</t>
        </is>
      </c>
      <c r="E389" s="53" t="n"/>
      <c r="F389" s="53" t="n"/>
      <c r="G389" s="53" t="n"/>
      <c r="H389" s="81" t="inlineStr">
        <is>
          <t>查看服务内部接口日志</t>
        </is>
      </c>
      <c r="I389" s="76" t="inlineStr">
        <is>
          <t>EQ</t>
        </is>
      </c>
      <c r="J389" s="108" t="n"/>
      <c r="K389" s="108" t="n"/>
      <c r="L389" s="83">
        <f>IF(OR(X389="估算法",X389="算法类",X389="无法识别"),"",IF(V389="",IF(OR(I389="EI",I389="EO",I389="EQ"),0,""),LEN(V389)-LEN(SUBSTITUTE(V389,"、",""))+1))</f>
        <v/>
      </c>
      <c r="M389" s="83">
        <f>IF(OR(X389="估算法",X389="算法类",X389="无法识别"),"",IF(W389="",IF(OR(I389="ILF",I389="EIF"),0,""),LEN(W389)-LEN(SUBSTITUTE(W389,"、",""))+1))</f>
        <v/>
      </c>
      <c r="N389" s="83">
        <f>IF(OR(X389="估算法",X389="算法类",X389="无法识别"),"",IF(X389="",IF(OR(I389="ILF",I389="EIF",I389="EI",I389="EO",I389="EQ"),0,""),LEN(X389)-LEN(SUBSTITUTE(SUBSTITUTE(SUBSTITUTE(SUBSTITUTE(SUBSTITUTE(X389,"|}","--"),"{|","--"),CHAR(10),""),"、",""),"|",""))+IF(AND(OR(I389="EI",I389="EO",I389="EQ"),$AD$1="NESMA"),2,1)))</f>
        <v/>
      </c>
      <c r="O389" s="84">
        <f>IF(I389="EI",IF(OR(X389="估算法",X389="算法类"),"中",IF(X389="无法识别","低",IF(L389&lt;2,IF(N389&lt;16,"低","中"),IF(L389&lt;3,IF(N389&lt;5,"低",IF(N389&lt;16,"中","高")),IF(N389&lt;5,"中","高"))))),IF(OR(I389="EO",I389="EQ"),IF(OR(X389="估算法",X389="算法类"),"中",IF(X389="无法识别","低",IF(L389&lt;2,IF(N389&lt;20,"低","中"),IF(L389&lt;4,IF(N389&lt;6,"低",IF(N389&lt;20,"中","高")),IF(N389&lt;6,"中","高"))))),IF(OR(I389="ILF",I389="EIF"),IF(OR(X389="估算法",X389="算法类",X389="无法识别"),"低",IF(M389&lt;2,IF(N389&lt;51,"低","中"),IF(M389&lt;6,IF(N389&lt;20,"低",IF(N389&lt;51,"中","高")),IF(N389&lt;20,"中","高")))),"不计算")))</f>
        <v/>
      </c>
      <c r="P389" s="142">
        <f>IFERROR(IF(I389="EI",IF(O389="低",3,IF(O389="中",4,6)),IF(I389="EO",IF(O389="低",4,IF(O389="中",5,7)),IF(I389="EQ",IF(O389="低",3,IF(O389="中",4,6)),IF(I389="ILF",IF(O389="低",7,IF(O389="中",10,15)),IF(I389="EIF",IF(O389="低",5,IF(O389="中",7,10)),"不计算")))))*Q389,"不计算")</f>
        <v/>
      </c>
      <c r="Q389" s="142" t="n">
        <v>1</v>
      </c>
      <c r="R389" s="143">
        <f>调整因子!$F$13</f>
        <v/>
      </c>
      <c r="S389" s="76" t="n">
        <v>1</v>
      </c>
      <c r="T389" s="144">
        <f>IFERROR(P389*R389,0)</f>
        <v/>
      </c>
      <c r="U389" s="144">
        <f>T389*S389</f>
        <v/>
      </c>
      <c r="V389" s="88" t="inlineStr">
        <is>
          <t>部企接口调用记录表</t>
        </is>
      </c>
      <c r="W389" s="100" t="n"/>
      <c r="X389" s="88" t="inlineStr">
        <is>
          <t>部企接口调用记录表{记录ID、接口名称、调用时间、调用结果}</t>
        </is>
      </c>
      <c r="Y389" s="88" t="n"/>
      <c r="Z389" s="88" t="n"/>
      <c r="AA389" s="96" t="inlineStr">
        <is>
          <t>资产同步任务表、资产扫描覆盖表</t>
        </is>
      </c>
    </row>
    <row r="390">
      <c r="A390" s="69">
        <f>ROW()-1</f>
        <v/>
      </c>
      <c r="B390" s="53" t="n"/>
      <c r="C390" s="78" t="n">
        <v>2025</v>
      </c>
      <c r="D390" s="78" t="inlineStr">
        <is>
          <t>张明峰</t>
        </is>
      </c>
      <c r="E390" s="53" t="n"/>
      <c r="F390" s="53" t="n"/>
      <c r="G390" s="53" t="n"/>
      <c r="H390" s="81" t="inlineStr">
        <is>
          <t>查看服务内部接口调用内容</t>
        </is>
      </c>
      <c r="I390" s="76" t="inlineStr">
        <is>
          <t>EQ</t>
        </is>
      </c>
      <c r="J390" s="108" t="n"/>
      <c r="K390" s="108" t="n"/>
      <c r="L390" s="83">
        <f>IF(OR(X390="估算法",X390="算法类",X390="无法识别"),"",IF(V390="",IF(OR(I390="EI",I390="EO",I390="EQ"),0,""),LEN(V390)-LEN(SUBSTITUTE(V390,"、",""))+1))</f>
        <v/>
      </c>
      <c r="M390" s="83">
        <f>IF(OR(X390="估算法",X390="算法类",X390="无法识别"),"",IF(W390="",IF(OR(I390="ILF",I390="EIF"),0,""),LEN(W390)-LEN(SUBSTITUTE(W390,"、",""))+1))</f>
        <v/>
      </c>
      <c r="N390" s="83">
        <f>IF(OR(X390="估算法",X390="算法类",X390="无法识别"),"",IF(X390="",IF(OR(I390="ILF",I390="EIF",I390="EI",I390="EO",I390="EQ"),0,""),LEN(X390)-LEN(SUBSTITUTE(SUBSTITUTE(SUBSTITUTE(SUBSTITUTE(SUBSTITUTE(X390,"|}","--"),"{|","--"),CHAR(10),""),"、",""),"|",""))+IF(AND(OR(I390="EI",I390="EO",I390="EQ"),$AD$1="NESMA"),2,1)))</f>
        <v/>
      </c>
      <c r="O390" s="84">
        <f>IF(I390="EI",IF(OR(X390="估算法",X390="算法类"),"中",IF(X390="无法识别","低",IF(L390&lt;2,IF(N390&lt;16,"低","中"),IF(L390&lt;3,IF(N390&lt;5,"低",IF(N390&lt;16,"中","高")),IF(N390&lt;5,"中","高"))))),IF(OR(I390="EO",I390="EQ"),IF(OR(X390="估算法",X390="算法类"),"中",IF(X390="无法识别","低",IF(L390&lt;2,IF(N390&lt;20,"低","中"),IF(L390&lt;4,IF(N390&lt;6,"低",IF(N390&lt;20,"中","高")),IF(N390&lt;6,"中","高"))))),IF(OR(I390="ILF",I390="EIF"),IF(OR(X390="估算法",X390="算法类",X390="无法识别"),"低",IF(M390&lt;2,IF(N390&lt;51,"低","中"),IF(M390&lt;6,IF(N390&lt;20,"低",IF(N390&lt;51,"中","高")),IF(N390&lt;20,"中","高")))),"不计算")))</f>
        <v/>
      </c>
      <c r="P390" s="142">
        <f>IFERROR(IF(I390="EI",IF(O390="低",3,IF(O390="中",4,6)),IF(I390="EO",IF(O390="低",4,IF(O390="中",5,7)),IF(I390="EQ",IF(O390="低",3,IF(O390="中",4,6)),IF(I390="ILF",IF(O390="低",7,IF(O390="中",10,15)),IF(I390="EIF",IF(O390="低",5,IF(O390="中",7,10)),"不计算")))))*Q390,"不计算")</f>
        <v/>
      </c>
      <c r="Q390" s="142" t="n">
        <v>1</v>
      </c>
      <c r="R390" s="143">
        <f>调整因子!$F$13</f>
        <v/>
      </c>
      <c r="S390" s="70" t="n">
        <v>1</v>
      </c>
      <c r="T390" s="144">
        <f>IFERROR(P390*R390,0)</f>
        <v/>
      </c>
      <c r="U390" s="144">
        <f>T390*S390</f>
        <v/>
      </c>
      <c r="V390" s="88" t="inlineStr">
        <is>
          <t>部企接口配置表</t>
        </is>
      </c>
      <c r="W390" s="100" t="n"/>
      <c r="X390" s="88" t="inlineStr">
        <is>
          <t>部企接口配置表{配置ID、接口名称、配置内容、创建时间}</t>
        </is>
      </c>
      <c r="Y390" s="88" t="n"/>
      <c r="Z390" s="88" t="n"/>
      <c r="AA390" s="96" t="inlineStr">
        <is>
          <t>数据清洗任务表、资产同步任务表</t>
        </is>
      </c>
    </row>
    <row r="391">
      <c r="A391" s="69">
        <f>ROW()-1</f>
        <v/>
      </c>
      <c r="B391" s="53" t="n"/>
      <c r="C391" s="78" t="n">
        <v>2025</v>
      </c>
      <c r="D391" s="78" t="inlineStr">
        <is>
          <t>张明峰</t>
        </is>
      </c>
      <c r="E391" s="53" t="n"/>
      <c r="F391" s="53" t="n"/>
      <c r="G391" s="53" t="n"/>
      <c r="H391" s="81" t="inlineStr">
        <is>
          <t>修改服务内部接口配置</t>
        </is>
      </c>
      <c r="I391" s="76" t="inlineStr">
        <is>
          <t>EI</t>
        </is>
      </c>
      <c r="J391" s="108" t="n"/>
      <c r="K391" s="108" t="n"/>
      <c r="L391" s="83">
        <f>IF(OR(X391="估算法",X391="算法类",X391="无法识别"),"",IF(V391="",IF(OR(I391="EI",I391="EO",I391="EQ"),0,""),LEN(V391)-LEN(SUBSTITUTE(V391,"、",""))+1))</f>
        <v/>
      </c>
      <c r="M391" s="83">
        <f>IF(OR(X391="估算法",X391="算法类",X391="无法识别"),"",IF(W391="",IF(OR(I391="ILF",I391="EIF"),0,""),LEN(W391)-LEN(SUBSTITUTE(W391,"、",""))+1))</f>
        <v/>
      </c>
      <c r="N391" s="83">
        <f>IF(OR(X391="估算法",X391="算法类",X391="无法识别"),"",IF(X391="",IF(OR(I391="ILF",I391="EIF",I391="EI",I391="EO",I391="EQ"),0,""),LEN(X391)-LEN(SUBSTITUTE(SUBSTITUTE(SUBSTITUTE(SUBSTITUTE(SUBSTITUTE(X391,"|}","--"),"{|","--"),CHAR(10),""),"、",""),"|",""))+IF(AND(OR(I391="EI",I391="EO",I391="EQ"),$AD$1="NESMA"),2,1)))</f>
        <v/>
      </c>
      <c r="O391" s="84">
        <f>IF(I391="EI",IF(OR(X391="估算法",X391="算法类"),"中",IF(X391="无法识别","低",IF(L391&lt;2,IF(N391&lt;16,"低","中"),IF(L391&lt;3,IF(N391&lt;5,"低",IF(N391&lt;16,"中","高")),IF(N391&lt;5,"中","高"))))),IF(OR(I391="EO",I391="EQ"),IF(OR(X391="估算法",X391="算法类"),"中",IF(X391="无法识别","低",IF(L391&lt;2,IF(N391&lt;20,"低","中"),IF(L391&lt;4,IF(N391&lt;6,"低",IF(N391&lt;20,"中","高")),IF(N391&lt;6,"中","高"))))),IF(OR(I391="ILF",I391="EIF"),IF(OR(X391="估算法",X391="算法类",X391="无法识别"),"低",IF(M391&lt;2,IF(N391&lt;51,"低","中"),IF(M391&lt;6,IF(N391&lt;20,"低",IF(N391&lt;51,"中","高")),IF(N391&lt;20,"中","高")))),"不计算")))</f>
        <v/>
      </c>
      <c r="P391" s="142">
        <f>IFERROR(IF(I391="EI",IF(O391="低",3,IF(O391="中",4,6)),IF(I391="EO",IF(O391="低",4,IF(O391="中",5,7)),IF(I391="EQ",IF(O391="低",3,IF(O391="中",4,6)),IF(I391="ILF",IF(O391="低",7,IF(O391="中",10,15)),IF(I391="EIF",IF(O391="低",5,IF(O391="中",7,10)),"不计算")))))*Q391,"不计算")</f>
        <v/>
      </c>
      <c r="Q391" s="142" t="n">
        <v>0.333333333333333</v>
      </c>
      <c r="R391" s="143">
        <f>调整因子!$F$13</f>
        <v/>
      </c>
      <c r="S391" s="70" t="n">
        <v>1</v>
      </c>
      <c r="T391" s="144">
        <f>IFERROR(P391*R391,0)</f>
        <v/>
      </c>
      <c r="U391" s="144">
        <f>T391*S391</f>
        <v/>
      </c>
      <c r="V391" s="88" t="inlineStr">
        <is>
          <t>部企接口配置表</t>
        </is>
      </c>
      <c r="W391" s="100" t="n"/>
      <c r="X391" s="88" t="inlineStr">
        <is>
          <t>部企接口配置表{配置ID、接口名称、配置内容、创建时间}</t>
        </is>
      </c>
      <c r="Y391" s="88" t="n"/>
      <c r="Z391" s="88" t="n"/>
      <c r="AA391" s="96" t="inlineStr">
        <is>
          <t>数据清洗任务表</t>
        </is>
      </c>
    </row>
    <row r="392">
      <c r="A392" s="69">
        <f>ROW()-1</f>
        <v/>
      </c>
      <c r="B392" s="53" t="n"/>
      <c r="C392" s="78" t="n">
        <v>2025</v>
      </c>
      <c r="D392" s="78" t="inlineStr">
        <is>
          <t>张明峰</t>
        </is>
      </c>
      <c r="E392" s="53" t="n"/>
      <c r="F392" s="53" t="n"/>
      <c r="G392" s="53" t="n"/>
      <c r="H392" s="81" t="inlineStr">
        <is>
          <t>部企接口配置表</t>
        </is>
      </c>
      <c r="I392" s="76" t="n"/>
      <c r="J392" s="99" t="inlineStr">
        <is>
          <t>删除</t>
        </is>
      </c>
      <c r="K392" s="108" t="n"/>
      <c r="L392" s="83">
        <f>IF(OR(X392="估算法",X392="算法类",X392="无法识别"),"",IF(V392="",IF(OR(I392="EI",I392="EO",I392="EQ"),0,""),LEN(V392)-LEN(SUBSTITUTE(V392,"、",""))+1))</f>
        <v/>
      </c>
      <c r="M392" s="83">
        <f>IF(OR(X392="估算法",X392="算法类",X392="无法识别"),"",IF(W392="",IF(OR(I392="ILF",I392="EIF"),0,""),LEN(W392)-LEN(SUBSTITUTE(W392,"、",""))+1))</f>
        <v/>
      </c>
      <c r="N392" s="83">
        <f>IF(OR(X392="估算法",X392="算法类",X392="无法识别"),"",IF(X392="",IF(OR(I392="ILF",I392="EIF",I392="EI",I392="EO",I392="EQ"),0,""),LEN(X392)-LEN(SUBSTITUTE(SUBSTITUTE(SUBSTITUTE(SUBSTITUTE(SUBSTITUTE(X392,"|}","--"),"{|","--"),CHAR(10),""),"、",""),"|",""))+IF(AND(OR(I392="EI",I392="EO",I392="EQ"),$AD$1="NESMA"),2,1)))</f>
        <v/>
      </c>
      <c r="O392" s="84">
        <f>IF(I392="EI",IF(OR(X392="估算法",X392="算法类"),"中",IF(X392="无法识别","低",IF(L392&lt;2,IF(N392&lt;16,"低","中"),IF(L392&lt;3,IF(N392&lt;5,"低",IF(N392&lt;16,"中","高")),IF(N392&lt;5,"中","高"))))),IF(OR(I392="EO",I392="EQ"),IF(OR(X392="估算法",X392="算法类"),"中",IF(X392="无法识别","低",IF(L392&lt;2,IF(N392&lt;20,"低","中"),IF(L392&lt;4,IF(N392&lt;6,"低",IF(N392&lt;20,"中","高")),IF(N392&lt;6,"中","高"))))),IF(OR(I392="ILF",I392="EIF"),IF(OR(X392="估算法",X392="算法类",X392="无法识别"),"低",IF(M392&lt;2,IF(N392&lt;51,"低","中"),IF(M392&lt;6,IF(N392&lt;20,"低",IF(N392&lt;51,"中","高")),IF(N392&lt;20,"中","高")))),"不计算")))</f>
        <v/>
      </c>
      <c r="P392" s="142">
        <f>IFERROR(IF(I392="EI",IF(O392="低",3,IF(O392="中",4,6)),IF(I392="EO",IF(O392="低",4,IF(O392="中",5,7)),IF(I392="EQ",IF(O392="低",3,IF(O392="中",4,6)),IF(I392="ILF",IF(O392="低",7,IF(O392="中",10,15)),IF(I392="EIF",IF(O392="低",5,IF(O392="中",7,10)),"不计算")))))*Q392,"不计算")</f>
        <v/>
      </c>
      <c r="Q392" s="142" t="n">
        <v>1</v>
      </c>
      <c r="R392" s="143">
        <f>调整因子!$F$13</f>
        <v/>
      </c>
      <c r="S392" s="76" t="n">
        <v>1</v>
      </c>
      <c r="T392" s="144">
        <f>IFERROR(P392*R392,0)</f>
        <v/>
      </c>
      <c r="U392" s="144">
        <f>T392*S392</f>
        <v/>
      </c>
      <c r="V392" s="89" t="n"/>
      <c r="W392" s="88" t="inlineStr">
        <is>
          <t>部企接口配置表</t>
        </is>
      </c>
      <c r="X392" s="88" t="inlineStr">
        <is>
          <t>部企接口配置表{配置ID、接口名称、配置内容、创建时间}</t>
        </is>
      </c>
      <c r="Y392" s="88" t="n"/>
      <c r="Z392" s="88" t="n"/>
      <c r="AA392" s="96" t="inlineStr">
        <is>
          <t>数据清洗任务表、资产同步任务表</t>
        </is>
      </c>
    </row>
    <row r="393" ht="15.6" customHeight="1">
      <c r="A393" s="69">
        <f>ROW()-1</f>
        <v/>
      </c>
      <c r="B393" s="53" t="n"/>
      <c r="C393" s="78" t="n">
        <v>2025</v>
      </c>
      <c r="D393" s="78" t="inlineStr">
        <is>
          <t>张明峰</t>
        </is>
      </c>
      <c r="E393" s="54" t="n"/>
      <c r="F393" s="54" t="n"/>
      <c r="G393" s="54" t="n"/>
      <c r="H393" s="81" t="inlineStr">
        <is>
          <t>部企接口调用记录表</t>
        </is>
      </c>
      <c r="I393" s="76" t="n"/>
      <c r="J393" s="99" t="inlineStr">
        <is>
          <t>删除</t>
        </is>
      </c>
      <c r="K393" s="108" t="n"/>
      <c r="L393" s="83">
        <f>IF(OR(X393="估算法",X393="算法类",X393="无法识别"),"",IF(V393="",IF(OR(I393="EI",I393="EO",I393="EQ"),0,""),LEN(V393)-LEN(SUBSTITUTE(V393,"、",""))+1))</f>
        <v/>
      </c>
      <c r="M393" s="83">
        <f>IF(OR(X393="估算法",X393="算法类",X393="无法识别"),"",IF(W393="",IF(OR(I393="ILF",I393="EIF"),0,""),LEN(W393)-LEN(SUBSTITUTE(W393,"、",""))+1))</f>
        <v/>
      </c>
      <c r="N393" s="83">
        <f>IF(OR(X393="估算法",X393="算法类",X393="无法识别"),"",IF(X393="",IF(OR(I393="ILF",I393="EIF",I393="EI",I393="EO",I393="EQ"),0,""),LEN(X393)-LEN(SUBSTITUTE(SUBSTITUTE(SUBSTITUTE(SUBSTITUTE(SUBSTITUTE(X393,"|}","--"),"{|","--"),CHAR(10),""),"、",""),"|",""))+IF(AND(OR(I393="EI",I393="EO",I393="EQ"),$AD$1="NESMA"),2,1)))</f>
        <v/>
      </c>
      <c r="O393" s="84">
        <f>IF(I393="EI",IF(OR(X393="估算法",X393="算法类"),"中",IF(X393="无法识别","低",IF(L393&lt;2,IF(N393&lt;16,"低","中"),IF(L393&lt;3,IF(N393&lt;5,"低",IF(N393&lt;16,"中","高")),IF(N393&lt;5,"中","高"))))),IF(OR(I393="EO",I393="EQ"),IF(OR(X393="估算法",X393="算法类"),"中",IF(X393="无法识别","低",IF(L393&lt;2,IF(N393&lt;20,"低","中"),IF(L393&lt;4,IF(N393&lt;6,"低",IF(N393&lt;20,"中","高")),IF(N393&lt;6,"中","高"))))),IF(OR(I393="ILF",I393="EIF"),IF(OR(X393="估算法",X393="算法类",X393="无法识别"),"低",IF(M393&lt;2,IF(N393&lt;51,"低","中"),IF(M393&lt;6,IF(N393&lt;20,"低",IF(N393&lt;51,"中","高")),IF(N393&lt;20,"中","高")))),"不计算")))</f>
        <v/>
      </c>
      <c r="P393" s="142">
        <f>IFERROR(IF(I393="EI",IF(O393="低",3,IF(O393="中",4,6)),IF(I393="EO",IF(O393="低",4,IF(O393="中",5,7)),IF(I393="EQ",IF(O393="低",3,IF(O393="中",4,6)),IF(I393="ILF",IF(O393="低",7,IF(O393="中",10,15)),IF(I393="EIF",IF(O393="低",5,IF(O393="中",7,10)),"不计算")))))*Q393,"不计算")</f>
        <v/>
      </c>
      <c r="Q393" s="142" t="n">
        <v>1</v>
      </c>
      <c r="R393" s="143">
        <f>调整因子!$F$13</f>
        <v/>
      </c>
      <c r="S393" s="70" t="n">
        <v>1</v>
      </c>
      <c r="T393" s="144">
        <f>IFERROR(P393*R393,0)</f>
        <v/>
      </c>
      <c r="U393" s="144">
        <f>T393*S393</f>
        <v/>
      </c>
      <c r="V393" s="89" t="n"/>
      <c r="W393" s="88" t="inlineStr">
        <is>
          <t>部企接口调用记录表</t>
        </is>
      </c>
      <c r="X393" s="88" t="inlineStr">
        <is>
          <t>部企接口调用记录表{记录ID、接口名称、调用时间、调用结果}</t>
        </is>
      </c>
      <c r="Y393" s="88" t="n"/>
      <c r="Z393" s="88" t="n"/>
      <c r="AA393" s="96" t="inlineStr">
        <is>
          <t>资产扫描覆盖表</t>
        </is>
      </c>
    </row>
    <row r="394" hidden="1" ht="21.6" customHeight="1">
      <c r="A394" s="69">
        <f>ROW()-1</f>
        <v/>
      </c>
      <c r="B394" s="53" t="n"/>
      <c r="C394" s="78" t="n">
        <v>2025</v>
      </c>
      <c r="D394" s="78" t="inlineStr">
        <is>
          <t>窦鹏岐</t>
        </is>
      </c>
      <c r="E394" s="79" t="inlineStr">
        <is>
          <t>生产、靶标及实验资产管理</t>
        </is>
      </c>
      <c r="F394" s="79" t="inlineStr">
        <is>
          <t>漏洞归属管理</t>
        </is>
      </c>
      <c r="G394" s="79" t="inlineStr">
        <is>
          <t>归属规则设定</t>
        </is>
      </c>
      <c r="H394" s="80" t="inlineStr">
        <is>
          <t>修改判定规则</t>
        </is>
      </c>
      <c r="I394" s="76" t="inlineStr">
        <is>
          <t>EI</t>
        </is>
      </c>
      <c r="J394" s="108" t="n"/>
      <c r="K394" s="108" t="n"/>
      <c r="L394" s="83">
        <f>IF(OR(X394="估算法",X394="算法类",X394="无法识别"),"",IF(V394="",IF(OR(I394="EI",I394="EO",I394="EQ"),0,""),LEN(V394)-LEN(SUBSTITUTE(V394,"、",""))+1))</f>
        <v/>
      </c>
      <c r="M394" s="83">
        <f>IF(OR(X394="估算法",X394="算法类",X394="无法识别"),"",IF(W394="",IF(OR(I394="ILF",I394="EIF"),0,""),LEN(W394)-LEN(SUBSTITUTE(W394,"、",""))+1))</f>
        <v/>
      </c>
      <c r="N394" s="83">
        <f>IF(OR(X394="估算法",X394="算法类",X394="无法识别"),"",IF(X394="",IF(OR(I394="ILF",I394="EIF",I394="EI",I394="EO",I394="EQ"),0,""),LEN(X394)-LEN(SUBSTITUTE(SUBSTITUTE(SUBSTITUTE(SUBSTITUTE(SUBSTITUTE(X394,"|}","--"),"{|","--"),CHAR(10),""),"、",""),"|",""))+IF(AND(OR(I394="EI",I394="EO",I394="EQ"),$AD$1="NESMA"),2,1)))</f>
        <v/>
      </c>
      <c r="O394" s="84">
        <f>IF(I394="EI",IF(OR(X394="估算法",X394="算法类"),"中",IF(X394="无法识别","低",IF(L394&lt;2,IF(N394&lt;16,"低","中"),IF(L394&lt;3,IF(N394&lt;5,"低",IF(N394&lt;16,"中","高")),IF(N394&lt;5,"中","高"))))),IF(OR(I394="EO",I394="EQ"),IF(OR(X394="估算法",X394="算法类"),"中",IF(X394="无法识别","低",IF(L394&lt;2,IF(N394&lt;20,"低","中"),IF(L394&lt;4,IF(N394&lt;6,"低",IF(N394&lt;20,"中","高")),IF(N394&lt;6,"中","高"))))),IF(OR(I394="ILF",I394="EIF"),IF(OR(X394="估算法",X394="算法类",X394="无法识别"),"低",IF(M394&lt;2,IF(N394&lt;51,"低","中"),IF(M394&lt;6,IF(N394&lt;20,"低",IF(N394&lt;51,"中","高")),IF(N394&lt;20,"中","高")))),"不计算")))</f>
        <v/>
      </c>
      <c r="P394" s="142">
        <f>IFERROR(IF(I394="EI",IF(O394="低",3,IF(O394="中",4,6)),IF(I394="EO",IF(O394="低",4,IF(O394="中",5,7)),IF(I394="EQ",IF(O394="低",3,IF(O394="中",4,6)),IF(I394="ILF",IF(O394="低",7,IF(O394="中",10,15)),IF(I394="EIF",IF(O394="低",5,IF(O394="中",7,10)),"不计算")))))*Q394,"不计算")</f>
        <v/>
      </c>
      <c r="Q394" s="142" t="n">
        <v>0.333333333333333</v>
      </c>
      <c r="R394" s="143">
        <f>调整因子!$F$13</f>
        <v/>
      </c>
      <c r="S394" s="70" t="n">
        <v>1</v>
      </c>
      <c r="T394" s="144">
        <f>IFERROR(P394*R394,0)</f>
        <v/>
      </c>
      <c r="U394" s="144">
        <f>T394*S394</f>
        <v/>
      </c>
      <c r="V394" s="76" t="inlineStr">
        <is>
          <t>归属规则设定表</t>
        </is>
      </c>
      <c r="W394" s="81" t="n"/>
      <c r="X394" s="76" t="inlineStr">
        <is>
          <t>归属规则设定表{主键 id 、规则名称、规则描述、规则条件、规则状态 （如启用、禁用等）、创建时间、更新时间}</t>
        </is>
      </c>
      <c r="Y394" s="88" t="n"/>
      <c r="Z394" s="88" t="n"/>
      <c r="AA394" s="96" t="inlineStr">
        <is>
          <t>资产扫描覆盖表</t>
        </is>
      </c>
    </row>
    <row r="395" hidden="1" ht="21.6" customHeight="1">
      <c r="A395" s="69">
        <f>ROW()-1</f>
        <v/>
      </c>
      <c r="B395" s="53" t="n"/>
      <c r="C395" s="78" t="n">
        <v>2025</v>
      </c>
      <c r="D395" s="78" t="inlineStr">
        <is>
          <t>窦鹏岐</t>
        </is>
      </c>
      <c r="E395" s="53" t="n"/>
      <c r="F395" s="53" t="n"/>
      <c r="G395" s="53" t="n"/>
      <c r="H395" s="80" t="inlineStr">
        <is>
          <t>分页展示规则</t>
        </is>
      </c>
      <c r="I395" s="76" t="inlineStr">
        <is>
          <t>EQ</t>
        </is>
      </c>
      <c r="J395" s="108" t="n"/>
      <c r="K395" s="108" t="n"/>
      <c r="L395" s="83">
        <f>IF(OR(X395="估算法",X395="算法类",X395="无法识别"),"",IF(V395="",IF(OR(I395="EI",I395="EO",I395="EQ"),0,""),LEN(V395)-LEN(SUBSTITUTE(V395,"、",""))+1))</f>
        <v/>
      </c>
      <c r="M395" s="83">
        <f>IF(OR(X395="估算法",X395="算法类",X395="无法识别"),"",IF(W395="",IF(OR(I395="ILF",I395="EIF"),0,""),LEN(W395)-LEN(SUBSTITUTE(W395,"、",""))+1))</f>
        <v/>
      </c>
      <c r="N395" s="83">
        <f>IF(OR(X395="估算法",X395="算法类",X395="无法识别"),"",IF(X395="",IF(OR(I395="ILF",I395="EIF",I395="EI",I395="EO",I395="EQ"),0,""),LEN(X395)-LEN(SUBSTITUTE(SUBSTITUTE(SUBSTITUTE(SUBSTITUTE(SUBSTITUTE(X395,"|}","--"),"{|","--"),CHAR(10),""),"、",""),"|",""))+IF(AND(OR(I395="EI",I395="EO",I395="EQ"),$AD$1="NESMA"),2,1)))</f>
        <v/>
      </c>
      <c r="O395" s="84">
        <f>IF(I395="EI",IF(OR(X395="估算法",X395="算法类"),"中",IF(X395="无法识别","低",IF(L395&lt;2,IF(N395&lt;16,"低","中"),IF(L395&lt;3,IF(N395&lt;5,"低",IF(N395&lt;16,"中","高")),IF(N395&lt;5,"中","高"))))),IF(OR(I395="EO",I395="EQ"),IF(OR(X395="估算法",X395="算法类"),"中",IF(X395="无法识别","低",IF(L395&lt;2,IF(N395&lt;20,"低","中"),IF(L395&lt;4,IF(N395&lt;6,"低",IF(N395&lt;20,"中","高")),IF(N395&lt;6,"中","高"))))),IF(OR(I395="ILF",I395="EIF"),IF(OR(X395="估算法",X395="算法类",X395="无法识别"),"低",IF(M395&lt;2,IF(N395&lt;51,"低","中"),IF(M395&lt;6,IF(N395&lt;20,"低",IF(N395&lt;51,"中","高")),IF(N395&lt;20,"中","高")))),"不计算")))</f>
        <v/>
      </c>
      <c r="P395" s="142">
        <f>IFERROR(IF(I395="EI",IF(O395="低",3,IF(O395="中",4,6)),IF(I395="EO",IF(O395="低",4,IF(O395="中",5,7)),IF(I395="EQ",IF(O395="低",3,IF(O395="中",4,6)),IF(I395="ILF",IF(O395="低",7,IF(O395="中",10,15)),IF(I395="EIF",IF(O395="低",5,IF(O395="中",7,10)),"不计算")))))*Q395,"不计算")</f>
        <v/>
      </c>
      <c r="Q395" s="142" t="n">
        <v>1</v>
      </c>
      <c r="R395" s="143">
        <f>调整因子!$F$13</f>
        <v/>
      </c>
      <c r="S395" s="76" t="n">
        <v>1</v>
      </c>
      <c r="T395" s="144">
        <f>IFERROR(P395*R395,0)</f>
        <v/>
      </c>
      <c r="U395" s="144">
        <f>T395*S395</f>
        <v/>
      </c>
      <c r="V395" s="76" t="inlineStr">
        <is>
          <t>归属规则设定表</t>
        </is>
      </c>
      <c r="W395" s="81" t="n"/>
      <c r="X395" s="76" t="inlineStr">
        <is>
          <t>归属规则设定表{主键 id 、规则名称、规则描述、规则条件、规则状态 （如启用、禁用等）、创建时间、更新时间}</t>
        </is>
      </c>
      <c r="Y395" s="88" t="n"/>
      <c r="Z395" s="88" t="n"/>
      <c r="AA395" s="96" t="inlineStr">
        <is>
          <t>资产扫描覆盖表</t>
        </is>
      </c>
    </row>
    <row r="396" hidden="1" ht="21.6" customHeight="1">
      <c r="A396" s="69">
        <f>ROW()-1</f>
        <v/>
      </c>
      <c r="B396" s="53" t="n"/>
      <c r="C396" s="78" t="n">
        <v>2025</v>
      </c>
      <c r="D396" s="78" t="inlineStr">
        <is>
          <t>窦鹏岐</t>
        </is>
      </c>
      <c r="E396" s="53" t="n"/>
      <c r="F396" s="53" t="n"/>
      <c r="G396" s="53" t="n"/>
      <c r="H396" s="80" t="inlineStr">
        <is>
          <t>删除判定规则</t>
        </is>
      </c>
      <c r="I396" s="76" t="inlineStr">
        <is>
          <t>EI</t>
        </is>
      </c>
      <c r="J396" s="108" t="n"/>
      <c r="K396" s="108" t="n"/>
      <c r="L396" s="83">
        <f>IF(OR(X396="估算法",X396="算法类",X396="无法识别"),"",IF(V396="",IF(OR(I396="EI",I396="EO",I396="EQ"),0,""),LEN(V396)-LEN(SUBSTITUTE(V396,"、",""))+1))</f>
        <v/>
      </c>
      <c r="M396" s="83">
        <f>IF(OR(X396="估算法",X396="算法类",X396="无法识别"),"",IF(W396="",IF(OR(I396="ILF",I396="EIF"),0,""),LEN(W396)-LEN(SUBSTITUTE(W396,"、",""))+1))</f>
        <v/>
      </c>
      <c r="N396" s="83">
        <f>IF(OR(X396="估算法",X396="算法类",X396="无法识别"),"",IF(X396="",IF(OR(I396="ILF",I396="EIF",I396="EI",I396="EO",I396="EQ"),0,""),LEN(X396)-LEN(SUBSTITUTE(SUBSTITUTE(SUBSTITUTE(SUBSTITUTE(SUBSTITUTE(X396,"|}","--"),"{|","--"),CHAR(10),""),"、",""),"|",""))+IF(AND(OR(I396="EI",I396="EO",I396="EQ"),$AD$1="NESMA"),2,1)))</f>
        <v/>
      </c>
      <c r="O396" s="84">
        <f>IF(I396="EI",IF(OR(X396="估算法",X396="算法类"),"中",IF(X396="无法识别","低",IF(L396&lt;2,IF(N396&lt;16,"低","中"),IF(L396&lt;3,IF(N396&lt;5,"低",IF(N396&lt;16,"中","高")),IF(N396&lt;5,"中","高"))))),IF(OR(I396="EO",I396="EQ"),IF(OR(X396="估算法",X396="算法类"),"中",IF(X396="无法识别","低",IF(L396&lt;2,IF(N396&lt;20,"低","中"),IF(L396&lt;4,IF(N396&lt;6,"低",IF(N396&lt;20,"中","高")),IF(N396&lt;6,"中","高"))))),IF(OR(I396="ILF",I396="EIF"),IF(OR(X396="估算法",X396="算法类",X396="无法识别"),"低",IF(M396&lt;2,IF(N396&lt;51,"低","中"),IF(M396&lt;6,IF(N396&lt;20,"低",IF(N396&lt;51,"中","高")),IF(N396&lt;20,"中","高")))),"不计算")))</f>
        <v/>
      </c>
      <c r="P396" s="142">
        <f>IFERROR(IF(I396="EI",IF(O396="低",3,IF(O396="中",4,6)),IF(I396="EO",IF(O396="低",4,IF(O396="中",5,7)),IF(I396="EQ",IF(O396="低",3,IF(O396="中",4,6)),IF(I396="ILF",IF(O396="低",7,IF(O396="中",10,15)),IF(I396="EIF",IF(O396="低",5,IF(O396="中",7,10)),"不计算")))))*Q396,"不计算")</f>
        <v/>
      </c>
      <c r="Q396" s="142" t="n">
        <v>0.333333333333333</v>
      </c>
      <c r="R396" s="143">
        <f>调整因子!$F$13</f>
        <v/>
      </c>
      <c r="S396" s="70" t="n">
        <v>1</v>
      </c>
      <c r="T396" s="144">
        <f>IFERROR(P396*R396,0)</f>
        <v/>
      </c>
      <c r="U396" s="144">
        <f>T396*S396</f>
        <v/>
      </c>
      <c r="V396" s="76" t="inlineStr">
        <is>
          <t>归属规则设定表</t>
        </is>
      </c>
      <c r="W396" s="81" t="n"/>
      <c r="X396" s="76" t="inlineStr">
        <is>
          <t>归属规则设定表{主键 id 、规则名称、规则描述、规则条件、规则状态 （如启用、禁用等）、创建时间、更新时间}</t>
        </is>
      </c>
      <c r="Y396" s="88" t="n"/>
      <c r="Z396" s="88" t="n"/>
      <c r="AA396" s="96" t="inlineStr">
        <is>
          <t>任务优先级配置表</t>
        </is>
      </c>
    </row>
    <row r="397" hidden="1" ht="21.6" customHeight="1">
      <c r="A397" s="69">
        <f>ROW()-1</f>
        <v/>
      </c>
      <c r="B397" s="53" t="n"/>
      <c r="C397" s="78" t="n">
        <v>2025</v>
      </c>
      <c r="D397" s="78" t="inlineStr">
        <is>
          <t>窦鹏岐</t>
        </is>
      </c>
      <c r="E397" s="53" t="n"/>
      <c r="F397" s="53" t="n"/>
      <c r="G397" s="53" t="n"/>
      <c r="H397" s="80" t="inlineStr">
        <is>
          <t>导入判定规则</t>
        </is>
      </c>
      <c r="I397" s="76" t="inlineStr">
        <is>
          <t>EI</t>
        </is>
      </c>
      <c r="J397" s="108" t="n"/>
      <c r="K397" s="108" t="n"/>
      <c r="L397" s="83">
        <f>IF(OR(X397="估算法",X397="算法类",X397="无法识别"),"",IF(V397="",IF(OR(I397="EI",I397="EO",I397="EQ"),0,""),LEN(V397)-LEN(SUBSTITUTE(V397,"、",""))+1))</f>
        <v/>
      </c>
      <c r="M397" s="83">
        <f>IF(OR(X397="估算法",X397="算法类",X397="无法识别"),"",IF(W397="",IF(OR(I397="ILF",I397="EIF"),0,""),LEN(W397)-LEN(SUBSTITUTE(W397,"、",""))+1))</f>
        <v/>
      </c>
      <c r="N397" s="83">
        <f>IF(OR(X397="估算法",X397="算法类",X397="无法识别"),"",IF(X397="",IF(OR(I397="ILF",I397="EIF",I397="EI",I397="EO",I397="EQ"),0,""),LEN(X397)-LEN(SUBSTITUTE(SUBSTITUTE(SUBSTITUTE(SUBSTITUTE(SUBSTITUTE(X397,"|}","--"),"{|","--"),CHAR(10),""),"、",""),"|",""))+IF(AND(OR(I397="EI",I397="EO",I397="EQ"),$AD$1="NESMA"),2,1)))</f>
        <v/>
      </c>
      <c r="O397" s="84">
        <f>IF(I397="EI",IF(OR(X397="估算法",X397="算法类"),"中",IF(X397="无法识别","低",IF(L397&lt;2,IF(N397&lt;16,"低","中"),IF(L397&lt;3,IF(N397&lt;5,"低",IF(N397&lt;16,"中","高")),IF(N397&lt;5,"中","高"))))),IF(OR(I397="EO",I397="EQ"),IF(OR(X397="估算法",X397="算法类"),"中",IF(X397="无法识别","低",IF(L397&lt;2,IF(N397&lt;20,"低","中"),IF(L397&lt;4,IF(N397&lt;6,"低",IF(N397&lt;20,"中","高")),IF(N397&lt;6,"中","高"))))),IF(OR(I397="ILF",I397="EIF"),IF(OR(X397="估算法",X397="算法类",X397="无法识别"),"低",IF(M397&lt;2,IF(N397&lt;51,"低","中"),IF(M397&lt;6,IF(N397&lt;20,"低",IF(N397&lt;51,"中","高")),IF(N397&lt;20,"中","高")))),"不计算")))</f>
        <v/>
      </c>
      <c r="P397" s="142">
        <f>IFERROR(IF(I397="EI",IF(O397="低",3,IF(O397="中",4,6)),IF(I397="EO",IF(O397="低",4,IF(O397="中",5,7)),IF(I397="EQ",IF(O397="低",3,IF(O397="中",4,6)),IF(I397="ILF",IF(O397="低",7,IF(O397="中",10,15)),IF(I397="EIF",IF(O397="低",5,IF(O397="中",7,10)),"不计算")))))*Q397,"不计算")</f>
        <v/>
      </c>
      <c r="Q397" s="142" t="n">
        <v>1</v>
      </c>
      <c r="R397" s="143">
        <f>调整因子!$F$13</f>
        <v/>
      </c>
      <c r="S397" s="70" t="n">
        <v>1</v>
      </c>
      <c r="T397" s="144">
        <f>IFERROR(P397*R397,0)</f>
        <v/>
      </c>
      <c r="U397" s="144">
        <f>T397*S397</f>
        <v/>
      </c>
      <c r="V397" s="76" t="inlineStr">
        <is>
          <t>归属规则设定表</t>
        </is>
      </c>
      <c r="W397" s="81" t="n"/>
      <c r="X397" s="76" t="inlineStr">
        <is>
          <t>归属规则设定表{主键 id 、规则名称、规则描述、规则条件、规则状态 （如启用、禁用等）、创建时间、更新时间}</t>
        </is>
      </c>
      <c r="Y397" s="88" t="n"/>
      <c r="Z397" s="88" t="n"/>
      <c r="AA397" s="96" t="inlineStr">
        <is>
          <t>漏洞处置单表、漏洞统计数据表</t>
        </is>
      </c>
    </row>
    <row r="398" hidden="1" ht="21.6" customHeight="1">
      <c r="A398" s="69">
        <f>ROW()-1</f>
        <v/>
      </c>
      <c r="B398" s="53" t="n"/>
      <c r="C398" s="78" t="n">
        <v>2025</v>
      </c>
      <c r="D398" s="78" t="inlineStr">
        <is>
          <t>窦鹏岐</t>
        </is>
      </c>
      <c r="E398" s="53" t="n"/>
      <c r="F398" s="53" t="n"/>
      <c r="G398" s="53" t="n"/>
      <c r="H398" s="80" t="inlineStr">
        <is>
          <t>导出判定规则</t>
        </is>
      </c>
      <c r="I398" s="76" t="inlineStr">
        <is>
          <t>EO</t>
        </is>
      </c>
      <c r="J398" s="108" t="n"/>
      <c r="K398" s="108" t="n"/>
      <c r="L398" s="83">
        <f>IF(OR(X398="估算法",X398="算法类",X398="无法识别"),"",IF(V398="",IF(OR(I398="EI",I398="EO",I398="EQ"),0,""),LEN(V398)-LEN(SUBSTITUTE(V398,"、",""))+1))</f>
        <v/>
      </c>
      <c r="M398" s="83">
        <f>IF(OR(X398="估算法",X398="算法类",X398="无法识别"),"",IF(W398="",IF(OR(I398="ILF",I398="EIF"),0,""),LEN(W398)-LEN(SUBSTITUTE(W398,"、",""))+1))</f>
        <v/>
      </c>
      <c r="N398" s="83">
        <f>IF(OR(X398="估算法",X398="算法类",X398="无法识别"),"",IF(X398="",IF(OR(I398="ILF",I398="EIF",I398="EI",I398="EO",I398="EQ"),0,""),LEN(X398)-LEN(SUBSTITUTE(SUBSTITUTE(SUBSTITUTE(SUBSTITUTE(SUBSTITUTE(X398,"|}","--"),"{|","--"),CHAR(10),""),"、",""),"|",""))+IF(AND(OR(I398="EI",I398="EO",I398="EQ"),$AD$1="NESMA"),2,1)))</f>
        <v/>
      </c>
      <c r="O398" s="84">
        <f>IF(I398="EI",IF(OR(X398="估算法",X398="算法类"),"中",IF(X398="无法识别","低",IF(L398&lt;2,IF(N398&lt;16,"低","中"),IF(L398&lt;3,IF(N398&lt;5,"低",IF(N398&lt;16,"中","高")),IF(N398&lt;5,"中","高"))))),IF(OR(I398="EO",I398="EQ"),IF(OR(X398="估算法",X398="算法类"),"中",IF(X398="无法识别","低",IF(L398&lt;2,IF(N398&lt;20,"低","中"),IF(L398&lt;4,IF(N398&lt;6,"低",IF(N398&lt;20,"中","高")),IF(N398&lt;6,"中","高"))))),IF(OR(I398="ILF",I398="EIF"),IF(OR(X398="估算法",X398="算法类",X398="无法识别"),"低",IF(M398&lt;2,IF(N398&lt;51,"低","中"),IF(M398&lt;6,IF(N398&lt;20,"低",IF(N398&lt;51,"中","高")),IF(N398&lt;20,"中","高")))),"不计算")))</f>
        <v/>
      </c>
      <c r="P398" s="142">
        <f>IFERROR(IF(I398="EI",IF(O398="低",3,IF(O398="中",4,6)),IF(I398="EO",IF(O398="低",4,IF(O398="中",5,7)),IF(I398="EQ",IF(O398="低",3,IF(O398="中",4,6)),IF(I398="ILF",IF(O398="低",7,IF(O398="中",10,15)),IF(I398="EIF",IF(O398="低",5,IF(O398="中",7,10)),"不计算")))))*Q398,"不计算")</f>
        <v/>
      </c>
      <c r="Q398" s="142" t="n">
        <v>1</v>
      </c>
      <c r="R398" s="143">
        <f>调整因子!$F$13</f>
        <v/>
      </c>
      <c r="S398" s="76" t="n">
        <v>1</v>
      </c>
      <c r="T398" s="144">
        <f>IFERROR(P398*R398,0)</f>
        <v/>
      </c>
      <c r="U398" s="144">
        <f>T398*S398</f>
        <v/>
      </c>
      <c r="V398" s="76" t="inlineStr">
        <is>
          <t>归属规则设定表</t>
        </is>
      </c>
      <c r="W398" s="81" t="n"/>
      <c r="X398" s="76" t="inlineStr">
        <is>
          <t>归属规则设定表{主键 id 、规则名称、规则描述、规则条件、规则状态 （如启用、禁用等）、创建时间、更新时间}</t>
        </is>
      </c>
      <c r="Y398" s="88" t="n"/>
      <c r="Z398" s="88" t="n"/>
      <c r="AA398" s="96" t="inlineStr">
        <is>
          <t>漏洞处置单表</t>
        </is>
      </c>
    </row>
    <row r="399" hidden="1" ht="21.6" customHeight="1">
      <c r="A399" s="69">
        <f>ROW()-1</f>
        <v/>
      </c>
      <c r="B399" s="53" t="n"/>
      <c r="C399" s="78" t="n">
        <v>2025</v>
      </c>
      <c r="D399" s="78" t="inlineStr">
        <is>
          <t>窦鹏岐</t>
        </is>
      </c>
      <c r="E399" s="53" t="n"/>
      <c r="F399" s="53" t="n"/>
      <c r="G399" s="53" t="n"/>
      <c r="H399" s="80" t="inlineStr">
        <is>
          <t>新建判定规则</t>
        </is>
      </c>
      <c r="I399" s="76" t="inlineStr">
        <is>
          <t>EI</t>
        </is>
      </c>
      <c r="J399" s="108" t="n"/>
      <c r="K399" s="108" t="n"/>
      <c r="L399" s="83">
        <f>IF(OR(X399="估算法",X399="算法类",X399="无法识别"),"",IF(V399="",IF(OR(I399="EI",I399="EO",I399="EQ"),0,""),LEN(V399)-LEN(SUBSTITUTE(V399,"、",""))+1))</f>
        <v/>
      </c>
      <c r="M399" s="83">
        <f>IF(OR(X399="估算法",X399="算法类",X399="无法识别"),"",IF(W399="",IF(OR(I399="ILF",I399="EIF"),0,""),LEN(W399)-LEN(SUBSTITUTE(W399,"、",""))+1))</f>
        <v/>
      </c>
      <c r="N399" s="83">
        <f>IF(OR(X399="估算法",X399="算法类",X399="无法识别"),"",IF(X399="",IF(OR(I399="ILF",I399="EIF",I399="EI",I399="EO",I399="EQ"),0,""),LEN(X399)-LEN(SUBSTITUTE(SUBSTITUTE(SUBSTITUTE(SUBSTITUTE(SUBSTITUTE(X399,"|}","--"),"{|","--"),CHAR(10),""),"、",""),"|",""))+IF(AND(OR(I399="EI",I399="EO",I399="EQ"),$AD$1="NESMA"),2,1)))</f>
        <v/>
      </c>
      <c r="O399" s="84">
        <f>IF(I399="EI",IF(OR(X399="估算法",X399="算法类"),"中",IF(X399="无法识别","低",IF(L399&lt;2,IF(N399&lt;16,"低","中"),IF(L399&lt;3,IF(N399&lt;5,"低",IF(N399&lt;16,"中","高")),IF(N399&lt;5,"中","高"))))),IF(OR(I399="EO",I399="EQ"),IF(OR(X399="估算法",X399="算法类"),"中",IF(X399="无法识别","低",IF(L399&lt;2,IF(N399&lt;20,"低","中"),IF(L399&lt;4,IF(N399&lt;6,"低",IF(N399&lt;20,"中","高")),IF(N399&lt;6,"中","高"))))),IF(OR(I399="ILF",I399="EIF"),IF(OR(X399="估算法",X399="算法类",X399="无法识别"),"低",IF(M399&lt;2,IF(N399&lt;51,"低","中"),IF(M399&lt;6,IF(N399&lt;20,"低",IF(N399&lt;51,"中","高")),IF(N399&lt;20,"中","高")))),"不计算")))</f>
        <v/>
      </c>
      <c r="P399" s="142">
        <f>IFERROR(IF(I399="EI",IF(O399="低",3,IF(O399="中",4,6)),IF(I399="EO",IF(O399="低",4,IF(O399="中",5,7)),IF(I399="EQ",IF(O399="低",3,IF(O399="中",4,6)),IF(I399="ILF",IF(O399="低",7,IF(O399="中",10,15)),IF(I399="EIF",IF(O399="低",5,IF(O399="中",7,10)),"不计算")))))*Q399,"不计算")</f>
        <v/>
      </c>
      <c r="Q399" s="142" t="n">
        <v>1</v>
      </c>
      <c r="R399" s="143">
        <f>调整因子!$F$13</f>
        <v/>
      </c>
      <c r="S399" s="70" t="n">
        <v>1</v>
      </c>
      <c r="T399" s="144">
        <f>IFERROR(P399*R399,0)</f>
        <v/>
      </c>
      <c r="U399" s="144">
        <f>T399*S399</f>
        <v/>
      </c>
      <c r="V399" s="76" t="inlineStr">
        <is>
          <t>归属规则设定表</t>
        </is>
      </c>
      <c r="W399" s="81" t="n"/>
      <c r="X399" s="76" t="inlineStr">
        <is>
          <t>归属规则设定表{主键 id 、规则名称、规则描述、规则条件、规则状态 （如启用、禁用等）、创建时间、更新时间}</t>
        </is>
      </c>
      <c r="Y399" s="88" t="n"/>
      <c r="Z399" s="88" t="n"/>
      <c r="AA399" s="96" t="inlineStr">
        <is>
          <t>漏洞处置单表、漏洞统计数据表</t>
        </is>
      </c>
    </row>
    <row r="400" hidden="1" ht="21.6" customHeight="1">
      <c r="A400" s="69">
        <f>ROW()-1</f>
        <v/>
      </c>
      <c r="B400" s="53" t="n"/>
      <c r="C400" s="78" t="n">
        <v>2025</v>
      </c>
      <c r="D400" s="78" t="inlineStr">
        <is>
          <t>窦鹏岐</t>
        </is>
      </c>
      <c r="E400" s="53" t="n"/>
      <c r="F400" s="53" t="n"/>
      <c r="G400" s="54" t="n"/>
      <c r="H400" s="80" t="inlineStr">
        <is>
          <t>条件搜索规则</t>
        </is>
      </c>
      <c r="I400" s="76" t="inlineStr">
        <is>
          <t>EQ</t>
        </is>
      </c>
      <c r="J400" s="108" t="n"/>
      <c r="K400" s="108" t="n"/>
      <c r="L400" s="83">
        <f>IF(OR(X400="估算法",X400="算法类",X400="无法识别"),"",IF(V400="",IF(OR(I400="EI",I400="EO",I400="EQ"),0,""),LEN(V400)-LEN(SUBSTITUTE(V400,"、",""))+1))</f>
        <v/>
      </c>
      <c r="M400" s="83">
        <f>IF(OR(X400="估算法",X400="算法类",X400="无法识别"),"",IF(W400="",IF(OR(I400="ILF",I400="EIF"),0,""),LEN(W400)-LEN(SUBSTITUTE(W400,"、",""))+1))</f>
        <v/>
      </c>
      <c r="N400" s="83">
        <f>IF(OR(X400="估算法",X400="算法类",X400="无法识别"),"",IF(X400="",IF(OR(I400="ILF",I400="EIF",I400="EI",I400="EO",I400="EQ"),0,""),LEN(X400)-LEN(SUBSTITUTE(SUBSTITUTE(SUBSTITUTE(SUBSTITUTE(SUBSTITUTE(X400,"|}","--"),"{|","--"),CHAR(10),""),"、",""),"|",""))+IF(AND(OR(I400="EI",I400="EO",I400="EQ"),$AD$1="NESMA"),2,1)))</f>
        <v/>
      </c>
      <c r="O400" s="84">
        <f>IF(I400="EI",IF(OR(X400="估算法",X400="算法类"),"中",IF(X400="无法识别","低",IF(L400&lt;2,IF(N400&lt;16,"低","中"),IF(L400&lt;3,IF(N400&lt;5,"低",IF(N400&lt;16,"中","高")),IF(N400&lt;5,"中","高"))))),IF(OR(I400="EO",I400="EQ"),IF(OR(X400="估算法",X400="算法类"),"中",IF(X400="无法识别","低",IF(L400&lt;2,IF(N400&lt;20,"低","中"),IF(L400&lt;4,IF(N400&lt;6,"低",IF(N400&lt;20,"中","高")),IF(N400&lt;6,"中","高"))))),IF(OR(I400="ILF",I400="EIF"),IF(OR(X400="估算法",X400="算法类",X400="无法识别"),"低",IF(M400&lt;2,IF(N400&lt;51,"低","中"),IF(M400&lt;6,IF(N400&lt;20,"低",IF(N400&lt;51,"中","高")),IF(N400&lt;20,"中","高")))),"不计算")))</f>
        <v/>
      </c>
      <c r="P400" s="142">
        <f>IFERROR(IF(I400="EI",IF(O400="低",3,IF(O400="中",4,6)),IF(I400="EO",IF(O400="低",4,IF(O400="中",5,7)),IF(I400="EQ",IF(O400="低",3,IF(O400="中",4,6)),IF(I400="ILF",IF(O400="低",7,IF(O400="中",10,15)),IF(I400="EIF",IF(O400="低",5,IF(O400="中",7,10)),"不计算")))))*Q400,"不计算")</f>
        <v/>
      </c>
      <c r="Q400" s="142" t="n">
        <v>1</v>
      </c>
      <c r="R400" s="143">
        <f>调整因子!$F$13</f>
        <v/>
      </c>
      <c r="S400" s="70" t="n">
        <v>1</v>
      </c>
      <c r="T400" s="144">
        <f>IFERROR(P400*R400,0)</f>
        <v/>
      </c>
      <c r="U400" s="144">
        <f>T400*S400</f>
        <v/>
      </c>
      <c r="V400" s="76" t="inlineStr">
        <is>
          <t>归属规则设定表</t>
        </is>
      </c>
      <c r="W400" s="81" t="n"/>
      <c r="X400" s="76" t="inlineStr">
        <is>
          <t>归属规则设定表{主键 id 、规则名称、规则描述、规则条件、规则状态 （如启用、禁用等）、创建时间、更新时间}</t>
        </is>
      </c>
      <c r="Y400" s="88" t="n"/>
      <c r="Z400" s="88" t="n"/>
      <c r="AA400" s="96" t="inlineStr">
        <is>
          <t>任务优先级配置表、模板参数配置表</t>
        </is>
      </c>
    </row>
    <row r="401" hidden="1" ht="21.6" customHeight="1">
      <c r="A401" s="69">
        <f>ROW()-1</f>
        <v/>
      </c>
      <c r="B401" s="53" t="n"/>
      <c r="C401" s="78" t="n">
        <v>2025</v>
      </c>
      <c r="D401" s="78" t="inlineStr">
        <is>
          <t>窦鹏岐</t>
        </is>
      </c>
      <c r="E401" s="53" t="n"/>
      <c r="F401" s="53" t="n"/>
      <c r="G401" s="76" t="inlineStr">
        <is>
          <t>自动归属判定</t>
        </is>
      </c>
      <c r="H401" s="80" t="inlineStr">
        <is>
          <t>漏洞归属划分</t>
        </is>
      </c>
      <c r="I401" s="76" t="inlineStr">
        <is>
          <t>EI</t>
        </is>
      </c>
      <c r="J401" s="108" t="n"/>
      <c r="K401" s="108" t="n"/>
      <c r="L401" s="83">
        <f>IF(OR(X401="估算法",X401="算法类",X401="无法识别"),"",IF(V401="",IF(OR(I401="EI",I401="EO",I401="EQ"),0,""),LEN(V401)-LEN(SUBSTITUTE(V401,"、",""))+1))</f>
        <v/>
      </c>
      <c r="M401" s="83">
        <f>IF(OR(X401="估算法",X401="算法类",X401="无法识别"),"",IF(W401="",IF(OR(I401="ILF",I401="EIF"),0,""),LEN(W401)-LEN(SUBSTITUTE(W401,"、",""))+1))</f>
        <v/>
      </c>
      <c r="N401" s="83">
        <f>IF(OR(X401="估算法",X401="算法类",X401="无法识别"),"",IF(X401="",IF(OR(I401="ILF",I401="EIF",I401="EI",I401="EO",I401="EQ"),0,""),LEN(X401)-LEN(SUBSTITUTE(SUBSTITUTE(SUBSTITUTE(SUBSTITUTE(SUBSTITUTE(X401,"|}","--"),"{|","--"),CHAR(10),""),"、",""),"|",""))+IF(AND(OR(I401="EI",I401="EO",I401="EQ"),$AD$1="NESMA"),2,1)))</f>
        <v/>
      </c>
      <c r="O401" s="84">
        <f>IF(I401="EI",IF(OR(X401="估算法",X401="算法类"),"中",IF(X401="无法识别","低",IF(L401&lt;2,IF(N401&lt;16,"低","中"),IF(L401&lt;3,IF(N401&lt;5,"低",IF(N401&lt;16,"中","高")),IF(N401&lt;5,"中","高"))))),IF(OR(I401="EO",I401="EQ"),IF(OR(X401="估算法",X401="算法类"),"中",IF(X401="无法识别","低",IF(L401&lt;2,IF(N401&lt;20,"低","中"),IF(L401&lt;4,IF(N401&lt;6,"低",IF(N401&lt;20,"中","高")),IF(N401&lt;6,"中","高"))))),IF(OR(I401="ILF",I401="EIF"),IF(OR(X401="估算法",X401="算法类",X401="无法识别"),"低",IF(M401&lt;2,IF(N401&lt;51,"低","中"),IF(M401&lt;6,IF(N401&lt;20,"低",IF(N401&lt;51,"中","高")),IF(N401&lt;20,"中","高")))),"不计算")))</f>
        <v/>
      </c>
      <c r="P401" s="142">
        <f>IFERROR(IF(I401="EI",IF(O401="低",3,IF(O401="中",4,6)),IF(I401="EO",IF(O401="低",4,IF(O401="中",5,7)),IF(I401="EQ",IF(O401="低",3,IF(O401="中",4,6)),IF(I401="ILF",IF(O401="低",7,IF(O401="中",10,15)),IF(I401="EIF",IF(O401="低",5,IF(O401="中",7,10)),"不计算")))))*Q401,"不计算")</f>
        <v/>
      </c>
      <c r="Q401" s="142" t="n">
        <v>1</v>
      </c>
      <c r="R401" s="143">
        <f>调整因子!$F$13</f>
        <v/>
      </c>
      <c r="S401" s="76" t="n">
        <v>1</v>
      </c>
      <c r="T401" s="144">
        <f>IFERROR(P401*R401,0)</f>
        <v/>
      </c>
      <c r="U401" s="144">
        <f>T401*S401</f>
        <v/>
      </c>
      <c r="V401" s="76" t="inlineStr">
        <is>
          <t>自动归属判定表</t>
        </is>
      </c>
      <c r="W401" s="81" t="n"/>
      <c r="X401" s="76" t="inlineStr">
        <is>
          <t>自动归属判定表{主键 id 、漏洞 id 、归属判定结果、判定时间}</t>
        </is>
      </c>
      <c r="Y401" s="88" t="n"/>
      <c r="Z401" s="88" t="n"/>
      <c r="AA401" s="96" t="inlineStr">
        <is>
          <t>采集任务配置表</t>
        </is>
      </c>
    </row>
    <row r="402" hidden="1" ht="21.6" customHeight="1">
      <c r="A402" s="69">
        <f>ROW()-1</f>
        <v/>
      </c>
      <c r="B402" s="53" t="n"/>
      <c r="C402" s="78" t="n">
        <v>2025</v>
      </c>
      <c r="D402" s="78" t="inlineStr">
        <is>
          <t>窦鹏岐</t>
        </is>
      </c>
      <c r="E402" s="53" t="n"/>
      <c r="F402" s="53" t="n"/>
      <c r="G402" s="79" t="inlineStr">
        <is>
          <t>归属手动设定</t>
        </is>
      </c>
      <c r="H402" s="80" t="inlineStr">
        <is>
          <t>手动修改漏洞归属</t>
        </is>
      </c>
      <c r="I402" s="76" t="inlineStr">
        <is>
          <t>EI</t>
        </is>
      </c>
      <c r="J402" s="108" t="n"/>
      <c r="K402" s="108" t="n"/>
      <c r="L402" s="83">
        <f>IF(OR(X402="估算法",X402="算法类",X402="无法识别"),"",IF(V402="",IF(OR(I402="EI",I402="EO",I402="EQ"),0,""),LEN(V402)-LEN(SUBSTITUTE(V402,"、",""))+1))</f>
        <v/>
      </c>
      <c r="M402" s="83">
        <f>IF(OR(X402="估算法",X402="算法类",X402="无法识别"),"",IF(W402="",IF(OR(I402="ILF",I402="EIF"),0,""),LEN(W402)-LEN(SUBSTITUTE(W402,"、",""))+1))</f>
        <v/>
      </c>
      <c r="N402" s="83">
        <f>IF(OR(X402="估算法",X402="算法类",X402="无法识别"),"",IF(X402="",IF(OR(I402="ILF",I402="EIF",I402="EI",I402="EO",I402="EQ"),0,""),LEN(X402)-LEN(SUBSTITUTE(SUBSTITUTE(SUBSTITUTE(SUBSTITUTE(SUBSTITUTE(X402,"|}","--"),"{|","--"),CHAR(10),""),"、",""),"|",""))+IF(AND(OR(I402="EI",I402="EO",I402="EQ"),$AD$1="NESMA"),2,1)))</f>
        <v/>
      </c>
      <c r="O402" s="84">
        <f>IF(I402="EI",IF(OR(X402="估算法",X402="算法类"),"中",IF(X402="无法识别","低",IF(L402&lt;2,IF(N402&lt;16,"低","中"),IF(L402&lt;3,IF(N402&lt;5,"低",IF(N402&lt;16,"中","高")),IF(N402&lt;5,"中","高"))))),IF(OR(I402="EO",I402="EQ"),IF(OR(X402="估算法",X402="算法类"),"中",IF(X402="无法识别","低",IF(L402&lt;2,IF(N402&lt;20,"低","中"),IF(L402&lt;4,IF(N402&lt;6,"低",IF(N402&lt;20,"中","高")),IF(N402&lt;6,"中","高"))))),IF(OR(I402="ILF",I402="EIF"),IF(OR(X402="估算法",X402="算法类",X402="无法识别"),"低",IF(M402&lt;2,IF(N402&lt;51,"低","中"),IF(M402&lt;6,IF(N402&lt;20,"低",IF(N402&lt;51,"中","高")),IF(N402&lt;20,"中","高")))),"不计算")))</f>
        <v/>
      </c>
      <c r="P402" s="142">
        <f>IFERROR(IF(I402="EI",IF(O402="低",3,IF(O402="中",4,6)),IF(I402="EO",IF(O402="低",4,IF(O402="中",5,7)),IF(I402="EQ",IF(O402="低",3,IF(O402="中",4,6)),IF(I402="ILF",IF(O402="低",7,IF(O402="中",10,15)),IF(I402="EIF",IF(O402="低",5,IF(O402="中",7,10)),"不计算")))))*Q402,"不计算")</f>
        <v/>
      </c>
      <c r="Q402" s="142" t="n">
        <v>0.333333333333333</v>
      </c>
      <c r="R402" s="143">
        <f>调整因子!$F$13</f>
        <v/>
      </c>
      <c r="S402" s="70" t="n">
        <v>1</v>
      </c>
      <c r="T402" s="144">
        <f>IFERROR(P402*R402,0)</f>
        <v/>
      </c>
      <c r="U402" s="144">
        <f>T402*S402</f>
        <v/>
      </c>
      <c r="V402" s="79" t="inlineStr">
        <is>
          <t>归属手动设定表</t>
        </is>
      </c>
      <c r="W402" s="81" t="n"/>
      <c r="X402" s="76" t="inlineStr">
        <is>
          <t>归属手动设定表{主键 id 、漏洞 id 、原归属信息、修改后归属信息、修改时间、修改人、确认提交状态 （如已提交、未提交等}</t>
        </is>
      </c>
      <c r="Y402" s="88" t="n"/>
      <c r="Z402" s="88" t="n"/>
      <c r="AA402" s="96" t="inlineStr">
        <is>
          <t>漏洞统计数据表</t>
        </is>
      </c>
    </row>
    <row r="403" hidden="1" ht="21.6" customHeight="1">
      <c r="A403" s="69">
        <f>ROW()-1</f>
        <v/>
      </c>
      <c r="B403" s="53" t="n"/>
      <c r="C403" s="78" t="n">
        <v>2025</v>
      </c>
      <c r="D403" s="78" t="inlineStr">
        <is>
          <t>窦鹏岐</t>
        </is>
      </c>
      <c r="E403" s="53" t="n"/>
      <c r="F403" s="53" t="n"/>
      <c r="G403" s="53" t="n"/>
      <c r="H403" s="80" t="inlineStr">
        <is>
          <t>确认并提交修改</t>
        </is>
      </c>
      <c r="I403" s="76" t="n"/>
      <c r="J403" s="108" t="n"/>
      <c r="K403" s="108" t="inlineStr">
        <is>
          <t>和上行合并，为相同功能的分支</t>
        </is>
      </c>
      <c r="L403" s="83">
        <f>IF(OR(X403="估算法",X403="算法类",X403="无法识别"),"",IF(V403="",IF(OR(I403="EI",I403="EO",I403="EQ"),0,""),LEN(V403)-LEN(SUBSTITUTE(V403,"、",""))+1))</f>
        <v/>
      </c>
      <c r="M403" s="83">
        <f>IF(OR(X403="估算法",X403="算法类",X403="无法识别"),"",IF(W403="",IF(OR(I403="ILF",I403="EIF"),0,""),LEN(W403)-LEN(SUBSTITUTE(W403,"、",""))+1))</f>
        <v/>
      </c>
      <c r="N403" s="83">
        <f>IF(OR(X403="估算法",X403="算法类",X403="无法识别"),"",IF(X403="",IF(OR(I403="ILF",I403="EIF",I403="EI",I403="EO",I403="EQ"),0,""),LEN(X403)-LEN(SUBSTITUTE(SUBSTITUTE(SUBSTITUTE(SUBSTITUTE(SUBSTITUTE(X403,"|}","--"),"{|","--"),CHAR(10),""),"、",""),"|",""))+IF(AND(OR(I403="EI",I403="EO",I403="EQ"),$AD$1="NESMA"),2,1)))</f>
        <v/>
      </c>
      <c r="O403" s="84">
        <f>IF(I403="EI",IF(OR(X403="估算法",X403="算法类"),"中",IF(X403="无法识别","低",IF(L403&lt;2,IF(N403&lt;16,"低","中"),IF(L403&lt;3,IF(N403&lt;5,"低",IF(N403&lt;16,"中","高")),IF(N403&lt;5,"中","高"))))),IF(OR(I403="EO",I403="EQ"),IF(OR(X403="估算法",X403="算法类"),"中",IF(X403="无法识别","低",IF(L403&lt;2,IF(N403&lt;20,"低","中"),IF(L403&lt;4,IF(N403&lt;6,"低",IF(N403&lt;20,"中","高")),IF(N403&lt;6,"中","高"))))),IF(OR(I403="ILF",I403="EIF"),IF(OR(X403="估算法",X403="算法类",X403="无法识别"),"低",IF(M403&lt;2,IF(N403&lt;51,"低","中"),IF(M403&lt;6,IF(N403&lt;20,"低",IF(N403&lt;51,"中","高")),IF(N403&lt;20,"中","高")))),"不计算")))</f>
        <v/>
      </c>
      <c r="P403" s="142">
        <f>IFERROR(IF(I403="EI",IF(O403="低",3,IF(O403="中",4,6)),IF(I403="EO",IF(O403="低",4,IF(O403="中",5,7)),IF(I403="EQ",IF(O403="低",3,IF(O403="中",4,6)),IF(I403="ILF",IF(O403="低",7,IF(O403="中",10,15)),IF(I403="EIF",IF(O403="低",5,IF(O403="中",7,10)),"不计算")))))*Q403,"不计算")</f>
        <v/>
      </c>
      <c r="Q403" s="142" t="n">
        <v>0.333333333333333</v>
      </c>
      <c r="R403" s="143">
        <f>调整因子!$F$13</f>
        <v/>
      </c>
      <c r="S403" s="70" t="n">
        <v>1</v>
      </c>
      <c r="T403" s="144">
        <f>IFERROR(P403*R403,0)</f>
        <v/>
      </c>
      <c r="U403" s="144">
        <f>T403*S403</f>
        <v/>
      </c>
      <c r="V403" s="79" t="inlineStr">
        <is>
          <t>归属手动设定表</t>
        </is>
      </c>
      <c r="W403" s="81" t="n"/>
      <c r="X403" s="76" t="inlineStr">
        <is>
          <t>归属手动设定表{主键 id 、漏洞 id 、原归属信息、修改后归属信息、修改时间、修改人、确认提交状态 （如已提交、未提交等}</t>
        </is>
      </c>
      <c r="Y403" s="88" t="n"/>
      <c r="Z403" s="88" t="n"/>
      <c r="AA403" s="96" t="inlineStr">
        <is>
          <t>日志查询记录表</t>
        </is>
      </c>
    </row>
    <row r="404" hidden="1" ht="43.2" customHeight="1">
      <c r="A404" s="69">
        <f>ROW()-1</f>
        <v/>
      </c>
      <c r="B404" s="53" t="n"/>
      <c r="C404" s="78" t="n">
        <v>2025</v>
      </c>
      <c r="D404" s="78" t="inlineStr">
        <is>
          <t>窦鹏岐</t>
        </is>
      </c>
      <c r="E404" s="53" t="n"/>
      <c r="F404" s="53" t="n"/>
      <c r="G404" s="54" t="n"/>
      <c r="H404" s="80" t="inlineStr">
        <is>
          <t>选择待调整漏洞</t>
        </is>
      </c>
      <c r="I404" s="76" t="inlineStr">
        <is>
          <t>EI</t>
        </is>
      </c>
      <c r="J404" s="108" t="n"/>
      <c r="K404" s="108" t="n"/>
      <c r="L404" s="83">
        <f>IF(OR(X404="估算法",X404="算法类",X404="无法识别"),"",IF(V404="",IF(OR(I404="EI",I404="EO",I404="EQ"),0,""),LEN(V404)-LEN(SUBSTITUTE(V404,"、",""))+1))</f>
        <v/>
      </c>
      <c r="M404" s="83">
        <f>IF(OR(X404="估算法",X404="算法类",X404="无法识别"),"",IF(W404="",IF(OR(I404="ILF",I404="EIF"),0,""),LEN(W404)-LEN(SUBSTITUTE(W404,"、",""))+1))</f>
        <v/>
      </c>
      <c r="N404" s="83">
        <f>IF(OR(X404="估算法",X404="算法类",X404="无法识别"),"",IF(X404="",IF(OR(I404="ILF",I404="EIF",I404="EI",I404="EO",I404="EQ"),0,""),LEN(X404)-LEN(SUBSTITUTE(SUBSTITUTE(SUBSTITUTE(SUBSTITUTE(SUBSTITUTE(X404,"|}","--"),"{|","--"),CHAR(10),""),"、",""),"|",""))+IF(AND(OR(I404="EI",I404="EO",I404="EQ"),$AD$1="NESMA"),2,1)))</f>
        <v/>
      </c>
      <c r="O404" s="84">
        <f>IF(I404="EI",IF(OR(X404="估算法",X404="算法类"),"中",IF(X404="无法识别","低",IF(L404&lt;2,IF(N404&lt;16,"低","中"),IF(L404&lt;3,IF(N404&lt;5,"低",IF(N404&lt;16,"中","高")),IF(N404&lt;5,"中","高"))))),IF(OR(I404="EO",I404="EQ"),IF(OR(X404="估算法",X404="算法类"),"中",IF(X404="无法识别","低",IF(L404&lt;2,IF(N404&lt;20,"低","中"),IF(L404&lt;4,IF(N404&lt;6,"低",IF(N404&lt;20,"中","高")),IF(N404&lt;6,"中","高"))))),IF(OR(I404="ILF",I404="EIF"),IF(OR(X404="估算法",X404="算法类",X404="无法识别"),"低",IF(M404&lt;2,IF(N404&lt;51,"低","中"),IF(M404&lt;6,IF(N404&lt;20,"低",IF(N404&lt;51,"中","高")),IF(N404&lt;20,"中","高")))),"不计算")))</f>
        <v/>
      </c>
      <c r="P404" s="142">
        <f>IFERROR(IF(I404="EI",IF(O404="低",3,IF(O404="中",4,6)),IF(I404="EO",IF(O404="低",4,IF(O404="中",5,7)),IF(I404="EQ",IF(O404="低",3,IF(O404="中",4,6)),IF(I404="ILF",IF(O404="低",7,IF(O404="中",10,15)),IF(I404="EIF",IF(O404="低",5,IF(O404="中",7,10)),"不计算")))))*Q404,"不计算")</f>
        <v/>
      </c>
      <c r="Q404" s="142" t="n">
        <v>1</v>
      </c>
      <c r="R404" s="143">
        <f>调整因子!$F$13</f>
        <v/>
      </c>
      <c r="S404" s="76" t="n">
        <v>1</v>
      </c>
      <c r="T404" s="144">
        <f>IFERROR(P404*R404,0)</f>
        <v/>
      </c>
      <c r="U404" s="144">
        <f>T404*S404</f>
        <v/>
      </c>
      <c r="V404" s="76" t="inlineStr">
        <is>
          <t>漏洞信息详情表、归属手动设定表</t>
        </is>
      </c>
      <c r="W404" s="81" t="n"/>
      <c r="X404" s="76" t="inlineStr">
        <is>
          <t>漏洞信息详情表{漏洞id、归属人、归属业务系统、归属科室、漏洞描述、漏洞详情、CVE编号、创建时间、更新时间、更新人、更新方式}
归属手动设定表{主键 id 、漏洞 id 、原归属信息、修改后归属信息、修改时间、修改人、确认提交状态 （如已提交、未提交等}</t>
        </is>
      </c>
      <c r="Y404" s="88" t="n"/>
      <c r="Z404" s="88" t="n"/>
      <c r="AA404" s="96" t="inlineStr">
        <is>
          <t>任务优先级配置表、扫描策略模板表</t>
        </is>
      </c>
    </row>
    <row r="405" hidden="1" ht="21.6" customHeight="1">
      <c r="A405" s="69">
        <f>ROW()-1</f>
        <v/>
      </c>
      <c r="B405" s="53" t="n"/>
      <c r="C405" s="78" t="n">
        <v>2025</v>
      </c>
      <c r="D405" s="78" t="inlineStr">
        <is>
          <t>窦鹏岐</t>
        </is>
      </c>
      <c r="E405" s="53" t="n"/>
      <c r="F405" s="53" t="n"/>
      <c r="G405" s="79" t="inlineStr">
        <is>
          <t>归属统计分析</t>
        </is>
      </c>
      <c r="H405" s="80" t="inlineStr">
        <is>
          <t>业务系统风险统计</t>
        </is>
      </c>
      <c r="I405" s="76" t="inlineStr">
        <is>
          <t>EO</t>
        </is>
      </c>
      <c r="J405" s="108" t="n"/>
      <c r="K405" s="108" t="n"/>
      <c r="L405" s="83">
        <f>IF(OR(X405="估算法",X405="算法类",X405="无法识别"),"",IF(V405="",IF(OR(I405="EI",I405="EO",I405="EQ"),0,""),LEN(V405)-LEN(SUBSTITUTE(V405,"、",""))+1))</f>
        <v/>
      </c>
      <c r="M405" s="83">
        <f>IF(OR(X405="估算法",X405="算法类",X405="无法识别"),"",IF(W405="",IF(OR(I405="ILF",I405="EIF"),0,""),LEN(W405)-LEN(SUBSTITUTE(W405,"、",""))+1))</f>
        <v/>
      </c>
      <c r="N405" s="83">
        <f>IF(OR(X405="估算法",X405="算法类",X405="无法识别"),"",IF(X405="",IF(OR(I405="ILF",I405="EIF",I405="EI",I405="EO",I405="EQ"),0,""),LEN(X405)-LEN(SUBSTITUTE(SUBSTITUTE(SUBSTITUTE(SUBSTITUTE(SUBSTITUTE(X405,"|}","--"),"{|","--"),CHAR(10),""),"、",""),"|",""))+IF(AND(OR(I405="EI",I405="EO",I405="EQ"),$AD$1="NESMA"),2,1)))</f>
        <v/>
      </c>
      <c r="O405" s="84">
        <f>IF(I405="EI",IF(OR(X405="估算法",X405="算法类"),"中",IF(X405="无法识别","低",IF(L405&lt;2,IF(N405&lt;16,"低","中"),IF(L405&lt;3,IF(N405&lt;5,"低",IF(N405&lt;16,"中","高")),IF(N405&lt;5,"中","高"))))),IF(OR(I405="EO",I405="EQ"),IF(OR(X405="估算法",X405="算法类"),"中",IF(X405="无法识别","低",IF(L405&lt;2,IF(N405&lt;20,"低","中"),IF(L405&lt;4,IF(N405&lt;6,"低",IF(N405&lt;20,"中","高")),IF(N405&lt;6,"中","高"))))),IF(OR(I405="ILF",I405="EIF"),IF(OR(X405="估算法",X405="算法类",X405="无法识别"),"低",IF(M405&lt;2,IF(N405&lt;51,"低","中"),IF(M405&lt;6,IF(N405&lt;20,"低",IF(N405&lt;51,"中","高")),IF(N405&lt;20,"中","高")))),"不计算")))</f>
        <v/>
      </c>
      <c r="P405" s="142">
        <f>IFERROR(IF(I405="EI",IF(O405="低",3,IF(O405="中",4,6)),IF(I405="EO",IF(O405="低",4,IF(O405="中",5,7)),IF(I405="EQ",IF(O405="低",3,IF(O405="中",4,6)),IF(I405="ILF",IF(O405="低",7,IF(O405="中",10,15)),IF(I405="EIF",IF(O405="低",5,IF(O405="中",7,10)),"不计算")))))*Q405,"不计算")</f>
        <v/>
      </c>
      <c r="Q405" s="142" t="n">
        <v>1</v>
      </c>
      <c r="R405" s="143">
        <f>调整因子!$F$13</f>
        <v/>
      </c>
      <c r="S405" s="70" t="n">
        <v>1</v>
      </c>
      <c r="T405" s="144">
        <f>IFERROR(P405*R405,0)</f>
        <v/>
      </c>
      <c r="U405" s="144">
        <f>T405*S405</f>
        <v/>
      </c>
      <c r="V405" s="79" t="inlineStr">
        <is>
          <t>业务系统风险统计表</t>
        </is>
      </c>
      <c r="W405" s="81" t="n"/>
      <c r="X405" s="76" t="inlineStr">
        <is>
          <t>业务系统风险统计表{主键 id 、业务系统名称、高风险漏洞数量、中风险漏洞数量、低风险漏洞数量、统计时间}</t>
        </is>
      </c>
      <c r="Y405" s="88" t="n"/>
      <c r="Z405" s="88" t="n"/>
      <c r="AA405" s="96" t="inlineStr">
        <is>
          <t>扫描策略模板表</t>
        </is>
      </c>
    </row>
    <row r="406" hidden="1" ht="21.6" customHeight="1">
      <c r="A406" s="69">
        <f>ROW()-1</f>
        <v/>
      </c>
      <c r="B406" s="53" t="n"/>
      <c r="C406" s="78" t="n">
        <v>2025</v>
      </c>
      <c r="D406" s="78" t="inlineStr">
        <is>
          <t>窦鹏岐</t>
        </is>
      </c>
      <c r="E406" s="53" t="n"/>
      <c r="F406" s="53" t="n"/>
      <c r="G406" s="53" t="n"/>
      <c r="H406" s="80" t="inlineStr">
        <is>
          <t>内外网分类统计</t>
        </is>
      </c>
      <c r="I406" s="76" t="inlineStr">
        <is>
          <t>EO</t>
        </is>
      </c>
      <c r="J406" s="108" t="n"/>
      <c r="K406" s="108" t="inlineStr">
        <is>
          <t>需明确在不同界面，否则存在复用</t>
        </is>
      </c>
      <c r="L406" s="83">
        <f>IF(OR(X406="估算法",X406="算法类",X406="无法识别"),"",IF(V406="",IF(OR(I406="EI",I406="EO",I406="EQ"),0,""),LEN(V406)-LEN(SUBSTITUTE(V406,"、",""))+1))</f>
        <v/>
      </c>
      <c r="M406" s="83">
        <f>IF(OR(X406="估算法",X406="算法类",X406="无法识别"),"",IF(W406="",IF(OR(I406="ILF",I406="EIF"),0,""),LEN(W406)-LEN(SUBSTITUTE(W406,"、",""))+1))</f>
        <v/>
      </c>
      <c r="N406" s="83">
        <f>IF(OR(X406="估算法",X406="算法类",X406="无法识别"),"",IF(X406="",IF(OR(I406="ILF",I406="EIF",I406="EI",I406="EO",I406="EQ"),0,""),LEN(X406)-LEN(SUBSTITUTE(SUBSTITUTE(SUBSTITUTE(SUBSTITUTE(SUBSTITUTE(X406,"|}","--"),"{|","--"),CHAR(10),""),"、",""),"|",""))+IF(AND(OR(I406="EI",I406="EO",I406="EQ"),$AD$1="NESMA"),2,1)))</f>
        <v/>
      </c>
      <c r="O406" s="84">
        <f>IF(I406="EI",IF(OR(X406="估算法",X406="算法类"),"中",IF(X406="无法识别","低",IF(L406&lt;2,IF(N406&lt;16,"低","中"),IF(L406&lt;3,IF(N406&lt;5,"低",IF(N406&lt;16,"中","高")),IF(N406&lt;5,"中","高"))))),IF(OR(I406="EO",I406="EQ"),IF(OR(X406="估算法",X406="算法类"),"中",IF(X406="无法识别","低",IF(L406&lt;2,IF(N406&lt;20,"低","中"),IF(L406&lt;4,IF(N406&lt;6,"低",IF(N406&lt;20,"中","高")),IF(N406&lt;6,"中","高"))))),IF(OR(I406="ILF",I406="EIF"),IF(OR(X406="估算法",X406="算法类",X406="无法识别"),"低",IF(M406&lt;2,IF(N406&lt;51,"低","中"),IF(M406&lt;6,IF(N406&lt;20,"低",IF(N406&lt;51,"中","高")),IF(N406&lt;20,"中","高")))),"不计算")))</f>
        <v/>
      </c>
      <c r="P406" s="142">
        <f>IFERROR(IF(I406="EI",IF(O406="低",3,IF(O406="中",4,6)),IF(I406="EO",IF(O406="低",4,IF(O406="中",5,7)),IF(I406="EQ",IF(O406="低",3,IF(O406="中",4,6)),IF(I406="ILF",IF(O406="低",7,IF(O406="中",10,15)),IF(I406="EIF",IF(O406="低",5,IF(O406="中",7,10)),"不计算")))))*Q406,"不计算")</f>
        <v/>
      </c>
      <c r="Q406" s="142" t="n">
        <v>0.666666666666667</v>
      </c>
      <c r="R406" s="143">
        <f>调整因子!$F$13</f>
        <v/>
      </c>
      <c r="S406" s="70" t="n">
        <v>1</v>
      </c>
      <c r="T406" s="144">
        <f>IFERROR(P406*R406,0)</f>
        <v/>
      </c>
      <c r="U406" s="144">
        <f>T406*S406</f>
        <v/>
      </c>
      <c r="V406" s="79" t="inlineStr">
        <is>
          <t>内外网分类统计表</t>
        </is>
      </c>
      <c r="W406" s="81" t="n"/>
      <c r="X406" s="76" t="inlineStr">
        <is>
          <t>内外网分类统计表{主键 id 、业务系统名称、内外网标识 （内网/外网）、高风险漏洞数量、中风险漏洞数量、低风险漏洞数量、统计时间}</t>
        </is>
      </c>
      <c r="Y406" s="88" t="n"/>
      <c r="Z406" s="88" t="n"/>
      <c r="AA406" s="96" t="inlineStr">
        <is>
          <t>扫描策略模板表、提醒策略配置表</t>
        </is>
      </c>
    </row>
    <row r="407" hidden="1" ht="21.6" customHeight="1">
      <c r="A407" s="69">
        <f>ROW()-1</f>
        <v/>
      </c>
      <c r="B407" s="53" t="n"/>
      <c r="C407" s="78" t="n">
        <v>2025</v>
      </c>
      <c r="D407" s="78" t="inlineStr">
        <is>
          <t>窦鹏岐</t>
        </is>
      </c>
      <c r="E407" s="53" t="n"/>
      <c r="F407" s="53" t="n"/>
      <c r="G407" s="53" t="n"/>
      <c r="H407" s="80" t="inlineStr">
        <is>
          <t>组织机构分析</t>
        </is>
      </c>
      <c r="I407" s="76" t="inlineStr">
        <is>
          <t>EO</t>
        </is>
      </c>
      <c r="J407" s="108" t="n"/>
      <c r="K407" s="108" t="inlineStr">
        <is>
          <t>需明确在不同界面，否则存在复用</t>
        </is>
      </c>
      <c r="L407" s="83">
        <f>IF(OR(X407="估算法",X407="算法类",X407="无法识别"),"",IF(V407="",IF(OR(I407="EI",I407="EO",I407="EQ"),0,""),LEN(V407)-LEN(SUBSTITUTE(V407,"、",""))+1))</f>
        <v/>
      </c>
      <c r="M407" s="83">
        <f>IF(OR(X407="估算法",X407="算法类",X407="无法识别"),"",IF(W407="",IF(OR(I407="ILF",I407="EIF"),0,""),LEN(W407)-LEN(SUBSTITUTE(W407,"、",""))+1))</f>
        <v/>
      </c>
      <c r="N407" s="83">
        <f>IF(OR(X407="估算法",X407="算法类",X407="无法识别"),"",IF(X407="",IF(OR(I407="ILF",I407="EIF",I407="EI",I407="EO",I407="EQ"),0,""),LEN(X407)-LEN(SUBSTITUTE(SUBSTITUTE(SUBSTITUTE(SUBSTITUTE(SUBSTITUTE(X407,"|}","--"),"{|","--"),CHAR(10),""),"、",""),"|",""))+IF(AND(OR(I407="EI",I407="EO",I407="EQ"),$AD$1="NESMA"),2,1)))</f>
        <v/>
      </c>
      <c r="O407" s="84">
        <f>IF(I407="EI",IF(OR(X407="估算法",X407="算法类"),"中",IF(X407="无法识别","低",IF(L407&lt;2,IF(N407&lt;16,"低","中"),IF(L407&lt;3,IF(N407&lt;5,"低",IF(N407&lt;16,"中","高")),IF(N407&lt;5,"中","高"))))),IF(OR(I407="EO",I407="EQ"),IF(OR(X407="估算法",X407="算法类"),"中",IF(X407="无法识别","低",IF(L407&lt;2,IF(N407&lt;20,"低","中"),IF(L407&lt;4,IF(N407&lt;6,"低",IF(N407&lt;20,"中","高")),IF(N407&lt;6,"中","高"))))),IF(OR(I407="ILF",I407="EIF"),IF(OR(X407="估算法",X407="算法类",X407="无法识别"),"低",IF(M407&lt;2,IF(N407&lt;51,"低","中"),IF(M407&lt;6,IF(N407&lt;20,"低",IF(N407&lt;51,"中","高")),IF(N407&lt;20,"中","高")))),"不计算")))</f>
        <v/>
      </c>
      <c r="P407" s="142">
        <f>IFERROR(IF(I407="EI",IF(O407="低",3,IF(O407="中",4,6)),IF(I407="EO",IF(O407="低",4,IF(O407="中",5,7)),IF(I407="EQ",IF(O407="低",3,IF(O407="中",4,6)),IF(I407="ILF",IF(O407="低",7,IF(O407="中",10,15)),IF(I407="EIF",IF(O407="低",5,IF(O407="中",7,10)),"不计算")))))*Q407,"不计算")</f>
        <v/>
      </c>
      <c r="Q407" s="142" t="n">
        <v>0.666666666666667</v>
      </c>
      <c r="R407" s="143">
        <f>调整因子!$F$13</f>
        <v/>
      </c>
      <c r="S407" s="76" t="n">
        <v>1</v>
      </c>
      <c r="T407" s="144">
        <f>IFERROR(P407*R407,0)</f>
        <v/>
      </c>
      <c r="U407" s="144">
        <f>T407*S407</f>
        <v/>
      </c>
      <c r="V407" s="79" t="inlineStr">
        <is>
          <t>组织机构分析表</t>
        </is>
      </c>
      <c r="W407" s="81" t="n"/>
      <c r="X407" s="76" t="inlineStr">
        <is>
          <t>组织机构分析表{主键 id 、组织机构名称、关联业务系统数量、高风险漏洞总数、中风险漏洞总数、低风险漏洞总数}</t>
        </is>
      </c>
      <c r="Y407" s="88" t="n"/>
      <c r="Z407" s="88" t="n"/>
      <c r="AA407" s="96" t="inlineStr">
        <is>
          <t>扫描策略模板表</t>
        </is>
      </c>
    </row>
    <row r="408" hidden="1" ht="21.6" customHeight="1">
      <c r="A408" s="69">
        <f>ROW()-1</f>
        <v/>
      </c>
      <c r="B408" s="53" t="n"/>
      <c r="C408" s="78" t="n">
        <v>2025</v>
      </c>
      <c r="D408" s="78" t="inlineStr">
        <is>
          <t>窦鹏岐</t>
        </is>
      </c>
      <c r="E408" s="53" t="n"/>
      <c r="F408" s="53" t="n"/>
      <c r="G408" s="53" t="n"/>
      <c r="H408" s="80" t="inlineStr">
        <is>
          <t>统计报表生成</t>
        </is>
      </c>
      <c r="I408" s="76" t="inlineStr">
        <is>
          <t>EO</t>
        </is>
      </c>
      <c r="J408" s="108" t="n"/>
      <c r="K408" s="108" t="inlineStr">
        <is>
          <t>需明确在不同界面，否则存在复用</t>
        </is>
      </c>
      <c r="L408" s="83">
        <f>IF(OR(X408="估算法",X408="算法类",X408="无法识别"),"",IF(V408="",IF(OR(I408="EI",I408="EO",I408="EQ"),0,""),LEN(V408)-LEN(SUBSTITUTE(V408,"、",""))+1))</f>
        <v/>
      </c>
      <c r="M408" s="83">
        <f>IF(OR(X408="估算法",X408="算法类",X408="无法识别"),"",IF(W408="",IF(OR(I408="ILF",I408="EIF"),0,""),LEN(W408)-LEN(SUBSTITUTE(W408,"、",""))+1))</f>
        <v/>
      </c>
      <c r="N408" s="83">
        <f>IF(OR(X408="估算法",X408="算法类",X408="无法识别"),"",IF(X408="",IF(OR(I408="ILF",I408="EIF",I408="EI",I408="EO",I408="EQ"),0,""),LEN(X408)-LEN(SUBSTITUTE(SUBSTITUTE(SUBSTITUTE(SUBSTITUTE(SUBSTITUTE(X408,"|}","--"),"{|","--"),CHAR(10),""),"、",""),"|",""))+IF(AND(OR(I408="EI",I408="EO",I408="EQ"),$AD$1="NESMA"),2,1)))</f>
        <v/>
      </c>
      <c r="O408" s="84">
        <f>IF(I408="EI",IF(OR(X408="估算法",X408="算法类"),"中",IF(X408="无法识别","低",IF(L408&lt;2,IF(N408&lt;16,"低","中"),IF(L408&lt;3,IF(N408&lt;5,"低",IF(N408&lt;16,"中","高")),IF(N408&lt;5,"中","高"))))),IF(OR(I408="EO",I408="EQ"),IF(OR(X408="估算法",X408="算法类"),"中",IF(X408="无法识别","低",IF(L408&lt;2,IF(N408&lt;20,"低","中"),IF(L408&lt;4,IF(N408&lt;6,"低",IF(N408&lt;20,"中","高")),IF(N408&lt;6,"中","高"))))),IF(OR(I408="ILF",I408="EIF"),IF(OR(X408="估算法",X408="算法类",X408="无法识别"),"低",IF(M408&lt;2,IF(N408&lt;51,"低","中"),IF(M408&lt;6,IF(N408&lt;20,"低",IF(N408&lt;51,"中","高")),IF(N408&lt;20,"中","高")))),"不计算")))</f>
        <v/>
      </c>
      <c r="P408" s="142">
        <f>IFERROR(IF(I408="EI",IF(O408="低",3,IF(O408="中",4,6)),IF(I408="EO",IF(O408="低",4,IF(O408="中",5,7)),IF(I408="EQ",IF(O408="低",3,IF(O408="中",4,6)),IF(I408="ILF",IF(O408="低",7,IF(O408="中",10,15)),IF(I408="EIF",IF(O408="低",5,IF(O408="中",7,10)),"不计算")))))*Q408,"不计算")</f>
        <v/>
      </c>
      <c r="Q408" s="142" t="n">
        <v>0.666666666666667</v>
      </c>
      <c r="R408" s="143">
        <f>调整因子!$F$13</f>
        <v/>
      </c>
      <c r="S408" s="70" t="n">
        <v>1</v>
      </c>
      <c r="T408" s="144">
        <f>IFERROR(P408*R408,0)</f>
        <v/>
      </c>
      <c r="U408" s="144">
        <f>T408*S408</f>
        <v/>
      </c>
      <c r="V408" s="79" t="inlineStr">
        <is>
          <t>业务系统风险统计表</t>
        </is>
      </c>
      <c r="W408" s="81" t="n"/>
      <c r="X408" s="76" t="inlineStr">
        <is>
          <t>业务系统风险统计表{主键 id 、业务系统名称、高风险漏洞数量、中风险漏洞数量、低风险漏洞数量、统计时间}</t>
        </is>
      </c>
      <c r="Y408" s="88" t="n"/>
      <c r="Z408" s="88" t="n"/>
      <c r="AA408" s="96" t="inlineStr">
        <is>
          <t>任务优先级配置表、模板参数配置表</t>
        </is>
      </c>
    </row>
    <row r="409" hidden="1" ht="21.6" customHeight="1">
      <c r="A409" s="69">
        <f>ROW()-1</f>
        <v/>
      </c>
      <c r="B409" s="53" t="n"/>
      <c r="C409" s="78" t="n">
        <v>2025</v>
      </c>
      <c r="D409" s="78" t="inlineStr">
        <is>
          <t>窦鹏岐</t>
        </is>
      </c>
      <c r="E409" s="53" t="n"/>
      <c r="F409" s="53" t="n"/>
      <c r="G409" s="53" t="n"/>
      <c r="H409" s="80" t="inlineStr">
        <is>
          <t>责任人统计分析</t>
        </is>
      </c>
      <c r="I409" s="76" t="inlineStr">
        <is>
          <t>EO</t>
        </is>
      </c>
      <c r="J409" s="108" t="n"/>
      <c r="K409" s="108" t="inlineStr">
        <is>
          <t>需明确在不同界面，否则存在复用</t>
        </is>
      </c>
      <c r="L409" s="83">
        <f>IF(OR(X409="估算法",X409="算法类",X409="无法识别"),"",IF(V409="",IF(OR(I409="EI",I409="EO",I409="EQ"),0,""),LEN(V409)-LEN(SUBSTITUTE(V409,"、",""))+1))</f>
        <v/>
      </c>
      <c r="M409" s="83">
        <f>IF(OR(X409="估算法",X409="算法类",X409="无法识别"),"",IF(W409="",IF(OR(I409="ILF",I409="EIF"),0,""),LEN(W409)-LEN(SUBSTITUTE(W409,"、",""))+1))</f>
        <v/>
      </c>
      <c r="N409" s="83">
        <f>IF(OR(X409="估算法",X409="算法类",X409="无法识别"),"",IF(X409="",IF(OR(I409="ILF",I409="EIF",I409="EI",I409="EO",I409="EQ"),0,""),LEN(X409)-LEN(SUBSTITUTE(SUBSTITUTE(SUBSTITUTE(SUBSTITUTE(SUBSTITUTE(X409,"|}","--"),"{|","--"),CHAR(10),""),"、",""),"|",""))+IF(AND(OR(I409="EI",I409="EO",I409="EQ"),$AD$1="NESMA"),2,1)))</f>
        <v/>
      </c>
      <c r="O409" s="84">
        <f>IF(I409="EI",IF(OR(X409="估算法",X409="算法类"),"中",IF(X409="无法识别","低",IF(L409&lt;2,IF(N409&lt;16,"低","中"),IF(L409&lt;3,IF(N409&lt;5,"低",IF(N409&lt;16,"中","高")),IF(N409&lt;5,"中","高"))))),IF(OR(I409="EO",I409="EQ"),IF(OR(X409="估算法",X409="算法类"),"中",IF(X409="无法识别","低",IF(L409&lt;2,IF(N409&lt;20,"低","中"),IF(L409&lt;4,IF(N409&lt;6,"低",IF(N409&lt;20,"中","高")),IF(N409&lt;6,"中","高"))))),IF(OR(I409="ILF",I409="EIF"),IF(OR(X409="估算法",X409="算法类",X409="无法识别"),"低",IF(M409&lt;2,IF(N409&lt;51,"低","中"),IF(M409&lt;6,IF(N409&lt;20,"低",IF(N409&lt;51,"中","高")),IF(N409&lt;20,"中","高")))),"不计算")))</f>
        <v/>
      </c>
      <c r="P409" s="142">
        <f>IFERROR(IF(I409="EI",IF(O409="低",3,IF(O409="中",4,6)),IF(I409="EO",IF(O409="低",4,IF(O409="中",5,7)),IF(I409="EQ",IF(O409="低",3,IF(O409="中",4,6)),IF(I409="ILF",IF(O409="低",7,IF(O409="中",10,15)),IF(I409="EIF",IF(O409="低",5,IF(O409="中",7,10)),"不计算")))))*Q409,"不计算")</f>
        <v/>
      </c>
      <c r="Q409" s="142" t="n">
        <v>0.666666666666667</v>
      </c>
      <c r="R409" s="143">
        <f>调整因子!$F$13</f>
        <v/>
      </c>
      <c r="S409" s="70" t="n">
        <v>1</v>
      </c>
      <c r="T409" s="144">
        <f>IFERROR(P409*R409,0)</f>
        <v/>
      </c>
      <c r="U409" s="144">
        <f>T409*S409</f>
        <v/>
      </c>
      <c r="V409" s="79" t="inlineStr">
        <is>
          <t>责任人统计分析表</t>
        </is>
      </c>
      <c r="W409" s="81" t="n"/>
      <c r="X409" s="76" t="inlineStr">
        <is>
          <t>责任人统计分析表{主键 id 、责任人名称、负责业务系统数量、关联高风险漏洞数量、关联中风险漏洞数量、关联低风险漏洞数量、统计时间}</t>
        </is>
      </c>
      <c r="Y409" s="88" t="n"/>
      <c r="Z409" s="88" t="n"/>
      <c r="AA409" s="96" t="inlineStr">
        <is>
          <t>数据清洗任务表、资产同步任务表</t>
        </is>
      </c>
    </row>
    <row r="410" hidden="1" ht="21.6" customHeight="1">
      <c r="A410" s="69">
        <f>ROW()-1</f>
        <v/>
      </c>
      <c r="B410" s="53" t="n"/>
      <c r="C410" s="78" t="n">
        <v>2025</v>
      </c>
      <c r="D410" s="78" t="inlineStr">
        <is>
          <t>窦鹏岐</t>
        </is>
      </c>
      <c r="E410" s="53" t="n"/>
      <c r="F410" s="53" t="n"/>
      <c r="G410" s="53" t="n"/>
      <c r="H410" s="80" t="inlineStr">
        <is>
          <t>风险分布图</t>
        </is>
      </c>
      <c r="I410" s="76" t="n"/>
      <c r="J410" s="108" t="n"/>
      <c r="K410" s="108" t="inlineStr">
        <is>
          <t>和统计合并</t>
        </is>
      </c>
      <c r="L410" s="83">
        <f>IF(OR(X410="估算法",X410="算法类",X410="无法识别"),"",IF(V410="",IF(OR(I410="EI",I410="EO",I410="EQ"),0,""),LEN(V410)-LEN(SUBSTITUTE(V410,"、",""))+1))</f>
        <v/>
      </c>
      <c r="M410" s="83">
        <f>IF(OR(X410="估算法",X410="算法类",X410="无法识别"),"",IF(W410="",IF(OR(I410="ILF",I410="EIF"),0,""),LEN(W410)-LEN(SUBSTITUTE(W410,"、",""))+1))</f>
        <v/>
      </c>
      <c r="N410" s="83">
        <f>IF(OR(X410="估算法",X410="算法类",X410="无法识别"),"",IF(X410="",IF(OR(I410="ILF",I410="EIF",I410="EI",I410="EO",I410="EQ"),0,""),LEN(X410)-LEN(SUBSTITUTE(SUBSTITUTE(SUBSTITUTE(SUBSTITUTE(SUBSTITUTE(X410,"|}","--"),"{|","--"),CHAR(10),""),"、",""),"|",""))+IF(AND(OR(I410="EI",I410="EO",I410="EQ"),$AD$1="NESMA"),2,1)))</f>
        <v/>
      </c>
      <c r="O410" s="84">
        <f>IF(I410="EI",IF(OR(X410="估算法",X410="算法类"),"中",IF(X410="无法识别","低",IF(L410&lt;2,IF(N410&lt;16,"低","中"),IF(L410&lt;3,IF(N410&lt;5,"低",IF(N410&lt;16,"中","高")),IF(N410&lt;5,"中","高"))))),IF(OR(I410="EO",I410="EQ"),IF(OR(X410="估算法",X410="算法类"),"中",IF(X410="无法识别","低",IF(L410&lt;2,IF(N410&lt;20,"低","中"),IF(L410&lt;4,IF(N410&lt;6,"低",IF(N410&lt;20,"中","高")),IF(N410&lt;6,"中","高"))))),IF(OR(I410="ILF",I410="EIF"),IF(OR(X410="估算法",X410="算法类",X410="无法识别"),"低",IF(M410&lt;2,IF(N410&lt;51,"低","中"),IF(M410&lt;6,IF(N410&lt;20,"低",IF(N410&lt;51,"中","高")),IF(N410&lt;20,"中","高")))),"不计算")))</f>
        <v/>
      </c>
      <c r="P410" s="142">
        <f>IFERROR(IF(I410="EI",IF(O410="低",3,IF(O410="中",4,6)),IF(I410="EO",IF(O410="低",4,IF(O410="中",5,7)),IF(I410="EQ",IF(O410="低",3,IF(O410="中",4,6)),IF(I410="ILF",IF(O410="低",7,IF(O410="中",10,15)),IF(I410="EIF",IF(O410="低",5,IF(O410="中",7,10)),"不计算")))))*Q410,"不计算")</f>
        <v/>
      </c>
      <c r="Q410" s="142" t="n">
        <v>1</v>
      </c>
      <c r="R410" s="143">
        <f>调整因子!$F$13</f>
        <v/>
      </c>
      <c r="S410" s="76" t="n">
        <v>1</v>
      </c>
      <c r="T410" s="144">
        <f>IFERROR(P410*R410,0)</f>
        <v/>
      </c>
      <c r="U410" s="144">
        <f>T410*S410</f>
        <v/>
      </c>
      <c r="V410" s="79" t="inlineStr">
        <is>
          <t>业务系统风险统计表</t>
        </is>
      </c>
      <c r="W410" s="81" t="n"/>
      <c r="X410" s="76" t="inlineStr">
        <is>
          <t>业务系统风险统计表{主键 id 、业务系统名称、高风险漏洞数量、中风险漏洞数量、低风险漏洞数量、统计时间}</t>
        </is>
      </c>
      <c r="Y410" s="88" t="n"/>
      <c r="Z410" s="88" t="n"/>
      <c r="AA410" s="96" t="inlineStr">
        <is>
          <t>数据清洗任务表</t>
        </is>
      </c>
    </row>
    <row r="411" hidden="1" ht="21.6" customHeight="1">
      <c r="A411" s="69">
        <f>ROW()-1</f>
        <v/>
      </c>
      <c r="B411" s="53" t="n"/>
      <c r="C411" s="78" t="n">
        <v>2025</v>
      </c>
      <c r="D411" s="78" t="inlineStr">
        <is>
          <t>窦鹏岐</t>
        </is>
      </c>
      <c r="E411" s="53" t="n"/>
      <c r="F411" s="53" t="n"/>
      <c r="G411" s="53" t="n"/>
      <c r="H411" s="80" t="inlineStr">
        <is>
          <t>高中低危统计</t>
        </is>
      </c>
      <c r="I411" s="76" t="inlineStr">
        <is>
          <t>EO</t>
        </is>
      </c>
      <c r="J411" s="108" t="n"/>
      <c r="K411" s="108" t="inlineStr">
        <is>
          <t>需明确在不同界面，否则存在复用</t>
        </is>
      </c>
      <c r="L411" s="83">
        <f>IF(OR(X411="估算法",X411="算法类",X411="无法识别"),"",IF(V411="",IF(OR(I411="EI",I411="EO",I411="EQ"),0,""),LEN(V411)-LEN(SUBSTITUTE(V411,"、",""))+1))</f>
        <v/>
      </c>
      <c r="M411" s="83">
        <f>IF(OR(X411="估算法",X411="算法类",X411="无法识别"),"",IF(W411="",IF(OR(I411="ILF",I411="EIF"),0,""),LEN(W411)-LEN(SUBSTITUTE(W411,"、",""))+1))</f>
        <v/>
      </c>
      <c r="N411" s="83">
        <f>IF(OR(X411="估算法",X411="算法类",X411="无法识别"),"",IF(X411="",IF(OR(I411="ILF",I411="EIF",I411="EI",I411="EO",I411="EQ"),0,""),LEN(X411)-LEN(SUBSTITUTE(SUBSTITUTE(SUBSTITUTE(SUBSTITUTE(SUBSTITUTE(X411,"|}","--"),"{|","--"),CHAR(10),""),"、",""),"|",""))+IF(AND(OR(I411="EI",I411="EO",I411="EQ"),$AD$1="NESMA"),2,1)))</f>
        <v/>
      </c>
      <c r="O411" s="84">
        <f>IF(I411="EI",IF(OR(X411="估算法",X411="算法类"),"中",IF(X411="无法识别","低",IF(L411&lt;2,IF(N411&lt;16,"低","中"),IF(L411&lt;3,IF(N411&lt;5,"低",IF(N411&lt;16,"中","高")),IF(N411&lt;5,"中","高"))))),IF(OR(I411="EO",I411="EQ"),IF(OR(X411="估算法",X411="算法类"),"中",IF(X411="无法识别","低",IF(L411&lt;2,IF(N411&lt;20,"低","中"),IF(L411&lt;4,IF(N411&lt;6,"低",IF(N411&lt;20,"中","高")),IF(N411&lt;6,"中","高"))))),IF(OR(I411="ILF",I411="EIF"),IF(OR(X411="估算法",X411="算法类",X411="无法识别"),"低",IF(M411&lt;2,IF(N411&lt;51,"低","中"),IF(M411&lt;6,IF(N411&lt;20,"低",IF(N411&lt;51,"中","高")),IF(N411&lt;20,"中","高")))),"不计算")))</f>
        <v/>
      </c>
      <c r="P411" s="142">
        <f>IFERROR(IF(I411="EI",IF(O411="低",3,IF(O411="中",4,6)),IF(I411="EO",IF(O411="低",4,IF(O411="中",5,7)),IF(I411="EQ",IF(O411="低",3,IF(O411="中",4,6)),IF(I411="ILF",IF(O411="低",7,IF(O411="中",10,15)),IF(I411="EIF",IF(O411="低",5,IF(O411="中",7,10)),"不计算")))))*Q411,"不计算")</f>
        <v/>
      </c>
      <c r="Q411" s="142" t="n">
        <v>0.666666666666667</v>
      </c>
      <c r="R411" s="143">
        <f>调整因子!$F$13</f>
        <v/>
      </c>
      <c r="S411" s="70" t="n">
        <v>1</v>
      </c>
      <c r="T411" s="144">
        <f>IFERROR(P411*R411,0)</f>
        <v/>
      </c>
      <c r="U411" s="144">
        <f>T411*S411</f>
        <v/>
      </c>
      <c r="V411" s="79" t="inlineStr">
        <is>
          <t>高中低危统计表</t>
        </is>
      </c>
      <c r="W411" s="81" t="n"/>
      <c r="X411" s="76" t="inlineStr">
        <is>
          <t>高中低危统计表{主键 id 、统计项名称、统计项类型 （业务系统/组织机构等）、高风险漏洞数量、中风险漏洞数量、低风险漏洞数量、统计时间}</t>
        </is>
      </c>
      <c r="Y411" s="88" t="n"/>
      <c r="Z411" s="88" t="n"/>
      <c r="AA411" s="96" t="inlineStr">
        <is>
          <t>推送对象表、通报配置表</t>
        </is>
      </c>
    </row>
    <row r="412" hidden="1" ht="21.6" customHeight="1">
      <c r="A412" s="69">
        <f>ROW()-1</f>
        <v/>
      </c>
      <c r="B412" s="53" t="n"/>
      <c r="C412" s="78" t="n">
        <v>2025</v>
      </c>
      <c r="D412" s="78" t="inlineStr">
        <is>
          <t>窦鹏岐</t>
        </is>
      </c>
      <c r="E412" s="53" t="n"/>
      <c r="F412" s="53" t="n"/>
      <c r="G412" s="53" t="n"/>
      <c r="H412" s="80" t="inlineStr">
        <is>
          <t>归属规则设定表</t>
        </is>
      </c>
      <c r="I412" s="81" t="inlineStr">
        <is>
          <t>ILF</t>
        </is>
      </c>
      <c r="J412" s="108" t="n"/>
      <c r="K412" s="108" t="n"/>
      <c r="L412" s="83">
        <f>IF(OR(X412="估算法",X412="算法类",X412="无法识别"),"",IF(V412="",IF(OR(I412="EI",I412="EO",I412="EQ"),0,""),LEN(V412)-LEN(SUBSTITUTE(V412,"、",""))+1))</f>
        <v/>
      </c>
      <c r="M412" s="83">
        <f>IF(OR(X412="估算法",X412="算法类",X412="无法识别"),"",IF(W412="",IF(OR(I412="ILF",I412="EIF"),0,""),LEN(W412)-LEN(SUBSTITUTE(W412,"、",""))+1))</f>
        <v/>
      </c>
      <c r="N412" s="83">
        <f>IF(OR(X412="估算法",X412="算法类",X412="无法识别"),"",IF(X412="",IF(OR(I412="ILF",I412="EIF",I412="EI",I412="EO",I412="EQ"),0,""),LEN(X412)-LEN(SUBSTITUTE(SUBSTITUTE(SUBSTITUTE(SUBSTITUTE(SUBSTITUTE(X412,"|}","--"),"{|","--"),CHAR(10),""),"、",""),"|",""))+IF(AND(OR(I412="EI",I412="EO",I412="EQ"),$AD$1="NESMA"),2,1)))</f>
        <v/>
      </c>
      <c r="O412" s="84">
        <f>IF(I412="EI",IF(OR(X412="估算法",X412="算法类"),"中",IF(X412="无法识别","低",IF(L412&lt;2,IF(N412&lt;16,"低","中"),IF(L412&lt;3,IF(N412&lt;5,"低",IF(N412&lt;16,"中","高")),IF(N412&lt;5,"中","高"))))),IF(OR(I412="EO",I412="EQ"),IF(OR(X412="估算法",X412="算法类"),"中",IF(X412="无法识别","低",IF(L412&lt;2,IF(N412&lt;20,"低","中"),IF(L412&lt;4,IF(N412&lt;6,"低",IF(N412&lt;20,"中","高")),IF(N412&lt;6,"中","高"))))),IF(OR(I412="ILF",I412="EIF"),IF(OR(X412="估算法",X412="算法类",X412="无法识别"),"低",IF(M412&lt;2,IF(N412&lt;51,"低","中"),IF(M412&lt;6,IF(N412&lt;20,"低",IF(N412&lt;51,"中","高")),IF(N412&lt;20,"中","高")))),"不计算")))</f>
        <v/>
      </c>
      <c r="P412" s="142">
        <f>IFERROR(IF(I412="EI",IF(O412="低",3,IF(O412="中",4,6)),IF(I412="EO",IF(O412="低",4,IF(O412="中",5,7)),IF(I412="EQ",IF(O412="低",3,IF(O412="中",4,6)),IF(I412="ILF",IF(O412="低",7,IF(O412="中",10,15)),IF(I412="EIF",IF(O412="低",5,IF(O412="中",7,10)),"不计算")))))*Q412,"不计算")</f>
        <v/>
      </c>
      <c r="Q412" s="142" t="n">
        <v>1</v>
      </c>
      <c r="R412" s="143">
        <f>调整因子!$F$13</f>
        <v/>
      </c>
      <c r="S412" s="70" t="n">
        <v>1</v>
      </c>
      <c r="T412" s="144">
        <f>IFERROR(P412*R412,0)</f>
        <v/>
      </c>
      <c r="U412" s="144">
        <f>T412*S412</f>
        <v/>
      </c>
      <c r="V412" s="81" t="n"/>
      <c r="W412" s="79" t="inlineStr">
        <is>
          <t>归属规则设定表</t>
        </is>
      </c>
      <c r="X412" s="76" t="inlineStr">
        <is>
          <t>归属规则设定表{主键 id 、规则名称、规则描述、规则条件、规则状态 （如启用、禁用等）、创建时间、更新时间}</t>
        </is>
      </c>
      <c r="Y412" s="88">
        <f>IF(COUNTIFS(V:V,"*"&amp;H412&amp;"*")&gt;0,"存在","不存在")</f>
        <v/>
      </c>
      <c r="Z412" s="88">
        <f>IF(COUNTIFS(AA:AA,"*"&amp;H412&amp;"*")&gt;0,"存在","不存在")</f>
        <v/>
      </c>
      <c r="AA412" s="96" t="inlineStr">
        <is>
          <t>指标阈值表、同步失败重试记录表</t>
        </is>
      </c>
    </row>
    <row r="413" hidden="1">
      <c r="A413" s="69">
        <f>ROW()-1</f>
        <v/>
      </c>
      <c r="B413" s="53" t="n"/>
      <c r="C413" s="78" t="n">
        <v>2025</v>
      </c>
      <c r="D413" s="78" t="inlineStr">
        <is>
          <t>窦鹏岐</t>
        </is>
      </c>
      <c r="E413" s="53" t="n"/>
      <c r="F413" s="53" t="n"/>
      <c r="G413" s="53" t="n"/>
      <c r="H413" s="80" t="inlineStr">
        <is>
          <t>自动归属判定表</t>
        </is>
      </c>
      <c r="I413" s="81" t="inlineStr">
        <is>
          <t>ILF</t>
        </is>
      </c>
      <c r="J413" s="108" t="n"/>
      <c r="K413" s="108" t="n"/>
      <c r="L413" s="83">
        <f>IF(OR(X413="估算法",X413="算法类",X413="无法识别"),"",IF(V413="",IF(OR(I413="EI",I413="EO",I413="EQ"),0,""),LEN(V413)-LEN(SUBSTITUTE(V413,"、",""))+1))</f>
        <v/>
      </c>
      <c r="M413" s="83">
        <f>IF(OR(X413="估算法",X413="算法类",X413="无法识别"),"",IF(W413="",IF(OR(I413="ILF",I413="EIF"),0,""),LEN(W413)-LEN(SUBSTITUTE(W413,"、",""))+1))</f>
        <v/>
      </c>
      <c r="N413" s="83">
        <f>IF(OR(X413="估算法",X413="算法类",X413="无法识别"),"",IF(X413="",IF(OR(I413="ILF",I413="EIF",I413="EI",I413="EO",I413="EQ"),0,""),LEN(X413)-LEN(SUBSTITUTE(SUBSTITUTE(SUBSTITUTE(SUBSTITUTE(SUBSTITUTE(X413,"|}","--"),"{|","--"),CHAR(10),""),"、",""),"|",""))+IF(AND(OR(I413="EI",I413="EO",I413="EQ"),$AD$1="NESMA"),2,1)))</f>
        <v/>
      </c>
      <c r="O413" s="84">
        <f>IF(I413="EI",IF(OR(X413="估算法",X413="算法类"),"中",IF(X413="无法识别","低",IF(L413&lt;2,IF(N413&lt;16,"低","中"),IF(L413&lt;3,IF(N413&lt;5,"低",IF(N413&lt;16,"中","高")),IF(N413&lt;5,"中","高"))))),IF(OR(I413="EO",I413="EQ"),IF(OR(X413="估算法",X413="算法类"),"中",IF(X413="无法识别","低",IF(L413&lt;2,IF(N413&lt;20,"低","中"),IF(L413&lt;4,IF(N413&lt;6,"低",IF(N413&lt;20,"中","高")),IF(N413&lt;6,"中","高"))))),IF(OR(I413="ILF",I413="EIF"),IF(OR(X413="估算法",X413="算法类",X413="无法识别"),"低",IF(M413&lt;2,IF(N413&lt;51,"低","中"),IF(M413&lt;6,IF(N413&lt;20,"低",IF(N413&lt;51,"中","高")),IF(N413&lt;20,"中","高")))),"不计算")))</f>
        <v/>
      </c>
      <c r="P413" s="142">
        <f>IFERROR(IF(I413="EI",IF(O413="低",3,IF(O413="中",4,6)),IF(I413="EO",IF(O413="低",4,IF(O413="中",5,7)),IF(I413="EQ",IF(O413="低",3,IF(O413="中",4,6)),IF(I413="ILF",IF(O413="低",7,IF(O413="中",10,15)),IF(I413="EIF",IF(O413="低",5,IF(O413="中",7,10)),"不计算")))))*Q413,"不计算")</f>
        <v/>
      </c>
      <c r="Q413" s="142" t="n">
        <v>1</v>
      </c>
      <c r="R413" s="143">
        <f>调整因子!$F$13</f>
        <v/>
      </c>
      <c r="S413" s="76" t="n">
        <v>1</v>
      </c>
      <c r="T413" s="144">
        <f>IFERROR(P413*R413,0)</f>
        <v/>
      </c>
      <c r="U413" s="144">
        <f>T413*S413</f>
        <v/>
      </c>
      <c r="V413" s="81" t="n"/>
      <c r="W413" s="76" t="inlineStr">
        <is>
          <t>自动归属判定表</t>
        </is>
      </c>
      <c r="X413" s="76" t="inlineStr">
        <is>
          <t>自动归属判定表{主键 id 、漏洞 id 、归属判定结果、判定时间}</t>
        </is>
      </c>
      <c r="Y413" s="88">
        <f>IF(COUNTIFS(V:V,"*"&amp;H413&amp;"*")&gt;0,"存在","不存在")</f>
        <v/>
      </c>
      <c r="Z413" s="88">
        <f>IF(COUNTIFS(AA:AA,"*"&amp;H413&amp;"*")&gt;0,"存在","不存在")</f>
        <v/>
      </c>
      <c r="AA413" s="96" t="inlineStr">
        <is>
          <t>推送规则表、考核指标配置表</t>
        </is>
      </c>
    </row>
    <row r="414" hidden="1" ht="21.6" customHeight="1">
      <c r="A414" s="69">
        <f>ROW()-1</f>
        <v/>
      </c>
      <c r="B414" s="53" t="n"/>
      <c r="C414" s="78" t="n">
        <v>2025</v>
      </c>
      <c r="D414" s="78" t="inlineStr">
        <is>
          <t>窦鹏岐</t>
        </is>
      </c>
      <c r="E414" s="53" t="n"/>
      <c r="F414" s="53" t="n"/>
      <c r="G414" s="53" t="n"/>
      <c r="H414" s="81" t="inlineStr">
        <is>
          <t>漏洞信息详情表</t>
        </is>
      </c>
      <c r="I414" s="81" t="inlineStr">
        <is>
          <t>ILF</t>
        </is>
      </c>
      <c r="J414" s="108" t="n"/>
      <c r="K414" s="108" t="n"/>
      <c r="L414" s="83">
        <f>IF(OR(X414="估算法",X414="算法类",X414="无法识别"),"",IF(V414="",IF(OR(I414="EI",I414="EO",I414="EQ"),0,""),LEN(V414)-LEN(SUBSTITUTE(V414,"、",""))+1))</f>
        <v/>
      </c>
      <c r="M414" s="83">
        <f>IF(OR(X414="估算法",X414="算法类",X414="无法识别"),"",IF(W414="",IF(OR(I414="ILF",I414="EIF"),0,""),LEN(W414)-LEN(SUBSTITUTE(W414,"、",""))+1))</f>
        <v/>
      </c>
      <c r="N414" s="83">
        <f>IF(OR(X414="估算法",X414="算法类",X414="无法识别"),"",IF(X414="",IF(OR(I414="ILF",I414="EIF",I414="EI",I414="EO",I414="EQ"),0,""),LEN(X414)-LEN(SUBSTITUTE(SUBSTITUTE(SUBSTITUTE(SUBSTITUTE(SUBSTITUTE(X414,"|}","--"),"{|","--"),CHAR(10),""),"、",""),"|",""))+IF(AND(OR(I414="EI",I414="EO",I414="EQ"),$AD$1="NESMA"),2,1)))</f>
        <v/>
      </c>
      <c r="O414" s="84">
        <f>IF(I414="EI",IF(OR(X414="估算法",X414="算法类"),"中",IF(X414="无法识别","低",IF(L414&lt;2,IF(N414&lt;16,"低","中"),IF(L414&lt;3,IF(N414&lt;5,"低",IF(N414&lt;16,"中","高")),IF(N414&lt;5,"中","高"))))),IF(OR(I414="EO",I414="EQ"),IF(OR(X414="估算法",X414="算法类"),"中",IF(X414="无法识别","低",IF(L414&lt;2,IF(N414&lt;20,"低","中"),IF(L414&lt;4,IF(N414&lt;6,"低",IF(N414&lt;20,"中","高")),IF(N414&lt;6,"中","高"))))),IF(OR(I414="ILF",I414="EIF"),IF(OR(X414="估算法",X414="算法类",X414="无法识别"),"低",IF(M414&lt;2,IF(N414&lt;51,"低","中"),IF(M414&lt;6,IF(N414&lt;20,"低",IF(N414&lt;51,"中","高")),IF(N414&lt;20,"中","高")))),"不计算")))</f>
        <v/>
      </c>
      <c r="P414" s="142">
        <f>IFERROR(IF(I414="EI",IF(O414="低",3,IF(O414="中",4,6)),IF(I414="EO",IF(O414="低",4,IF(O414="中",5,7)),IF(I414="EQ",IF(O414="低",3,IF(O414="中",4,6)),IF(I414="ILF",IF(O414="低",7,IF(O414="中",10,15)),IF(I414="EIF",IF(O414="低",5,IF(O414="中",7,10)),"不计算")))))*Q414,"不计算")</f>
        <v/>
      </c>
      <c r="Q414" s="142" t="n">
        <v>1</v>
      </c>
      <c r="R414" s="143">
        <f>调整因子!$F$13</f>
        <v/>
      </c>
      <c r="S414" s="70" t="n">
        <v>1</v>
      </c>
      <c r="T414" s="144">
        <f>IFERROR(P414*R414,0)</f>
        <v/>
      </c>
      <c r="U414" s="144">
        <f>T414*S414</f>
        <v/>
      </c>
      <c r="V414" s="81" t="n"/>
      <c r="W414" s="76" t="inlineStr">
        <is>
          <t>漏洞信息详情表</t>
        </is>
      </c>
      <c r="X414" s="76" t="inlineStr">
        <is>
          <t>漏洞信息详情表{漏洞id、归属人、归属业务系统、归属科室、漏洞描述、漏洞详情、CVE编号、创建时间、更新时间、更新人、更新方式}</t>
        </is>
      </c>
      <c r="Y414" s="88">
        <f>IF(COUNTIFS(V:V,"*"&amp;H414&amp;"*")&gt;0,"存在","不存在")</f>
        <v/>
      </c>
      <c r="Z414" s="88">
        <f>IF(COUNTIFS(AA:AA,"*"&amp;H414&amp;"*")&gt;0,"存在","不存在")</f>
        <v/>
      </c>
      <c r="AA414" s="96" t="inlineStr">
        <is>
          <t>扫描策略模板表</t>
        </is>
      </c>
    </row>
    <row r="415" hidden="1" ht="21.6" customHeight="1">
      <c r="A415" s="69">
        <f>ROW()-1</f>
        <v/>
      </c>
      <c r="B415" s="53" t="n"/>
      <c r="C415" s="78" t="n">
        <v>2025</v>
      </c>
      <c r="D415" s="78" t="inlineStr">
        <is>
          <t>窦鹏岐</t>
        </is>
      </c>
      <c r="E415" s="53" t="n"/>
      <c r="F415" s="53" t="n"/>
      <c r="G415" s="53" t="n"/>
      <c r="H415" s="80" t="inlineStr">
        <is>
          <t>归属手动设定表</t>
        </is>
      </c>
      <c r="I415" s="81" t="inlineStr">
        <is>
          <t>ILF</t>
        </is>
      </c>
      <c r="J415" s="108" t="n"/>
      <c r="K415" s="108" t="n"/>
      <c r="L415" s="83">
        <f>IF(OR(X415="估算法",X415="算法类",X415="无法识别"),"",IF(V415="",IF(OR(I415="EI",I415="EO",I415="EQ"),0,""),LEN(V415)-LEN(SUBSTITUTE(V415,"、",""))+1))</f>
        <v/>
      </c>
      <c r="M415" s="83">
        <f>IF(OR(X415="估算法",X415="算法类",X415="无法识别"),"",IF(W415="",IF(OR(I415="ILF",I415="EIF"),0,""),LEN(W415)-LEN(SUBSTITUTE(W415,"、",""))+1))</f>
        <v/>
      </c>
      <c r="N415" s="83">
        <f>IF(OR(X415="估算法",X415="算法类",X415="无法识别"),"",IF(X415="",IF(OR(I415="ILF",I415="EIF",I415="EI",I415="EO",I415="EQ"),0,""),LEN(X415)-LEN(SUBSTITUTE(SUBSTITUTE(SUBSTITUTE(SUBSTITUTE(SUBSTITUTE(X415,"|}","--"),"{|","--"),CHAR(10),""),"、",""),"|",""))+IF(AND(OR(I415="EI",I415="EO",I415="EQ"),$AD$1="NESMA"),2,1)))</f>
        <v/>
      </c>
      <c r="O415" s="84">
        <f>IF(I415="EI",IF(OR(X415="估算法",X415="算法类"),"中",IF(X415="无法识别","低",IF(L415&lt;2,IF(N415&lt;16,"低","中"),IF(L415&lt;3,IF(N415&lt;5,"低",IF(N415&lt;16,"中","高")),IF(N415&lt;5,"中","高"))))),IF(OR(I415="EO",I415="EQ"),IF(OR(X415="估算法",X415="算法类"),"中",IF(X415="无法识别","低",IF(L415&lt;2,IF(N415&lt;20,"低","中"),IF(L415&lt;4,IF(N415&lt;6,"低",IF(N415&lt;20,"中","高")),IF(N415&lt;6,"中","高"))))),IF(OR(I415="ILF",I415="EIF"),IF(OR(X415="估算法",X415="算法类",X415="无法识别"),"低",IF(M415&lt;2,IF(N415&lt;51,"低","中"),IF(M415&lt;6,IF(N415&lt;20,"低",IF(N415&lt;51,"中","高")),IF(N415&lt;20,"中","高")))),"不计算")))</f>
        <v/>
      </c>
      <c r="P415" s="142">
        <f>IFERROR(IF(I415="EI",IF(O415="低",3,IF(O415="中",4,6)),IF(I415="EO",IF(O415="低",4,IF(O415="中",5,7)),IF(I415="EQ",IF(O415="低",3,IF(O415="中",4,6)),IF(I415="ILF",IF(O415="低",7,IF(O415="中",10,15)),IF(I415="EIF",IF(O415="低",5,IF(O415="中",7,10)),"不计算")))))*Q415,"不计算")</f>
        <v/>
      </c>
      <c r="Q415" s="142" t="n">
        <v>1</v>
      </c>
      <c r="R415" s="143">
        <f>调整因子!$F$13</f>
        <v/>
      </c>
      <c r="S415" s="70" t="n">
        <v>1</v>
      </c>
      <c r="T415" s="144">
        <f>IFERROR(P415*R415,0)</f>
        <v/>
      </c>
      <c r="U415" s="144">
        <f>T415*S415</f>
        <v/>
      </c>
      <c r="V415" s="81" t="n"/>
      <c r="W415" s="79" t="inlineStr">
        <is>
          <t>归属手动设定表</t>
        </is>
      </c>
      <c r="X415" s="76" t="inlineStr">
        <is>
          <t>归属手动设定表{主键 id 、漏洞 id 、原归属信息、修改后归属信息、修改时间、修改人、确认提交状态 （如已提交、未提交等}</t>
        </is>
      </c>
      <c r="Y415" s="88">
        <f>IF(COUNTIFS(V:V,"*"&amp;H415&amp;"*")&gt;0,"存在","不存在")</f>
        <v/>
      </c>
      <c r="Z415" s="88">
        <f>IF(COUNTIFS(AA:AA,"*"&amp;H415&amp;"*")&gt;0,"存在","不存在")</f>
        <v/>
      </c>
      <c r="AA415" s="96" t="inlineStr">
        <is>
          <t>任务优先级配置表</t>
        </is>
      </c>
    </row>
    <row r="416" hidden="1" ht="21.6" customHeight="1">
      <c r="A416" s="69">
        <f>ROW()-1</f>
        <v/>
      </c>
      <c r="B416" s="53" t="n"/>
      <c r="C416" s="78" t="n">
        <v>2025</v>
      </c>
      <c r="D416" s="78" t="inlineStr">
        <is>
          <t>窦鹏岐</t>
        </is>
      </c>
      <c r="E416" s="53" t="n"/>
      <c r="F416" s="53" t="n"/>
      <c r="G416" s="53" t="n"/>
      <c r="H416" s="80" t="inlineStr">
        <is>
          <t>业务系统风险统计表</t>
        </is>
      </c>
      <c r="I416" s="81" t="inlineStr">
        <is>
          <t>ILF</t>
        </is>
      </c>
      <c r="J416" s="108" t="n"/>
      <c r="K416" s="108" t="inlineStr">
        <is>
          <t>数据库表未被本系统所维护</t>
        </is>
      </c>
      <c r="L416" s="83">
        <f>IF(OR(X416="估算法",X416="算法类",X416="无法识别"),"",IF(V416="",IF(OR(I416="EI",I416="EO",I416="EQ"),0,""),LEN(V416)-LEN(SUBSTITUTE(V416,"、",""))+1))</f>
        <v/>
      </c>
      <c r="M416" s="83">
        <f>IF(OR(X416="估算法",X416="算法类",X416="无法识别"),"",IF(W416="",IF(OR(I416="ILF",I416="EIF"),0,""),LEN(W416)-LEN(SUBSTITUTE(W416,"、",""))+1))</f>
        <v/>
      </c>
      <c r="N416" s="83">
        <f>IF(OR(X416="估算法",X416="算法类",X416="无法识别"),"",IF(X416="",IF(OR(I416="ILF",I416="EIF",I416="EI",I416="EO",I416="EQ"),0,""),LEN(X416)-LEN(SUBSTITUTE(SUBSTITUTE(SUBSTITUTE(SUBSTITUTE(SUBSTITUTE(X416,"|}","--"),"{|","--"),CHAR(10),""),"、",""),"|",""))+IF(AND(OR(I416="EI",I416="EO",I416="EQ"),$AD$1="NESMA"),2,1)))</f>
        <v/>
      </c>
      <c r="O416" s="84">
        <f>IF(I416="EI",IF(OR(X416="估算法",X416="算法类"),"中",IF(X416="无法识别","低",IF(L416&lt;2,IF(N416&lt;16,"低","中"),IF(L416&lt;3,IF(N416&lt;5,"低",IF(N416&lt;16,"中","高")),IF(N416&lt;5,"中","高"))))),IF(OR(I416="EO",I416="EQ"),IF(OR(X416="估算法",X416="算法类"),"中",IF(X416="无法识别","低",IF(L416&lt;2,IF(N416&lt;20,"低","中"),IF(L416&lt;4,IF(N416&lt;6,"低",IF(N416&lt;20,"中","高")),IF(N416&lt;6,"中","高"))))),IF(OR(I416="ILF",I416="EIF"),IF(OR(X416="估算法",X416="算法类",X416="无法识别"),"低",IF(M416&lt;2,IF(N416&lt;51,"低","中"),IF(M416&lt;6,IF(N416&lt;20,"低",IF(N416&lt;51,"中","高")),IF(N416&lt;20,"中","高")))),"不计算")))</f>
        <v/>
      </c>
      <c r="P416" s="142">
        <f>IFERROR(IF(I416="EI",IF(O416="低",3,IF(O416="中",4,6)),IF(I416="EO",IF(O416="低",4,IF(O416="中",5,7)),IF(I416="EQ",IF(O416="低",3,IF(O416="中",4,6)),IF(I416="ILF",IF(O416="低",7,IF(O416="中",10,15)),IF(I416="EIF",IF(O416="低",5,IF(O416="中",7,10)),"不计算")))))*Q416,"不计算")</f>
        <v/>
      </c>
      <c r="Q416" s="142" t="n">
        <v>0</v>
      </c>
      <c r="R416" s="143">
        <f>调整因子!$F$13</f>
        <v/>
      </c>
      <c r="S416" s="76" t="n">
        <v>1</v>
      </c>
      <c r="T416" s="144">
        <f>IFERROR(P416*R416,0)</f>
        <v/>
      </c>
      <c r="U416" s="144">
        <f>T416*S416</f>
        <v/>
      </c>
      <c r="V416" s="81" t="n"/>
      <c r="W416" s="79" t="inlineStr">
        <is>
          <t>业务系统风险统计表</t>
        </is>
      </c>
      <c r="X416" s="76" t="inlineStr">
        <is>
          <t>业务系统风险统计表{主键 id 、业务系统名称、高风险漏洞数量、中风险漏洞数量、低风险漏洞数量、统计时间}</t>
        </is>
      </c>
      <c r="Y416" s="88">
        <f>IF(COUNTIFS(V:V,"*"&amp;H416&amp;"*")&gt;0,"存在","不存在")</f>
        <v/>
      </c>
      <c r="Z416" s="88">
        <f>IF(COUNTIFS(AA:AA,"*"&amp;H416&amp;"*")&gt;0,"存在","不存在")</f>
        <v/>
      </c>
      <c r="AA416" s="96" t="inlineStr">
        <is>
          <t>扫描策略模板表</t>
        </is>
      </c>
    </row>
    <row r="417" hidden="1" ht="21.6" customHeight="1">
      <c r="A417" s="69">
        <f>ROW()-1</f>
        <v/>
      </c>
      <c r="B417" s="53" t="n"/>
      <c r="C417" s="78" t="n">
        <v>2025</v>
      </c>
      <c r="D417" s="78" t="inlineStr">
        <is>
          <t>窦鹏岐</t>
        </is>
      </c>
      <c r="E417" s="53" t="n"/>
      <c r="F417" s="53" t="n"/>
      <c r="G417" s="53" t="n"/>
      <c r="H417" s="80" t="inlineStr">
        <is>
          <t>内外网分类统计表</t>
        </is>
      </c>
      <c r="I417" s="81" t="inlineStr">
        <is>
          <t>ILF</t>
        </is>
      </c>
      <c r="J417" s="108" t="n"/>
      <c r="K417" s="108" t="inlineStr">
        <is>
          <t>数据库表未被本系统所维护</t>
        </is>
      </c>
      <c r="L417" s="83">
        <f>IF(OR(X417="估算法",X417="算法类",X417="无法识别"),"",IF(V417="",IF(OR(I417="EI",I417="EO",I417="EQ"),0,""),LEN(V417)-LEN(SUBSTITUTE(V417,"、",""))+1))</f>
        <v/>
      </c>
      <c r="M417" s="83">
        <f>IF(OR(X417="估算法",X417="算法类",X417="无法识别"),"",IF(W417="",IF(OR(I417="ILF",I417="EIF"),0,""),LEN(W417)-LEN(SUBSTITUTE(W417,"、",""))+1))</f>
        <v/>
      </c>
      <c r="N417" s="83">
        <f>IF(OR(X417="估算法",X417="算法类",X417="无法识别"),"",IF(X417="",IF(OR(I417="ILF",I417="EIF",I417="EI",I417="EO",I417="EQ"),0,""),LEN(X417)-LEN(SUBSTITUTE(SUBSTITUTE(SUBSTITUTE(SUBSTITUTE(SUBSTITUTE(X417,"|}","--"),"{|","--"),CHAR(10),""),"、",""),"|",""))+IF(AND(OR(I417="EI",I417="EO",I417="EQ"),$AD$1="NESMA"),2,1)))</f>
        <v/>
      </c>
      <c r="O417" s="84">
        <f>IF(I417="EI",IF(OR(X417="估算法",X417="算法类"),"中",IF(X417="无法识别","低",IF(L417&lt;2,IF(N417&lt;16,"低","中"),IF(L417&lt;3,IF(N417&lt;5,"低",IF(N417&lt;16,"中","高")),IF(N417&lt;5,"中","高"))))),IF(OR(I417="EO",I417="EQ"),IF(OR(X417="估算法",X417="算法类"),"中",IF(X417="无法识别","低",IF(L417&lt;2,IF(N417&lt;20,"低","中"),IF(L417&lt;4,IF(N417&lt;6,"低",IF(N417&lt;20,"中","高")),IF(N417&lt;6,"中","高"))))),IF(OR(I417="ILF",I417="EIF"),IF(OR(X417="估算法",X417="算法类",X417="无法识别"),"低",IF(M417&lt;2,IF(N417&lt;51,"低","中"),IF(M417&lt;6,IF(N417&lt;20,"低",IF(N417&lt;51,"中","高")),IF(N417&lt;20,"中","高")))),"不计算")))</f>
        <v/>
      </c>
      <c r="P417" s="142">
        <f>IFERROR(IF(I417="EI",IF(O417="低",3,IF(O417="中",4,6)),IF(I417="EO",IF(O417="低",4,IF(O417="中",5,7)),IF(I417="EQ",IF(O417="低",3,IF(O417="中",4,6)),IF(I417="ILF",IF(O417="低",7,IF(O417="中",10,15)),IF(I417="EIF",IF(O417="低",5,IF(O417="中",7,10)),"不计算")))))*Q417,"不计算")</f>
        <v/>
      </c>
      <c r="Q417" s="142" t="n">
        <v>0</v>
      </c>
      <c r="R417" s="143">
        <f>调整因子!$F$13</f>
        <v/>
      </c>
      <c r="S417" s="70" t="n">
        <v>1</v>
      </c>
      <c r="T417" s="144">
        <f>IFERROR(P417*R417,0)</f>
        <v/>
      </c>
      <c r="U417" s="144">
        <f>T417*S417</f>
        <v/>
      </c>
      <c r="V417" s="81" t="n"/>
      <c r="W417" s="79" t="inlineStr">
        <is>
          <t>内外网分类统计表</t>
        </is>
      </c>
      <c r="X417" s="76" t="inlineStr">
        <is>
          <t>内外网分类统计表{主键 id 、业务系统名称、内外网标识 （内网/外网）、高风险漏洞数量、中风险漏洞数量、低风险漏洞数量、统计时间}</t>
        </is>
      </c>
      <c r="Y417" s="88">
        <f>IF(COUNTIFS(V:V,"*"&amp;H417&amp;"*")&gt;0,"存在","不存在")</f>
        <v/>
      </c>
      <c r="Z417" s="88">
        <f>IF(COUNTIFS(AA:AA,"*"&amp;H417&amp;"*")&gt;0,"存在","不存在")</f>
        <v/>
      </c>
      <c r="AA417" s="96" t="inlineStr">
        <is>
          <t>扫描策略模板表、提醒策略配置表</t>
        </is>
      </c>
    </row>
    <row r="418" hidden="1" ht="21.6" customHeight="1">
      <c r="A418" s="69">
        <f>ROW()-1</f>
        <v/>
      </c>
      <c r="B418" s="53" t="n"/>
      <c r="C418" s="78" t="n">
        <v>2025</v>
      </c>
      <c r="D418" s="78" t="inlineStr">
        <is>
          <t>窦鹏岐</t>
        </is>
      </c>
      <c r="E418" s="53" t="n"/>
      <c r="F418" s="53" t="n"/>
      <c r="G418" s="53" t="n"/>
      <c r="H418" s="80" t="inlineStr">
        <is>
          <t>组织机构分析表</t>
        </is>
      </c>
      <c r="I418" s="81" t="inlineStr">
        <is>
          <t>ILF</t>
        </is>
      </c>
      <c r="J418" s="108" t="n"/>
      <c r="K418" s="108" t="inlineStr">
        <is>
          <t>数据库表未被本系统所维护</t>
        </is>
      </c>
      <c r="L418" s="83">
        <f>IF(OR(X418="估算法",X418="算法类",X418="无法识别"),"",IF(V418="",IF(OR(I418="EI",I418="EO",I418="EQ"),0,""),LEN(V418)-LEN(SUBSTITUTE(V418,"、",""))+1))</f>
        <v/>
      </c>
      <c r="M418" s="83">
        <f>IF(OR(X418="估算法",X418="算法类",X418="无法识别"),"",IF(W418="",IF(OR(I418="ILF",I418="EIF"),0,""),LEN(W418)-LEN(SUBSTITUTE(W418,"、",""))+1))</f>
        <v/>
      </c>
      <c r="N418" s="83">
        <f>IF(OR(X418="估算法",X418="算法类",X418="无法识别"),"",IF(X418="",IF(OR(I418="ILF",I418="EIF",I418="EI",I418="EO",I418="EQ"),0,""),LEN(X418)-LEN(SUBSTITUTE(SUBSTITUTE(SUBSTITUTE(SUBSTITUTE(SUBSTITUTE(X418,"|}","--"),"{|","--"),CHAR(10),""),"、",""),"|",""))+IF(AND(OR(I418="EI",I418="EO",I418="EQ"),$AD$1="NESMA"),2,1)))</f>
        <v/>
      </c>
      <c r="O418" s="84">
        <f>IF(I418="EI",IF(OR(X418="估算法",X418="算法类"),"中",IF(X418="无法识别","低",IF(L418&lt;2,IF(N418&lt;16,"低","中"),IF(L418&lt;3,IF(N418&lt;5,"低",IF(N418&lt;16,"中","高")),IF(N418&lt;5,"中","高"))))),IF(OR(I418="EO",I418="EQ"),IF(OR(X418="估算法",X418="算法类"),"中",IF(X418="无法识别","低",IF(L418&lt;2,IF(N418&lt;20,"低","中"),IF(L418&lt;4,IF(N418&lt;6,"低",IF(N418&lt;20,"中","高")),IF(N418&lt;6,"中","高"))))),IF(OR(I418="ILF",I418="EIF"),IF(OR(X418="估算法",X418="算法类",X418="无法识别"),"低",IF(M418&lt;2,IF(N418&lt;51,"低","中"),IF(M418&lt;6,IF(N418&lt;20,"低",IF(N418&lt;51,"中","高")),IF(N418&lt;20,"中","高")))),"不计算")))</f>
        <v/>
      </c>
      <c r="P418" s="142">
        <f>IFERROR(IF(I418="EI",IF(O418="低",3,IF(O418="中",4,6)),IF(I418="EO",IF(O418="低",4,IF(O418="中",5,7)),IF(I418="EQ",IF(O418="低",3,IF(O418="中",4,6)),IF(I418="ILF",IF(O418="低",7,IF(O418="中",10,15)),IF(I418="EIF",IF(O418="低",5,IF(O418="中",7,10)),"不计算")))))*Q418,"不计算")</f>
        <v/>
      </c>
      <c r="Q418" s="142" t="n">
        <v>0</v>
      </c>
      <c r="R418" s="143">
        <f>调整因子!$F$13</f>
        <v/>
      </c>
      <c r="S418" s="70" t="n">
        <v>1</v>
      </c>
      <c r="T418" s="144">
        <f>IFERROR(P418*R418,0)</f>
        <v/>
      </c>
      <c r="U418" s="144">
        <f>T418*S418</f>
        <v/>
      </c>
      <c r="V418" s="81" t="n"/>
      <c r="W418" s="79" t="inlineStr">
        <is>
          <t>组织机构分析表</t>
        </is>
      </c>
      <c r="X418" s="76" t="inlineStr">
        <is>
          <t>组织机构分析表{主键 id 、组织机构名称、关联业务系统数量、高风险漏洞总数、中风险漏洞总数、低风险漏洞总数}</t>
        </is>
      </c>
      <c r="Y418" s="88">
        <f>IF(COUNTIFS(V:V,"*"&amp;H418&amp;"*")&gt;0,"存在","不存在")</f>
        <v/>
      </c>
      <c r="Z418" s="88">
        <f>IF(COUNTIFS(AA:AA,"*"&amp;H418&amp;"*")&gt;0,"存在","不存在")</f>
        <v/>
      </c>
      <c r="AA418" s="96" t="inlineStr">
        <is>
          <t>提醒规则表、报告解析结果表</t>
        </is>
      </c>
    </row>
    <row r="419" hidden="1" ht="21.6" customHeight="1">
      <c r="A419" s="69">
        <f>ROW()-1</f>
        <v/>
      </c>
      <c r="B419" s="53" t="n"/>
      <c r="C419" s="78" t="n">
        <v>2025</v>
      </c>
      <c r="D419" s="78" t="inlineStr">
        <is>
          <t>窦鹏岐</t>
        </is>
      </c>
      <c r="E419" s="53" t="n"/>
      <c r="F419" s="53" t="n"/>
      <c r="G419" s="53" t="n"/>
      <c r="H419" s="80" t="inlineStr">
        <is>
          <t>责任人统计分析表</t>
        </is>
      </c>
      <c r="I419" s="81" t="inlineStr">
        <is>
          <t>ILF</t>
        </is>
      </c>
      <c r="J419" s="108" t="n"/>
      <c r="K419" s="108" t="inlineStr">
        <is>
          <t>数据库表未被本系统所维护</t>
        </is>
      </c>
      <c r="L419" s="83">
        <f>IF(OR(X419="估算法",X419="算法类",X419="无法识别"),"",IF(V419="",IF(OR(I419="EI",I419="EO",I419="EQ"),0,""),LEN(V419)-LEN(SUBSTITUTE(V419,"、",""))+1))</f>
        <v/>
      </c>
      <c r="M419" s="83">
        <f>IF(OR(X419="估算法",X419="算法类",X419="无法识别"),"",IF(W419="",IF(OR(I419="ILF",I419="EIF"),0,""),LEN(W419)-LEN(SUBSTITUTE(W419,"、",""))+1))</f>
        <v/>
      </c>
      <c r="N419" s="83">
        <f>IF(OR(X419="估算法",X419="算法类",X419="无法识别"),"",IF(X419="",IF(OR(I419="ILF",I419="EIF",I419="EI",I419="EO",I419="EQ"),0,""),LEN(X419)-LEN(SUBSTITUTE(SUBSTITUTE(SUBSTITUTE(SUBSTITUTE(SUBSTITUTE(X419,"|}","--"),"{|","--"),CHAR(10),""),"、",""),"|",""))+IF(AND(OR(I419="EI",I419="EO",I419="EQ"),$AD$1="NESMA"),2,1)))</f>
        <v/>
      </c>
      <c r="O419" s="84">
        <f>IF(I419="EI",IF(OR(X419="估算法",X419="算法类"),"中",IF(X419="无法识别","低",IF(L419&lt;2,IF(N419&lt;16,"低","中"),IF(L419&lt;3,IF(N419&lt;5,"低",IF(N419&lt;16,"中","高")),IF(N419&lt;5,"中","高"))))),IF(OR(I419="EO",I419="EQ"),IF(OR(X419="估算法",X419="算法类"),"中",IF(X419="无法识别","低",IF(L419&lt;2,IF(N419&lt;20,"低","中"),IF(L419&lt;4,IF(N419&lt;6,"低",IF(N419&lt;20,"中","高")),IF(N419&lt;6,"中","高"))))),IF(OR(I419="ILF",I419="EIF"),IF(OR(X419="估算法",X419="算法类",X419="无法识别"),"低",IF(M419&lt;2,IF(N419&lt;51,"低","中"),IF(M419&lt;6,IF(N419&lt;20,"低",IF(N419&lt;51,"中","高")),IF(N419&lt;20,"中","高")))),"不计算")))</f>
        <v/>
      </c>
      <c r="P419" s="142">
        <f>IFERROR(IF(I419="EI",IF(O419="低",3,IF(O419="中",4,6)),IF(I419="EO",IF(O419="低",4,IF(O419="中",5,7)),IF(I419="EQ",IF(O419="低",3,IF(O419="中",4,6)),IF(I419="ILF",IF(O419="低",7,IF(O419="中",10,15)),IF(I419="EIF",IF(O419="低",5,IF(O419="中",7,10)),"不计算")))))*Q419,"不计算")</f>
        <v/>
      </c>
      <c r="Q419" s="142" t="n">
        <v>0</v>
      </c>
      <c r="R419" s="143">
        <f>调整因子!$F$13</f>
        <v/>
      </c>
      <c r="S419" s="76" t="n">
        <v>1</v>
      </c>
      <c r="T419" s="144">
        <f>IFERROR(P419*R419,0)</f>
        <v/>
      </c>
      <c r="U419" s="144">
        <f>T419*S419</f>
        <v/>
      </c>
      <c r="V419" s="81" t="n"/>
      <c r="W419" s="79" t="inlineStr">
        <is>
          <t>责任人统计分析表</t>
        </is>
      </c>
      <c r="X419" s="76" t="inlineStr">
        <is>
          <t>责任人统计分析表{主键 id 、责任人名称、负责业务系统数量、关联高风险漏洞数量、关联中风险漏洞数量、关联低风险漏洞数量、统计时间}</t>
        </is>
      </c>
      <c r="Y419" s="88">
        <f>IF(COUNTIFS(V:V,"*"&amp;H419&amp;"*")&gt;0,"存在","不存在")</f>
        <v/>
      </c>
      <c r="Z419" s="88">
        <f>IF(COUNTIFS(AA:AA,"*"&amp;H419&amp;"*")&gt;0,"存在","不存在")</f>
        <v/>
      </c>
      <c r="AA419" s="96" t="inlineStr">
        <is>
          <t>推送规则表</t>
        </is>
      </c>
    </row>
    <row r="420" hidden="1" ht="21.6" customHeight="1">
      <c r="A420" s="69">
        <f>ROW()-1</f>
        <v/>
      </c>
      <c r="B420" s="53" t="n"/>
      <c r="C420" s="78" t="n">
        <v>2025</v>
      </c>
      <c r="D420" s="78" t="inlineStr">
        <is>
          <t>窦鹏岐</t>
        </is>
      </c>
      <c r="E420" s="53" t="n"/>
      <c r="F420" s="54" t="n"/>
      <c r="G420" s="54" t="n"/>
      <c r="H420" s="80" t="inlineStr">
        <is>
          <t>高中低危统计表</t>
        </is>
      </c>
      <c r="I420" s="81" t="inlineStr">
        <is>
          <t>ILF</t>
        </is>
      </c>
      <c r="J420" s="108" t="n"/>
      <c r="K420" s="108" t="inlineStr">
        <is>
          <t>数据库表未被本系统所维护</t>
        </is>
      </c>
      <c r="L420" s="83">
        <f>IF(OR(X420="估算法",X420="算法类",X420="无法识别"),"",IF(V420="",IF(OR(I420="EI",I420="EO",I420="EQ"),0,""),LEN(V420)-LEN(SUBSTITUTE(V420,"、",""))+1))</f>
        <v/>
      </c>
      <c r="M420" s="83">
        <f>IF(OR(X420="估算法",X420="算法类",X420="无法识别"),"",IF(W420="",IF(OR(I420="ILF",I420="EIF"),0,""),LEN(W420)-LEN(SUBSTITUTE(W420,"、",""))+1))</f>
        <v/>
      </c>
      <c r="N420" s="83">
        <f>IF(OR(X420="估算法",X420="算法类",X420="无法识别"),"",IF(X420="",IF(OR(I420="ILF",I420="EIF",I420="EI",I420="EO",I420="EQ"),0,""),LEN(X420)-LEN(SUBSTITUTE(SUBSTITUTE(SUBSTITUTE(SUBSTITUTE(SUBSTITUTE(X420,"|}","--"),"{|","--"),CHAR(10),""),"、",""),"|",""))+IF(AND(OR(I420="EI",I420="EO",I420="EQ"),$AD$1="NESMA"),2,1)))</f>
        <v/>
      </c>
      <c r="O420" s="84">
        <f>IF(I420="EI",IF(OR(X420="估算法",X420="算法类"),"中",IF(X420="无法识别","低",IF(L420&lt;2,IF(N420&lt;16,"低","中"),IF(L420&lt;3,IF(N420&lt;5,"低",IF(N420&lt;16,"中","高")),IF(N420&lt;5,"中","高"))))),IF(OR(I420="EO",I420="EQ"),IF(OR(X420="估算法",X420="算法类"),"中",IF(X420="无法识别","低",IF(L420&lt;2,IF(N420&lt;20,"低","中"),IF(L420&lt;4,IF(N420&lt;6,"低",IF(N420&lt;20,"中","高")),IF(N420&lt;6,"中","高"))))),IF(OR(I420="ILF",I420="EIF"),IF(OR(X420="估算法",X420="算法类",X420="无法识别"),"低",IF(M420&lt;2,IF(N420&lt;51,"低","中"),IF(M420&lt;6,IF(N420&lt;20,"低",IF(N420&lt;51,"中","高")),IF(N420&lt;20,"中","高")))),"不计算")))</f>
        <v/>
      </c>
      <c r="P420" s="142">
        <f>IFERROR(IF(I420="EI",IF(O420="低",3,IF(O420="中",4,6)),IF(I420="EO",IF(O420="低",4,IF(O420="中",5,7)),IF(I420="EQ",IF(O420="低",3,IF(O420="中",4,6)),IF(I420="ILF",IF(O420="低",7,IF(O420="中",10,15)),IF(I420="EIF",IF(O420="低",5,IF(O420="中",7,10)),"不计算")))))*Q420,"不计算")</f>
        <v/>
      </c>
      <c r="Q420" s="142" t="n">
        <v>0</v>
      </c>
      <c r="R420" s="143">
        <f>调整因子!$F$13</f>
        <v/>
      </c>
      <c r="S420" s="70" t="n">
        <v>1</v>
      </c>
      <c r="T420" s="144">
        <f>IFERROR(P420*R420,0)</f>
        <v/>
      </c>
      <c r="U420" s="144">
        <f>T420*S420</f>
        <v/>
      </c>
      <c r="V420" s="81" t="n"/>
      <c r="W420" s="79" t="inlineStr">
        <is>
          <t>高中低危统计表</t>
        </is>
      </c>
      <c r="X420" s="76" t="inlineStr">
        <is>
          <t>高中低危统计表{主键 id 、统计项名称、统计项类型 （业务系统/组织机构等）、高风险漏洞数量、中风险漏洞数量、低风险漏洞数量、统计时间}</t>
        </is>
      </c>
      <c r="Y420" s="88">
        <f>IF(COUNTIFS(V:V,"*"&amp;H420&amp;"*")&gt;0,"存在","不存在")</f>
        <v/>
      </c>
      <c r="Z420" s="88">
        <f>IF(COUNTIFS(AA:AA,"*"&amp;H420&amp;"*")&gt;0,"存在","不存在")</f>
        <v/>
      </c>
      <c r="AA420" s="96" t="inlineStr">
        <is>
          <t>推送规则表、提醒规则表</t>
        </is>
      </c>
    </row>
    <row r="421" hidden="1" ht="21.6" customHeight="1">
      <c r="A421" s="69">
        <f>ROW()-1</f>
        <v/>
      </c>
      <c r="B421" s="53" t="n"/>
      <c r="C421" s="78" t="n">
        <v>2025</v>
      </c>
      <c r="D421" s="78" t="inlineStr">
        <is>
          <t>窦鹏岐</t>
        </is>
      </c>
      <c r="E421" s="53" t="n"/>
      <c r="F421" s="79" t="inlineStr">
        <is>
          <t>动态更新机制</t>
        </is>
      </c>
      <c r="G421" s="79" t="inlineStr">
        <is>
          <t>资产变更触发机制</t>
        </is>
      </c>
      <c r="H421" s="80" t="inlineStr">
        <is>
          <t>关联关系评定</t>
        </is>
      </c>
      <c r="I421" s="76" t="n"/>
      <c r="J421" s="108" t="n"/>
      <c r="K421" s="108" t="inlineStr">
        <is>
          <t>未穿越系统边界，非事务功能，明确无输出内容</t>
        </is>
      </c>
      <c r="L421" s="83">
        <f>IF(OR(X421="估算法",X421="算法类",X421="无法识别"),"",IF(V421="",IF(OR(I421="EI",I421="EO",I421="EQ"),0,""),LEN(V421)-LEN(SUBSTITUTE(V421,"、",""))+1))</f>
        <v/>
      </c>
      <c r="M421" s="83">
        <f>IF(OR(X421="估算法",X421="算法类",X421="无法识别"),"",IF(W421="",IF(OR(I421="ILF",I421="EIF"),0,""),LEN(W421)-LEN(SUBSTITUTE(W421,"、",""))+1))</f>
        <v/>
      </c>
      <c r="N421" s="83">
        <f>IF(OR(X421="估算法",X421="算法类",X421="无法识别"),"",IF(X421="",IF(OR(I421="ILF",I421="EIF",I421="EI",I421="EO",I421="EQ"),0,""),LEN(X421)-LEN(SUBSTITUTE(SUBSTITUTE(SUBSTITUTE(SUBSTITUTE(SUBSTITUTE(X421,"|}","--"),"{|","--"),CHAR(10),""),"、",""),"|",""))+IF(AND(OR(I421="EI",I421="EO",I421="EQ"),$AD$1="NESMA"),2,1)))</f>
        <v/>
      </c>
      <c r="O421" s="84">
        <f>IF(I421="EI",IF(OR(X421="估算法",X421="算法类"),"中",IF(X421="无法识别","低",IF(L421&lt;2,IF(N421&lt;16,"低","中"),IF(L421&lt;3,IF(N421&lt;5,"低",IF(N421&lt;16,"中","高")),IF(N421&lt;5,"中","高"))))),IF(OR(I421="EO",I421="EQ"),IF(OR(X421="估算法",X421="算法类"),"中",IF(X421="无法识别","低",IF(L421&lt;2,IF(N421&lt;20,"低","中"),IF(L421&lt;4,IF(N421&lt;6,"低",IF(N421&lt;20,"中","高")),IF(N421&lt;6,"中","高"))))),IF(OR(I421="ILF",I421="EIF"),IF(OR(X421="估算法",X421="算法类",X421="无法识别"),"低",IF(M421&lt;2,IF(N421&lt;51,"低","中"),IF(M421&lt;6,IF(N421&lt;20,"低",IF(N421&lt;51,"中","高")),IF(N421&lt;20,"中","高")))),"不计算")))</f>
        <v/>
      </c>
      <c r="P421" s="142">
        <f>IFERROR(IF(I421="EI",IF(O421="低",3,IF(O421="中",4,6)),IF(I421="EO",IF(O421="低",4,IF(O421="中",5,7)),IF(I421="EQ",IF(O421="低",3,IF(O421="中",4,6)),IF(I421="ILF",IF(O421="低",7,IF(O421="中",10,15)),IF(I421="EIF",IF(O421="低",5,IF(O421="中",7,10)),"不计算")))))*Q421,"不计算")</f>
        <v/>
      </c>
      <c r="Q421" s="142" t="n">
        <v>1</v>
      </c>
      <c r="R421" s="143">
        <f>调整因子!$F$13</f>
        <v/>
      </c>
      <c r="S421" s="70" t="n">
        <v>1</v>
      </c>
      <c r="T421" s="144">
        <f>IFERROR(P421*R421,0)</f>
        <v/>
      </c>
      <c r="U421" s="144">
        <f>T421*S421</f>
        <v/>
      </c>
      <c r="V421" s="76" t="inlineStr">
        <is>
          <t>资产变更触发机制表</t>
        </is>
      </c>
      <c r="W421" s="81" t="n"/>
      <c r="X421" s="76" t="inlineStr">
        <is>
          <t>资产变更触发机制表{主键 id 、资产 id 、变更类型、变更时间、触发源（如用户操作、系统自动检测等）、关联关系评定（评定资产变更对关联关系的影响程度）}</t>
        </is>
      </c>
      <c r="Y421" s="88" t="n"/>
      <c r="Z421" s="88" t="n"/>
      <c r="AA421" s="96" t="inlineStr">
        <is>
          <t>推送规则表</t>
        </is>
      </c>
    </row>
    <row r="422" hidden="1" ht="54" customHeight="1">
      <c r="A422" s="69">
        <f>ROW()-1</f>
        <v/>
      </c>
      <c r="B422" s="53" t="n"/>
      <c r="C422" s="78" t="n">
        <v>2025</v>
      </c>
      <c r="D422" s="78" t="inlineStr">
        <is>
          <t>窦鹏岐</t>
        </is>
      </c>
      <c r="E422" s="53" t="n"/>
      <c r="F422" s="53" t="n"/>
      <c r="G422" s="53" t="n"/>
      <c r="H422" s="80" t="inlineStr">
        <is>
          <t>漏洞关联关系自动更新</t>
        </is>
      </c>
      <c r="I422" s="76" t="n"/>
      <c r="J422" s="108" t="n"/>
      <c r="K422" s="108" t="inlineStr">
        <is>
          <t>未穿越系统边界，非事务功能，明确无输出内容</t>
        </is>
      </c>
      <c r="L422" s="83">
        <f>IF(OR(X422="估算法",X422="算法类",X422="无法识别"),"",IF(V422="",IF(OR(I422="EI",I422="EO",I422="EQ"),0,""),LEN(V422)-LEN(SUBSTITUTE(V422,"、",""))+1))</f>
        <v/>
      </c>
      <c r="M422" s="83">
        <f>IF(OR(X422="估算法",X422="算法类",X422="无法识别"),"",IF(W422="",IF(OR(I422="ILF",I422="EIF"),0,""),LEN(W422)-LEN(SUBSTITUTE(W422,"、",""))+1))</f>
        <v/>
      </c>
      <c r="N422" s="83">
        <f>IF(OR(X422="估算法",X422="算法类",X422="无法识别"),"",IF(X422="",IF(OR(I422="ILF",I422="EIF",I422="EI",I422="EO",I422="EQ"),0,""),LEN(X422)-LEN(SUBSTITUTE(SUBSTITUTE(SUBSTITUTE(SUBSTITUTE(SUBSTITUTE(X422,"|}","--"),"{|","--"),CHAR(10),""),"、",""),"|",""))+IF(AND(OR(I422="EI",I422="EO",I422="EQ"),$AD$1="NESMA"),2,1)))</f>
        <v/>
      </c>
      <c r="O422" s="84">
        <f>IF(I422="EI",IF(OR(X422="估算法",X422="算法类"),"中",IF(X422="无法识别","低",IF(L422&lt;2,IF(N422&lt;16,"低","中"),IF(L422&lt;3,IF(N422&lt;5,"低",IF(N422&lt;16,"中","高")),IF(N422&lt;5,"中","高"))))),IF(OR(I422="EO",I422="EQ"),IF(OR(X422="估算法",X422="算法类"),"中",IF(X422="无法识别","低",IF(L422&lt;2,IF(N422&lt;20,"低","中"),IF(L422&lt;4,IF(N422&lt;6,"低",IF(N422&lt;20,"中","高")),IF(N422&lt;6,"中","高"))))),IF(OR(I422="ILF",I422="EIF"),IF(OR(X422="估算法",X422="算法类",X422="无法识别"),"低",IF(M422&lt;2,IF(N422&lt;51,"低","中"),IF(M422&lt;6,IF(N422&lt;20,"低",IF(N422&lt;51,"中","高")),IF(N422&lt;20,"中","高")))),"不计算")))</f>
        <v/>
      </c>
      <c r="P422" s="142">
        <f>IFERROR(IF(I422="EI",IF(O422="低",3,IF(O422="中",4,6)),IF(I422="EO",IF(O422="低",4,IF(O422="中",5,7)),IF(I422="EQ",IF(O422="低",3,IF(O422="中",4,6)),IF(I422="ILF",IF(O422="低",7,IF(O422="中",10,15)),IF(I422="EIF",IF(O422="低",5,IF(O422="中",7,10)),"不计算")))))*Q422,"不计算")</f>
        <v/>
      </c>
      <c r="Q422" s="142" t="n">
        <v>1</v>
      </c>
      <c r="R422" s="143">
        <f>调整因子!$F$13</f>
        <v/>
      </c>
      <c r="S422" s="76" t="n">
        <v>1</v>
      </c>
      <c r="T422" s="144">
        <f>IFERROR(P422*R422,0)</f>
        <v/>
      </c>
      <c r="U422" s="144">
        <f>T422*S422</f>
        <v/>
      </c>
      <c r="V422" s="76" t="inlineStr">
        <is>
          <t>资产变更触发机制表、变更记录管理表</t>
        </is>
      </c>
      <c r="W422" s="81" t="n"/>
      <c r="X422" s="76" t="inlineStr">
        <is>
          <t>资产变更触发机制表{主键 id 、资产 id 、变更类型、变更时间、触发源（如用户操作、系统自动检测等）、关联关系评定（评定资产变更对关联关系的影响程度）}
变更记录管理表{主键 id 、资产 id 、变更类型（如新增、删除、修改等）、变更时间、变更人、变更详情、关联资产、变更触发机制表 id（与资产变更触发机制表关联）}</t>
        </is>
      </c>
      <c r="Y422" s="88" t="n"/>
      <c r="Z422" s="88" t="n"/>
      <c r="AA422" s="96" t="inlineStr">
        <is>
          <t>数据清洗任务表、接口监控配置表</t>
        </is>
      </c>
    </row>
    <row r="423" hidden="1" ht="21.6" customHeight="1">
      <c r="A423" s="69">
        <f>ROW()-1</f>
        <v/>
      </c>
      <c r="B423" s="53" t="n"/>
      <c r="C423" s="78" t="n">
        <v>2025</v>
      </c>
      <c r="D423" s="78" t="inlineStr">
        <is>
          <t>窦鹏岐</t>
        </is>
      </c>
      <c r="E423" s="53" t="n"/>
      <c r="F423" s="53" t="n"/>
      <c r="G423" s="54" t="n"/>
      <c r="H423" s="80" t="inlineStr">
        <is>
          <t>资产变更监控</t>
        </is>
      </c>
      <c r="I423" s="76" t="n"/>
      <c r="J423" s="108" t="n"/>
      <c r="K423" s="108" t="inlineStr">
        <is>
          <t>未穿越系统边界，非事务功能，明确无输出内容</t>
        </is>
      </c>
      <c r="L423" s="83">
        <f>IF(OR(X423="估算法",X423="算法类",X423="无法识别"),"",IF(V423="",IF(OR(I423="EI",I423="EO",I423="EQ"),0,""),LEN(V423)-LEN(SUBSTITUTE(V423,"、",""))+1))</f>
        <v/>
      </c>
      <c r="M423" s="83">
        <f>IF(OR(X423="估算法",X423="算法类",X423="无法识别"),"",IF(W423="",IF(OR(I423="ILF",I423="EIF"),0,""),LEN(W423)-LEN(SUBSTITUTE(W423,"、",""))+1))</f>
        <v/>
      </c>
      <c r="N423" s="83">
        <f>IF(OR(X423="估算法",X423="算法类",X423="无法识别"),"",IF(X423="",IF(OR(I423="ILF",I423="EIF",I423="EI",I423="EO",I423="EQ"),0,""),LEN(X423)-LEN(SUBSTITUTE(SUBSTITUTE(SUBSTITUTE(SUBSTITUTE(SUBSTITUTE(X423,"|}","--"),"{|","--"),CHAR(10),""),"、",""),"|",""))+IF(AND(OR(I423="EI",I423="EO",I423="EQ"),$AD$1="NESMA"),2,1)))</f>
        <v/>
      </c>
      <c r="O423" s="84">
        <f>IF(I423="EI",IF(OR(X423="估算法",X423="算法类"),"中",IF(X423="无法识别","低",IF(L423&lt;2,IF(N423&lt;16,"低","中"),IF(L423&lt;3,IF(N423&lt;5,"低",IF(N423&lt;16,"中","高")),IF(N423&lt;5,"中","高"))))),IF(OR(I423="EO",I423="EQ"),IF(OR(X423="估算法",X423="算法类"),"中",IF(X423="无法识别","低",IF(L423&lt;2,IF(N423&lt;20,"低","中"),IF(L423&lt;4,IF(N423&lt;6,"低",IF(N423&lt;20,"中","高")),IF(N423&lt;6,"中","高"))))),IF(OR(I423="ILF",I423="EIF"),IF(OR(X423="估算法",X423="算法类",X423="无法识别"),"低",IF(M423&lt;2,IF(N423&lt;51,"低","中"),IF(M423&lt;6,IF(N423&lt;20,"低",IF(N423&lt;51,"中","高")),IF(N423&lt;20,"中","高")))),"不计算")))</f>
        <v/>
      </c>
      <c r="P423" s="142">
        <f>IFERROR(IF(I423="EI",IF(O423="低",3,IF(O423="中",4,6)),IF(I423="EO",IF(O423="低",4,IF(O423="中",5,7)),IF(I423="EQ",IF(O423="低",3,IF(O423="中",4,6)),IF(I423="ILF",IF(O423="低",7,IF(O423="中",10,15)),IF(I423="EIF",IF(O423="低",5,IF(O423="中",7,10)),"不计算")))))*Q423,"不计算")</f>
        <v/>
      </c>
      <c r="Q423" s="142" t="n">
        <v>1</v>
      </c>
      <c r="R423" s="143">
        <f>调整因子!$F$13</f>
        <v/>
      </c>
      <c r="S423" s="70" t="n">
        <v>1</v>
      </c>
      <c r="T423" s="144">
        <f>IFERROR(P423*R423,0)</f>
        <v/>
      </c>
      <c r="U423" s="144">
        <f>T423*S423</f>
        <v/>
      </c>
      <c r="V423" s="76" t="inlineStr">
        <is>
          <t>资产变更监控表</t>
        </is>
      </c>
      <c r="W423" s="81" t="n"/>
      <c r="X423" s="76" t="inlineStr">
        <is>
          <t>资产变更监控表{主键 id 、资产 id 、监控时间、变更状态（如已监控、未处理等）、变更详情}</t>
        </is>
      </c>
      <c r="Y423" s="88" t="n"/>
      <c r="Z423" s="88" t="n"/>
      <c r="AA423" s="96" t="inlineStr">
        <is>
          <t>任务优先级配置表、模板参数配置表</t>
        </is>
      </c>
    </row>
    <row r="424" hidden="1" ht="54" customHeight="1">
      <c r="A424" s="69">
        <f>ROW()-1</f>
        <v/>
      </c>
      <c r="B424" s="53" t="n"/>
      <c r="C424" s="78" t="n">
        <v>2025</v>
      </c>
      <c r="D424" s="78" t="inlineStr">
        <is>
          <t>窦鹏岐</t>
        </is>
      </c>
      <c r="E424" s="53" t="n"/>
      <c r="F424" s="53" t="n"/>
      <c r="G424" s="79" t="inlineStr">
        <is>
          <t>变更记录管理</t>
        </is>
      </c>
      <c r="H424" s="80" t="inlineStr">
        <is>
          <t>新增资产变更日志</t>
        </is>
      </c>
      <c r="I424" s="76" t="n"/>
      <c r="J424" s="108" t="n"/>
      <c r="K424" s="108" t="inlineStr">
        <is>
          <t>日志记录和下行合并</t>
        </is>
      </c>
      <c r="L424" s="83">
        <f>IF(OR(X424="估算法",X424="算法类",X424="无法识别"),"",IF(V424="",IF(OR(I424="EI",I424="EO",I424="EQ"),0,""),LEN(V424)-LEN(SUBSTITUTE(V424,"、",""))+1))</f>
        <v/>
      </c>
      <c r="M424" s="83">
        <f>IF(OR(X424="估算法",X424="算法类",X424="无法识别"),"",IF(W424="",IF(OR(I424="ILF",I424="EIF"),0,""),LEN(W424)-LEN(SUBSTITUTE(W424,"、",""))+1))</f>
        <v/>
      </c>
      <c r="N424" s="83">
        <f>IF(OR(X424="估算法",X424="算法类",X424="无法识别"),"",IF(X424="",IF(OR(I424="ILF",I424="EIF",I424="EI",I424="EO",I424="EQ"),0,""),LEN(X424)-LEN(SUBSTITUTE(SUBSTITUTE(SUBSTITUTE(SUBSTITUTE(SUBSTITUTE(X424,"|}","--"),"{|","--"),CHAR(10),""),"、",""),"|",""))+IF(AND(OR(I424="EI",I424="EO",I424="EQ"),$AD$1="NESMA"),2,1)))</f>
        <v/>
      </c>
      <c r="O424" s="84">
        <f>IF(I424="EI",IF(OR(X424="估算法",X424="算法类"),"中",IF(X424="无法识别","低",IF(L424&lt;2,IF(N424&lt;16,"低","中"),IF(L424&lt;3,IF(N424&lt;5,"低",IF(N424&lt;16,"中","高")),IF(N424&lt;5,"中","高"))))),IF(OR(I424="EO",I424="EQ"),IF(OR(X424="估算法",X424="算法类"),"中",IF(X424="无法识别","低",IF(L424&lt;2,IF(N424&lt;20,"低","中"),IF(L424&lt;4,IF(N424&lt;6,"低",IF(N424&lt;20,"中","高")),IF(N424&lt;6,"中","高"))))),IF(OR(I424="ILF",I424="EIF"),IF(OR(X424="估算法",X424="算法类",X424="无法识别"),"低",IF(M424&lt;2,IF(N424&lt;51,"低","中"),IF(M424&lt;6,IF(N424&lt;20,"低",IF(N424&lt;51,"中","高")),IF(N424&lt;20,"中","高")))),"不计算")))</f>
        <v/>
      </c>
      <c r="P424" s="142">
        <f>IFERROR(IF(I424="EI",IF(O424="低",3,IF(O424="中",4,6)),IF(I424="EO",IF(O424="低",4,IF(O424="中",5,7)),IF(I424="EQ",IF(O424="低",3,IF(O424="中",4,6)),IF(I424="ILF",IF(O424="低",7,IF(O424="中",10,15)),IF(I424="EIF",IF(O424="低",5,IF(O424="中",7,10)),"不计算")))))*Q424,"不计算")</f>
        <v/>
      </c>
      <c r="Q424" s="142" t="n">
        <v>1</v>
      </c>
      <c r="R424" s="143">
        <f>调整因子!$F$13</f>
        <v/>
      </c>
      <c r="S424" s="70" t="n">
        <v>1</v>
      </c>
      <c r="T424" s="144">
        <f>IFERROR(P424*R424,0)</f>
        <v/>
      </c>
      <c r="U424" s="144">
        <f>T424*S424</f>
        <v/>
      </c>
      <c r="V424" s="79" t="inlineStr">
        <is>
          <t>变更日志历史记录表、变更记录管理表</t>
        </is>
      </c>
      <c r="W424" s="81" t="n"/>
      <c r="X424" s="76" t="inlineStr">
        <is>
          <t>变更日志历史记录表{主键 id 、原数据、变更数据、日志记录时间、日志详情、创建时间、创建人}
变更记录管理表{主键 id 、资产 id 、变更类型（如新增、删除、修改等）、变更时间、变更人、变更详情、关联资产、变更触发机制表 id（与资产变更触发机制表关联）}</t>
        </is>
      </c>
      <c r="Y424" s="88" t="n"/>
      <c r="Z424" s="88" t="n"/>
      <c r="AA424" s="96" t="inlineStr">
        <is>
          <t>性能数据表、接口参数配置表</t>
        </is>
      </c>
    </row>
    <row r="425" hidden="1" ht="21.6" customHeight="1">
      <c r="A425" s="69">
        <f>ROW()-1</f>
        <v/>
      </c>
      <c r="B425" s="53" t="n"/>
      <c r="C425" s="78" t="n">
        <v>2025</v>
      </c>
      <c r="D425" s="78" t="inlineStr">
        <is>
          <t>窦鹏岐</t>
        </is>
      </c>
      <c r="E425" s="53" t="n"/>
      <c r="F425" s="53" t="n"/>
      <c r="G425" s="53" t="n"/>
      <c r="H425" s="80" t="inlineStr">
        <is>
          <t>查看历史日志</t>
        </is>
      </c>
      <c r="I425" s="76" t="inlineStr">
        <is>
          <t>EQ</t>
        </is>
      </c>
      <c r="J425" s="108" t="n"/>
      <c r="K425" s="108" t="n"/>
      <c r="L425" s="83">
        <f>IF(OR(X425="估算法",X425="算法类",X425="无法识别"),"",IF(V425="",IF(OR(I425="EI",I425="EO",I425="EQ"),0,""),LEN(V425)-LEN(SUBSTITUTE(V425,"、",""))+1))</f>
        <v/>
      </c>
      <c r="M425" s="83">
        <f>IF(OR(X425="估算法",X425="算法类",X425="无法识别"),"",IF(W425="",IF(OR(I425="ILF",I425="EIF"),0,""),LEN(W425)-LEN(SUBSTITUTE(W425,"、",""))+1))</f>
        <v/>
      </c>
      <c r="N425" s="83">
        <f>IF(OR(X425="估算法",X425="算法类",X425="无法识别"),"",IF(X425="",IF(OR(I425="ILF",I425="EIF",I425="EI",I425="EO",I425="EQ"),0,""),LEN(X425)-LEN(SUBSTITUTE(SUBSTITUTE(SUBSTITUTE(SUBSTITUTE(SUBSTITUTE(X425,"|}","--"),"{|","--"),CHAR(10),""),"、",""),"|",""))+IF(AND(OR(I425="EI",I425="EO",I425="EQ"),$AD$1="NESMA"),2,1)))</f>
        <v/>
      </c>
      <c r="O425" s="84">
        <f>IF(I425="EI",IF(OR(X425="估算法",X425="算法类"),"中",IF(X425="无法识别","低",IF(L425&lt;2,IF(N425&lt;16,"低","中"),IF(L425&lt;3,IF(N425&lt;5,"低",IF(N425&lt;16,"中","高")),IF(N425&lt;5,"中","高"))))),IF(OR(I425="EO",I425="EQ"),IF(OR(X425="估算法",X425="算法类"),"中",IF(X425="无法识别","低",IF(L425&lt;2,IF(N425&lt;20,"低","中"),IF(L425&lt;4,IF(N425&lt;6,"低",IF(N425&lt;20,"中","高")),IF(N425&lt;6,"中","高"))))),IF(OR(I425="ILF",I425="EIF"),IF(OR(X425="估算法",X425="算法类",X425="无法识别"),"低",IF(M425&lt;2,IF(N425&lt;51,"低","中"),IF(M425&lt;6,IF(N425&lt;20,"低",IF(N425&lt;51,"中","高")),IF(N425&lt;20,"中","高")))),"不计算")))</f>
        <v/>
      </c>
      <c r="P425" s="142">
        <f>IFERROR(IF(I425="EI",IF(O425="低",3,IF(O425="中",4,6)),IF(I425="EO",IF(O425="低",4,IF(O425="中",5,7)),IF(I425="EQ",IF(O425="低",3,IF(O425="中",4,6)),IF(I425="ILF",IF(O425="低",7,IF(O425="中",10,15)),IF(I425="EIF",IF(O425="低",5,IF(O425="中",7,10)),"不计算")))))*Q425,"不计算")</f>
        <v/>
      </c>
      <c r="Q425" s="142" t="n">
        <v>1</v>
      </c>
      <c r="R425" s="143">
        <f>调整因子!$F$13</f>
        <v/>
      </c>
      <c r="S425" s="76" t="n">
        <v>1</v>
      </c>
      <c r="T425" s="144">
        <f>IFERROR(P425*R425,0)</f>
        <v/>
      </c>
      <c r="U425" s="144">
        <f>T425*S425</f>
        <v/>
      </c>
      <c r="V425" s="79" t="inlineStr">
        <is>
          <t>变更日志历史记录表</t>
        </is>
      </c>
      <c r="W425" s="81" t="n"/>
      <c r="X425" s="76" t="inlineStr">
        <is>
          <t>变更日志历史记录表{主键 id 、原数据、变更数据、日志记录时间、日志详情、创建时间、创建人}</t>
        </is>
      </c>
      <c r="Y425" s="88" t="n"/>
      <c r="Z425" s="88" t="n"/>
      <c r="AA425" s="96" t="inlineStr">
        <is>
          <t>任务优先级配置表</t>
        </is>
      </c>
    </row>
    <row r="426" hidden="1" ht="21.6" customHeight="1">
      <c r="A426" s="69">
        <f>ROW()-1</f>
        <v/>
      </c>
      <c r="B426" s="53" t="n"/>
      <c r="C426" s="78" t="n">
        <v>2025</v>
      </c>
      <c r="D426" s="78" t="inlineStr">
        <is>
          <t>窦鹏岐</t>
        </is>
      </c>
      <c r="E426" s="53" t="n"/>
      <c r="F426" s="53" t="n"/>
      <c r="G426" s="53" t="n"/>
      <c r="H426" s="80" t="inlineStr">
        <is>
          <t>资产变更触发机制表</t>
        </is>
      </c>
      <c r="I426" s="81" t="inlineStr">
        <is>
          <t>ILF</t>
        </is>
      </c>
      <c r="J426" s="108" t="n"/>
      <c r="K426" s="108" t="inlineStr">
        <is>
          <t>数据库表未被本系统所维护</t>
        </is>
      </c>
      <c r="L426" s="83">
        <f>IF(OR(X426="估算法",X426="算法类",X426="无法识别"),"",IF(V426="",IF(OR(I426="EI",I426="EO",I426="EQ"),0,""),LEN(V426)-LEN(SUBSTITUTE(V426,"、",""))+1))</f>
        <v/>
      </c>
      <c r="M426" s="83">
        <f>IF(OR(X426="估算法",X426="算法类",X426="无法识别"),"",IF(W426="",IF(OR(I426="ILF",I426="EIF"),0,""),LEN(W426)-LEN(SUBSTITUTE(W426,"、",""))+1))</f>
        <v/>
      </c>
      <c r="N426" s="83">
        <f>IF(OR(X426="估算法",X426="算法类",X426="无法识别"),"",IF(X426="",IF(OR(I426="ILF",I426="EIF",I426="EI",I426="EO",I426="EQ"),0,""),LEN(X426)-LEN(SUBSTITUTE(SUBSTITUTE(SUBSTITUTE(SUBSTITUTE(SUBSTITUTE(X426,"|}","--"),"{|","--"),CHAR(10),""),"、",""),"|",""))+IF(AND(OR(I426="EI",I426="EO",I426="EQ"),$AD$1="NESMA"),2,1)))</f>
        <v/>
      </c>
      <c r="O426" s="84">
        <f>IF(I426="EI",IF(OR(X426="估算法",X426="算法类"),"中",IF(X426="无法识别","低",IF(L426&lt;2,IF(N426&lt;16,"低","中"),IF(L426&lt;3,IF(N426&lt;5,"低",IF(N426&lt;16,"中","高")),IF(N426&lt;5,"中","高"))))),IF(OR(I426="EO",I426="EQ"),IF(OR(X426="估算法",X426="算法类"),"中",IF(X426="无法识别","低",IF(L426&lt;2,IF(N426&lt;20,"低","中"),IF(L426&lt;4,IF(N426&lt;6,"低",IF(N426&lt;20,"中","高")),IF(N426&lt;6,"中","高"))))),IF(OR(I426="ILF",I426="EIF"),IF(OR(X426="估算法",X426="算法类",X426="无法识别"),"低",IF(M426&lt;2,IF(N426&lt;51,"低","中"),IF(M426&lt;6,IF(N426&lt;20,"低",IF(N426&lt;51,"中","高")),IF(N426&lt;20,"中","高")))),"不计算")))</f>
        <v/>
      </c>
      <c r="P426" s="142">
        <f>IFERROR(IF(I426="EI",IF(O426="低",3,IF(O426="中",4,6)),IF(I426="EO",IF(O426="低",4,IF(O426="中",5,7)),IF(I426="EQ",IF(O426="低",3,IF(O426="中",4,6)),IF(I426="ILF",IF(O426="低",7,IF(O426="中",10,15)),IF(I426="EIF",IF(O426="低",5,IF(O426="中",7,10)),"不计算")))))*Q426,"不计算")</f>
        <v/>
      </c>
      <c r="Q426" s="142" t="n">
        <v>0</v>
      </c>
      <c r="R426" s="143">
        <f>调整因子!$F$13</f>
        <v/>
      </c>
      <c r="S426" s="70" t="n">
        <v>1</v>
      </c>
      <c r="T426" s="144">
        <f>IFERROR(P426*R426,0)</f>
        <v/>
      </c>
      <c r="U426" s="144">
        <f>T426*S426</f>
        <v/>
      </c>
      <c r="V426" s="81" t="n"/>
      <c r="W426" s="79" t="inlineStr">
        <is>
          <t>资产变更触发机制表</t>
        </is>
      </c>
      <c r="X426" s="76" t="inlineStr">
        <is>
          <t>资产变更触发机制表{主键 id 、资产 id 、变更类型、变更时间、触发源（如用户操作、系统自动检测等）、关联关系评定（评定资产变更对关联关系的影响程度）}</t>
        </is>
      </c>
      <c r="Y426" s="88">
        <f>IF(COUNTIFS(V:V,"*"&amp;H426&amp;"*")&gt;0,"存在","不存在")</f>
        <v/>
      </c>
      <c r="Z426" s="88">
        <f>IF(COUNTIFS(AA:AA,"*"&amp;H426&amp;"*")&gt;0,"存在","不存在")</f>
        <v/>
      </c>
      <c r="AA426" s="96" t="inlineStr">
        <is>
          <t>态势大屏配置表</t>
        </is>
      </c>
    </row>
    <row r="427" hidden="1" ht="21.6" customHeight="1">
      <c r="A427" s="69">
        <f>ROW()-1</f>
        <v/>
      </c>
      <c r="B427" s="53" t="n"/>
      <c r="C427" s="78" t="n">
        <v>2025</v>
      </c>
      <c r="D427" s="78" t="inlineStr">
        <is>
          <t>窦鹏岐</t>
        </is>
      </c>
      <c r="E427" s="53" t="n"/>
      <c r="F427" s="53" t="n"/>
      <c r="G427" s="53" t="n"/>
      <c r="H427" s="80" t="inlineStr">
        <is>
          <t>资产变更监控表</t>
        </is>
      </c>
      <c r="I427" s="81" t="inlineStr">
        <is>
          <t>ILF</t>
        </is>
      </c>
      <c r="J427" s="108" t="n"/>
      <c r="K427" s="108" t="inlineStr">
        <is>
          <t>数据库表未被本系统所维护</t>
        </is>
      </c>
      <c r="L427" s="83">
        <f>IF(OR(X427="估算法",X427="算法类",X427="无法识别"),"",IF(V427="",IF(OR(I427="EI",I427="EO",I427="EQ"),0,""),LEN(V427)-LEN(SUBSTITUTE(V427,"、",""))+1))</f>
        <v/>
      </c>
      <c r="M427" s="83">
        <f>IF(OR(X427="估算法",X427="算法类",X427="无法识别"),"",IF(W427="",IF(OR(I427="ILF",I427="EIF"),0,""),LEN(W427)-LEN(SUBSTITUTE(W427,"、",""))+1))</f>
        <v/>
      </c>
      <c r="N427" s="83">
        <f>IF(OR(X427="估算法",X427="算法类",X427="无法识别"),"",IF(X427="",IF(OR(I427="ILF",I427="EIF",I427="EI",I427="EO",I427="EQ"),0,""),LEN(X427)-LEN(SUBSTITUTE(SUBSTITUTE(SUBSTITUTE(SUBSTITUTE(SUBSTITUTE(X427,"|}","--"),"{|","--"),CHAR(10),""),"、",""),"|",""))+IF(AND(OR(I427="EI",I427="EO",I427="EQ"),$AD$1="NESMA"),2,1)))</f>
        <v/>
      </c>
      <c r="O427" s="84">
        <f>IF(I427="EI",IF(OR(X427="估算法",X427="算法类"),"中",IF(X427="无法识别","低",IF(L427&lt;2,IF(N427&lt;16,"低","中"),IF(L427&lt;3,IF(N427&lt;5,"低",IF(N427&lt;16,"中","高")),IF(N427&lt;5,"中","高"))))),IF(OR(I427="EO",I427="EQ"),IF(OR(X427="估算法",X427="算法类"),"中",IF(X427="无法识别","低",IF(L427&lt;2,IF(N427&lt;20,"低","中"),IF(L427&lt;4,IF(N427&lt;6,"低",IF(N427&lt;20,"中","高")),IF(N427&lt;6,"中","高"))))),IF(OR(I427="ILF",I427="EIF"),IF(OR(X427="估算法",X427="算法类",X427="无法识别"),"低",IF(M427&lt;2,IF(N427&lt;51,"低","中"),IF(M427&lt;6,IF(N427&lt;20,"低",IF(N427&lt;51,"中","高")),IF(N427&lt;20,"中","高")))),"不计算")))</f>
        <v/>
      </c>
      <c r="P427" s="142">
        <f>IFERROR(IF(I427="EI",IF(O427="低",3,IF(O427="中",4,6)),IF(I427="EO",IF(O427="低",4,IF(O427="中",5,7)),IF(I427="EQ",IF(O427="低",3,IF(O427="中",4,6)),IF(I427="ILF",IF(O427="低",7,IF(O427="中",10,15)),IF(I427="EIF",IF(O427="低",5,IF(O427="中",7,10)),"不计算")))))*Q427,"不计算")</f>
        <v/>
      </c>
      <c r="Q427" s="142" t="n">
        <v>0</v>
      </c>
      <c r="R427" s="143">
        <f>调整因子!$F$13</f>
        <v/>
      </c>
      <c r="S427" s="70" t="n">
        <v>1</v>
      </c>
      <c r="T427" s="144">
        <f>IFERROR(P427*R427,0)</f>
        <v/>
      </c>
      <c r="U427" s="144">
        <f>T427*S427</f>
        <v/>
      </c>
      <c r="V427" s="81" t="n"/>
      <c r="W427" s="79" t="inlineStr">
        <is>
          <t>资产变更监控表</t>
        </is>
      </c>
      <c r="X427" s="76" t="inlineStr">
        <is>
          <t>资产变更监控表{主键 id 、资产 id 、监控时间、变更状态（如已监控、未处理等）、变更详情}</t>
        </is>
      </c>
      <c r="Y427" s="88">
        <f>IF(COUNTIFS(V:V,"*"&amp;H427&amp;"*")&gt;0,"存在","不存在")</f>
        <v/>
      </c>
      <c r="Z427" s="88">
        <f>IF(COUNTIFS(AA:AA,"*"&amp;H427&amp;"*")&gt;0,"存在","不存在")</f>
        <v/>
      </c>
      <c r="AA427" s="96" t="inlineStr">
        <is>
          <t>任务优先级配置表、模板参数配置表</t>
        </is>
      </c>
    </row>
    <row r="428" hidden="1" ht="32.4" customHeight="1">
      <c r="A428" s="69">
        <f>ROW()-1</f>
        <v/>
      </c>
      <c r="B428" s="53" t="n"/>
      <c r="C428" s="78" t="n">
        <v>2025</v>
      </c>
      <c r="D428" s="78" t="inlineStr">
        <is>
          <t>窦鹏岐</t>
        </is>
      </c>
      <c r="E428" s="53" t="n"/>
      <c r="F428" s="53" t="n"/>
      <c r="G428" s="53" t="n"/>
      <c r="H428" s="80" t="inlineStr">
        <is>
          <t>变更记录管理表</t>
        </is>
      </c>
      <c r="I428" s="81" t="inlineStr">
        <is>
          <t>ILF</t>
        </is>
      </c>
      <c r="J428" s="108" t="n"/>
      <c r="K428" s="108" t="inlineStr">
        <is>
          <t>数据库表未被本系统所维护</t>
        </is>
      </c>
      <c r="L428" s="83">
        <f>IF(OR(X428="估算法",X428="算法类",X428="无法识别"),"",IF(V428="",IF(OR(I428="EI",I428="EO",I428="EQ"),0,""),LEN(V428)-LEN(SUBSTITUTE(V428,"、",""))+1))</f>
        <v/>
      </c>
      <c r="M428" s="83">
        <f>IF(OR(X428="估算法",X428="算法类",X428="无法识别"),"",IF(W428="",IF(OR(I428="ILF",I428="EIF"),0,""),LEN(W428)-LEN(SUBSTITUTE(W428,"、",""))+1))</f>
        <v/>
      </c>
      <c r="N428" s="83">
        <f>IF(OR(X428="估算法",X428="算法类",X428="无法识别"),"",IF(X428="",IF(OR(I428="ILF",I428="EIF",I428="EI",I428="EO",I428="EQ"),0,""),LEN(X428)-LEN(SUBSTITUTE(SUBSTITUTE(SUBSTITUTE(SUBSTITUTE(SUBSTITUTE(X428,"|}","--"),"{|","--"),CHAR(10),""),"、",""),"|",""))+IF(AND(OR(I428="EI",I428="EO",I428="EQ"),$AD$1="NESMA"),2,1)))</f>
        <v/>
      </c>
      <c r="O428" s="84">
        <f>IF(I428="EI",IF(OR(X428="估算法",X428="算法类"),"中",IF(X428="无法识别","低",IF(L428&lt;2,IF(N428&lt;16,"低","中"),IF(L428&lt;3,IF(N428&lt;5,"低",IF(N428&lt;16,"中","高")),IF(N428&lt;5,"中","高"))))),IF(OR(I428="EO",I428="EQ"),IF(OR(X428="估算法",X428="算法类"),"中",IF(X428="无法识别","低",IF(L428&lt;2,IF(N428&lt;20,"低","中"),IF(L428&lt;4,IF(N428&lt;6,"低",IF(N428&lt;20,"中","高")),IF(N428&lt;6,"中","高"))))),IF(OR(I428="ILF",I428="EIF"),IF(OR(X428="估算法",X428="算法类",X428="无法识别"),"低",IF(M428&lt;2,IF(N428&lt;51,"低","中"),IF(M428&lt;6,IF(N428&lt;20,"低",IF(N428&lt;51,"中","高")),IF(N428&lt;20,"中","高")))),"不计算")))</f>
        <v/>
      </c>
      <c r="P428" s="142">
        <f>IFERROR(IF(I428="EI",IF(O428="低",3,IF(O428="中",4,6)),IF(I428="EO",IF(O428="低",4,IF(O428="中",5,7)),IF(I428="EQ",IF(O428="低",3,IF(O428="中",4,6)),IF(I428="ILF",IF(O428="低",7,IF(O428="中",10,15)),IF(I428="EIF",IF(O428="低",5,IF(O428="中",7,10)),"不计算")))))*Q428,"不计算")</f>
        <v/>
      </c>
      <c r="Q428" s="142" t="n">
        <v>0</v>
      </c>
      <c r="R428" s="143">
        <f>调整因子!$F$13</f>
        <v/>
      </c>
      <c r="S428" s="76" t="n">
        <v>1</v>
      </c>
      <c r="T428" s="144">
        <f>IFERROR(P428*R428,0)</f>
        <v/>
      </c>
      <c r="U428" s="144">
        <f>T428*S428</f>
        <v/>
      </c>
      <c r="V428" s="81" t="n"/>
      <c r="W428" s="79" t="inlineStr">
        <is>
          <t>变更记录管理表</t>
        </is>
      </c>
      <c r="X428" s="76" t="inlineStr">
        <is>
          <t>变更记录管理表{主键 id 、资产 id 、变更类型（如新增、删除、修改等）、变更时间、变更人、变更详情、关联资产、变更触发机制表 id（与资产变更触发机制表关联）}</t>
        </is>
      </c>
      <c r="Y428" s="88">
        <f>IF(COUNTIFS(V:V,"*"&amp;H428&amp;"*")&gt;0,"存在","不存在")</f>
        <v/>
      </c>
      <c r="Z428" s="88">
        <f>IF(COUNTIFS(AA:AA,"*"&amp;H428&amp;"*")&gt;0,"存在","不存在")</f>
        <v/>
      </c>
      <c r="AA428" s="96" t="inlineStr">
        <is>
          <t>报表模板表、推送失败重试表</t>
        </is>
      </c>
    </row>
    <row r="429" hidden="1" ht="21.6" customHeight="1">
      <c r="A429" s="69">
        <f>ROW()-1</f>
        <v/>
      </c>
      <c r="B429" s="53" t="n"/>
      <c r="C429" s="78" t="n">
        <v>2025</v>
      </c>
      <c r="D429" s="78" t="inlineStr">
        <is>
          <t>窦鹏岐</t>
        </is>
      </c>
      <c r="E429" s="53" t="n"/>
      <c r="F429" s="54" t="n"/>
      <c r="G429" s="54" t="n"/>
      <c r="H429" s="80" t="inlineStr">
        <is>
          <t>变更日志历史记录表</t>
        </is>
      </c>
      <c r="I429" s="81" t="inlineStr">
        <is>
          <t>ILF</t>
        </is>
      </c>
      <c r="J429" s="108" t="n"/>
      <c r="K429" s="108" t="inlineStr">
        <is>
          <t>数据库表未被本系统所维护</t>
        </is>
      </c>
      <c r="L429" s="83">
        <f>IF(OR(X429="估算法",X429="算法类",X429="无法识别"),"",IF(V429="",IF(OR(I429="EI",I429="EO",I429="EQ"),0,""),LEN(V429)-LEN(SUBSTITUTE(V429,"、",""))+1))</f>
        <v/>
      </c>
      <c r="M429" s="83">
        <f>IF(OR(X429="估算法",X429="算法类",X429="无法识别"),"",IF(W429="",IF(OR(I429="ILF",I429="EIF"),0,""),LEN(W429)-LEN(SUBSTITUTE(W429,"、",""))+1))</f>
        <v/>
      </c>
      <c r="N429" s="83">
        <f>IF(OR(X429="估算法",X429="算法类",X429="无法识别"),"",IF(X429="",IF(OR(I429="ILF",I429="EIF",I429="EI",I429="EO",I429="EQ"),0,""),LEN(X429)-LEN(SUBSTITUTE(SUBSTITUTE(SUBSTITUTE(SUBSTITUTE(SUBSTITUTE(X429,"|}","--"),"{|","--"),CHAR(10),""),"、",""),"|",""))+IF(AND(OR(I429="EI",I429="EO",I429="EQ"),$AD$1="NESMA"),2,1)))</f>
        <v/>
      </c>
      <c r="O429" s="84">
        <f>IF(I429="EI",IF(OR(X429="估算法",X429="算法类"),"中",IF(X429="无法识别","低",IF(L429&lt;2,IF(N429&lt;16,"低","中"),IF(L429&lt;3,IF(N429&lt;5,"低",IF(N429&lt;16,"中","高")),IF(N429&lt;5,"中","高"))))),IF(OR(I429="EO",I429="EQ"),IF(OR(X429="估算法",X429="算法类"),"中",IF(X429="无法识别","低",IF(L429&lt;2,IF(N429&lt;20,"低","中"),IF(L429&lt;4,IF(N429&lt;6,"低",IF(N429&lt;20,"中","高")),IF(N429&lt;6,"中","高"))))),IF(OR(I429="ILF",I429="EIF"),IF(OR(X429="估算法",X429="算法类",X429="无法识别"),"低",IF(M429&lt;2,IF(N429&lt;51,"低","中"),IF(M429&lt;6,IF(N429&lt;20,"低",IF(N429&lt;51,"中","高")),IF(N429&lt;20,"中","高")))),"不计算")))</f>
        <v/>
      </c>
      <c r="P429" s="142">
        <f>IFERROR(IF(I429="EI",IF(O429="低",3,IF(O429="中",4,6)),IF(I429="EO",IF(O429="低",4,IF(O429="中",5,7)),IF(I429="EQ",IF(O429="低",3,IF(O429="中",4,6)),IF(I429="ILF",IF(O429="低",7,IF(O429="中",10,15)),IF(I429="EIF",IF(O429="低",5,IF(O429="中",7,10)),"不计算")))))*Q429,"不计算")</f>
        <v/>
      </c>
      <c r="Q429" s="142" t="n">
        <v>0</v>
      </c>
      <c r="R429" s="143">
        <f>调整因子!$F$13</f>
        <v/>
      </c>
      <c r="S429" s="70" t="n">
        <v>1</v>
      </c>
      <c r="T429" s="144">
        <f>IFERROR(P429*R429,0)</f>
        <v/>
      </c>
      <c r="U429" s="144">
        <f>T429*S429</f>
        <v/>
      </c>
      <c r="V429" s="81" t="n"/>
      <c r="W429" s="79" t="inlineStr">
        <is>
          <t>变更日志历史记录表</t>
        </is>
      </c>
      <c r="X429" s="76" t="inlineStr">
        <is>
          <t>变更日志历史记录表{主键 id 、原数据、变更数据、日志记录时间、日志详情、创建时间、创建人}</t>
        </is>
      </c>
      <c r="Y429" s="88">
        <f>IF(COUNTIFS(V:V,"*"&amp;H429&amp;"*")&gt;0,"存在","不存在")</f>
        <v/>
      </c>
      <c r="Z429" s="88">
        <f>IF(COUNTIFS(AA:AA,"*"&amp;H429&amp;"*")&gt;0,"存在","不存在")</f>
        <v/>
      </c>
      <c r="AA429" s="96" t="inlineStr">
        <is>
          <t>报表模板表、漏洞处置推送接口配置表</t>
        </is>
      </c>
    </row>
    <row r="430" hidden="1" ht="21.6" customHeight="1">
      <c r="A430" s="69">
        <f>ROW()-1</f>
        <v/>
      </c>
      <c r="B430" s="53" t="n"/>
      <c r="C430" s="78" t="n">
        <v>2025</v>
      </c>
      <c r="D430" s="78" t="inlineStr">
        <is>
          <t>窦鹏岐</t>
        </is>
      </c>
      <c r="E430" s="53" t="n"/>
      <c r="F430" s="79" t="inlineStr">
        <is>
          <t>资产建模</t>
        </is>
      </c>
      <c r="G430" s="79" t="inlineStr">
        <is>
          <t>自动同步与手动补录</t>
        </is>
      </c>
      <c r="H430" s="80" t="inlineStr">
        <is>
          <t>手动补录数据</t>
        </is>
      </c>
      <c r="I430" s="76" t="inlineStr">
        <is>
          <t>EI</t>
        </is>
      </c>
      <c r="J430" s="108" t="n"/>
      <c r="K430" s="108" t="n"/>
      <c r="L430" s="83">
        <f>IF(OR(X430="估算法",X430="算法类",X430="无法识别"),"",IF(V430="",IF(OR(I430="EI",I430="EO",I430="EQ"),0,""),LEN(V430)-LEN(SUBSTITUTE(V430,"、",""))+1))</f>
        <v/>
      </c>
      <c r="M430" s="83">
        <f>IF(OR(X430="估算法",X430="算法类",X430="无法识别"),"",IF(W430="",IF(OR(I430="ILF",I430="EIF"),0,""),LEN(W430)-LEN(SUBSTITUTE(W430,"、",""))+1))</f>
        <v/>
      </c>
      <c r="N430" s="83">
        <f>IF(OR(X430="估算法",X430="算法类",X430="无法识别"),"",IF(X430="",IF(OR(I430="ILF",I430="EIF",I430="EI",I430="EO",I430="EQ"),0,""),LEN(X430)-LEN(SUBSTITUTE(SUBSTITUTE(SUBSTITUTE(SUBSTITUTE(SUBSTITUTE(X430,"|}","--"),"{|","--"),CHAR(10),""),"、",""),"|",""))+IF(AND(OR(I430="EI",I430="EO",I430="EQ"),$AD$1="NESMA"),2,1)))</f>
        <v/>
      </c>
      <c r="O430" s="84">
        <f>IF(I430="EI",IF(OR(X430="估算法",X430="算法类"),"中",IF(X430="无法识别","低",IF(L430&lt;2,IF(N430&lt;16,"低","中"),IF(L430&lt;3,IF(N430&lt;5,"低",IF(N430&lt;16,"中","高")),IF(N430&lt;5,"中","高"))))),IF(OR(I430="EO",I430="EQ"),IF(OR(X430="估算法",X430="算法类"),"中",IF(X430="无法识别","低",IF(L430&lt;2,IF(N430&lt;20,"低","中"),IF(L430&lt;4,IF(N430&lt;6,"低",IF(N430&lt;20,"中","高")),IF(N430&lt;6,"中","高"))))),IF(OR(I430="ILF",I430="EIF"),IF(OR(X430="估算法",X430="算法类",X430="无法识别"),"低",IF(M430&lt;2,IF(N430&lt;51,"低","中"),IF(M430&lt;6,IF(N430&lt;20,"低",IF(N430&lt;51,"中","高")),IF(N430&lt;20,"中","高")))),"不计算")))</f>
        <v/>
      </c>
      <c r="P430" s="142">
        <f>IFERROR(IF(I430="EI",IF(O430="低",3,IF(O430="中",4,6)),IF(I430="EO",IF(O430="低",4,IF(O430="中",5,7)),IF(I430="EQ",IF(O430="低",3,IF(O430="中",4,6)),IF(I430="ILF",IF(O430="低",7,IF(O430="中",10,15)),IF(I430="EIF",IF(O430="低",5,IF(O430="中",7,10)),"不计算")))))*Q430,"不计算")</f>
        <v/>
      </c>
      <c r="Q430" s="142" t="n">
        <v>1</v>
      </c>
      <c r="R430" s="143">
        <f>调整因子!$F$13</f>
        <v/>
      </c>
      <c r="S430" s="70" t="n">
        <v>1</v>
      </c>
      <c r="T430" s="144">
        <f>IFERROR(P430*R430,0)</f>
        <v/>
      </c>
      <c r="U430" s="144">
        <f>T430*S430</f>
        <v/>
      </c>
      <c r="V430" s="76" t="inlineStr">
        <is>
          <t>手动补录数据表</t>
        </is>
      </c>
      <c r="W430" s="81" t="n"/>
      <c r="X430" s="76" t="inlineStr">
        <is>
          <t>手动补录数据表{主键 id 、资产名称、资产类型 、IP 地址、网站域名、资产描述、补录时间、补录人}</t>
        </is>
      </c>
      <c r="Y430" s="88" t="n"/>
      <c r="Z430" s="88" t="n"/>
      <c r="AA430" s="96" t="inlineStr">
        <is>
          <t>报表模板表</t>
        </is>
      </c>
    </row>
    <row r="431" hidden="1" ht="21.6" customHeight="1">
      <c r="A431" s="69">
        <f>ROW()-1</f>
        <v/>
      </c>
      <c r="B431" s="53" t="n"/>
      <c r="C431" s="78" t="n">
        <v>2025</v>
      </c>
      <c r="D431" s="78" t="inlineStr">
        <is>
          <t>窦鹏岐</t>
        </is>
      </c>
      <c r="E431" s="53" t="n"/>
      <c r="F431" s="53" t="n"/>
      <c r="G431" s="53" t="n"/>
      <c r="H431" s="80" t="inlineStr">
        <is>
          <t>数据校验反馈</t>
        </is>
      </c>
      <c r="I431" s="76" t="n"/>
      <c r="J431" s="108" t="n"/>
      <c r="K431" s="108" t="inlineStr">
        <is>
          <t>校验，非事务功能，和上行合并</t>
        </is>
      </c>
      <c r="L431" s="83">
        <f>IF(OR(X431="估算法",X431="算法类",X431="无法识别"),"",IF(V431="",IF(OR(I431="EI",I431="EO",I431="EQ"),0,""),LEN(V431)-LEN(SUBSTITUTE(V431,"、",""))+1))</f>
        <v/>
      </c>
      <c r="M431" s="83">
        <f>IF(OR(X431="估算法",X431="算法类",X431="无法识别"),"",IF(W431="",IF(OR(I431="ILF",I431="EIF"),0,""),LEN(W431)-LEN(SUBSTITUTE(W431,"、",""))+1))</f>
        <v/>
      </c>
      <c r="N431" s="83">
        <f>IF(OR(X431="估算法",X431="算法类",X431="无法识别"),"",IF(X431="",IF(OR(I431="ILF",I431="EIF",I431="EI",I431="EO",I431="EQ"),0,""),LEN(X431)-LEN(SUBSTITUTE(SUBSTITUTE(SUBSTITUTE(SUBSTITUTE(SUBSTITUTE(X431,"|}","--"),"{|","--"),CHAR(10),""),"、",""),"|",""))+IF(AND(OR(I431="EI",I431="EO",I431="EQ"),$AD$1="NESMA"),2,1)))</f>
        <v/>
      </c>
      <c r="O431" s="84">
        <f>IF(I431="EI",IF(OR(X431="估算法",X431="算法类"),"中",IF(X431="无法识别","低",IF(L431&lt;2,IF(N431&lt;16,"低","中"),IF(L431&lt;3,IF(N431&lt;5,"低",IF(N431&lt;16,"中","高")),IF(N431&lt;5,"中","高"))))),IF(OR(I431="EO",I431="EQ"),IF(OR(X431="估算法",X431="算法类"),"中",IF(X431="无法识别","低",IF(L431&lt;2,IF(N431&lt;20,"低","中"),IF(L431&lt;4,IF(N431&lt;6,"低",IF(N431&lt;20,"中","高")),IF(N431&lt;6,"中","高"))))),IF(OR(I431="ILF",I431="EIF"),IF(OR(X431="估算法",X431="算法类",X431="无法识别"),"低",IF(M431&lt;2,IF(N431&lt;51,"低","中"),IF(M431&lt;6,IF(N431&lt;20,"低",IF(N431&lt;51,"中","高")),IF(N431&lt;20,"中","高")))),"不计算")))</f>
        <v/>
      </c>
      <c r="P431" s="142">
        <f>IFERROR(IF(I431="EI",IF(O431="低",3,IF(O431="中",4,6)),IF(I431="EO",IF(O431="低",4,IF(O431="中",5,7)),IF(I431="EQ",IF(O431="低",3,IF(O431="中",4,6)),IF(I431="ILF",IF(O431="低",7,IF(O431="中",10,15)),IF(I431="EIF",IF(O431="低",5,IF(O431="中",7,10)),"不计算")))))*Q431,"不计算")</f>
        <v/>
      </c>
      <c r="Q431" s="142" t="n">
        <v>1</v>
      </c>
      <c r="R431" s="143">
        <f>调整因子!$F$13</f>
        <v/>
      </c>
      <c r="S431" s="76" t="n">
        <v>1</v>
      </c>
      <c r="T431" s="144">
        <f>IFERROR(P431*R431,0)</f>
        <v/>
      </c>
      <c r="U431" s="144">
        <f>T431*S431</f>
        <v/>
      </c>
      <c r="V431" s="76" t="inlineStr">
        <is>
          <t>数据校验反馈表</t>
        </is>
      </c>
      <c r="W431" s="81" t="n"/>
      <c r="X431" s="76" t="inlineStr">
        <is>
          <t>数据校验反馈表{主键 id 、手动补录数据表 id 、校验规则名称、校验结果、反馈信息、校验时间}</t>
        </is>
      </c>
      <c r="Y431" s="88" t="n"/>
      <c r="Z431" s="88" t="n"/>
      <c r="AA431" s="96" t="inlineStr">
        <is>
          <t>报表模板表</t>
        </is>
      </c>
    </row>
    <row r="432" hidden="1" ht="21.6" customHeight="1">
      <c r="A432" s="69">
        <f>ROW()-1</f>
        <v/>
      </c>
      <c r="B432" s="53" t="n"/>
      <c r="C432" s="78" t="n">
        <v>2025</v>
      </c>
      <c r="D432" s="78" t="inlineStr">
        <is>
          <t>窦鹏岐</t>
        </is>
      </c>
      <c r="E432" s="53" t="n"/>
      <c r="F432" s="53" t="n"/>
      <c r="G432" s="53" t="n"/>
      <c r="H432" s="80" t="inlineStr">
        <is>
          <t>自动同步数据</t>
        </is>
      </c>
      <c r="I432" s="76" t="inlineStr">
        <is>
          <t>EI</t>
        </is>
      </c>
      <c r="J432" s="108" t="n"/>
      <c r="K432" s="108" t="n"/>
      <c r="L432" s="83">
        <f>IF(OR(X432="估算法",X432="算法类",X432="无法识别"),"",IF(V432="",IF(OR(I432="EI",I432="EO",I432="EQ"),0,""),LEN(V432)-LEN(SUBSTITUTE(V432,"、",""))+1))</f>
        <v/>
      </c>
      <c r="M432" s="83">
        <f>IF(OR(X432="估算法",X432="算法类",X432="无法识别"),"",IF(W432="",IF(OR(I432="ILF",I432="EIF"),0,""),LEN(W432)-LEN(SUBSTITUTE(W432,"、",""))+1))</f>
        <v/>
      </c>
      <c r="N432" s="83">
        <f>IF(OR(X432="估算法",X432="算法类",X432="无法识别"),"",IF(X432="",IF(OR(I432="ILF",I432="EIF",I432="EI",I432="EO",I432="EQ"),0,""),LEN(X432)-LEN(SUBSTITUTE(SUBSTITUTE(SUBSTITUTE(SUBSTITUTE(SUBSTITUTE(X432,"|}","--"),"{|","--"),CHAR(10),""),"、",""),"|",""))+IF(AND(OR(I432="EI",I432="EO",I432="EQ"),$AD$1="NESMA"),2,1)))</f>
        <v/>
      </c>
      <c r="O432" s="84">
        <f>IF(I432="EI",IF(OR(X432="估算法",X432="算法类"),"中",IF(X432="无法识别","低",IF(L432&lt;2,IF(N432&lt;16,"低","中"),IF(L432&lt;3,IF(N432&lt;5,"低",IF(N432&lt;16,"中","高")),IF(N432&lt;5,"中","高"))))),IF(OR(I432="EO",I432="EQ"),IF(OR(X432="估算法",X432="算法类"),"中",IF(X432="无法识别","低",IF(L432&lt;2,IF(N432&lt;20,"低","中"),IF(L432&lt;4,IF(N432&lt;6,"低",IF(N432&lt;20,"中","高")),IF(N432&lt;6,"中","高"))))),IF(OR(I432="ILF",I432="EIF"),IF(OR(X432="估算法",X432="算法类",X432="无法识别"),"低",IF(M432&lt;2,IF(N432&lt;51,"低","中"),IF(M432&lt;6,IF(N432&lt;20,"低",IF(N432&lt;51,"中","高")),IF(N432&lt;20,"中","高")))),"不计算")))</f>
        <v/>
      </c>
      <c r="P432" s="142">
        <f>IFERROR(IF(I432="EI",IF(O432="低",3,IF(O432="中",4,6)),IF(I432="EO",IF(O432="低",4,IF(O432="中",5,7)),IF(I432="EQ",IF(O432="低",3,IF(O432="中",4,6)),IF(I432="ILF",IF(O432="低",7,IF(O432="中",10,15)),IF(I432="EIF",IF(O432="低",5,IF(O432="中",7,10)),"不计算")))))*Q432,"不计算")</f>
        <v/>
      </c>
      <c r="Q432" s="142" t="n">
        <v>1</v>
      </c>
      <c r="R432" s="143">
        <f>调整因子!$F$13</f>
        <v/>
      </c>
      <c r="S432" s="70" t="n">
        <v>1</v>
      </c>
      <c r="T432" s="144">
        <f>IFERROR(P432*R432,0)</f>
        <v/>
      </c>
      <c r="U432" s="144">
        <f>T432*S432</f>
        <v/>
      </c>
      <c r="V432" s="76" t="inlineStr">
        <is>
          <t>资产同步数据表</t>
        </is>
      </c>
      <c r="W432" s="81" t="n"/>
      <c r="X432" s="76" t="inlineStr">
        <is>
          <t>资产同步数据表{主键 id 、资产名称、资产类型 、IP 地址（可选）、网站域名（可选）、资产描述、同步时间、同步源}</t>
        </is>
      </c>
      <c r="Y432" s="88" t="n"/>
      <c r="Z432" s="88" t="n"/>
      <c r="AA432" s="96" t="inlineStr">
        <is>
          <t>报表模板表、加密规则表</t>
        </is>
      </c>
    </row>
    <row r="433" hidden="1" ht="21.6" customHeight="1">
      <c r="A433" s="69">
        <f>ROW()-1</f>
        <v/>
      </c>
      <c r="B433" s="53" t="n"/>
      <c r="C433" s="78" t="n">
        <v>2025</v>
      </c>
      <c r="D433" s="78" t="inlineStr">
        <is>
          <t>窦鹏岐</t>
        </is>
      </c>
      <c r="E433" s="53" t="n"/>
      <c r="F433" s="53" t="n"/>
      <c r="G433" s="53" t="n"/>
      <c r="H433" s="80" t="inlineStr">
        <is>
          <t>资产建模构建</t>
        </is>
      </c>
      <c r="I433" s="76" t="inlineStr">
        <is>
          <t>EI</t>
        </is>
      </c>
      <c r="J433" s="108" t="n"/>
      <c r="K433" s="108" t="n"/>
      <c r="L433" s="83">
        <f>IF(OR(X433="估算法",X433="算法类",X433="无法识别"),"",IF(V433="",IF(OR(I433="EI",I433="EO",I433="EQ"),0,""),LEN(V433)-LEN(SUBSTITUTE(V433,"、",""))+1))</f>
        <v/>
      </c>
      <c r="M433" s="83">
        <f>IF(OR(X433="估算法",X433="算法类",X433="无法识别"),"",IF(W433="",IF(OR(I433="ILF",I433="EIF"),0,""),LEN(W433)-LEN(SUBSTITUTE(W433,"、",""))+1))</f>
        <v/>
      </c>
      <c r="N433" s="83">
        <f>IF(OR(X433="估算法",X433="算法类",X433="无法识别"),"",IF(X433="",IF(OR(I433="ILF",I433="EIF",I433="EI",I433="EO",I433="EQ"),0,""),LEN(X433)-LEN(SUBSTITUTE(SUBSTITUTE(SUBSTITUTE(SUBSTITUTE(SUBSTITUTE(X433,"|}","--"),"{|","--"),CHAR(10),""),"、",""),"|",""))+IF(AND(OR(I433="EI",I433="EO",I433="EQ"),$AD$1="NESMA"),2,1)))</f>
        <v/>
      </c>
      <c r="O433" s="84">
        <f>IF(I433="EI",IF(OR(X433="估算法",X433="算法类"),"中",IF(X433="无法识别","低",IF(L433&lt;2,IF(N433&lt;16,"低","中"),IF(L433&lt;3,IF(N433&lt;5,"低",IF(N433&lt;16,"中","高")),IF(N433&lt;5,"中","高"))))),IF(OR(I433="EO",I433="EQ"),IF(OR(X433="估算法",X433="算法类"),"中",IF(X433="无法识别","低",IF(L433&lt;2,IF(N433&lt;20,"低","中"),IF(L433&lt;4,IF(N433&lt;6,"低",IF(N433&lt;20,"中","高")),IF(N433&lt;6,"中","高"))))),IF(OR(I433="ILF",I433="EIF"),IF(OR(X433="估算法",X433="算法类",X433="无法识别"),"低",IF(M433&lt;2,IF(N433&lt;51,"低","中"),IF(M433&lt;6,IF(N433&lt;20,"低",IF(N433&lt;51,"中","高")),IF(N433&lt;20,"中","高")))),"不计算")))</f>
        <v/>
      </c>
      <c r="P433" s="142">
        <f>IFERROR(IF(I433="EI",IF(O433="低",3,IF(O433="中",4,6)),IF(I433="EO",IF(O433="低",4,IF(O433="中",5,7)),IF(I433="EQ",IF(O433="低",3,IF(O433="中",4,6)),IF(I433="ILF",IF(O433="低",7,IF(O433="中",10,15)),IF(I433="EIF",IF(O433="低",5,IF(O433="中",7,10)),"不计算")))))*Q433,"不计算")</f>
        <v/>
      </c>
      <c r="Q433" s="142" t="n">
        <v>1</v>
      </c>
      <c r="R433" s="143">
        <f>调整因子!$F$13</f>
        <v/>
      </c>
      <c r="S433" s="70" t="n">
        <v>1</v>
      </c>
      <c r="T433" s="144">
        <f>IFERROR(P433*R433,0)</f>
        <v/>
      </c>
      <c r="U433" s="144">
        <f>T433*S433</f>
        <v/>
      </c>
      <c r="V433" s="76" t="inlineStr">
        <is>
          <t>资产模型属性表</t>
        </is>
      </c>
      <c r="W433" s="81" t="n"/>
      <c r="X433" s="76" t="inlineStr">
        <is>
          <t>资产模型属性表{主键 id 、资产建模构建表 id、 属性名称、属性值、最后更新时间}</t>
        </is>
      </c>
      <c r="Y433" s="88" t="n"/>
      <c r="Z433" s="88" t="n"/>
      <c r="AA433" s="96" t="inlineStr">
        <is>
          <t>任务优先级配置表、模板参数配置表</t>
        </is>
      </c>
    </row>
    <row r="434" hidden="1" ht="21.6" customHeight="1">
      <c r="A434" s="69">
        <f>ROW()-1</f>
        <v/>
      </c>
      <c r="B434" s="53" t="n"/>
      <c r="C434" s="78" t="n">
        <v>2025</v>
      </c>
      <c r="D434" s="78" t="inlineStr">
        <is>
          <t>窦鹏岐</t>
        </is>
      </c>
      <c r="E434" s="53" t="n"/>
      <c r="F434" s="53" t="n"/>
      <c r="G434" s="53" t="n"/>
      <c r="H434" s="80" t="inlineStr">
        <is>
          <t>手动补录数据表</t>
        </is>
      </c>
      <c r="I434" s="81" t="inlineStr">
        <is>
          <t>ILF</t>
        </is>
      </c>
      <c r="J434" s="108" t="n"/>
      <c r="K434" s="108" t="n"/>
      <c r="L434" s="83">
        <f>IF(OR(X434="估算法",X434="算法类",X434="无法识别"),"",IF(V434="",IF(OR(I434="EI",I434="EO",I434="EQ"),0,""),LEN(V434)-LEN(SUBSTITUTE(V434,"、",""))+1))</f>
        <v/>
      </c>
      <c r="M434" s="83">
        <f>IF(OR(X434="估算法",X434="算法类",X434="无法识别"),"",IF(W434="",IF(OR(I434="ILF",I434="EIF"),0,""),LEN(W434)-LEN(SUBSTITUTE(W434,"、",""))+1))</f>
        <v/>
      </c>
      <c r="N434" s="83">
        <f>IF(OR(X434="估算法",X434="算法类",X434="无法识别"),"",IF(X434="",IF(OR(I434="ILF",I434="EIF",I434="EI",I434="EO",I434="EQ"),0,""),LEN(X434)-LEN(SUBSTITUTE(SUBSTITUTE(SUBSTITUTE(SUBSTITUTE(SUBSTITUTE(X434,"|}","--"),"{|","--"),CHAR(10),""),"、",""),"|",""))+IF(AND(OR(I434="EI",I434="EO",I434="EQ"),$AD$1="NESMA"),2,1)))</f>
        <v/>
      </c>
      <c r="O434" s="84">
        <f>IF(I434="EI",IF(OR(X434="估算法",X434="算法类"),"中",IF(X434="无法识别","低",IF(L434&lt;2,IF(N434&lt;16,"低","中"),IF(L434&lt;3,IF(N434&lt;5,"低",IF(N434&lt;16,"中","高")),IF(N434&lt;5,"中","高"))))),IF(OR(I434="EO",I434="EQ"),IF(OR(X434="估算法",X434="算法类"),"中",IF(X434="无法识别","低",IF(L434&lt;2,IF(N434&lt;20,"低","中"),IF(L434&lt;4,IF(N434&lt;6,"低",IF(N434&lt;20,"中","高")),IF(N434&lt;6,"中","高"))))),IF(OR(I434="ILF",I434="EIF"),IF(OR(X434="估算法",X434="算法类",X434="无法识别"),"低",IF(M434&lt;2,IF(N434&lt;51,"低","中"),IF(M434&lt;6,IF(N434&lt;20,"低",IF(N434&lt;51,"中","高")),IF(N434&lt;20,"中","高")))),"不计算")))</f>
        <v/>
      </c>
      <c r="P434" s="142">
        <f>IFERROR(IF(I434="EI",IF(O434="低",3,IF(O434="中",4,6)),IF(I434="EO",IF(O434="低",4,IF(O434="中",5,7)),IF(I434="EQ",IF(O434="低",3,IF(O434="中",4,6)),IF(I434="ILF",IF(O434="低",7,IF(O434="中",10,15)),IF(I434="EIF",IF(O434="低",5,IF(O434="中",7,10)),"不计算")))))*Q434,"不计算")</f>
        <v/>
      </c>
      <c r="Q434" s="142" t="n">
        <v>1</v>
      </c>
      <c r="R434" s="143">
        <f>调整因子!$F$13</f>
        <v/>
      </c>
      <c r="S434" s="76" t="n">
        <v>1</v>
      </c>
      <c r="T434" s="144">
        <f>IFERROR(P434*R434,0)</f>
        <v/>
      </c>
      <c r="U434" s="144">
        <f>T434*S434</f>
        <v/>
      </c>
      <c r="V434" s="81" t="n"/>
      <c r="W434" s="76" t="inlineStr">
        <is>
          <t>手动补录数据表</t>
        </is>
      </c>
      <c r="X434" s="76" t="inlineStr">
        <is>
          <t>手动补录数据表{主键 id 、资产名称、资产类型 、IP 地址、网站域名、资产描述、补录时间、补录人}</t>
        </is>
      </c>
      <c r="Y434" s="88">
        <f>IF(COUNTIFS(V:V,"*"&amp;H434&amp;"*")&gt;0,"存在","不存在")</f>
        <v/>
      </c>
      <c r="Z434" s="88">
        <f>IF(COUNTIFS(AA:AA,"*"&amp;H434&amp;"*")&gt;0,"存在","不存在")</f>
        <v/>
      </c>
      <c r="AA434" s="96" t="inlineStr">
        <is>
          <t>任务队列表</t>
        </is>
      </c>
    </row>
    <row r="435" hidden="1" ht="21.6" customHeight="1">
      <c r="A435" s="69">
        <f>ROW()-1</f>
        <v/>
      </c>
      <c r="B435" s="53" t="n"/>
      <c r="C435" s="78" t="n">
        <v>2025</v>
      </c>
      <c r="D435" s="78" t="inlineStr">
        <is>
          <t>窦鹏岐</t>
        </is>
      </c>
      <c r="E435" s="53" t="n"/>
      <c r="F435" s="53" t="n"/>
      <c r="G435" s="53" t="n"/>
      <c r="H435" s="80" t="inlineStr">
        <is>
          <t>数据校验反馈表</t>
        </is>
      </c>
      <c r="I435" s="81" t="inlineStr">
        <is>
          <t>ILF</t>
        </is>
      </c>
      <c r="J435" s="108" t="n"/>
      <c r="K435" s="108" t="inlineStr">
        <is>
          <t>数据库表未被本系统所维护</t>
        </is>
      </c>
      <c r="L435" s="83">
        <f>IF(OR(X435="估算法",X435="算法类",X435="无法识别"),"",IF(V435="",IF(OR(I435="EI",I435="EO",I435="EQ"),0,""),LEN(V435)-LEN(SUBSTITUTE(V435,"、",""))+1))</f>
        <v/>
      </c>
      <c r="M435" s="83">
        <f>IF(OR(X435="估算法",X435="算法类",X435="无法识别"),"",IF(W435="",IF(OR(I435="ILF",I435="EIF"),0,""),LEN(W435)-LEN(SUBSTITUTE(W435,"、",""))+1))</f>
        <v/>
      </c>
      <c r="N435" s="83">
        <f>IF(OR(X435="估算法",X435="算法类",X435="无法识别"),"",IF(X435="",IF(OR(I435="ILF",I435="EIF",I435="EI",I435="EO",I435="EQ"),0,""),LEN(X435)-LEN(SUBSTITUTE(SUBSTITUTE(SUBSTITUTE(SUBSTITUTE(SUBSTITUTE(X435,"|}","--"),"{|","--"),CHAR(10),""),"、",""),"|",""))+IF(AND(OR(I435="EI",I435="EO",I435="EQ"),$AD$1="NESMA"),2,1)))</f>
        <v/>
      </c>
      <c r="O435" s="84">
        <f>IF(I435="EI",IF(OR(X435="估算法",X435="算法类"),"中",IF(X435="无法识别","低",IF(L435&lt;2,IF(N435&lt;16,"低","中"),IF(L435&lt;3,IF(N435&lt;5,"低",IF(N435&lt;16,"中","高")),IF(N435&lt;5,"中","高"))))),IF(OR(I435="EO",I435="EQ"),IF(OR(X435="估算法",X435="算法类"),"中",IF(X435="无法识别","低",IF(L435&lt;2,IF(N435&lt;20,"低","中"),IF(L435&lt;4,IF(N435&lt;6,"低",IF(N435&lt;20,"中","高")),IF(N435&lt;6,"中","高"))))),IF(OR(I435="ILF",I435="EIF"),IF(OR(X435="估算法",X435="算法类",X435="无法识别"),"低",IF(M435&lt;2,IF(N435&lt;51,"低","中"),IF(M435&lt;6,IF(N435&lt;20,"低",IF(N435&lt;51,"中","高")),IF(N435&lt;20,"中","高")))),"不计算")))</f>
        <v/>
      </c>
      <c r="P435" s="142">
        <f>IFERROR(IF(I435="EI",IF(O435="低",3,IF(O435="中",4,6)),IF(I435="EO",IF(O435="低",4,IF(O435="中",5,7)),IF(I435="EQ",IF(O435="低",3,IF(O435="中",4,6)),IF(I435="ILF",IF(O435="低",7,IF(O435="中",10,15)),IF(I435="EIF",IF(O435="低",5,IF(O435="中",7,10)),"不计算")))))*Q435,"不计算")</f>
        <v/>
      </c>
      <c r="Q435" s="142" t="n">
        <v>0</v>
      </c>
      <c r="R435" s="143">
        <f>调整因子!$F$13</f>
        <v/>
      </c>
      <c r="S435" s="70" t="n">
        <v>1</v>
      </c>
      <c r="T435" s="144">
        <f>IFERROR(P435*R435,0)</f>
        <v/>
      </c>
      <c r="U435" s="144">
        <f>T435*S435</f>
        <v/>
      </c>
      <c r="V435" s="81" t="n"/>
      <c r="W435" s="76" t="inlineStr">
        <is>
          <t>数据校验反馈表</t>
        </is>
      </c>
      <c r="X435" s="76" t="inlineStr">
        <is>
          <t>数据校验反馈表{主键 id 、手动补录数据表 id 、校验规则名称、校验结果、反馈信息、校验时间}</t>
        </is>
      </c>
      <c r="Y435" s="88">
        <f>IF(COUNTIFS(V:V,"*"&amp;H435&amp;"*")&gt;0,"存在","不存在")</f>
        <v/>
      </c>
      <c r="Z435" s="88">
        <f>IF(COUNTIFS(AA:AA,"*"&amp;H435&amp;"*")&gt;0,"存在","不存在")</f>
        <v/>
      </c>
      <c r="AA435" s="96" t="inlineStr">
        <is>
          <t>报告模板表</t>
        </is>
      </c>
    </row>
    <row r="436" hidden="1" ht="21.6" customHeight="1">
      <c r="A436" s="69">
        <f>ROW()-1</f>
        <v/>
      </c>
      <c r="B436" s="53" t="n"/>
      <c r="C436" s="78" t="n">
        <v>2025</v>
      </c>
      <c r="D436" s="78" t="inlineStr">
        <is>
          <t>窦鹏岐</t>
        </is>
      </c>
      <c r="E436" s="53" t="n"/>
      <c r="F436" s="53" t="n"/>
      <c r="G436" s="53" t="n"/>
      <c r="H436" s="80" t="inlineStr">
        <is>
          <t>资产同步数据表</t>
        </is>
      </c>
      <c r="I436" s="81" t="inlineStr">
        <is>
          <t>ILF</t>
        </is>
      </c>
      <c r="J436" s="108" t="n"/>
      <c r="K436" s="108" t="n"/>
      <c r="L436" s="83">
        <f>IF(OR(X436="估算法",X436="算法类",X436="无法识别"),"",IF(V436="",IF(OR(I436="EI",I436="EO",I436="EQ"),0,""),LEN(V436)-LEN(SUBSTITUTE(V436,"、",""))+1))</f>
        <v/>
      </c>
      <c r="M436" s="83">
        <f>IF(OR(X436="估算法",X436="算法类",X436="无法识别"),"",IF(W436="",IF(OR(I436="ILF",I436="EIF"),0,""),LEN(W436)-LEN(SUBSTITUTE(W436,"、",""))+1))</f>
        <v/>
      </c>
      <c r="N436" s="83">
        <f>IF(OR(X436="估算法",X436="算法类",X436="无法识别"),"",IF(X436="",IF(OR(I436="ILF",I436="EIF",I436="EI",I436="EO",I436="EQ"),0,""),LEN(X436)-LEN(SUBSTITUTE(SUBSTITUTE(SUBSTITUTE(SUBSTITUTE(SUBSTITUTE(X436,"|}","--"),"{|","--"),CHAR(10),""),"、",""),"|",""))+IF(AND(OR(I436="EI",I436="EO",I436="EQ"),$AD$1="NESMA"),2,1)))</f>
        <v/>
      </c>
      <c r="O436" s="84">
        <f>IF(I436="EI",IF(OR(X436="估算法",X436="算法类"),"中",IF(X436="无法识别","低",IF(L436&lt;2,IF(N436&lt;16,"低","中"),IF(L436&lt;3,IF(N436&lt;5,"低",IF(N436&lt;16,"中","高")),IF(N436&lt;5,"中","高"))))),IF(OR(I436="EO",I436="EQ"),IF(OR(X436="估算法",X436="算法类"),"中",IF(X436="无法识别","低",IF(L436&lt;2,IF(N436&lt;20,"低","中"),IF(L436&lt;4,IF(N436&lt;6,"低",IF(N436&lt;20,"中","高")),IF(N436&lt;6,"中","高"))))),IF(OR(I436="ILF",I436="EIF"),IF(OR(X436="估算法",X436="算法类",X436="无法识别"),"低",IF(M436&lt;2,IF(N436&lt;51,"低","中"),IF(M436&lt;6,IF(N436&lt;20,"低",IF(N436&lt;51,"中","高")),IF(N436&lt;20,"中","高")))),"不计算")))</f>
        <v/>
      </c>
      <c r="P436" s="142">
        <f>IFERROR(IF(I436="EI",IF(O436="低",3,IF(O436="中",4,6)),IF(I436="EO",IF(O436="低",4,IF(O436="中",5,7)),IF(I436="EQ",IF(O436="低",3,IF(O436="中",4,6)),IF(I436="ILF",IF(O436="低",7,IF(O436="中",10,15)),IF(I436="EIF",IF(O436="低",5,IF(O436="中",7,10)),"不计算")))))*Q436,"不计算")</f>
        <v/>
      </c>
      <c r="Q436" s="142" t="n">
        <v>1</v>
      </c>
      <c r="R436" s="143">
        <f>调整因子!$F$13</f>
        <v/>
      </c>
      <c r="S436" s="70" t="n">
        <v>1</v>
      </c>
      <c r="T436" s="144">
        <f>IFERROR(P436*R436,0)</f>
        <v/>
      </c>
      <c r="U436" s="144">
        <f>T436*S436</f>
        <v/>
      </c>
      <c r="V436" s="81" t="n"/>
      <c r="W436" s="76" t="inlineStr">
        <is>
          <t>资产同步数据表</t>
        </is>
      </c>
      <c r="X436" s="76" t="inlineStr">
        <is>
          <t>资产同步数据表{主键 id 、资产名称、资产类型 、IP 地址（可选）、网站域名（可选）、资产描述、同步时间、同步源}</t>
        </is>
      </c>
      <c r="Y436" s="88">
        <f>IF(COUNTIFS(V:V,"*"&amp;H436&amp;"*")&gt;0,"存在","不存在")</f>
        <v/>
      </c>
      <c r="Z436" s="88">
        <f>IF(COUNTIFS(AA:AA,"*"&amp;H436&amp;"*")&gt;0,"存在","不存在")</f>
        <v/>
      </c>
      <c r="AA436" s="96" t="inlineStr">
        <is>
          <t>任务趋势分析表</t>
        </is>
      </c>
    </row>
    <row r="437" hidden="1" ht="21.6" customHeight="1">
      <c r="A437" s="69">
        <f>ROW()-1</f>
        <v/>
      </c>
      <c r="B437" s="53" t="n"/>
      <c r="C437" s="78" t="n">
        <v>2025</v>
      </c>
      <c r="D437" s="78" t="inlineStr">
        <is>
          <t>窦鹏岐</t>
        </is>
      </c>
      <c r="E437" s="53" t="n"/>
      <c r="F437" s="53" t="n"/>
      <c r="G437" s="54" t="n"/>
      <c r="H437" s="80" t="inlineStr">
        <is>
          <t>资产模型属性表</t>
        </is>
      </c>
      <c r="I437" s="81" t="inlineStr">
        <is>
          <t>ILF</t>
        </is>
      </c>
      <c r="J437" s="108" t="n"/>
      <c r="K437" s="108" t="n"/>
      <c r="L437" s="83">
        <f>IF(OR(X437="估算法",X437="算法类",X437="无法识别"),"",IF(V437="",IF(OR(I437="EI",I437="EO",I437="EQ"),0,""),LEN(V437)-LEN(SUBSTITUTE(V437,"、",""))+1))</f>
        <v/>
      </c>
      <c r="M437" s="83">
        <f>IF(OR(X437="估算法",X437="算法类",X437="无法识别"),"",IF(W437="",IF(OR(I437="ILF",I437="EIF"),0,""),LEN(W437)-LEN(SUBSTITUTE(W437,"、",""))+1))</f>
        <v/>
      </c>
      <c r="N437" s="83">
        <f>IF(OR(X437="估算法",X437="算法类",X437="无法识别"),"",IF(X437="",IF(OR(I437="ILF",I437="EIF",I437="EI",I437="EO",I437="EQ"),0,""),LEN(X437)-LEN(SUBSTITUTE(SUBSTITUTE(SUBSTITUTE(SUBSTITUTE(SUBSTITUTE(X437,"|}","--"),"{|","--"),CHAR(10),""),"、",""),"|",""))+IF(AND(OR(I437="EI",I437="EO",I437="EQ"),$AD$1="NESMA"),2,1)))</f>
        <v/>
      </c>
      <c r="O437" s="84">
        <f>IF(I437="EI",IF(OR(X437="估算法",X437="算法类"),"中",IF(X437="无法识别","低",IF(L437&lt;2,IF(N437&lt;16,"低","中"),IF(L437&lt;3,IF(N437&lt;5,"低",IF(N437&lt;16,"中","高")),IF(N437&lt;5,"中","高"))))),IF(OR(I437="EO",I437="EQ"),IF(OR(X437="估算法",X437="算法类"),"中",IF(X437="无法识别","低",IF(L437&lt;2,IF(N437&lt;20,"低","中"),IF(L437&lt;4,IF(N437&lt;6,"低",IF(N437&lt;20,"中","高")),IF(N437&lt;6,"中","高"))))),IF(OR(I437="ILF",I437="EIF"),IF(OR(X437="估算法",X437="算法类",X437="无法识别"),"低",IF(M437&lt;2,IF(N437&lt;51,"低","中"),IF(M437&lt;6,IF(N437&lt;20,"低",IF(N437&lt;51,"中","高")),IF(N437&lt;20,"中","高")))),"不计算")))</f>
        <v/>
      </c>
      <c r="P437" s="142">
        <f>IFERROR(IF(I437="EI",IF(O437="低",3,IF(O437="中",4,6)),IF(I437="EO",IF(O437="低",4,IF(O437="中",5,7)),IF(I437="EQ",IF(O437="低",3,IF(O437="中",4,6)),IF(I437="ILF",IF(O437="低",7,IF(O437="中",10,15)),IF(I437="EIF",IF(O437="低",5,IF(O437="中",7,10)),"不计算")))))*Q437,"不计算")</f>
        <v/>
      </c>
      <c r="Q437" s="142" t="n">
        <v>1</v>
      </c>
      <c r="R437" s="143">
        <f>调整因子!$F$13</f>
        <v/>
      </c>
      <c r="S437" s="76" t="n">
        <v>1</v>
      </c>
      <c r="T437" s="144">
        <f>IFERROR(P437*R437,0)</f>
        <v/>
      </c>
      <c r="U437" s="144">
        <f>T437*S437</f>
        <v/>
      </c>
      <c r="V437" s="81" t="n"/>
      <c r="W437" s="76" t="inlineStr">
        <is>
          <t>资产模型属性表</t>
        </is>
      </c>
      <c r="X437" s="76" t="inlineStr">
        <is>
          <t>资产模型属性表{主键 id 、资产建模构建表 id、 属性名称、属性值、最后更新时间}</t>
        </is>
      </c>
      <c r="Y437" s="88">
        <f>IF(COUNTIFS(V:V,"*"&amp;H437&amp;"*")&gt;0,"存在","不存在")</f>
        <v/>
      </c>
      <c r="Z437" s="88">
        <f>IF(COUNTIFS(AA:AA,"*"&amp;H437&amp;"*")&gt;0,"存在","不存在")</f>
        <v/>
      </c>
      <c r="AA437" s="96" t="inlineStr">
        <is>
          <t>任务优先级配置表</t>
        </is>
      </c>
    </row>
    <row r="438" hidden="1" ht="32.4" customHeight="1">
      <c r="A438" s="69">
        <f>ROW()-1</f>
        <v/>
      </c>
      <c r="B438" s="53" t="n"/>
      <c r="C438" s="78" t="n">
        <v>2025</v>
      </c>
      <c r="D438" s="78" t="inlineStr">
        <is>
          <t>窦鹏岐</t>
        </is>
      </c>
      <c r="E438" s="53" t="n"/>
      <c r="F438" s="53" t="n"/>
      <c r="G438" s="76" t="inlineStr">
        <is>
          <t>知识库构建</t>
        </is>
      </c>
      <c r="H438" s="80" t="inlineStr">
        <is>
          <t>用户查看资产总数</t>
        </is>
      </c>
      <c r="I438" s="76" t="inlineStr">
        <is>
          <t>EO</t>
        </is>
      </c>
      <c r="J438" s="108" t="n"/>
      <c r="K438" s="108" t="n"/>
      <c r="L438" s="83">
        <f>IF(OR(X438="估算法",X438="算法类",X438="无法识别"),"",IF(V438="",IF(OR(I438="EI",I438="EO",I438="EQ"),0,""),LEN(V438)-LEN(SUBSTITUTE(V438,"、",""))+1))</f>
        <v/>
      </c>
      <c r="M438" s="83">
        <f>IF(OR(X438="估算法",X438="算法类",X438="无法识别"),"",IF(W438="",IF(OR(I438="ILF",I438="EIF"),0,""),LEN(W438)-LEN(SUBSTITUTE(W438,"、",""))+1))</f>
        <v/>
      </c>
      <c r="N438" s="83">
        <f>IF(OR(X438="估算法",X438="算法类",X438="无法识别"),"",IF(X438="",IF(OR(I438="ILF",I438="EIF",I438="EI",I438="EO",I438="EQ"),0,""),LEN(X438)-LEN(SUBSTITUTE(SUBSTITUTE(SUBSTITUTE(SUBSTITUTE(SUBSTITUTE(X438,"|}","--"),"{|","--"),CHAR(10),""),"、",""),"|",""))+IF(AND(OR(I438="EI",I438="EO",I438="EQ"),$AD$1="NESMA"),2,1)))</f>
        <v/>
      </c>
      <c r="O438" s="84">
        <f>IF(I438="EI",IF(OR(X438="估算法",X438="算法类"),"中",IF(X438="无法识别","低",IF(L438&lt;2,IF(N438&lt;16,"低","中"),IF(L438&lt;3,IF(N438&lt;5,"低",IF(N438&lt;16,"中","高")),IF(N438&lt;5,"中","高"))))),IF(OR(I438="EO",I438="EQ"),IF(OR(X438="估算法",X438="算法类"),"中",IF(X438="无法识别","低",IF(L438&lt;2,IF(N438&lt;20,"低","中"),IF(L438&lt;4,IF(N438&lt;6,"低",IF(N438&lt;20,"中","高")),IF(N438&lt;6,"中","高"))))),IF(OR(I438="ILF",I438="EIF"),IF(OR(X438="估算法",X438="算法类",X438="无法识别"),"低",IF(M438&lt;2,IF(N438&lt;51,"低","中"),IF(M438&lt;6,IF(N438&lt;20,"低",IF(N438&lt;51,"中","高")),IF(N438&lt;20,"中","高")))),"不计算")))</f>
        <v/>
      </c>
      <c r="P438" s="142">
        <f>IFERROR(IF(I438="EI",IF(O438="低",3,IF(O438="中",4,6)),IF(I438="EO",IF(O438="低",4,IF(O438="中",5,7)),IF(I438="EQ",IF(O438="低",3,IF(O438="中",4,6)),IF(I438="ILF",IF(O438="低",7,IF(O438="中",10,15)),IF(I438="EIF",IF(O438="低",5,IF(O438="中",7,10)),"不计算")))))*Q438,"不计算")</f>
        <v/>
      </c>
      <c r="Q438" s="142" t="n">
        <v>1</v>
      </c>
      <c r="R438" s="143">
        <f>调整因子!$F$13</f>
        <v/>
      </c>
      <c r="S438" s="70" t="n">
        <v>1</v>
      </c>
      <c r="T438" s="144">
        <f>IFERROR(P438*R438,0)</f>
        <v/>
      </c>
      <c r="U438" s="144">
        <f>T438*S438</f>
        <v/>
      </c>
      <c r="V438" s="76" t="inlineStr">
        <is>
          <t>用户偏好设置表、资产属性表</t>
        </is>
      </c>
      <c r="W438" s="81" t="n"/>
      <c r="X438" s="76" t="inlineStr">
        <is>
          <t>用户偏好设置表{主键 id 、用户 id 、偏好设置名称、偏好设置值、最后更新时间}
资产属性表{主键 id 、资产 id 、资产类型（IP/网站等）、属性名称、属性值、最后更新时间}</t>
        </is>
      </c>
      <c r="Y438" s="88" t="n"/>
      <c r="Z438" s="88" t="n"/>
      <c r="AA438" s="96" t="inlineStr">
        <is>
          <t>采集任务配置表</t>
        </is>
      </c>
    </row>
    <row r="439" hidden="1" ht="32.4" customHeight="1">
      <c r="A439" s="69">
        <f>ROW()-1</f>
        <v/>
      </c>
      <c r="B439" s="53" t="n"/>
      <c r="C439" s="78" t="n">
        <v>2025</v>
      </c>
      <c r="D439" s="78" t="inlineStr">
        <is>
          <t>窦鹏岐</t>
        </is>
      </c>
      <c r="E439" s="53" t="n"/>
      <c r="F439" s="53" t="n"/>
      <c r="G439" s="53" t="n"/>
      <c r="H439" s="80" t="inlineStr">
        <is>
          <t>用户查看IP资产总数</t>
        </is>
      </c>
      <c r="I439" s="76" t="inlineStr">
        <is>
          <t>EO</t>
        </is>
      </c>
      <c r="J439" s="108" t="n"/>
      <c r="K439" s="108" t="inlineStr">
        <is>
          <t>未明确是否同界面</t>
        </is>
      </c>
      <c r="L439" s="83">
        <f>IF(OR(X439="估算法",X439="算法类",X439="无法识别"),"",IF(V439="",IF(OR(I439="EI",I439="EO",I439="EQ"),0,""),LEN(V439)-LEN(SUBSTITUTE(V439,"、",""))+1))</f>
        <v/>
      </c>
      <c r="M439" s="83">
        <f>IF(OR(X439="估算法",X439="算法类",X439="无法识别"),"",IF(W439="",IF(OR(I439="ILF",I439="EIF"),0,""),LEN(W439)-LEN(SUBSTITUTE(W439,"、",""))+1))</f>
        <v/>
      </c>
      <c r="N439" s="83">
        <f>IF(OR(X439="估算法",X439="算法类",X439="无法识别"),"",IF(X439="",IF(OR(I439="ILF",I439="EIF",I439="EI",I439="EO",I439="EQ"),0,""),LEN(X439)-LEN(SUBSTITUTE(SUBSTITUTE(SUBSTITUTE(SUBSTITUTE(SUBSTITUTE(X439,"|}","--"),"{|","--"),CHAR(10),""),"、",""),"|",""))+IF(AND(OR(I439="EI",I439="EO",I439="EQ"),$AD$1="NESMA"),2,1)))</f>
        <v/>
      </c>
      <c r="O439" s="84">
        <f>IF(I439="EI",IF(OR(X439="估算法",X439="算法类"),"中",IF(X439="无法识别","低",IF(L439&lt;2,IF(N439&lt;16,"低","中"),IF(L439&lt;3,IF(N439&lt;5,"低",IF(N439&lt;16,"中","高")),IF(N439&lt;5,"中","高"))))),IF(OR(I439="EO",I439="EQ"),IF(OR(X439="估算法",X439="算法类"),"中",IF(X439="无法识别","低",IF(L439&lt;2,IF(N439&lt;20,"低","中"),IF(L439&lt;4,IF(N439&lt;6,"低",IF(N439&lt;20,"中","高")),IF(N439&lt;6,"中","高"))))),IF(OR(I439="ILF",I439="EIF"),IF(OR(X439="估算法",X439="算法类",X439="无法识别"),"低",IF(M439&lt;2,IF(N439&lt;51,"低","中"),IF(M439&lt;6,IF(N439&lt;20,"低",IF(N439&lt;51,"中","高")),IF(N439&lt;20,"中","高")))),"不计算")))</f>
        <v/>
      </c>
      <c r="P439" s="142">
        <f>IFERROR(IF(I439="EI",IF(O439="低",3,IF(O439="中",4,6)),IF(I439="EO",IF(O439="低",4,IF(O439="中",5,7)),IF(I439="EQ",IF(O439="低",3,IF(O439="中",4,6)),IF(I439="ILF",IF(O439="低",7,IF(O439="中",10,15)),IF(I439="EIF",IF(O439="低",5,IF(O439="中",7,10)),"不计算")))))*Q439,"不计算")</f>
        <v/>
      </c>
      <c r="Q439" s="142" t="n">
        <v>0.333333333333333</v>
      </c>
      <c r="R439" s="143">
        <f>调整因子!$F$13</f>
        <v/>
      </c>
      <c r="S439" s="70" t="n">
        <v>1</v>
      </c>
      <c r="T439" s="144">
        <f>IFERROR(P439*R439,0)</f>
        <v/>
      </c>
      <c r="U439" s="144">
        <f>T439*S439</f>
        <v/>
      </c>
      <c r="V439" s="76" t="inlineStr">
        <is>
          <t>用户偏好设置表、IP资产表</t>
        </is>
      </c>
      <c r="W439" s="81" t="n"/>
      <c r="X439" s="76" t="inlineStr">
        <is>
          <t>用户偏好设置表{主键 id 、用户 id 、偏好设置名称、偏好设置值、最后更新时间}
IP资产表{主键id、用户id、IP地址、资产名称、资产描述、创建时间、最后更新时间}</t>
        </is>
      </c>
      <c r="Y439" s="88" t="n"/>
      <c r="Z439" s="88" t="n"/>
      <c r="AA439" s="96" t="inlineStr">
        <is>
          <t>任务优先级配置表</t>
        </is>
      </c>
    </row>
    <row r="440" hidden="1" ht="32.4" customHeight="1">
      <c r="A440" s="69">
        <f>ROW()-1</f>
        <v/>
      </c>
      <c r="B440" s="53" t="n"/>
      <c r="C440" s="78" t="n">
        <v>2025</v>
      </c>
      <c r="D440" s="78" t="inlineStr">
        <is>
          <t>窦鹏岐</t>
        </is>
      </c>
      <c r="E440" s="53" t="n"/>
      <c r="F440" s="53" t="n"/>
      <c r="G440" s="53" t="n"/>
      <c r="H440" s="80" t="inlineStr">
        <is>
          <t>用户查看网站资产总数</t>
        </is>
      </c>
      <c r="I440" s="76" t="inlineStr">
        <is>
          <t>EO</t>
        </is>
      </c>
      <c r="J440" s="108" t="n"/>
      <c r="K440" s="108" t="inlineStr">
        <is>
          <t>未明确是否同界面</t>
        </is>
      </c>
      <c r="L440" s="83">
        <f>IF(OR(X440="估算法",X440="算法类",X440="无法识别"),"",IF(V440="",IF(OR(I440="EI",I440="EO",I440="EQ"),0,""),LEN(V440)-LEN(SUBSTITUTE(V440,"、",""))+1))</f>
        <v/>
      </c>
      <c r="M440" s="83">
        <f>IF(OR(X440="估算法",X440="算法类",X440="无法识别"),"",IF(W440="",IF(OR(I440="ILF",I440="EIF"),0,""),LEN(W440)-LEN(SUBSTITUTE(W440,"、",""))+1))</f>
        <v/>
      </c>
      <c r="N440" s="83">
        <f>IF(OR(X440="估算法",X440="算法类",X440="无法识别"),"",IF(X440="",IF(OR(I440="ILF",I440="EIF",I440="EI",I440="EO",I440="EQ"),0,""),LEN(X440)-LEN(SUBSTITUTE(SUBSTITUTE(SUBSTITUTE(SUBSTITUTE(SUBSTITUTE(X440,"|}","--"),"{|","--"),CHAR(10),""),"、",""),"|",""))+IF(AND(OR(I440="EI",I440="EO",I440="EQ"),$AD$1="NESMA"),2,1)))</f>
        <v/>
      </c>
      <c r="O440" s="84">
        <f>IF(I440="EI",IF(OR(X440="估算法",X440="算法类"),"中",IF(X440="无法识别","低",IF(L440&lt;2,IF(N440&lt;16,"低","中"),IF(L440&lt;3,IF(N440&lt;5,"低",IF(N440&lt;16,"中","高")),IF(N440&lt;5,"中","高"))))),IF(OR(I440="EO",I440="EQ"),IF(OR(X440="估算法",X440="算法类"),"中",IF(X440="无法识别","低",IF(L440&lt;2,IF(N440&lt;20,"低","中"),IF(L440&lt;4,IF(N440&lt;6,"低",IF(N440&lt;20,"中","高")),IF(N440&lt;6,"中","高"))))),IF(OR(I440="ILF",I440="EIF"),IF(OR(X440="估算法",X440="算法类",X440="无法识别"),"低",IF(M440&lt;2,IF(N440&lt;51,"低","中"),IF(M440&lt;6,IF(N440&lt;20,"低",IF(N440&lt;51,"中","高")),IF(N440&lt;20,"中","高")))),"不计算")))</f>
        <v/>
      </c>
      <c r="P440" s="142">
        <f>IFERROR(IF(I440="EI",IF(O440="低",3,IF(O440="中",4,6)),IF(I440="EO",IF(O440="低",4,IF(O440="中",5,7)),IF(I440="EQ",IF(O440="低",3,IF(O440="中",4,6)),IF(I440="ILF",IF(O440="低",7,IF(O440="中",10,15)),IF(I440="EIF",IF(O440="低",5,IF(O440="中",7,10)),"不计算")))))*Q440,"不计算")</f>
        <v/>
      </c>
      <c r="Q440" s="142" t="n">
        <v>0.333333333333333</v>
      </c>
      <c r="R440" s="143">
        <f>调整因子!$F$13</f>
        <v/>
      </c>
      <c r="S440" s="76" t="n">
        <v>1</v>
      </c>
      <c r="T440" s="144">
        <f>IFERROR(P440*R440,0)</f>
        <v/>
      </c>
      <c r="U440" s="144">
        <f>T440*S440</f>
        <v/>
      </c>
      <c r="V440" s="76" t="inlineStr">
        <is>
          <t>用户偏好设置表、网站资产表</t>
        </is>
      </c>
      <c r="W440" s="81" t="n"/>
      <c r="X440" s="76" t="inlineStr">
        <is>
          <t>用户偏好设置表{主键 id 、用户 id 、偏好设置名称、偏好设置值、最后更新时间}
网站资产表{主键id、用户id、网站域名、资产名称、资产描述、创建时间、最后更新时间}</t>
        </is>
      </c>
      <c r="Y440" s="88" t="n"/>
      <c r="Z440" s="88" t="n"/>
      <c r="AA440" s="96" t="inlineStr">
        <is>
          <t>扫描策略模板表</t>
        </is>
      </c>
    </row>
    <row r="441" hidden="1" ht="32.4" customHeight="1">
      <c r="A441" s="69">
        <f>ROW()-1</f>
        <v/>
      </c>
      <c r="B441" s="53" t="n"/>
      <c r="C441" s="78" t="n">
        <v>2025</v>
      </c>
      <c r="D441" s="78" t="inlineStr">
        <is>
          <t>窦鹏岐</t>
        </is>
      </c>
      <c r="E441" s="53" t="n"/>
      <c r="F441" s="53" t="n"/>
      <c r="G441" s="53" t="n"/>
      <c r="H441" s="80" t="inlineStr">
        <is>
          <t>用户查看新增IP资产总数</t>
        </is>
      </c>
      <c r="I441" s="76" t="inlineStr">
        <is>
          <t>EO</t>
        </is>
      </c>
      <c r="J441" s="108" t="n"/>
      <c r="K441" s="108" t="inlineStr">
        <is>
          <t>未明确是否同界面</t>
        </is>
      </c>
      <c r="L441" s="83">
        <f>IF(OR(X441="估算法",X441="算法类",X441="无法识别"),"",IF(V441="",IF(OR(I441="EI",I441="EO",I441="EQ"),0,""),LEN(V441)-LEN(SUBSTITUTE(V441,"、",""))+1))</f>
        <v/>
      </c>
      <c r="M441" s="83">
        <f>IF(OR(X441="估算法",X441="算法类",X441="无法识别"),"",IF(W441="",IF(OR(I441="ILF",I441="EIF"),0,""),LEN(W441)-LEN(SUBSTITUTE(W441,"、",""))+1))</f>
        <v/>
      </c>
      <c r="N441" s="83">
        <f>IF(OR(X441="估算法",X441="算法类",X441="无法识别"),"",IF(X441="",IF(OR(I441="ILF",I441="EIF",I441="EI",I441="EO",I441="EQ"),0,""),LEN(X441)-LEN(SUBSTITUTE(SUBSTITUTE(SUBSTITUTE(SUBSTITUTE(SUBSTITUTE(X441,"|}","--"),"{|","--"),CHAR(10),""),"、",""),"|",""))+IF(AND(OR(I441="EI",I441="EO",I441="EQ"),$AD$1="NESMA"),2,1)))</f>
        <v/>
      </c>
      <c r="O441" s="84">
        <f>IF(I441="EI",IF(OR(X441="估算法",X441="算法类"),"中",IF(X441="无法识别","低",IF(L441&lt;2,IF(N441&lt;16,"低","中"),IF(L441&lt;3,IF(N441&lt;5,"低",IF(N441&lt;16,"中","高")),IF(N441&lt;5,"中","高"))))),IF(OR(I441="EO",I441="EQ"),IF(OR(X441="估算法",X441="算法类"),"中",IF(X441="无法识别","低",IF(L441&lt;2,IF(N441&lt;20,"低","中"),IF(L441&lt;4,IF(N441&lt;6,"低",IF(N441&lt;20,"中","高")),IF(N441&lt;6,"中","高"))))),IF(OR(I441="ILF",I441="EIF"),IF(OR(X441="估算法",X441="算法类",X441="无法识别"),"低",IF(M441&lt;2,IF(N441&lt;51,"低","中"),IF(M441&lt;6,IF(N441&lt;20,"低",IF(N441&lt;51,"中","高")),IF(N441&lt;20,"中","高")))),"不计算")))</f>
        <v/>
      </c>
      <c r="P441" s="142">
        <f>IFERROR(IF(I441="EI",IF(O441="低",3,IF(O441="中",4,6)),IF(I441="EO",IF(O441="低",4,IF(O441="中",5,7)),IF(I441="EQ",IF(O441="低",3,IF(O441="中",4,6)),IF(I441="ILF",IF(O441="低",7,IF(O441="中",10,15)),IF(I441="EIF",IF(O441="低",5,IF(O441="中",7,10)),"不计算")))))*Q441,"不计算")</f>
        <v/>
      </c>
      <c r="Q441" s="142" t="n">
        <v>0.333333333333333</v>
      </c>
      <c r="R441" s="143">
        <f>调整因子!$F$13</f>
        <v/>
      </c>
      <c r="S441" s="70" t="n">
        <v>1</v>
      </c>
      <c r="T441" s="144">
        <f>IFERROR(P441*R441,0)</f>
        <v/>
      </c>
      <c r="U441" s="144">
        <f>T441*S441</f>
        <v/>
      </c>
      <c r="V441" s="76" t="inlineStr">
        <is>
          <t>用户偏好设置表、IP资产表</t>
        </is>
      </c>
      <c r="W441" s="81" t="n"/>
      <c r="X441" s="76" t="inlineStr">
        <is>
          <t>用户偏好设置表{主键 id 、用户 id 、偏好设置名称、偏好设置值、最后更新时间}
IP资产表{主键id、用户id、IP地址、资产名称、资产描述、创建时间、最后更新时间}</t>
        </is>
      </c>
      <c r="Y441" s="88" t="n"/>
      <c r="Z441" s="88" t="n"/>
      <c r="AA441" s="96" t="inlineStr">
        <is>
          <t>扫描策略模板表、提醒策略配置表</t>
        </is>
      </c>
    </row>
    <row r="442" hidden="1" ht="32.4" customHeight="1">
      <c r="A442" s="69">
        <f>ROW()-1</f>
        <v/>
      </c>
      <c r="B442" s="53" t="n"/>
      <c r="C442" s="78" t="n">
        <v>2025</v>
      </c>
      <c r="D442" s="78" t="inlineStr">
        <is>
          <t>窦鹏岐</t>
        </is>
      </c>
      <c r="E442" s="53" t="n"/>
      <c r="F442" s="53" t="n"/>
      <c r="G442" s="53" t="n"/>
      <c r="H442" s="80" t="inlineStr">
        <is>
          <t>用户查看新增网站资产总数</t>
        </is>
      </c>
      <c r="I442" s="76" t="inlineStr">
        <is>
          <t>EO</t>
        </is>
      </c>
      <c r="J442" s="108" t="n"/>
      <c r="K442" s="108" t="inlineStr">
        <is>
          <t>未明确是否同界面</t>
        </is>
      </c>
      <c r="L442" s="83">
        <f>IF(OR(X442="估算法",X442="算法类",X442="无法识别"),"",IF(V442="",IF(OR(I442="EI",I442="EO",I442="EQ"),0,""),LEN(V442)-LEN(SUBSTITUTE(V442,"、",""))+1))</f>
        <v/>
      </c>
      <c r="M442" s="83">
        <f>IF(OR(X442="估算法",X442="算法类",X442="无法识别"),"",IF(W442="",IF(OR(I442="ILF",I442="EIF"),0,""),LEN(W442)-LEN(SUBSTITUTE(W442,"、",""))+1))</f>
        <v/>
      </c>
      <c r="N442" s="83">
        <f>IF(OR(X442="估算法",X442="算法类",X442="无法识别"),"",IF(X442="",IF(OR(I442="ILF",I442="EIF",I442="EI",I442="EO",I442="EQ"),0,""),LEN(X442)-LEN(SUBSTITUTE(SUBSTITUTE(SUBSTITUTE(SUBSTITUTE(SUBSTITUTE(X442,"|}","--"),"{|","--"),CHAR(10),""),"、",""),"|",""))+IF(AND(OR(I442="EI",I442="EO",I442="EQ"),$AD$1="NESMA"),2,1)))</f>
        <v/>
      </c>
      <c r="O442" s="84">
        <f>IF(I442="EI",IF(OR(X442="估算法",X442="算法类"),"中",IF(X442="无法识别","低",IF(L442&lt;2,IF(N442&lt;16,"低","中"),IF(L442&lt;3,IF(N442&lt;5,"低",IF(N442&lt;16,"中","高")),IF(N442&lt;5,"中","高"))))),IF(OR(I442="EO",I442="EQ"),IF(OR(X442="估算法",X442="算法类"),"中",IF(X442="无法识别","低",IF(L442&lt;2,IF(N442&lt;20,"低","中"),IF(L442&lt;4,IF(N442&lt;6,"低",IF(N442&lt;20,"中","高")),IF(N442&lt;6,"中","高"))))),IF(OR(I442="ILF",I442="EIF"),IF(OR(X442="估算法",X442="算法类",X442="无法识别"),"低",IF(M442&lt;2,IF(N442&lt;51,"低","中"),IF(M442&lt;6,IF(N442&lt;20,"低",IF(N442&lt;51,"中","高")),IF(N442&lt;20,"中","高")))),"不计算")))</f>
        <v/>
      </c>
      <c r="P442" s="142">
        <f>IFERROR(IF(I442="EI",IF(O442="低",3,IF(O442="中",4,6)),IF(I442="EO",IF(O442="低",4,IF(O442="中",5,7)),IF(I442="EQ",IF(O442="低",3,IF(O442="中",4,6)),IF(I442="ILF",IF(O442="低",7,IF(O442="中",10,15)),IF(I442="EIF",IF(O442="低",5,IF(O442="中",7,10)),"不计算")))))*Q442,"不计算")</f>
        <v/>
      </c>
      <c r="Q442" s="142" t="n">
        <v>0.333333333333333</v>
      </c>
      <c r="R442" s="143">
        <f>调整因子!$F$13</f>
        <v/>
      </c>
      <c r="S442" s="70" t="n">
        <v>1</v>
      </c>
      <c r="T442" s="144">
        <f>IFERROR(P442*R442,0)</f>
        <v/>
      </c>
      <c r="U442" s="144">
        <f>T442*S442</f>
        <v/>
      </c>
      <c r="V442" s="76" t="inlineStr">
        <is>
          <t>用户偏好设置表、网站资产表</t>
        </is>
      </c>
      <c r="W442" s="81" t="n"/>
      <c r="X442" s="76" t="inlineStr">
        <is>
          <t>用户偏好设置表{主键 id 、用户 id 、偏好设置名称、偏好设置值、最后更新时间}
网站资产表{主键id、用户id、网站域名、资产名称、资产描述、创建时间、最后更新时间}</t>
        </is>
      </c>
      <c r="Y442" s="88" t="n"/>
      <c r="Z442" s="88" t="n"/>
      <c r="AA442" s="96" t="inlineStr">
        <is>
          <t>扫描策略模板表、提醒策略配置表</t>
        </is>
      </c>
    </row>
    <row r="443" hidden="1" ht="21.6" customHeight="1">
      <c r="A443" s="69">
        <f>ROW()-1</f>
        <v/>
      </c>
      <c r="B443" s="53" t="n"/>
      <c r="C443" s="78" t="n">
        <v>2025</v>
      </c>
      <c r="D443" s="78" t="inlineStr">
        <is>
          <t>窦鹏岐</t>
        </is>
      </c>
      <c r="E443" s="53" t="n"/>
      <c r="F443" s="53" t="n"/>
      <c r="G443" s="53" t="n"/>
      <c r="H443" s="80" t="inlineStr">
        <is>
          <t>用户查看开放端口总数</t>
        </is>
      </c>
      <c r="I443" s="76" t="inlineStr">
        <is>
          <t>EO</t>
        </is>
      </c>
      <c r="J443" s="108" t="n"/>
      <c r="K443" s="108" t="inlineStr">
        <is>
          <t>未明确是否同界面</t>
        </is>
      </c>
      <c r="L443" s="83">
        <f>IF(OR(X443="估算法",X443="算法类",X443="无法识别"),"",IF(V443="",IF(OR(I443="EI",I443="EO",I443="EQ"),0,""),LEN(V443)-LEN(SUBSTITUTE(V443,"、",""))+1))</f>
        <v/>
      </c>
      <c r="M443" s="83">
        <f>IF(OR(X443="估算法",X443="算法类",X443="无法识别"),"",IF(W443="",IF(OR(I443="ILF",I443="EIF"),0,""),LEN(W443)-LEN(SUBSTITUTE(W443,"、",""))+1))</f>
        <v/>
      </c>
      <c r="N443" s="83">
        <f>IF(OR(X443="估算法",X443="算法类",X443="无法识别"),"",IF(X443="",IF(OR(I443="ILF",I443="EIF",I443="EI",I443="EO",I443="EQ"),0,""),LEN(X443)-LEN(SUBSTITUTE(SUBSTITUTE(SUBSTITUTE(SUBSTITUTE(SUBSTITUTE(X443,"|}","--"),"{|","--"),CHAR(10),""),"、",""),"|",""))+IF(AND(OR(I443="EI",I443="EO",I443="EQ"),$AD$1="NESMA"),2,1)))</f>
        <v/>
      </c>
      <c r="O443" s="84">
        <f>IF(I443="EI",IF(OR(X443="估算法",X443="算法类"),"中",IF(X443="无法识别","低",IF(L443&lt;2,IF(N443&lt;16,"低","中"),IF(L443&lt;3,IF(N443&lt;5,"低",IF(N443&lt;16,"中","高")),IF(N443&lt;5,"中","高"))))),IF(OR(I443="EO",I443="EQ"),IF(OR(X443="估算法",X443="算法类"),"中",IF(X443="无法识别","低",IF(L443&lt;2,IF(N443&lt;20,"低","中"),IF(L443&lt;4,IF(N443&lt;6,"低",IF(N443&lt;20,"中","高")),IF(N443&lt;6,"中","高"))))),IF(OR(I443="ILF",I443="EIF"),IF(OR(X443="估算法",X443="算法类",X443="无法识别"),"低",IF(M443&lt;2,IF(N443&lt;51,"低","中"),IF(M443&lt;6,IF(N443&lt;20,"低",IF(N443&lt;51,"中","高")),IF(N443&lt;20,"中","高")))),"不计算")))</f>
        <v/>
      </c>
      <c r="P443" s="142">
        <f>IFERROR(IF(I443="EI",IF(O443="低",3,IF(O443="中",4,6)),IF(I443="EO",IF(O443="低",4,IF(O443="中",5,7)),IF(I443="EQ",IF(O443="低",3,IF(O443="中",4,6)),IF(I443="ILF",IF(O443="低",7,IF(O443="中",10,15)),IF(I443="EIF",IF(O443="低",5,IF(O443="中",7,10)),"不计算")))))*Q443,"不计算")</f>
        <v/>
      </c>
      <c r="Q443" s="142" t="n">
        <v>0.333333333333333</v>
      </c>
      <c r="R443" s="143">
        <f>调整因子!$F$13</f>
        <v/>
      </c>
      <c r="S443" s="76" t="n">
        <v>1</v>
      </c>
      <c r="T443" s="144">
        <f>IFERROR(P443*R443,0)</f>
        <v/>
      </c>
      <c r="U443" s="144">
        <f>T443*S443</f>
        <v/>
      </c>
      <c r="V443" s="76" t="inlineStr">
        <is>
          <t>用户偏好设置表、开放端口表</t>
        </is>
      </c>
      <c r="W443" s="81" t="n"/>
      <c r="X443" s="76" t="inlineStr">
        <is>
          <t>用户偏好设置表{主键 id 、用户 id 、偏好设置名称、偏好设置值、最后更新时间}
开放端口表{主键id、资产id、端口号、协议、服务名称、状态、创建时间}</t>
        </is>
      </c>
      <c r="Y443" s="88" t="n"/>
      <c r="Z443" s="88" t="n"/>
      <c r="AA443" s="96" t="inlineStr">
        <is>
          <t>任务优先级配置表</t>
        </is>
      </c>
    </row>
    <row r="444" hidden="1" ht="32.4" customHeight="1">
      <c r="A444" s="69">
        <f>ROW()-1</f>
        <v/>
      </c>
      <c r="B444" s="53" t="n"/>
      <c r="C444" s="78" t="n">
        <v>2025</v>
      </c>
      <c r="D444" s="78" t="inlineStr">
        <is>
          <t>窦鹏岐</t>
        </is>
      </c>
      <c r="E444" s="53" t="n"/>
      <c r="F444" s="53" t="n"/>
      <c r="G444" s="53" t="n"/>
      <c r="H444" s="80" t="inlineStr">
        <is>
          <t>用户查看存在漏洞端口总数</t>
        </is>
      </c>
      <c r="I444" s="76" t="inlineStr">
        <is>
          <t>EO</t>
        </is>
      </c>
      <c r="J444" s="108" t="n"/>
      <c r="K444" s="108" t="inlineStr">
        <is>
          <t>未明确是否同界面</t>
        </is>
      </c>
      <c r="L444" s="83">
        <f>IF(OR(X444="估算法",X444="算法类",X444="无法识别"),"",IF(V444="",IF(OR(I444="EI",I444="EO",I444="EQ"),0,""),LEN(V444)-LEN(SUBSTITUTE(V444,"、",""))+1))</f>
        <v/>
      </c>
      <c r="M444" s="83">
        <f>IF(OR(X444="估算法",X444="算法类",X444="无法识别"),"",IF(W444="",IF(OR(I444="ILF",I444="EIF"),0,""),LEN(W444)-LEN(SUBSTITUTE(W444,"、",""))+1))</f>
        <v/>
      </c>
      <c r="N444" s="83">
        <f>IF(OR(X444="估算法",X444="算法类",X444="无法识别"),"",IF(X444="",IF(OR(I444="ILF",I444="EIF",I444="EI",I444="EO",I444="EQ"),0,""),LEN(X444)-LEN(SUBSTITUTE(SUBSTITUTE(SUBSTITUTE(SUBSTITUTE(SUBSTITUTE(X444,"|}","--"),"{|","--"),CHAR(10),""),"、",""),"|",""))+IF(AND(OR(I444="EI",I444="EO",I444="EQ"),$AD$1="NESMA"),2,1)))</f>
        <v/>
      </c>
      <c r="O444" s="84">
        <f>IF(I444="EI",IF(OR(X444="估算法",X444="算法类"),"中",IF(X444="无法识别","低",IF(L444&lt;2,IF(N444&lt;16,"低","中"),IF(L444&lt;3,IF(N444&lt;5,"低",IF(N444&lt;16,"中","高")),IF(N444&lt;5,"中","高"))))),IF(OR(I444="EO",I444="EQ"),IF(OR(X444="估算法",X444="算法类"),"中",IF(X444="无法识别","低",IF(L444&lt;2,IF(N444&lt;20,"低","中"),IF(L444&lt;4,IF(N444&lt;6,"低",IF(N444&lt;20,"中","高")),IF(N444&lt;6,"中","高"))))),IF(OR(I444="ILF",I444="EIF"),IF(OR(X444="估算法",X444="算法类",X444="无法识别"),"低",IF(M444&lt;2,IF(N444&lt;51,"低","中"),IF(M444&lt;6,IF(N444&lt;20,"低",IF(N444&lt;51,"中","高")),IF(N444&lt;20,"中","高")))),"不计算")))</f>
        <v/>
      </c>
      <c r="P444" s="142">
        <f>IFERROR(IF(I444="EI",IF(O444="低",3,IF(O444="中",4,6)),IF(I444="EO",IF(O444="低",4,IF(O444="中",5,7)),IF(I444="EQ",IF(O444="低",3,IF(O444="中",4,6)),IF(I444="ILF",IF(O444="低",7,IF(O444="中",10,15)),IF(I444="EIF",IF(O444="低",5,IF(O444="中",7,10)),"不计算")))))*Q444,"不计算")</f>
        <v/>
      </c>
      <c r="Q444" s="142" t="n">
        <v>0.2</v>
      </c>
      <c r="R444" s="143">
        <f>调整因子!$F$13</f>
        <v/>
      </c>
      <c r="S444" s="70" t="n">
        <v>1</v>
      </c>
      <c r="T444" s="144">
        <f>IFERROR(P444*R444,0)</f>
        <v/>
      </c>
      <c r="U444" s="144">
        <f>T444*S444</f>
        <v/>
      </c>
      <c r="V444" s="76" t="inlineStr">
        <is>
          <t>用户偏好设置表、漏洞端口表</t>
        </is>
      </c>
      <c r="W444" s="81" t="n"/>
      <c r="X444" s="76" t="inlineStr">
        <is>
          <t>用户偏好设置表{主键 id 、用户 id 、偏好设置名称、偏好设置值、最后更新时间}
漏洞端口表{主键id、资产id、端口号、协议、服务名称、漏洞描述、风险等级、创建时间}</t>
        </is>
      </c>
      <c r="Y444" s="88" t="n"/>
      <c r="Z444" s="88" t="n"/>
      <c r="AA444" s="96" t="inlineStr">
        <is>
          <t>漏洞查询接口配置表、处置单关联表</t>
        </is>
      </c>
    </row>
    <row r="445" hidden="1" ht="32.4" customHeight="1">
      <c r="A445" s="69">
        <f>ROW()-1</f>
        <v/>
      </c>
      <c r="B445" s="53" t="n"/>
      <c r="C445" s="78" t="n">
        <v>2025</v>
      </c>
      <c r="D445" s="78" t="inlineStr">
        <is>
          <t>窦鹏岐</t>
        </is>
      </c>
      <c r="E445" s="53" t="n"/>
      <c r="F445" s="53" t="n"/>
      <c r="G445" s="53" t="n"/>
      <c r="H445" s="80" t="inlineStr">
        <is>
          <t>用户查看主机资产列表</t>
        </is>
      </c>
      <c r="I445" s="76" t="inlineStr">
        <is>
          <t>EQ</t>
        </is>
      </c>
      <c r="J445" s="108" t="n"/>
      <c r="K445" s="108" t="n"/>
      <c r="L445" s="83">
        <f>IF(OR(X445="估算法",X445="算法类",X445="无法识别"),"",IF(V445="",IF(OR(I445="EI",I445="EO",I445="EQ"),0,""),LEN(V445)-LEN(SUBSTITUTE(V445,"、",""))+1))</f>
        <v/>
      </c>
      <c r="M445" s="83">
        <f>IF(OR(X445="估算法",X445="算法类",X445="无法识别"),"",IF(W445="",IF(OR(I445="ILF",I445="EIF"),0,""),LEN(W445)-LEN(SUBSTITUTE(W445,"、",""))+1))</f>
        <v/>
      </c>
      <c r="N445" s="83">
        <f>IF(OR(X445="估算法",X445="算法类",X445="无法识别"),"",IF(X445="",IF(OR(I445="ILF",I445="EIF",I445="EI",I445="EO",I445="EQ"),0,""),LEN(X445)-LEN(SUBSTITUTE(SUBSTITUTE(SUBSTITUTE(SUBSTITUTE(SUBSTITUTE(X445,"|}","--"),"{|","--"),CHAR(10),""),"、",""),"|",""))+IF(AND(OR(I445="EI",I445="EO",I445="EQ"),$AD$1="NESMA"),2,1)))</f>
        <v/>
      </c>
      <c r="O445" s="84">
        <f>IF(I445="EI",IF(OR(X445="估算法",X445="算法类"),"中",IF(X445="无法识别","低",IF(L445&lt;2,IF(N445&lt;16,"低","中"),IF(L445&lt;3,IF(N445&lt;5,"低",IF(N445&lt;16,"中","高")),IF(N445&lt;5,"中","高"))))),IF(OR(I445="EO",I445="EQ"),IF(OR(X445="估算法",X445="算法类"),"中",IF(X445="无法识别","低",IF(L445&lt;2,IF(N445&lt;20,"低","中"),IF(L445&lt;4,IF(N445&lt;6,"低",IF(N445&lt;20,"中","高")),IF(N445&lt;6,"中","高"))))),IF(OR(I445="ILF",I445="EIF"),IF(OR(X445="估算法",X445="算法类",X445="无法识别"),"低",IF(M445&lt;2,IF(N445&lt;51,"低","中"),IF(M445&lt;6,IF(N445&lt;20,"低",IF(N445&lt;51,"中","高")),IF(N445&lt;20,"中","高")))),"不计算")))</f>
        <v/>
      </c>
      <c r="P445" s="142">
        <f>IFERROR(IF(I445="EI",IF(O445="低",3,IF(O445="中",4,6)),IF(I445="EO",IF(O445="低",4,IF(O445="中",5,7)),IF(I445="EQ",IF(O445="低",3,IF(O445="中",4,6)),IF(I445="ILF",IF(O445="低",7,IF(O445="中",10,15)),IF(I445="EIF",IF(O445="低",5,IF(O445="中",7,10)),"不计算")))))*Q445,"不计算")</f>
        <v/>
      </c>
      <c r="Q445" s="142" t="n">
        <v>1</v>
      </c>
      <c r="R445" s="143">
        <f>调整因子!$F$13</f>
        <v/>
      </c>
      <c r="S445" s="70" t="n">
        <v>1</v>
      </c>
      <c r="T445" s="144">
        <f>IFERROR(P445*R445,0)</f>
        <v/>
      </c>
      <c r="U445" s="144">
        <f>T445*S445</f>
        <v/>
      </c>
      <c r="V445" s="76" t="inlineStr">
        <is>
          <t>用户偏好设置表、主机资产列表表</t>
        </is>
      </c>
      <c r="W445" s="81" t="n"/>
      <c r="X445" s="76" t="inlineStr">
        <is>
          <t>用户偏好设置表{主键 id 、用户 id 、偏好设置名称、偏好设置值、最后更新时间}
主机资产列表表{主键id、用户id、主机名称、IP地址、操作系统、设备类型、状态、创建时间、最后更新时间}</t>
        </is>
      </c>
      <c r="Y445" s="88" t="n"/>
      <c r="Z445" s="88" t="n"/>
      <c r="AA445" s="96" t="inlineStr">
        <is>
          <t>推送规则表</t>
        </is>
      </c>
    </row>
    <row r="446" hidden="1" ht="32.4" customHeight="1">
      <c r="A446" s="69">
        <f>ROW()-1</f>
        <v/>
      </c>
      <c r="B446" s="53" t="n"/>
      <c r="C446" s="78" t="n">
        <v>2025</v>
      </c>
      <c r="D446" s="78" t="inlineStr">
        <is>
          <t>窦鹏岐</t>
        </is>
      </c>
      <c r="E446" s="53" t="n"/>
      <c r="F446" s="53" t="n"/>
      <c r="G446" s="53" t="n"/>
      <c r="H446" s="80" t="inlineStr">
        <is>
          <t>用户查看web资产列表</t>
        </is>
      </c>
      <c r="I446" s="76" t="inlineStr">
        <is>
          <t>EQ</t>
        </is>
      </c>
      <c r="J446" s="108" t="n"/>
      <c r="K446" s="108" t="n"/>
      <c r="L446" s="83">
        <f>IF(OR(X446="估算法",X446="算法类",X446="无法识别"),"",IF(V446="",IF(OR(I446="EI",I446="EO",I446="EQ"),0,""),LEN(V446)-LEN(SUBSTITUTE(V446,"、",""))+1))</f>
        <v/>
      </c>
      <c r="M446" s="83">
        <f>IF(OR(X446="估算法",X446="算法类",X446="无法识别"),"",IF(W446="",IF(OR(I446="ILF",I446="EIF"),0,""),LEN(W446)-LEN(SUBSTITUTE(W446,"、",""))+1))</f>
        <v/>
      </c>
      <c r="N446" s="83">
        <f>IF(OR(X446="估算法",X446="算法类",X446="无法识别"),"",IF(X446="",IF(OR(I446="ILF",I446="EIF",I446="EI",I446="EO",I446="EQ"),0,""),LEN(X446)-LEN(SUBSTITUTE(SUBSTITUTE(SUBSTITUTE(SUBSTITUTE(SUBSTITUTE(X446,"|}","--"),"{|","--"),CHAR(10),""),"、",""),"|",""))+IF(AND(OR(I446="EI",I446="EO",I446="EQ"),$AD$1="NESMA"),2,1)))</f>
        <v/>
      </c>
      <c r="O446" s="84">
        <f>IF(I446="EI",IF(OR(X446="估算法",X446="算法类"),"中",IF(X446="无法识别","低",IF(L446&lt;2,IF(N446&lt;16,"低","中"),IF(L446&lt;3,IF(N446&lt;5,"低",IF(N446&lt;16,"中","高")),IF(N446&lt;5,"中","高"))))),IF(OR(I446="EO",I446="EQ"),IF(OR(X446="估算法",X446="算法类"),"中",IF(X446="无法识别","低",IF(L446&lt;2,IF(N446&lt;20,"低","中"),IF(L446&lt;4,IF(N446&lt;6,"低",IF(N446&lt;20,"中","高")),IF(N446&lt;6,"中","高"))))),IF(OR(I446="ILF",I446="EIF"),IF(OR(X446="估算法",X446="算法类",X446="无法识别"),"低",IF(M446&lt;2,IF(N446&lt;51,"低","中"),IF(M446&lt;6,IF(N446&lt;20,"低",IF(N446&lt;51,"中","高")),IF(N446&lt;20,"中","高")))),"不计算")))</f>
        <v/>
      </c>
      <c r="P446" s="142">
        <f>IFERROR(IF(I446="EI",IF(O446="低",3,IF(O446="中",4,6)),IF(I446="EO",IF(O446="低",4,IF(O446="中",5,7)),IF(I446="EQ",IF(O446="低",3,IF(O446="中",4,6)),IF(I446="ILF",IF(O446="低",7,IF(O446="中",10,15)),IF(I446="EIF",IF(O446="低",5,IF(O446="中",7,10)),"不计算")))))*Q446,"不计算")</f>
        <v/>
      </c>
      <c r="Q446" s="142" t="n">
        <v>0.333333333333333</v>
      </c>
      <c r="R446" s="143">
        <f>调整因子!$F$13</f>
        <v/>
      </c>
      <c r="S446" s="76" t="n">
        <v>1</v>
      </c>
      <c r="T446" s="144">
        <f>IFERROR(P446*R446,0)</f>
        <v/>
      </c>
      <c r="U446" s="144">
        <f>T446*S446</f>
        <v/>
      </c>
      <c r="V446" s="76" t="inlineStr">
        <is>
          <t>用户偏好设置表、Web资产列表表</t>
        </is>
      </c>
      <c r="W446" s="81" t="n"/>
      <c r="X446" s="76" t="inlineStr">
        <is>
          <t>用户偏好设置表{主键 id 、用户 id 、偏好设置名称、偏好设置值、最后更新时间}
Web资产列表表{主键id、用户id、网站名称、域名、服务器类型、状态、创建时间、最后更新时间}</t>
        </is>
      </c>
      <c r="Y446" s="88" t="n"/>
      <c r="Z446" s="88" t="n"/>
      <c r="AA446" s="96" t="inlineStr">
        <is>
          <t>推送规则表</t>
        </is>
      </c>
    </row>
    <row r="447" hidden="1" ht="21.6" customHeight="1">
      <c r="A447" s="69">
        <f>ROW()-1</f>
        <v/>
      </c>
      <c r="B447" s="53" t="n"/>
      <c r="C447" s="78" t="n">
        <v>2025</v>
      </c>
      <c r="D447" s="78" t="inlineStr">
        <is>
          <t>窦鹏岐</t>
        </is>
      </c>
      <c r="E447" s="53" t="n"/>
      <c r="F447" s="53" t="n"/>
      <c r="G447" s="53" t="n"/>
      <c r="H447" s="80" t="inlineStr">
        <is>
          <t>用户查看节点风险等级信息</t>
        </is>
      </c>
      <c r="I447" s="76" t="inlineStr">
        <is>
          <t>EQ</t>
        </is>
      </c>
      <c r="J447" s="108" t="n"/>
      <c r="K447" s="108" t="n"/>
      <c r="L447" s="83">
        <f>IF(OR(X447="估算法",X447="算法类",X447="无法识别"),"",IF(V447="",IF(OR(I447="EI",I447="EO",I447="EQ"),0,""),LEN(V447)-LEN(SUBSTITUTE(V447,"、",""))+1))</f>
        <v/>
      </c>
      <c r="M447" s="83">
        <f>IF(OR(X447="估算法",X447="算法类",X447="无法识别"),"",IF(W447="",IF(OR(I447="ILF",I447="EIF"),0,""),LEN(W447)-LEN(SUBSTITUTE(W447,"、",""))+1))</f>
        <v/>
      </c>
      <c r="N447" s="83">
        <f>IF(OR(X447="估算法",X447="算法类",X447="无法识别"),"",IF(X447="",IF(OR(I447="ILF",I447="EIF",I447="EI",I447="EO",I447="EQ"),0,""),LEN(X447)-LEN(SUBSTITUTE(SUBSTITUTE(SUBSTITUTE(SUBSTITUTE(SUBSTITUTE(X447,"|}","--"),"{|","--"),CHAR(10),""),"、",""),"|",""))+IF(AND(OR(I447="EI",I447="EO",I447="EQ"),$AD$1="NESMA"),2,1)))</f>
        <v/>
      </c>
      <c r="O447" s="84">
        <f>IF(I447="EI",IF(OR(X447="估算法",X447="算法类"),"中",IF(X447="无法识别","低",IF(L447&lt;2,IF(N447&lt;16,"低","中"),IF(L447&lt;3,IF(N447&lt;5,"低",IF(N447&lt;16,"中","高")),IF(N447&lt;5,"中","高"))))),IF(OR(I447="EO",I447="EQ"),IF(OR(X447="估算法",X447="算法类"),"中",IF(X447="无法识别","低",IF(L447&lt;2,IF(N447&lt;20,"低","中"),IF(L447&lt;4,IF(N447&lt;6,"低",IF(N447&lt;20,"中","高")),IF(N447&lt;6,"中","高"))))),IF(OR(I447="ILF",I447="EIF"),IF(OR(X447="估算法",X447="算法类",X447="无法识别"),"低",IF(M447&lt;2,IF(N447&lt;51,"低","中"),IF(M447&lt;6,IF(N447&lt;20,"低",IF(N447&lt;51,"中","高")),IF(N447&lt;20,"中","高")))),"不计算")))</f>
        <v/>
      </c>
      <c r="P447" s="142">
        <f>IFERROR(IF(I447="EI",IF(O447="低",3,IF(O447="中",4,6)),IF(I447="EO",IF(O447="低",4,IF(O447="中",5,7)),IF(I447="EQ",IF(O447="低",3,IF(O447="中",4,6)),IF(I447="ILF",IF(O447="低",7,IF(O447="中",10,15)),IF(I447="EIF",IF(O447="低",5,IF(O447="中",7,10)),"不计算")))))*Q447,"不计算")</f>
        <v/>
      </c>
      <c r="Q447" s="142" t="n">
        <v>1</v>
      </c>
      <c r="R447" s="143">
        <f>调整因子!$F$13</f>
        <v/>
      </c>
      <c r="S447" s="70" t="n">
        <v>1</v>
      </c>
      <c r="T447" s="144">
        <f>IFERROR(P447*R447,0)</f>
        <v/>
      </c>
      <c r="U447" s="144">
        <f>T447*S447</f>
        <v/>
      </c>
      <c r="V447" s="76" t="inlineStr">
        <is>
          <t>用户偏好设置表、节点风险等级表</t>
        </is>
      </c>
      <c r="W447" s="81" t="n"/>
      <c r="X447" s="76" t="inlineStr">
        <is>
          <t>用户偏好设置表{主键 id 、用户 id 、偏好设置名称、偏好设置值、最后更新时间}
节点风险等级表{主键id、节点id、风险等级、评估时间、评估描述}</t>
        </is>
      </c>
      <c r="Y447" s="88" t="n"/>
      <c r="Z447" s="88" t="n"/>
      <c r="AA447" s="96" t="inlineStr">
        <is>
          <t>推送规则表</t>
        </is>
      </c>
    </row>
    <row r="448" hidden="1" ht="21.6" customHeight="1">
      <c r="A448" s="69">
        <f>ROW()-1</f>
        <v/>
      </c>
      <c r="B448" s="53" t="n"/>
      <c r="C448" s="78" t="n">
        <v>2025</v>
      </c>
      <c r="D448" s="78" t="inlineStr">
        <is>
          <t>窦鹏岐</t>
        </is>
      </c>
      <c r="E448" s="53" t="n"/>
      <c r="F448" s="53" t="n"/>
      <c r="G448" s="53" t="n"/>
      <c r="H448" s="80" t="inlineStr">
        <is>
          <t>用户查看节点主机整体风险等级分布</t>
        </is>
      </c>
      <c r="I448" s="76" t="inlineStr">
        <is>
          <t>EQ</t>
        </is>
      </c>
      <c r="J448" s="108" t="n"/>
      <c r="K448" s="108" t="n"/>
      <c r="L448" s="83">
        <f>IF(OR(X448="估算法",X448="算法类",X448="无法识别"),"",IF(V448="",IF(OR(I448="EI",I448="EO",I448="EQ"),0,""),LEN(V448)-LEN(SUBSTITUTE(V448,"、",""))+1))</f>
        <v/>
      </c>
      <c r="M448" s="83">
        <f>IF(OR(X448="估算法",X448="算法类",X448="无法识别"),"",IF(W448="",IF(OR(I448="ILF",I448="EIF"),0,""),LEN(W448)-LEN(SUBSTITUTE(W448,"、",""))+1))</f>
        <v/>
      </c>
      <c r="N448" s="83">
        <f>IF(OR(X448="估算法",X448="算法类",X448="无法识别"),"",IF(X448="",IF(OR(I448="ILF",I448="EIF",I448="EI",I448="EO",I448="EQ"),0,""),LEN(X448)-LEN(SUBSTITUTE(SUBSTITUTE(SUBSTITUTE(SUBSTITUTE(SUBSTITUTE(X448,"|}","--"),"{|","--"),CHAR(10),""),"、",""),"|",""))+IF(AND(OR(I448="EI",I448="EO",I448="EQ"),$AD$1="NESMA"),2,1)))</f>
        <v/>
      </c>
      <c r="O448" s="84">
        <f>IF(I448="EI",IF(OR(X448="估算法",X448="算法类"),"中",IF(X448="无法识别","低",IF(L448&lt;2,IF(N448&lt;16,"低","中"),IF(L448&lt;3,IF(N448&lt;5,"低",IF(N448&lt;16,"中","高")),IF(N448&lt;5,"中","高"))))),IF(OR(I448="EO",I448="EQ"),IF(OR(X448="估算法",X448="算法类"),"中",IF(X448="无法识别","低",IF(L448&lt;2,IF(N448&lt;20,"低","中"),IF(L448&lt;4,IF(N448&lt;6,"低",IF(N448&lt;20,"中","高")),IF(N448&lt;6,"中","高"))))),IF(OR(I448="ILF",I448="EIF"),IF(OR(X448="估算法",X448="算法类",X448="无法识别"),"低",IF(M448&lt;2,IF(N448&lt;51,"低","中"),IF(M448&lt;6,IF(N448&lt;20,"低",IF(N448&lt;51,"中","高")),IF(N448&lt;20,"中","高")))),"不计算")))</f>
        <v/>
      </c>
      <c r="P448" s="142">
        <f>IFERROR(IF(I448="EI",IF(O448="低",3,IF(O448="中",4,6)),IF(I448="EO",IF(O448="低",4,IF(O448="中",5,7)),IF(I448="EQ",IF(O448="低",3,IF(O448="中",4,6)),IF(I448="ILF",IF(O448="低",7,IF(O448="中",10,15)),IF(I448="EIF",IF(O448="低",5,IF(O448="中",7,10)),"不计算")))))*Q448,"不计算")</f>
        <v/>
      </c>
      <c r="Q448" s="142" t="n">
        <v>0.333333333333333</v>
      </c>
      <c r="R448" s="143">
        <f>调整因子!$F$13</f>
        <v/>
      </c>
      <c r="S448" s="70" t="n">
        <v>1</v>
      </c>
      <c r="T448" s="144">
        <f>IFERROR(P448*R448,0)</f>
        <v/>
      </c>
      <c r="U448" s="144">
        <f>T448*S448</f>
        <v/>
      </c>
      <c r="V448" s="76" t="inlineStr">
        <is>
          <t>用户偏好设置表、主机风险评估表</t>
        </is>
      </c>
      <c r="W448" s="81" t="n"/>
      <c r="X448" s="76" t="inlineStr">
        <is>
          <t>用户偏好设置表{主键 id 、用户 id 、偏好设置名称、偏好设置值、最后更新时间}
主机风险评估表</t>
        </is>
      </c>
      <c r="Y448" s="88" t="n"/>
      <c r="Z448" s="88" t="n"/>
      <c r="AA448" s="96" t="inlineStr">
        <is>
          <t>报告导入记录表</t>
        </is>
      </c>
    </row>
    <row r="449" hidden="1" ht="32.4" customFormat="1" customHeight="1" s="63">
      <c r="A449" s="69">
        <f>ROW()-1</f>
        <v/>
      </c>
      <c r="B449" s="53" t="n"/>
      <c r="C449" s="78" t="n">
        <v>2025</v>
      </c>
      <c r="D449" s="78" t="inlineStr">
        <is>
          <t>窦鹏岐</t>
        </is>
      </c>
      <c r="E449" s="53" t="n"/>
      <c r="F449" s="53" t="n"/>
      <c r="G449" s="53" t="n"/>
      <c r="H449" s="80" t="inlineStr">
        <is>
          <t>用户查看节点主机漏洞风险非常危险主机数量</t>
        </is>
      </c>
      <c r="I449" s="76" t="n"/>
      <c r="J449" s="108" t="n"/>
      <c r="K449" s="108" t="inlineStr">
        <is>
          <t>和上行合并，输入输出完全一致，相同查询</t>
        </is>
      </c>
      <c r="L449" s="83">
        <f>IF(OR(X449="估算法",X449="算法类",X449="无法识别"),"",IF(V449="",IF(OR(I449="EI",I449="EO",I449="EQ"),0,""),LEN(V449)-LEN(SUBSTITUTE(V449,"、",""))+1))</f>
        <v/>
      </c>
      <c r="M449" s="83">
        <f>IF(OR(X449="估算法",X449="算法类",X449="无法识别"),"",IF(W449="",IF(OR(I449="ILF",I449="EIF"),0,""),LEN(W449)-LEN(SUBSTITUTE(W449,"、",""))+1))</f>
        <v/>
      </c>
      <c r="N449" s="83">
        <f>IF(OR(X449="估算法",X449="算法类",X449="无法识别"),"",IF(X449="",IF(OR(I449="ILF",I449="EIF",I449="EI",I449="EO",I449="EQ"),0,""),LEN(X449)-LEN(SUBSTITUTE(SUBSTITUTE(SUBSTITUTE(SUBSTITUTE(SUBSTITUTE(X449,"|}","--"),"{|","--"),CHAR(10),""),"、",""),"|",""))+IF(AND(OR(I449="EI",I449="EO",I449="EQ"),$AD$1="NESMA"),2,1)))</f>
        <v/>
      </c>
      <c r="O449" s="84">
        <f>IF(I449="EI",IF(OR(X449="估算法",X449="算法类"),"中",IF(X449="无法识别","低",IF(L449&lt;2,IF(N449&lt;16,"低","中"),IF(L449&lt;3,IF(N449&lt;5,"低",IF(N449&lt;16,"中","高")),IF(N449&lt;5,"中","高"))))),IF(OR(I449="EO",I449="EQ"),IF(OR(X449="估算法",X449="算法类"),"中",IF(X449="无法识别","低",IF(L449&lt;2,IF(N449&lt;20,"低","中"),IF(L449&lt;4,IF(N449&lt;6,"低",IF(N449&lt;20,"中","高")),IF(N449&lt;6,"中","高"))))),IF(OR(I449="ILF",I449="EIF"),IF(OR(X449="估算法",X449="算法类",X449="无法识别"),"低",IF(M449&lt;2,IF(N449&lt;51,"低","中"),IF(M449&lt;6,IF(N449&lt;20,"低",IF(N449&lt;51,"中","高")),IF(N449&lt;20,"中","高")))),"不计算")))</f>
        <v/>
      </c>
      <c r="P449" s="142">
        <f>IFERROR(IF(I449="EI",IF(O449="低",3,IF(O449="中",4,6)),IF(I449="EO",IF(O449="低",4,IF(O449="中",5,7)),IF(I449="EQ",IF(O449="低",3,IF(O449="中",4,6)),IF(I449="ILF",IF(O449="低",7,IF(O449="中",10,15)),IF(I449="EIF",IF(O449="低",5,IF(O449="中",7,10)),"不计算")))))*Q449,"不计算")</f>
        <v/>
      </c>
      <c r="Q449" s="142" t="n">
        <v>0.333333333333333</v>
      </c>
      <c r="R449" s="143">
        <f>调整因子!$F$13</f>
        <v/>
      </c>
      <c r="S449" s="76" t="n">
        <v>1</v>
      </c>
      <c r="T449" s="144">
        <f>IFERROR(P449*R449,0)</f>
        <v/>
      </c>
      <c r="U449" s="144">
        <f>T449*S449</f>
        <v/>
      </c>
      <c r="V449" s="76" t="inlineStr">
        <is>
          <t>用户偏好设置表、主机漏洞表</t>
        </is>
      </c>
      <c r="W449" s="81" t="n"/>
      <c r="X449" s="76" t="inlineStr">
        <is>
          <t>用户偏好设置表{主键 id 、用户 id 、偏好设置名称、偏好设置值、最后更新时间}
主机漏洞表{主机漏洞表{主键id、主机id、漏洞名称、漏洞描述、风险等级、发现时间、状态}}</t>
        </is>
      </c>
      <c r="Y449" s="88" t="n"/>
      <c r="Z449" s="88" t="n"/>
      <c r="AA449" s="96" t="inlineStr">
        <is>
          <t>任务趋势分析表</t>
        </is>
      </c>
    </row>
    <row r="450" hidden="1" ht="32.4" customFormat="1" customHeight="1" s="63">
      <c r="A450" s="69">
        <f>ROW()-1</f>
        <v/>
      </c>
      <c r="B450" s="53" t="n"/>
      <c r="C450" s="78" t="n">
        <v>2025</v>
      </c>
      <c r="D450" s="78" t="inlineStr">
        <is>
          <t>窦鹏岐</t>
        </is>
      </c>
      <c r="E450" s="53" t="n"/>
      <c r="F450" s="53" t="n"/>
      <c r="G450" s="53" t="n"/>
      <c r="H450" s="80" t="inlineStr">
        <is>
          <t>用户查看节点主机漏洞风险比较危险主机数量</t>
        </is>
      </c>
      <c r="I450" s="76" t="n"/>
      <c r="J450" s="108" t="n"/>
      <c r="K450" s="108" t="inlineStr">
        <is>
          <t>和上行合并，输入输出完全一致，相同查询</t>
        </is>
      </c>
      <c r="L450" s="83">
        <f>IF(OR(X450="估算法",X450="算法类",X450="无法识别"),"",IF(V450="",IF(OR(I450="EI",I450="EO",I450="EQ"),0,""),LEN(V450)-LEN(SUBSTITUTE(V450,"、",""))+1))</f>
        <v/>
      </c>
      <c r="M450" s="83">
        <f>IF(OR(X450="估算法",X450="算法类",X450="无法识别"),"",IF(W450="",IF(OR(I450="ILF",I450="EIF"),0,""),LEN(W450)-LEN(SUBSTITUTE(W450,"、",""))+1))</f>
        <v/>
      </c>
      <c r="N450" s="83">
        <f>IF(OR(X450="估算法",X450="算法类",X450="无法识别"),"",IF(X450="",IF(OR(I450="ILF",I450="EIF",I450="EI",I450="EO",I450="EQ"),0,""),LEN(X450)-LEN(SUBSTITUTE(SUBSTITUTE(SUBSTITUTE(SUBSTITUTE(SUBSTITUTE(X450,"|}","--"),"{|","--"),CHAR(10),""),"、",""),"|",""))+IF(AND(OR(I450="EI",I450="EO",I450="EQ"),$AD$1="NESMA"),2,1)))</f>
        <v/>
      </c>
      <c r="O450" s="84">
        <f>IF(I450="EI",IF(OR(X450="估算法",X450="算法类"),"中",IF(X450="无法识别","低",IF(L450&lt;2,IF(N450&lt;16,"低","中"),IF(L450&lt;3,IF(N450&lt;5,"低",IF(N450&lt;16,"中","高")),IF(N450&lt;5,"中","高"))))),IF(OR(I450="EO",I450="EQ"),IF(OR(X450="估算法",X450="算法类"),"中",IF(X450="无法识别","低",IF(L450&lt;2,IF(N450&lt;20,"低","中"),IF(L450&lt;4,IF(N450&lt;6,"低",IF(N450&lt;20,"中","高")),IF(N450&lt;6,"中","高"))))),IF(OR(I450="ILF",I450="EIF"),IF(OR(X450="估算法",X450="算法类",X450="无法识别"),"低",IF(M450&lt;2,IF(N450&lt;51,"低","中"),IF(M450&lt;6,IF(N450&lt;20,"低",IF(N450&lt;51,"中","高")),IF(N450&lt;20,"中","高")))),"不计算")))</f>
        <v/>
      </c>
      <c r="P450" s="142">
        <f>IFERROR(IF(I450="EI",IF(O450="低",3,IF(O450="中",4,6)),IF(I450="EO",IF(O450="低",4,IF(O450="中",5,7)),IF(I450="EQ",IF(O450="低",3,IF(O450="中",4,6)),IF(I450="ILF",IF(O450="低",7,IF(O450="中",10,15)),IF(I450="EIF",IF(O450="低",5,IF(O450="中",7,10)),"不计算")))))*Q450,"不计算")</f>
        <v/>
      </c>
      <c r="Q450" s="142" t="n">
        <v>0.333333333333333</v>
      </c>
      <c r="R450" s="143">
        <f>调整因子!$F$13</f>
        <v/>
      </c>
      <c r="S450" s="70" t="n">
        <v>1</v>
      </c>
      <c r="T450" s="144">
        <f>IFERROR(P450*R450,0)</f>
        <v/>
      </c>
      <c r="U450" s="144">
        <f>T450*S450</f>
        <v/>
      </c>
      <c r="V450" s="76" t="inlineStr">
        <is>
          <t>用户偏好设置表、主机漏洞表</t>
        </is>
      </c>
      <c r="W450" s="81" t="n"/>
      <c r="X450" s="76" t="inlineStr">
        <is>
          <t>用户偏好设置表{主键 id 、用户 id 、偏好设置名称、偏好设置值、最后更新时间}
主机漏洞表{主机漏洞表{主键id、主机id、漏洞名称、漏洞描述、风险等级、发现时间、状态}}</t>
        </is>
      </c>
      <c r="Y450" s="88" t="n"/>
      <c r="Z450" s="88" t="n"/>
      <c r="AA450" s="96" t="inlineStr">
        <is>
          <t>扫描任务接口配置表</t>
        </is>
      </c>
    </row>
    <row r="451" hidden="1" ht="32.4" customFormat="1" customHeight="1" s="63">
      <c r="A451" s="69">
        <f>ROW()-1</f>
        <v/>
      </c>
      <c r="B451" s="53" t="n"/>
      <c r="C451" s="78" t="n">
        <v>2025</v>
      </c>
      <c r="D451" s="78" t="inlineStr">
        <is>
          <t>窦鹏岐</t>
        </is>
      </c>
      <c r="E451" s="53" t="n"/>
      <c r="F451" s="53" t="n"/>
      <c r="G451" s="53" t="n"/>
      <c r="H451" s="80" t="inlineStr">
        <is>
          <t>用户查看节点主机漏洞风险比较安全主机数量</t>
        </is>
      </c>
      <c r="I451" s="76" t="n"/>
      <c r="J451" s="108" t="n"/>
      <c r="K451" s="108" t="inlineStr">
        <is>
          <t>和上行合并，输入输出完全一致，相同查询</t>
        </is>
      </c>
      <c r="L451" s="83">
        <f>IF(OR(X451="估算法",X451="算法类",X451="无法识别"),"",IF(V451="",IF(OR(I451="EI",I451="EO",I451="EQ"),0,""),LEN(V451)-LEN(SUBSTITUTE(V451,"、",""))+1))</f>
        <v/>
      </c>
      <c r="M451" s="83">
        <f>IF(OR(X451="估算法",X451="算法类",X451="无法识别"),"",IF(W451="",IF(OR(I451="ILF",I451="EIF"),0,""),LEN(W451)-LEN(SUBSTITUTE(W451,"、",""))+1))</f>
        <v/>
      </c>
      <c r="N451" s="83">
        <f>IF(OR(X451="估算法",X451="算法类",X451="无法识别"),"",IF(X451="",IF(OR(I451="ILF",I451="EIF",I451="EI",I451="EO",I451="EQ"),0,""),LEN(X451)-LEN(SUBSTITUTE(SUBSTITUTE(SUBSTITUTE(SUBSTITUTE(SUBSTITUTE(X451,"|}","--"),"{|","--"),CHAR(10),""),"、",""),"|",""))+IF(AND(OR(I451="EI",I451="EO",I451="EQ"),$AD$1="NESMA"),2,1)))</f>
        <v/>
      </c>
      <c r="O451" s="84">
        <f>IF(I451="EI",IF(OR(X451="估算法",X451="算法类"),"中",IF(X451="无法识别","低",IF(L451&lt;2,IF(N451&lt;16,"低","中"),IF(L451&lt;3,IF(N451&lt;5,"低",IF(N451&lt;16,"中","高")),IF(N451&lt;5,"中","高"))))),IF(OR(I451="EO",I451="EQ"),IF(OR(X451="估算法",X451="算法类"),"中",IF(X451="无法识别","低",IF(L451&lt;2,IF(N451&lt;20,"低","中"),IF(L451&lt;4,IF(N451&lt;6,"低",IF(N451&lt;20,"中","高")),IF(N451&lt;6,"中","高"))))),IF(OR(I451="ILF",I451="EIF"),IF(OR(X451="估算法",X451="算法类",X451="无法识别"),"低",IF(M451&lt;2,IF(N451&lt;51,"低","中"),IF(M451&lt;6,IF(N451&lt;20,"低",IF(N451&lt;51,"中","高")),IF(N451&lt;20,"中","高")))),"不计算")))</f>
        <v/>
      </c>
      <c r="P451" s="142">
        <f>IFERROR(IF(I451="EI",IF(O451="低",3,IF(O451="中",4,6)),IF(I451="EO",IF(O451="低",4,IF(O451="中",5,7)),IF(I451="EQ",IF(O451="低",3,IF(O451="中",4,6)),IF(I451="ILF",IF(O451="低",7,IF(O451="中",10,15)),IF(I451="EIF",IF(O451="低",5,IF(O451="中",7,10)),"不计算")))))*Q451,"不计算")</f>
        <v/>
      </c>
      <c r="Q451" s="142" t="n">
        <v>0.333333333333333</v>
      </c>
      <c r="R451" s="143">
        <f>调整因子!$F$13</f>
        <v/>
      </c>
      <c r="S451" s="70" t="n">
        <v>1</v>
      </c>
      <c r="T451" s="144">
        <f>IFERROR(P451*R451,0)</f>
        <v/>
      </c>
      <c r="U451" s="144">
        <f>T451*S451</f>
        <v/>
      </c>
      <c r="V451" s="76" t="inlineStr">
        <is>
          <t>用户偏好设置表、主机漏洞表</t>
        </is>
      </c>
      <c r="W451" s="81" t="n"/>
      <c r="X451" s="76" t="inlineStr">
        <is>
          <t>用户偏好设置表{主键 id 、用户 id 、偏好设置名称、偏好设置值、最后更新时间}
主机漏洞表{主机漏洞表{主键id、主机id、漏洞名称、漏洞描述、风险等级、发现时间、状态}}</t>
        </is>
      </c>
      <c r="Y451" s="88" t="n"/>
      <c r="Z451" s="88" t="n"/>
      <c r="AA451" s="96" t="inlineStr">
        <is>
          <t>扫描策略模板表</t>
        </is>
      </c>
    </row>
    <row r="452" hidden="1" ht="32.4" customFormat="1" customHeight="1" s="63">
      <c r="A452" s="69">
        <f>ROW()-1</f>
        <v/>
      </c>
      <c r="B452" s="53" t="n"/>
      <c r="C452" s="78" t="n">
        <v>2025</v>
      </c>
      <c r="D452" s="78" t="inlineStr">
        <is>
          <t>窦鹏岐</t>
        </is>
      </c>
      <c r="E452" s="53" t="n"/>
      <c r="F452" s="53" t="n"/>
      <c r="G452" s="53" t="n"/>
      <c r="H452" s="80" t="inlineStr">
        <is>
          <t>用户查看节点主机漏洞风险非常安全主机数量</t>
        </is>
      </c>
      <c r="I452" s="76" t="n"/>
      <c r="J452" s="108" t="n"/>
      <c r="K452" s="108" t="inlineStr">
        <is>
          <t>和上行合并，输入输出完全一致，相同查询</t>
        </is>
      </c>
      <c r="L452" s="83">
        <f>IF(OR(X452="估算法",X452="算法类",X452="无法识别"),"",IF(V452="",IF(OR(I452="EI",I452="EO",I452="EQ"),0,""),LEN(V452)-LEN(SUBSTITUTE(V452,"、",""))+1))</f>
        <v/>
      </c>
      <c r="M452" s="83">
        <f>IF(OR(X452="估算法",X452="算法类",X452="无法识别"),"",IF(W452="",IF(OR(I452="ILF",I452="EIF"),0,""),LEN(W452)-LEN(SUBSTITUTE(W452,"、",""))+1))</f>
        <v/>
      </c>
      <c r="N452" s="83">
        <f>IF(OR(X452="估算法",X452="算法类",X452="无法识别"),"",IF(X452="",IF(OR(I452="ILF",I452="EIF",I452="EI",I452="EO",I452="EQ"),0,""),LEN(X452)-LEN(SUBSTITUTE(SUBSTITUTE(SUBSTITUTE(SUBSTITUTE(SUBSTITUTE(X452,"|}","--"),"{|","--"),CHAR(10),""),"、",""),"|",""))+IF(AND(OR(I452="EI",I452="EO",I452="EQ"),$AD$1="NESMA"),2,1)))</f>
        <v/>
      </c>
      <c r="O452" s="84">
        <f>IF(I452="EI",IF(OR(X452="估算法",X452="算法类"),"中",IF(X452="无法识别","低",IF(L452&lt;2,IF(N452&lt;16,"低","中"),IF(L452&lt;3,IF(N452&lt;5,"低",IF(N452&lt;16,"中","高")),IF(N452&lt;5,"中","高"))))),IF(OR(I452="EO",I452="EQ"),IF(OR(X452="估算法",X452="算法类"),"中",IF(X452="无法识别","低",IF(L452&lt;2,IF(N452&lt;20,"低","中"),IF(L452&lt;4,IF(N452&lt;6,"低",IF(N452&lt;20,"中","高")),IF(N452&lt;6,"中","高"))))),IF(OR(I452="ILF",I452="EIF"),IF(OR(X452="估算法",X452="算法类",X452="无法识别"),"低",IF(M452&lt;2,IF(N452&lt;51,"低","中"),IF(M452&lt;6,IF(N452&lt;20,"低",IF(N452&lt;51,"中","高")),IF(N452&lt;20,"中","高")))),"不计算")))</f>
        <v/>
      </c>
      <c r="P452" s="142">
        <f>IFERROR(IF(I452="EI",IF(O452="低",3,IF(O452="中",4,6)),IF(I452="EO",IF(O452="低",4,IF(O452="中",5,7)),IF(I452="EQ",IF(O452="低",3,IF(O452="中",4,6)),IF(I452="ILF",IF(O452="低",7,IF(O452="中",10,15)),IF(I452="EIF",IF(O452="低",5,IF(O452="中",7,10)),"不计算")))))*Q452,"不计算")</f>
        <v/>
      </c>
      <c r="Q452" s="142" t="n">
        <v>0.333333333333333</v>
      </c>
      <c r="R452" s="143">
        <f>调整因子!$F$13</f>
        <v/>
      </c>
      <c r="S452" s="76" t="n">
        <v>1</v>
      </c>
      <c r="T452" s="144">
        <f>IFERROR(P452*R452,0)</f>
        <v/>
      </c>
      <c r="U452" s="144">
        <f>T452*S452</f>
        <v/>
      </c>
      <c r="V452" s="76" t="inlineStr">
        <is>
          <t>用户偏好设置表、主机漏洞表</t>
        </is>
      </c>
      <c r="W452" s="81" t="n"/>
      <c r="X452" s="76" t="inlineStr">
        <is>
          <t>用户偏好设置表{主键 id 、用户 id 、偏好设置名称、偏好设置值、最后更新时间}
主机漏洞表{主机漏洞表{主键id、主机id、漏洞名称、漏洞描述、风险等级、发现时间、状态}}</t>
        </is>
      </c>
      <c r="Y452" s="88" t="n"/>
      <c r="Z452" s="88" t="n"/>
      <c r="AA452" s="96" t="inlineStr">
        <is>
          <t>扫描策略模板表</t>
        </is>
      </c>
    </row>
    <row r="453" hidden="1" ht="32.4" customFormat="1" customHeight="1" s="63">
      <c r="A453" s="69">
        <f>ROW()-1</f>
        <v/>
      </c>
      <c r="B453" s="53" t="n"/>
      <c r="C453" s="78" t="n">
        <v>2025</v>
      </c>
      <c r="D453" s="78" t="inlineStr">
        <is>
          <t>窦鹏岐</t>
        </is>
      </c>
      <c r="E453" s="53" t="n"/>
      <c r="F453" s="53" t="n"/>
      <c r="G453" s="53" t="n"/>
      <c r="H453" s="80" t="inlineStr">
        <is>
          <t>用户查看节点主机漏洞风险未知风险主机数量</t>
        </is>
      </c>
      <c r="I453" s="76" t="n"/>
      <c r="J453" s="108" t="n"/>
      <c r="K453" s="108" t="inlineStr">
        <is>
          <t>和上行合并，输入输出完全一致，相同查询</t>
        </is>
      </c>
      <c r="L453" s="83">
        <f>IF(OR(X453="估算法",X453="算法类",X453="无法识别"),"",IF(V453="",IF(OR(I453="EI",I453="EO",I453="EQ"),0,""),LEN(V453)-LEN(SUBSTITUTE(V453,"、",""))+1))</f>
        <v/>
      </c>
      <c r="M453" s="83">
        <f>IF(OR(X453="估算法",X453="算法类",X453="无法识别"),"",IF(W453="",IF(OR(I453="ILF",I453="EIF"),0,""),LEN(W453)-LEN(SUBSTITUTE(W453,"、",""))+1))</f>
        <v/>
      </c>
      <c r="N453" s="83">
        <f>IF(OR(X453="估算法",X453="算法类",X453="无法识别"),"",IF(X453="",IF(OR(I453="ILF",I453="EIF",I453="EI",I453="EO",I453="EQ"),0,""),LEN(X453)-LEN(SUBSTITUTE(SUBSTITUTE(SUBSTITUTE(SUBSTITUTE(SUBSTITUTE(X453,"|}","--"),"{|","--"),CHAR(10),""),"、",""),"|",""))+IF(AND(OR(I453="EI",I453="EO",I453="EQ"),$AD$1="NESMA"),2,1)))</f>
        <v/>
      </c>
      <c r="O453" s="84">
        <f>IF(I453="EI",IF(OR(X453="估算法",X453="算法类"),"中",IF(X453="无法识别","低",IF(L453&lt;2,IF(N453&lt;16,"低","中"),IF(L453&lt;3,IF(N453&lt;5,"低",IF(N453&lt;16,"中","高")),IF(N453&lt;5,"中","高"))))),IF(OR(I453="EO",I453="EQ"),IF(OR(X453="估算法",X453="算法类"),"中",IF(X453="无法识别","低",IF(L453&lt;2,IF(N453&lt;20,"低","中"),IF(L453&lt;4,IF(N453&lt;6,"低",IF(N453&lt;20,"中","高")),IF(N453&lt;6,"中","高"))))),IF(OR(I453="ILF",I453="EIF"),IF(OR(X453="估算法",X453="算法类",X453="无法识别"),"低",IF(M453&lt;2,IF(N453&lt;51,"低","中"),IF(M453&lt;6,IF(N453&lt;20,"低",IF(N453&lt;51,"中","高")),IF(N453&lt;20,"中","高")))),"不计算")))</f>
        <v/>
      </c>
      <c r="P453" s="142">
        <f>IFERROR(IF(I453="EI",IF(O453="低",3,IF(O453="中",4,6)),IF(I453="EO",IF(O453="低",4,IF(O453="中",5,7)),IF(I453="EQ",IF(O453="低",3,IF(O453="中",4,6)),IF(I453="ILF",IF(O453="低",7,IF(O453="中",10,15)),IF(I453="EIF",IF(O453="低",5,IF(O453="中",7,10)),"不计算")))))*Q453,"不计算")</f>
        <v/>
      </c>
      <c r="Q453" s="142" t="n">
        <v>0.2</v>
      </c>
      <c r="R453" s="143">
        <f>调整因子!$F$13</f>
        <v/>
      </c>
      <c r="S453" s="70" t="n">
        <v>1</v>
      </c>
      <c r="T453" s="144">
        <f>IFERROR(P453*R453,0)</f>
        <v/>
      </c>
      <c r="U453" s="144">
        <f>T453*S453</f>
        <v/>
      </c>
      <c r="V453" s="76" t="inlineStr">
        <is>
          <t>用户偏好设置表、主机漏洞表</t>
        </is>
      </c>
      <c r="W453" s="81" t="n"/>
      <c r="X453" s="76" t="inlineStr">
        <is>
          <t>用户偏好设置表{主键 id 、用户 id 、偏好设置名称、偏好设置值、最后更新时间}
主机漏洞表{主机漏洞表{主键id、主机id、漏洞名称、漏洞描述、风险等级、发现时间、状态}}</t>
        </is>
      </c>
      <c r="Y453" s="88" t="n"/>
      <c r="Z453" s="88" t="n"/>
      <c r="AA453" s="96" t="inlineStr">
        <is>
          <t>扫描策略模板表</t>
        </is>
      </c>
    </row>
    <row r="454" hidden="1" ht="21.6" customFormat="1" customHeight="1" s="63">
      <c r="A454" s="69">
        <f>ROW()-1</f>
        <v/>
      </c>
      <c r="B454" s="53" t="n"/>
      <c r="C454" s="78" t="n">
        <v>2025</v>
      </c>
      <c r="D454" s="78" t="inlineStr">
        <is>
          <t>窦鹏岐</t>
        </is>
      </c>
      <c r="E454" s="53" t="n"/>
      <c r="F454" s="53" t="n"/>
      <c r="G454" s="53" t="n"/>
      <c r="H454" s="80" t="inlineStr">
        <is>
          <t>用户查看节点主机配置风险等级分布</t>
        </is>
      </c>
      <c r="I454" s="76" t="inlineStr">
        <is>
          <t>EQ</t>
        </is>
      </c>
      <c r="J454" s="108" t="n"/>
      <c r="K454" s="108" t="n"/>
      <c r="L454" s="83">
        <f>IF(OR(X454="估算法",X454="算法类",X454="无法识别"),"",IF(V454="",IF(OR(I454="EI",I454="EO",I454="EQ"),0,""),LEN(V454)-LEN(SUBSTITUTE(V454,"、",""))+1))</f>
        <v/>
      </c>
      <c r="M454" s="83">
        <f>IF(OR(X454="估算法",X454="算法类",X454="无法识别"),"",IF(W454="",IF(OR(I454="ILF",I454="EIF"),0,""),LEN(W454)-LEN(SUBSTITUTE(W454,"、",""))+1))</f>
        <v/>
      </c>
      <c r="N454" s="83">
        <f>IF(OR(X454="估算法",X454="算法类",X454="无法识别"),"",IF(X454="",IF(OR(I454="ILF",I454="EIF",I454="EI",I454="EO",I454="EQ"),0,""),LEN(X454)-LEN(SUBSTITUTE(SUBSTITUTE(SUBSTITUTE(SUBSTITUTE(SUBSTITUTE(X454,"|}","--"),"{|","--"),CHAR(10),""),"、",""),"|",""))+IF(AND(OR(I454="EI",I454="EO",I454="EQ"),$AD$1="NESMA"),2,1)))</f>
        <v/>
      </c>
      <c r="O454" s="84">
        <f>IF(I454="EI",IF(OR(X454="估算法",X454="算法类"),"中",IF(X454="无法识别","低",IF(L454&lt;2,IF(N454&lt;16,"低","中"),IF(L454&lt;3,IF(N454&lt;5,"低",IF(N454&lt;16,"中","高")),IF(N454&lt;5,"中","高"))))),IF(OR(I454="EO",I454="EQ"),IF(OR(X454="估算法",X454="算法类"),"中",IF(X454="无法识别","低",IF(L454&lt;2,IF(N454&lt;20,"低","中"),IF(L454&lt;4,IF(N454&lt;6,"低",IF(N454&lt;20,"中","高")),IF(N454&lt;6,"中","高"))))),IF(OR(I454="ILF",I454="EIF"),IF(OR(X454="估算法",X454="算法类",X454="无法识别"),"低",IF(M454&lt;2,IF(N454&lt;51,"低","中"),IF(M454&lt;6,IF(N454&lt;20,"低",IF(N454&lt;51,"中","高")),IF(N454&lt;20,"中","高")))),"不计算")))</f>
        <v/>
      </c>
      <c r="P454" s="142">
        <f>IFERROR(IF(I454="EI",IF(O454="低",3,IF(O454="中",4,6)),IF(I454="EO",IF(O454="低",4,IF(O454="中",5,7)),IF(I454="EQ",IF(O454="低",3,IF(O454="中",4,6)),IF(I454="ILF",IF(O454="低",7,IF(O454="中",10,15)),IF(I454="EIF",IF(O454="低",5,IF(O454="中",7,10)),"不计算")))))*Q454,"不计算")</f>
        <v/>
      </c>
      <c r="Q454" s="142" t="n">
        <v>1</v>
      </c>
      <c r="R454" s="143">
        <f>调整因子!$F$13</f>
        <v/>
      </c>
      <c r="S454" s="70" t="n">
        <v>1</v>
      </c>
      <c r="T454" s="144">
        <f>IFERROR(P454*R454,0)</f>
        <v/>
      </c>
      <c r="U454" s="144">
        <f>T454*S454</f>
        <v/>
      </c>
      <c r="V454" s="76" t="inlineStr">
        <is>
          <t>用户偏好设置表、主机风险评估表</t>
        </is>
      </c>
      <c r="W454" s="81" t="n"/>
      <c r="X454" s="76" t="inlineStr">
        <is>
          <t>用户偏好设置表{主键 id 、用户 id 、偏好设置名称、偏好设置值、最后更新时间}
主机风险评估表{主键id、主机id、风险等级、评估时间、评估描述}</t>
        </is>
      </c>
      <c r="Y454" s="88" t="n"/>
      <c r="Z454" s="88" t="n"/>
      <c r="AA454" s="96" t="inlineStr">
        <is>
          <t>调用统计表</t>
        </is>
      </c>
    </row>
    <row r="455" hidden="1" ht="21.6" customFormat="1" customHeight="1" s="63">
      <c r="A455" s="69">
        <f>ROW()-1</f>
        <v/>
      </c>
      <c r="B455" s="53" t="n"/>
      <c r="C455" s="78" t="n">
        <v>2025</v>
      </c>
      <c r="D455" s="78" t="inlineStr">
        <is>
          <t>窦鹏岐</t>
        </is>
      </c>
      <c r="E455" s="53" t="n"/>
      <c r="F455" s="53" t="n"/>
      <c r="G455" s="53" t="n"/>
      <c r="H455" s="80" t="inlineStr">
        <is>
          <t>用户查看节点主机配置风险非常危险主机数量</t>
        </is>
      </c>
      <c r="I455" s="76" t="n"/>
      <c r="J455" s="108" t="n"/>
      <c r="K455" s="108" t="inlineStr">
        <is>
          <t>和上行合并，输入输出完全一致，相同查询</t>
        </is>
      </c>
      <c r="L455" s="83">
        <f>IF(OR(X455="估算法",X455="算法类",X455="无法识别"),"",IF(V455="",IF(OR(I455="EI",I455="EO",I455="EQ"),0,""),LEN(V455)-LEN(SUBSTITUTE(V455,"、",""))+1))</f>
        <v/>
      </c>
      <c r="M455" s="83">
        <f>IF(OR(X455="估算法",X455="算法类",X455="无法识别"),"",IF(W455="",IF(OR(I455="ILF",I455="EIF"),0,""),LEN(W455)-LEN(SUBSTITUTE(W455,"、",""))+1))</f>
        <v/>
      </c>
      <c r="N455" s="83">
        <f>IF(OR(X455="估算法",X455="算法类",X455="无法识别"),"",IF(X455="",IF(OR(I455="ILF",I455="EIF",I455="EI",I455="EO",I455="EQ"),0,""),LEN(X455)-LEN(SUBSTITUTE(SUBSTITUTE(SUBSTITUTE(SUBSTITUTE(SUBSTITUTE(X455,"|}","--"),"{|","--"),CHAR(10),""),"、",""),"|",""))+IF(AND(OR(I455="EI",I455="EO",I455="EQ"),$AD$1="NESMA"),2,1)))</f>
        <v/>
      </c>
      <c r="O455" s="84">
        <f>IF(I455="EI",IF(OR(X455="估算法",X455="算法类"),"中",IF(X455="无法识别","低",IF(L455&lt;2,IF(N455&lt;16,"低","中"),IF(L455&lt;3,IF(N455&lt;5,"低",IF(N455&lt;16,"中","高")),IF(N455&lt;5,"中","高"))))),IF(OR(I455="EO",I455="EQ"),IF(OR(X455="估算法",X455="算法类"),"中",IF(X455="无法识别","低",IF(L455&lt;2,IF(N455&lt;20,"低","中"),IF(L455&lt;4,IF(N455&lt;6,"低",IF(N455&lt;20,"中","高")),IF(N455&lt;6,"中","高"))))),IF(OR(I455="ILF",I455="EIF"),IF(OR(X455="估算法",X455="算法类",X455="无法识别"),"低",IF(M455&lt;2,IF(N455&lt;51,"低","中"),IF(M455&lt;6,IF(N455&lt;20,"低",IF(N455&lt;51,"中","高")),IF(N455&lt;20,"中","高")))),"不计算")))</f>
        <v/>
      </c>
      <c r="P455" s="142">
        <f>IFERROR(IF(I455="EI",IF(O455="低",3,IF(O455="中",4,6)),IF(I455="EO",IF(O455="低",4,IF(O455="中",5,7)),IF(I455="EQ",IF(O455="低",3,IF(O455="中",4,6)),IF(I455="ILF",IF(O455="低",7,IF(O455="中",10,15)),IF(I455="EIF",IF(O455="低",5,IF(O455="中",7,10)),"不计算")))))*Q455,"不计算")</f>
        <v/>
      </c>
      <c r="Q455" s="142" t="n">
        <v>0.333333333333333</v>
      </c>
      <c r="R455" s="143">
        <f>调整因子!$F$13</f>
        <v/>
      </c>
      <c r="S455" s="76" t="n">
        <v>1</v>
      </c>
      <c r="T455" s="144">
        <f>IFERROR(P455*R455,0)</f>
        <v/>
      </c>
      <c r="U455" s="144">
        <f>T455*S455</f>
        <v/>
      </c>
      <c r="V455" s="76" t="inlineStr">
        <is>
          <t>用户偏好设置表、主机风险评估表</t>
        </is>
      </c>
      <c r="W455" s="81" t="n"/>
      <c r="X455" s="76" t="inlineStr">
        <is>
          <t>用户偏好设置表{主键 id 、用户 id 、偏好设置名称、偏好设置值、最后更新时间}
主机风险评估表{主键id、主机id、风险等级、评估时间、评估描述}</t>
        </is>
      </c>
      <c r="Y455" s="88" t="n"/>
      <c r="Z455" s="88" t="n"/>
      <c r="AA455" s="96" t="inlineStr">
        <is>
          <t>资产查询接口配置表</t>
        </is>
      </c>
    </row>
    <row r="456" hidden="1" ht="21.6" customFormat="1" customHeight="1" s="63">
      <c r="A456" s="69">
        <f>ROW()-1</f>
        <v/>
      </c>
      <c r="B456" s="53" t="n"/>
      <c r="C456" s="78" t="n">
        <v>2025</v>
      </c>
      <c r="D456" s="78" t="inlineStr">
        <is>
          <t>窦鹏岐</t>
        </is>
      </c>
      <c r="E456" s="53" t="n"/>
      <c r="F456" s="53" t="n"/>
      <c r="G456" s="53" t="n"/>
      <c r="H456" s="80" t="inlineStr">
        <is>
          <t>用户查看节点主机配置风险比较危险主机数量</t>
        </is>
      </c>
      <c r="I456" s="76" t="n"/>
      <c r="J456" s="108" t="n"/>
      <c r="K456" s="108" t="inlineStr">
        <is>
          <t>和上行合并，输入输出完全一致，相同查询</t>
        </is>
      </c>
      <c r="L456" s="83">
        <f>IF(OR(X456="估算法",X456="算法类",X456="无法识别"),"",IF(V456="",IF(OR(I456="EI",I456="EO",I456="EQ"),0,""),LEN(V456)-LEN(SUBSTITUTE(V456,"、",""))+1))</f>
        <v/>
      </c>
      <c r="M456" s="83">
        <f>IF(OR(X456="估算法",X456="算法类",X456="无法识别"),"",IF(W456="",IF(OR(I456="ILF",I456="EIF"),0,""),LEN(W456)-LEN(SUBSTITUTE(W456,"、",""))+1))</f>
        <v/>
      </c>
      <c r="N456" s="83">
        <f>IF(OR(X456="估算法",X456="算法类",X456="无法识别"),"",IF(X456="",IF(OR(I456="ILF",I456="EIF",I456="EI",I456="EO",I456="EQ"),0,""),LEN(X456)-LEN(SUBSTITUTE(SUBSTITUTE(SUBSTITUTE(SUBSTITUTE(SUBSTITUTE(X456,"|}","--"),"{|","--"),CHAR(10),""),"、",""),"|",""))+IF(AND(OR(I456="EI",I456="EO",I456="EQ"),$AD$1="NESMA"),2,1)))</f>
        <v/>
      </c>
      <c r="O456" s="84">
        <f>IF(I456="EI",IF(OR(X456="估算法",X456="算法类"),"中",IF(X456="无法识别","低",IF(L456&lt;2,IF(N456&lt;16,"低","中"),IF(L456&lt;3,IF(N456&lt;5,"低",IF(N456&lt;16,"中","高")),IF(N456&lt;5,"中","高"))))),IF(OR(I456="EO",I456="EQ"),IF(OR(X456="估算法",X456="算法类"),"中",IF(X456="无法识别","低",IF(L456&lt;2,IF(N456&lt;20,"低","中"),IF(L456&lt;4,IF(N456&lt;6,"低",IF(N456&lt;20,"中","高")),IF(N456&lt;6,"中","高"))))),IF(OR(I456="ILF",I456="EIF"),IF(OR(X456="估算法",X456="算法类",X456="无法识别"),"低",IF(M456&lt;2,IF(N456&lt;51,"低","中"),IF(M456&lt;6,IF(N456&lt;20,"低",IF(N456&lt;51,"中","高")),IF(N456&lt;20,"中","高")))),"不计算")))</f>
        <v/>
      </c>
      <c r="P456" s="142">
        <f>IFERROR(IF(I456="EI",IF(O456="低",3,IF(O456="中",4,6)),IF(I456="EO",IF(O456="低",4,IF(O456="中",5,7)),IF(I456="EQ",IF(O456="低",3,IF(O456="中",4,6)),IF(I456="ILF",IF(O456="低",7,IF(O456="中",10,15)),IF(I456="EIF",IF(O456="低",5,IF(O456="中",7,10)),"不计算")))))*Q456,"不计算")</f>
        <v/>
      </c>
      <c r="Q456" s="142" t="n">
        <v>0.333333333333333</v>
      </c>
      <c r="R456" s="143">
        <f>调整因子!$F$13</f>
        <v/>
      </c>
      <c r="S456" s="70" t="n">
        <v>1</v>
      </c>
      <c r="T456" s="144">
        <f>IFERROR(P456*R456,0)</f>
        <v/>
      </c>
      <c r="U456" s="144">
        <f>T456*S456</f>
        <v/>
      </c>
      <c r="V456" s="76" t="inlineStr">
        <is>
          <t>用户偏好设置表、主机风险评估表</t>
        </is>
      </c>
      <c r="W456" s="81" t="n"/>
      <c r="X456" s="76" t="inlineStr">
        <is>
          <t>用户偏好设置表{主键 id 、用户 id 、偏好设置名称、偏好设置值、最后更新时间}
主机风险评估表{主键id、主机id、风险等级、评估时间、评估描述}</t>
        </is>
      </c>
      <c r="Y456" s="88" t="n"/>
      <c r="Z456" s="88" t="n"/>
      <c r="AA456" s="96" t="inlineStr">
        <is>
          <t>漏洞查询接口配置表</t>
        </is>
      </c>
    </row>
    <row r="457" hidden="1" ht="21.6" customFormat="1" customHeight="1" s="63">
      <c r="A457" s="69">
        <f>ROW()-1</f>
        <v/>
      </c>
      <c r="B457" s="53" t="n"/>
      <c r="C457" s="78" t="n">
        <v>2025</v>
      </c>
      <c r="D457" s="78" t="inlineStr">
        <is>
          <t>窦鹏岐</t>
        </is>
      </c>
      <c r="E457" s="53" t="n"/>
      <c r="F457" s="53" t="n"/>
      <c r="G457" s="53" t="n"/>
      <c r="H457" s="80" t="inlineStr">
        <is>
          <t>用户查看节点主机配置风险比较安全主机数量</t>
        </is>
      </c>
      <c r="I457" s="76" t="n"/>
      <c r="J457" s="108" t="n"/>
      <c r="K457" s="108" t="inlineStr">
        <is>
          <t>和上行合并，输入输出完全一致，相同查询</t>
        </is>
      </c>
      <c r="L457" s="83">
        <f>IF(OR(X457="估算法",X457="算法类",X457="无法识别"),"",IF(V457="",IF(OR(I457="EI",I457="EO",I457="EQ"),0,""),LEN(V457)-LEN(SUBSTITUTE(V457,"、",""))+1))</f>
        <v/>
      </c>
      <c r="M457" s="83">
        <f>IF(OR(X457="估算法",X457="算法类",X457="无法识别"),"",IF(W457="",IF(OR(I457="ILF",I457="EIF"),0,""),LEN(W457)-LEN(SUBSTITUTE(W457,"、",""))+1))</f>
        <v/>
      </c>
      <c r="N457" s="83">
        <f>IF(OR(X457="估算法",X457="算法类",X457="无法识别"),"",IF(X457="",IF(OR(I457="ILF",I457="EIF",I457="EI",I457="EO",I457="EQ"),0,""),LEN(X457)-LEN(SUBSTITUTE(SUBSTITUTE(SUBSTITUTE(SUBSTITUTE(SUBSTITUTE(X457,"|}","--"),"{|","--"),CHAR(10),""),"、",""),"|",""))+IF(AND(OR(I457="EI",I457="EO",I457="EQ"),$AD$1="NESMA"),2,1)))</f>
        <v/>
      </c>
      <c r="O457" s="84">
        <f>IF(I457="EI",IF(OR(X457="估算法",X457="算法类"),"中",IF(X457="无法识别","低",IF(L457&lt;2,IF(N457&lt;16,"低","中"),IF(L457&lt;3,IF(N457&lt;5,"低",IF(N457&lt;16,"中","高")),IF(N457&lt;5,"中","高"))))),IF(OR(I457="EO",I457="EQ"),IF(OR(X457="估算法",X457="算法类"),"中",IF(X457="无法识别","低",IF(L457&lt;2,IF(N457&lt;20,"低","中"),IF(L457&lt;4,IF(N457&lt;6,"低",IF(N457&lt;20,"中","高")),IF(N457&lt;6,"中","高"))))),IF(OR(I457="ILF",I457="EIF"),IF(OR(X457="估算法",X457="算法类",X457="无法识别"),"低",IF(M457&lt;2,IF(N457&lt;51,"低","中"),IF(M457&lt;6,IF(N457&lt;20,"低",IF(N457&lt;51,"中","高")),IF(N457&lt;20,"中","高")))),"不计算")))</f>
        <v/>
      </c>
      <c r="P457" s="142">
        <f>IFERROR(IF(I457="EI",IF(O457="低",3,IF(O457="中",4,6)),IF(I457="EO",IF(O457="低",4,IF(O457="中",5,7)),IF(I457="EQ",IF(O457="低",3,IF(O457="中",4,6)),IF(I457="ILF",IF(O457="低",7,IF(O457="中",10,15)),IF(I457="EIF",IF(O457="低",5,IF(O457="中",7,10)),"不计算")))))*Q457,"不计算")</f>
        <v/>
      </c>
      <c r="Q457" s="142" t="n">
        <v>0.333333333333333</v>
      </c>
      <c r="R457" s="143">
        <f>调整因子!$F$13</f>
        <v/>
      </c>
      <c r="S457" s="70" t="n">
        <v>1</v>
      </c>
      <c r="T457" s="144">
        <f>IFERROR(P457*R457,0)</f>
        <v/>
      </c>
      <c r="U457" s="144">
        <f>T457*S457</f>
        <v/>
      </c>
      <c r="V457" s="76" t="inlineStr">
        <is>
          <t>用户偏好设置表、主机风险评估表</t>
        </is>
      </c>
      <c r="W457" s="81" t="n"/>
      <c r="X457" s="76" t="inlineStr">
        <is>
          <t>用户偏好设置表{主键 id 、用户 id 、偏好设置名称、偏好设置值、最后更新时间}
主机风险评估表{主键id、主机id、风险等级、评估时间、评估描述}</t>
        </is>
      </c>
      <c r="Y457" s="88" t="n"/>
      <c r="Z457" s="88" t="n"/>
      <c r="AA457" s="96" t="inlineStr">
        <is>
          <t>任务日志表</t>
        </is>
      </c>
    </row>
    <row r="458" hidden="1" ht="21.6" customFormat="1" customHeight="1" s="63">
      <c r="A458" s="69">
        <f>ROW()-1</f>
        <v/>
      </c>
      <c r="B458" s="53" t="n"/>
      <c r="C458" s="78" t="n">
        <v>2025</v>
      </c>
      <c r="D458" s="78" t="inlineStr">
        <is>
          <t>窦鹏岐</t>
        </is>
      </c>
      <c r="E458" s="53" t="n"/>
      <c r="F458" s="53" t="n"/>
      <c r="G458" s="53" t="n"/>
      <c r="H458" s="80" t="inlineStr">
        <is>
          <t>用户查看节点主机配置风险非常安全主机数量</t>
        </is>
      </c>
      <c r="I458" s="76" t="n"/>
      <c r="J458" s="108" t="n"/>
      <c r="K458" s="108" t="inlineStr">
        <is>
          <t>和上行合并，输入输出完全一致，相同查询</t>
        </is>
      </c>
      <c r="L458" s="83">
        <f>IF(OR(X458="估算法",X458="算法类",X458="无法识别"),"",IF(V458="",IF(OR(I458="EI",I458="EO",I458="EQ"),0,""),LEN(V458)-LEN(SUBSTITUTE(V458,"、",""))+1))</f>
        <v/>
      </c>
      <c r="M458" s="83">
        <f>IF(OR(X458="估算法",X458="算法类",X458="无法识别"),"",IF(W458="",IF(OR(I458="ILF",I458="EIF"),0,""),LEN(W458)-LEN(SUBSTITUTE(W458,"、",""))+1))</f>
        <v/>
      </c>
      <c r="N458" s="83">
        <f>IF(OR(X458="估算法",X458="算法类",X458="无法识别"),"",IF(X458="",IF(OR(I458="ILF",I458="EIF",I458="EI",I458="EO",I458="EQ"),0,""),LEN(X458)-LEN(SUBSTITUTE(SUBSTITUTE(SUBSTITUTE(SUBSTITUTE(SUBSTITUTE(X458,"|}","--"),"{|","--"),CHAR(10),""),"、",""),"|",""))+IF(AND(OR(I458="EI",I458="EO",I458="EQ"),$AD$1="NESMA"),2,1)))</f>
        <v/>
      </c>
      <c r="O458" s="84">
        <f>IF(I458="EI",IF(OR(X458="估算法",X458="算法类"),"中",IF(X458="无法识别","低",IF(L458&lt;2,IF(N458&lt;16,"低","中"),IF(L458&lt;3,IF(N458&lt;5,"低",IF(N458&lt;16,"中","高")),IF(N458&lt;5,"中","高"))))),IF(OR(I458="EO",I458="EQ"),IF(OR(X458="估算法",X458="算法类"),"中",IF(X458="无法识别","低",IF(L458&lt;2,IF(N458&lt;20,"低","中"),IF(L458&lt;4,IF(N458&lt;6,"低",IF(N458&lt;20,"中","高")),IF(N458&lt;6,"中","高"))))),IF(OR(I458="ILF",I458="EIF"),IF(OR(X458="估算法",X458="算法类",X458="无法识别"),"低",IF(M458&lt;2,IF(N458&lt;51,"低","中"),IF(M458&lt;6,IF(N458&lt;20,"低",IF(N458&lt;51,"中","高")),IF(N458&lt;20,"中","高")))),"不计算")))</f>
        <v/>
      </c>
      <c r="P458" s="142">
        <f>IFERROR(IF(I458="EI",IF(O458="低",3,IF(O458="中",4,6)),IF(I458="EO",IF(O458="低",4,IF(O458="中",5,7)),IF(I458="EQ",IF(O458="低",3,IF(O458="中",4,6)),IF(I458="ILF",IF(O458="低",7,IF(O458="中",10,15)),IF(I458="EIF",IF(O458="低",5,IF(O458="中",7,10)),"不计算")))))*Q458,"不计算")</f>
        <v/>
      </c>
      <c r="Q458" s="142" t="n">
        <v>0.333333333333333</v>
      </c>
      <c r="R458" s="143">
        <f>调整因子!$F$13</f>
        <v/>
      </c>
      <c r="S458" s="76" t="n">
        <v>1</v>
      </c>
      <c r="T458" s="144">
        <f>IFERROR(P458*R458,0)</f>
        <v/>
      </c>
      <c r="U458" s="144">
        <f>T458*S458</f>
        <v/>
      </c>
      <c r="V458" s="76" t="inlineStr">
        <is>
          <t>用户偏好设置表、主机风险评估表</t>
        </is>
      </c>
      <c r="W458" s="81" t="n"/>
      <c r="X458" s="76" t="inlineStr">
        <is>
          <t>用户偏好设置表{主键 id 、用户 id 、偏好设置名称、偏好设置值、最后更新时间}
主机风险评估表{主键id、主机id、风险等级、评估时间、评估描述}</t>
        </is>
      </c>
      <c r="Y458" s="88" t="n"/>
      <c r="Z458" s="88" t="n"/>
      <c r="AA458" s="96" t="inlineStr">
        <is>
          <t>任务日志表</t>
        </is>
      </c>
    </row>
    <row r="459" hidden="1" ht="21.6" customFormat="1" customHeight="1" s="63">
      <c r="A459" s="69">
        <f>ROW()-1</f>
        <v/>
      </c>
      <c r="B459" s="53" t="n"/>
      <c r="C459" s="78" t="n">
        <v>2025</v>
      </c>
      <c r="D459" s="78" t="inlineStr">
        <is>
          <t>窦鹏岐</t>
        </is>
      </c>
      <c r="E459" s="53" t="n"/>
      <c r="F459" s="53" t="n"/>
      <c r="G459" s="53" t="n"/>
      <c r="H459" s="80" t="inlineStr">
        <is>
          <t>用户查看节点主机配置风险未知风险主机数量</t>
        </is>
      </c>
      <c r="I459" s="76" t="n"/>
      <c r="J459" s="108" t="n"/>
      <c r="K459" s="108" t="inlineStr">
        <is>
          <t>和上行合并，输入输出完全一致，相同查询</t>
        </is>
      </c>
      <c r="L459" s="83">
        <f>IF(OR(X459="估算法",X459="算法类",X459="无法识别"),"",IF(V459="",IF(OR(I459="EI",I459="EO",I459="EQ"),0,""),LEN(V459)-LEN(SUBSTITUTE(V459,"、",""))+1))</f>
        <v/>
      </c>
      <c r="M459" s="83">
        <f>IF(OR(X459="估算法",X459="算法类",X459="无法识别"),"",IF(W459="",IF(OR(I459="ILF",I459="EIF"),0,""),LEN(W459)-LEN(SUBSTITUTE(W459,"、",""))+1))</f>
        <v/>
      </c>
      <c r="N459" s="83">
        <f>IF(OR(X459="估算法",X459="算法类",X459="无法识别"),"",IF(X459="",IF(OR(I459="ILF",I459="EIF",I459="EI",I459="EO",I459="EQ"),0,""),LEN(X459)-LEN(SUBSTITUTE(SUBSTITUTE(SUBSTITUTE(SUBSTITUTE(SUBSTITUTE(X459,"|}","--"),"{|","--"),CHAR(10),""),"、",""),"|",""))+IF(AND(OR(I459="EI",I459="EO",I459="EQ"),$AD$1="NESMA"),2,1)))</f>
        <v/>
      </c>
      <c r="O459" s="84">
        <f>IF(I459="EI",IF(OR(X459="估算法",X459="算法类"),"中",IF(X459="无法识别","低",IF(L459&lt;2,IF(N459&lt;16,"低","中"),IF(L459&lt;3,IF(N459&lt;5,"低",IF(N459&lt;16,"中","高")),IF(N459&lt;5,"中","高"))))),IF(OR(I459="EO",I459="EQ"),IF(OR(X459="估算法",X459="算法类"),"中",IF(X459="无法识别","低",IF(L459&lt;2,IF(N459&lt;20,"低","中"),IF(L459&lt;4,IF(N459&lt;6,"低",IF(N459&lt;20,"中","高")),IF(N459&lt;6,"中","高"))))),IF(OR(I459="ILF",I459="EIF"),IF(OR(X459="估算法",X459="算法类",X459="无法识别"),"低",IF(M459&lt;2,IF(N459&lt;51,"低","中"),IF(M459&lt;6,IF(N459&lt;20,"低",IF(N459&lt;51,"中","高")),IF(N459&lt;20,"中","高")))),"不计算")))</f>
        <v/>
      </c>
      <c r="P459" s="142">
        <f>IFERROR(IF(I459="EI",IF(O459="低",3,IF(O459="中",4,6)),IF(I459="EO",IF(O459="低",4,IF(O459="中",5,7)),IF(I459="EQ",IF(O459="低",3,IF(O459="中",4,6)),IF(I459="ILF",IF(O459="低",7,IF(O459="中",10,15)),IF(I459="EIF",IF(O459="低",5,IF(O459="中",7,10)),"不计算")))))*Q459,"不计算")</f>
        <v/>
      </c>
      <c r="Q459" s="142" t="n">
        <v>0.333333333333333</v>
      </c>
      <c r="R459" s="143">
        <f>调整因子!$F$13</f>
        <v/>
      </c>
      <c r="S459" s="70" t="n">
        <v>1</v>
      </c>
      <c r="T459" s="144">
        <f>IFERROR(P459*R459,0)</f>
        <v/>
      </c>
      <c r="U459" s="144">
        <f>T459*S459</f>
        <v/>
      </c>
      <c r="V459" s="76" t="inlineStr">
        <is>
          <t>用户偏好设置表、主机风险评估表</t>
        </is>
      </c>
      <c r="W459" s="81" t="n"/>
      <c r="X459" s="76" t="inlineStr">
        <is>
          <t>用户偏好设置表{主键 id 、用户 id 、偏好设置名称、偏好设置值、最后更新时间}
主机风险评估表{主键id、主机id、风险等级、评估时间、评估描述}</t>
        </is>
      </c>
      <c r="Y459" s="88" t="n"/>
      <c r="Z459" s="88" t="n"/>
      <c r="AA459" s="96" t="inlineStr">
        <is>
          <t>任务日志表</t>
        </is>
      </c>
    </row>
    <row r="460" hidden="1" ht="43.2" customFormat="1" customHeight="1" s="63">
      <c r="A460" s="69">
        <f>ROW()-1</f>
        <v/>
      </c>
      <c r="B460" s="53" t="n"/>
      <c r="C460" s="78" t="n">
        <v>2025</v>
      </c>
      <c r="D460" s="78" t="inlineStr">
        <is>
          <t>窦鹏岐</t>
        </is>
      </c>
      <c r="E460" s="53" t="n"/>
      <c r="F460" s="53" t="n"/>
      <c r="G460" s="53" t="n"/>
      <c r="H460" s="80" t="inlineStr">
        <is>
          <t>用户查看节点下按服务分类的高风险漏洞数量</t>
        </is>
      </c>
      <c r="I460" s="76" t="inlineStr">
        <is>
          <t>EQ</t>
        </is>
      </c>
      <c r="J460" s="108" t="n"/>
      <c r="K460" s="108" t="n"/>
      <c r="L460" s="83">
        <f>IF(OR(X460="估算法",X460="算法类",X460="无法识别"),"",IF(V460="",IF(OR(I460="EI",I460="EO",I460="EQ"),0,""),LEN(V460)-LEN(SUBSTITUTE(V460,"、",""))+1))</f>
        <v/>
      </c>
      <c r="M460" s="83">
        <f>IF(OR(X460="估算法",X460="算法类",X460="无法识别"),"",IF(W460="",IF(OR(I460="ILF",I460="EIF"),0,""),LEN(W460)-LEN(SUBSTITUTE(W460,"、",""))+1))</f>
        <v/>
      </c>
      <c r="N460" s="83">
        <f>IF(OR(X460="估算法",X460="算法类",X460="无法识别"),"",IF(X460="",IF(OR(I460="ILF",I460="EIF",I460="EI",I460="EO",I460="EQ"),0,""),LEN(X460)-LEN(SUBSTITUTE(SUBSTITUTE(SUBSTITUTE(SUBSTITUTE(SUBSTITUTE(X460,"|}","--"),"{|","--"),CHAR(10),""),"、",""),"|",""))+IF(AND(OR(I460="EI",I460="EO",I460="EQ"),$AD$1="NESMA"),2,1)))</f>
        <v/>
      </c>
      <c r="O460" s="84">
        <f>IF(I460="EI",IF(OR(X460="估算法",X460="算法类"),"中",IF(X460="无法识别","低",IF(L460&lt;2,IF(N460&lt;16,"低","中"),IF(L460&lt;3,IF(N460&lt;5,"低",IF(N460&lt;16,"中","高")),IF(N460&lt;5,"中","高"))))),IF(OR(I460="EO",I460="EQ"),IF(OR(X460="估算法",X460="算法类"),"中",IF(X460="无法识别","低",IF(L460&lt;2,IF(N460&lt;20,"低","中"),IF(L460&lt;4,IF(N460&lt;6,"低",IF(N460&lt;20,"中","高")),IF(N460&lt;6,"中","高"))))),IF(OR(I460="ILF",I460="EIF"),IF(OR(X460="估算法",X460="算法类",X460="无法识别"),"低",IF(M460&lt;2,IF(N460&lt;51,"低","中"),IF(M460&lt;6,IF(N460&lt;20,"低",IF(N460&lt;51,"中","高")),IF(N460&lt;20,"中","高")))),"不计算")))</f>
        <v/>
      </c>
      <c r="P460" s="142">
        <f>IFERROR(IF(I460="EI",IF(O460="低",3,IF(O460="中",4,6)),IF(I460="EO",IF(O460="低",4,IF(O460="中",5,7)),IF(I460="EQ",IF(O460="低",3,IF(O460="中",4,6)),IF(I460="ILF",IF(O460="低",7,IF(O460="中",10,15)),IF(I460="EIF",IF(O460="低",5,IF(O460="中",7,10)),"不计算")))))*Q460,"不计算")</f>
        <v/>
      </c>
      <c r="Q460" s="142" t="n">
        <v>1</v>
      </c>
      <c r="R460" s="143">
        <f>调整因子!$F$13</f>
        <v/>
      </c>
      <c r="S460" s="70" t="n">
        <v>1</v>
      </c>
      <c r="T460" s="144">
        <f>IFERROR(P460*R460,0)</f>
        <v/>
      </c>
      <c r="U460" s="144">
        <f>T460*S460</f>
        <v/>
      </c>
      <c r="V460" s="76" t="inlineStr">
        <is>
          <t>用户偏好设置表、节点属性表、节点关系表、节点漏洞分布表</t>
        </is>
      </c>
      <c r="W460" s="81" t="n"/>
      <c r="X460"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0" s="88" t="n"/>
      <c r="Z460" s="88" t="n"/>
      <c r="AA460" s="96" t="inlineStr">
        <is>
          <t>任务日志表</t>
        </is>
      </c>
    </row>
    <row r="461" hidden="1" ht="43.2" customFormat="1" customHeight="1" s="63">
      <c r="A461" s="69">
        <f>ROW()-1</f>
        <v/>
      </c>
      <c r="B461" s="53" t="n"/>
      <c r="C461" s="78" t="n">
        <v>2025</v>
      </c>
      <c r="D461" s="78" t="inlineStr">
        <is>
          <t>窦鹏岐</t>
        </is>
      </c>
      <c r="E461" s="53" t="n"/>
      <c r="F461" s="53" t="n"/>
      <c r="G461" s="53" t="n"/>
      <c r="H461" s="80" t="inlineStr">
        <is>
          <t>用户查看节点下按服务分类的中风险漏洞数量</t>
        </is>
      </c>
      <c r="I461" s="76" t="n"/>
      <c r="J461" s="108" t="n"/>
      <c r="K461" s="108" t="inlineStr">
        <is>
          <t>和上行合并，输入输出完全一致，相同查询</t>
        </is>
      </c>
      <c r="L461" s="83">
        <f>IF(OR(X461="估算法",X461="算法类",X461="无法识别"),"",IF(V461="",IF(OR(I461="EI",I461="EO",I461="EQ"),0,""),LEN(V461)-LEN(SUBSTITUTE(V461,"、",""))+1))</f>
        <v/>
      </c>
      <c r="M461" s="83">
        <f>IF(OR(X461="估算法",X461="算法类",X461="无法识别"),"",IF(W461="",IF(OR(I461="ILF",I461="EIF"),0,""),LEN(W461)-LEN(SUBSTITUTE(W461,"、",""))+1))</f>
        <v/>
      </c>
      <c r="N461" s="83">
        <f>IF(OR(X461="估算法",X461="算法类",X461="无法识别"),"",IF(X461="",IF(OR(I461="ILF",I461="EIF",I461="EI",I461="EO",I461="EQ"),0,""),LEN(X461)-LEN(SUBSTITUTE(SUBSTITUTE(SUBSTITUTE(SUBSTITUTE(SUBSTITUTE(X461,"|}","--"),"{|","--"),CHAR(10),""),"、",""),"|",""))+IF(AND(OR(I461="EI",I461="EO",I461="EQ"),$AD$1="NESMA"),2,1)))</f>
        <v/>
      </c>
      <c r="O461" s="84">
        <f>IF(I461="EI",IF(OR(X461="估算法",X461="算法类"),"中",IF(X461="无法识别","低",IF(L461&lt;2,IF(N461&lt;16,"低","中"),IF(L461&lt;3,IF(N461&lt;5,"低",IF(N461&lt;16,"中","高")),IF(N461&lt;5,"中","高"))))),IF(OR(I461="EO",I461="EQ"),IF(OR(X461="估算法",X461="算法类"),"中",IF(X461="无法识别","低",IF(L461&lt;2,IF(N461&lt;20,"低","中"),IF(L461&lt;4,IF(N461&lt;6,"低",IF(N461&lt;20,"中","高")),IF(N461&lt;6,"中","高"))))),IF(OR(I461="ILF",I461="EIF"),IF(OR(X461="估算法",X461="算法类",X461="无法识别"),"低",IF(M461&lt;2,IF(N461&lt;51,"低","中"),IF(M461&lt;6,IF(N461&lt;20,"低",IF(N461&lt;51,"中","高")),IF(N461&lt;20,"中","高")))),"不计算")))</f>
        <v/>
      </c>
      <c r="P461" s="142">
        <f>IFERROR(IF(I461="EI",IF(O461="低",3,IF(O461="中",4,6)),IF(I461="EO",IF(O461="低",4,IF(O461="中",5,7)),IF(I461="EQ",IF(O461="低",3,IF(O461="中",4,6)),IF(I461="ILF",IF(O461="低",7,IF(O461="中",10,15)),IF(I461="EIF",IF(O461="低",5,IF(O461="中",7,10)),"不计算")))))*Q461,"不计算")</f>
        <v/>
      </c>
      <c r="Q461" s="142" t="n">
        <v>0.333333333333333</v>
      </c>
      <c r="R461" s="143">
        <f>调整因子!$F$13</f>
        <v/>
      </c>
      <c r="S461" s="76" t="n">
        <v>1</v>
      </c>
      <c r="T461" s="144">
        <f>IFERROR(P461*R461,0)</f>
        <v/>
      </c>
      <c r="U461" s="144">
        <f>T461*S461</f>
        <v/>
      </c>
      <c r="V461" s="76" t="inlineStr">
        <is>
          <t>用户偏好设置表、节点属性表、节点关系表、节点漏洞分布表</t>
        </is>
      </c>
      <c r="W461" s="81" t="n"/>
      <c r="X461"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1" s="88" t="n"/>
      <c r="Z461" s="88" t="n"/>
      <c r="AA461" s="96" t="inlineStr">
        <is>
          <t>任务日志表</t>
        </is>
      </c>
    </row>
    <row r="462" hidden="1" ht="43.2" customFormat="1" customHeight="1" s="63">
      <c r="A462" s="69">
        <f>ROW()-1</f>
        <v/>
      </c>
      <c r="B462" s="53" t="n"/>
      <c r="C462" s="78" t="n">
        <v>2025</v>
      </c>
      <c r="D462" s="78" t="inlineStr">
        <is>
          <t>窦鹏岐</t>
        </is>
      </c>
      <c r="E462" s="53" t="n"/>
      <c r="F462" s="53" t="n"/>
      <c r="G462" s="53" t="n"/>
      <c r="H462" s="80" t="inlineStr">
        <is>
          <t>用户查看节点下按服务分类的低风险漏洞数量</t>
        </is>
      </c>
      <c r="I462" s="76" t="n"/>
      <c r="J462" s="108" t="n"/>
      <c r="K462" s="108" t="inlineStr">
        <is>
          <t>和上行合并，输入输出完全一致，相同查询</t>
        </is>
      </c>
      <c r="L462" s="83">
        <f>IF(OR(X462="估算法",X462="算法类",X462="无法识别"),"",IF(V462="",IF(OR(I462="EI",I462="EO",I462="EQ"),0,""),LEN(V462)-LEN(SUBSTITUTE(V462,"、",""))+1))</f>
        <v/>
      </c>
      <c r="M462" s="83">
        <f>IF(OR(X462="估算法",X462="算法类",X462="无法识别"),"",IF(W462="",IF(OR(I462="ILF",I462="EIF"),0,""),LEN(W462)-LEN(SUBSTITUTE(W462,"、",""))+1))</f>
        <v/>
      </c>
      <c r="N462" s="83">
        <f>IF(OR(X462="估算法",X462="算法类",X462="无法识别"),"",IF(X462="",IF(OR(I462="ILF",I462="EIF",I462="EI",I462="EO",I462="EQ"),0,""),LEN(X462)-LEN(SUBSTITUTE(SUBSTITUTE(SUBSTITUTE(SUBSTITUTE(SUBSTITUTE(X462,"|}","--"),"{|","--"),CHAR(10),""),"、",""),"|",""))+IF(AND(OR(I462="EI",I462="EO",I462="EQ"),$AD$1="NESMA"),2,1)))</f>
        <v/>
      </c>
      <c r="O462" s="84">
        <f>IF(I462="EI",IF(OR(X462="估算法",X462="算法类"),"中",IF(X462="无法识别","低",IF(L462&lt;2,IF(N462&lt;16,"低","中"),IF(L462&lt;3,IF(N462&lt;5,"低",IF(N462&lt;16,"中","高")),IF(N462&lt;5,"中","高"))))),IF(OR(I462="EO",I462="EQ"),IF(OR(X462="估算法",X462="算法类"),"中",IF(X462="无法识别","低",IF(L462&lt;2,IF(N462&lt;20,"低","中"),IF(L462&lt;4,IF(N462&lt;6,"低",IF(N462&lt;20,"中","高")),IF(N462&lt;6,"中","高"))))),IF(OR(I462="ILF",I462="EIF"),IF(OR(X462="估算法",X462="算法类",X462="无法识别"),"低",IF(M462&lt;2,IF(N462&lt;51,"低","中"),IF(M462&lt;6,IF(N462&lt;20,"低",IF(N462&lt;51,"中","高")),IF(N462&lt;20,"中","高")))),"不计算")))</f>
        <v/>
      </c>
      <c r="P462" s="142">
        <f>IFERROR(IF(I462="EI",IF(O462="低",3,IF(O462="中",4,6)),IF(I462="EO",IF(O462="低",4,IF(O462="中",5,7)),IF(I462="EQ",IF(O462="低",3,IF(O462="中",4,6)),IF(I462="ILF",IF(O462="低",7,IF(O462="中",10,15)),IF(I462="EIF",IF(O462="低",5,IF(O462="中",7,10)),"不计算")))))*Q462,"不计算")</f>
        <v/>
      </c>
      <c r="Q462" s="142" t="n">
        <v>0.333333333333333</v>
      </c>
      <c r="R462" s="143">
        <f>调整因子!$F$13</f>
        <v/>
      </c>
      <c r="S462" s="70" t="n">
        <v>1</v>
      </c>
      <c r="T462" s="144">
        <f>IFERROR(P462*R462,0)</f>
        <v/>
      </c>
      <c r="U462" s="144">
        <f>T462*S462</f>
        <v/>
      </c>
      <c r="V462" s="76" t="inlineStr">
        <is>
          <t>用户偏好设置表、节点属性表、节点关系表、节点漏洞分布表</t>
        </is>
      </c>
      <c r="W462" s="81" t="n"/>
      <c r="X462"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2" s="88" t="n"/>
      <c r="Z462" s="88" t="n"/>
      <c r="AA462" s="96" t="inlineStr">
        <is>
          <t>任务日志表</t>
        </is>
      </c>
    </row>
    <row r="463" hidden="1" ht="43.2" customFormat="1" customHeight="1" s="63">
      <c r="A463" s="69">
        <f>ROW()-1</f>
        <v/>
      </c>
      <c r="B463" s="53" t="n"/>
      <c r="C463" s="78" t="n">
        <v>2025</v>
      </c>
      <c r="D463" s="78" t="inlineStr">
        <is>
          <t>窦鹏岐</t>
        </is>
      </c>
      <c r="E463" s="53" t="n"/>
      <c r="F463" s="53" t="n"/>
      <c r="G463" s="53" t="n"/>
      <c r="H463" s="80" t="inlineStr">
        <is>
          <t>用户查看节点下按应用分类的高风险漏洞数量</t>
        </is>
      </c>
      <c r="I463" s="76" t="n"/>
      <c r="J463" s="108" t="n"/>
      <c r="K463" s="108" t="inlineStr">
        <is>
          <t>和上行合并，输入输出完全一致，相同查询</t>
        </is>
      </c>
      <c r="L463" s="83">
        <f>IF(OR(X463="估算法",X463="算法类",X463="无法识别"),"",IF(V463="",IF(OR(I463="EI",I463="EO",I463="EQ"),0,""),LEN(V463)-LEN(SUBSTITUTE(V463,"、",""))+1))</f>
        <v/>
      </c>
      <c r="M463" s="83">
        <f>IF(OR(X463="估算法",X463="算法类",X463="无法识别"),"",IF(W463="",IF(OR(I463="ILF",I463="EIF"),0,""),LEN(W463)-LEN(SUBSTITUTE(W463,"、",""))+1))</f>
        <v/>
      </c>
      <c r="N463" s="83">
        <f>IF(OR(X463="估算法",X463="算法类",X463="无法识别"),"",IF(X463="",IF(OR(I463="ILF",I463="EIF",I463="EI",I463="EO",I463="EQ"),0,""),LEN(X463)-LEN(SUBSTITUTE(SUBSTITUTE(SUBSTITUTE(SUBSTITUTE(SUBSTITUTE(X463,"|}","--"),"{|","--"),CHAR(10),""),"、",""),"|",""))+IF(AND(OR(I463="EI",I463="EO",I463="EQ"),$AD$1="NESMA"),2,1)))</f>
        <v/>
      </c>
      <c r="O463" s="84">
        <f>IF(I463="EI",IF(OR(X463="估算法",X463="算法类"),"中",IF(X463="无法识别","低",IF(L463&lt;2,IF(N463&lt;16,"低","中"),IF(L463&lt;3,IF(N463&lt;5,"低",IF(N463&lt;16,"中","高")),IF(N463&lt;5,"中","高"))))),IF(OR(I463="EO",I463="EQ"),IF(OR(X463="估算法",X463="算法类"),"中",IF(X463="无法识别","低",IF(L463&lt;2,IF(N463&lt;20,"低","中"),IF(L463&lt;4,IF(N463&lt;6,"低",IF(N463&lt;20,"中","高")),IF(N463&lt;6,"中","高"))))),IF(OR(I463="ILF",I463="EIF"),IF(OR(X463="估算法",X463="算法类",X463="无法识别"),"低",IF(M463&lt;2,IF(N463&lt;51,"低","中"),IF(M463&lt;6,IF(N463&lt;20,"低",IF(N463&lt;51,"中","高")),IF(N463&lt;20,"中","高")))),"不计算")))</f>
        <v/>
      </c>
      <c r="P463" s="142">
        <f>IFERROR(IF(I463="EI",IF(O463="低",3,IF(O463="中",4,6)),IF(I463="EO",IF(O463="低",4,IF(O463="中",5,7)),IF(I463="EQ",IF(O463="低",3,IF(O463="中",4,6)),IF(I463="ILF",IF(O463="低",7,IF(O463="中",10,15)),IF(I463="EIF",IF(O463="低",5,IF(O463="中",7,10)),"不计算")))))*Q463,"不计算")</f>
        <v/>
      </c>
      <c r="Q463" s="142" t="n">
        <v>0.333333333333333</v>
      </c>
      <c r="R463" s="143">
        <f>调整因子!$F$13</f>
        <v/>
      </c>
      <c r="S463" s="70" t="n">
        <v>1</v>
      </c>
      <c r="T463" s="144">
        <f>IFERROR(P463*R463,0)</f>
        <v/>
      </c>
      <c r="U463" s="144">
        <f>T463*S463</f>
        <v/>
      </c>
      <c r="V463" s="76" t="inlineStr">
        <is>
          <t>用户偏好设置表、节点属性表、节点关系表、节点漏洞分布表</t>
        </is>
      </c>
      <c r="W463" s="81" t="n"/>
      <c r="X463"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3" s="88" t="n"/>
      <c r="Z463" s="88" t="n"/>
      <c r="AA463" s="96" t="inlineStr">
        <is>
          <t>任务日志表</t>
        </is>
      </c>
    </row>
    <row r="464" hidden="1" ht="43.2" customFormat="1" customHeight="1" s="63">
      <c r="A464" s="69">
        <f>ROW()-1</f>
        <v/>
      </c>
      <c r="B464" s="53" t="n"/>
      <c r="C464" s="78" t="n">
        <v>2025</v>
      </c>
      <c r="D464" s="78" t="inlineStr">
        <is>
          <t>窦鹏岐</t>
        </is>
      </c>
      <c r="E464" s="53" t="n"/>
      <c r="F464" s="53" t="n"/>
      <c r="G464" s="53" t="n"/>
      <c r="H464" s="80" t="inlineStr">
        <is>
          <t>用户查看节点下按应用分类的中风险漏洞数量</t>
        </is>
      </c>
      <c r="I464" s="76" t="n"/>
      <c r="J464" s="108" t="n"/>
      <c r="K464" s="108" t="inlineStr">
        <is>
          <t>和上行合并，输入输出完全一致，相同查询</t>
        </is>
      </c>
      <c r="L464" s="83">
        <f>IF(OR(X464="估算法",X464="算法类",X464="无法识别"),"",IF(V464="",IF(OR(I464="EI",I464="EO",I464="EQ"),0,""),LEN(V464)-LEN(SUBSTITUTE(V464,"、",""))+1))</f>
        <v/>
      </c>
      <c r="M464" s="83">
        <f>IF(OR(X464="估算法",X464="算法类",X464="无法识别"),"",IF(W464="",IF(OR(I464="ILF",I464="EIF"),0,""),LEN(W464)-LEN(SUBSTITUTE(W464,"、",""))+1))</f>
        <v/>
      </c>
      <c r="N464" s="83">
        <f>IF(OR(X464="估算法",X464="算法类",X464="无法识别"),"",IF(X464="",IF(OR(I464="ILF",I464="EIF",I464="EI",I464="EO",I464="EQ"),0,""),LEN(X464)-LEN(SUBSTITUTE(SUBSTITUTE(SUBSTITUTE(SUBSTITUTE(SUBSTITUTE(X464,"|}","--"),"{|","--"),CHAR(10),""),"、",""),"|",""))+IF(AND(OR(I464="EI",I464="EO",I464="EQ"),$AD$1="NESMA"),2,1)))</f>
        <v/>
      </c>
      <c r="O464" s="84">
        <f>IF(I464="EI",IF(OR(X464="估算法",X464="算法类"),"中",IF(X464="无法识别","低",IF(L464&lt;2,IF(N464&lt;16,"低","中"),IF(L464&lt;3,IF(N464&lt;5,"低",IF(N464&lt;16,"中","高")),IF(N464&lt;5,"中","高"))))),IF(OR(I464="EO",I464="EQ"),IF(OR(X464="估算法",X464="算法类"),"中",IF(X464="无法识别","低",IF(L464&lt;2,IF(N464&lt;20,"低","中"),IF(L464&lt;4,IF(N464&lt;6,"低",IF(N464&lt;20,"中","高")),IF(N464&lt;6,"中","高"))))),IF(OR(I464="ILF",I464="EIF"),IF(OR(X464="估算法",X464="算法类",X464="无法识别"),"低",IF(M464&lt;2,IF(N464&lt;51,"低","中"),IF(M464&lt;6,IF(N464&lt;20,"低",IF(N464&lt;51,"中","高")),IF(N464&lt;20,"中","高")))),"不计算")))</f>
        <v/>
      </c>
      <c r="P464" s="142">
        <f>IFERROR(IF(I464="EI",IF(O464="低",3,IF(O464="中",4,6)),IF(I464="EO",IF(O464="低",4,IF(O464="中",5,7)),IF(I464="EQ",IF(O464="低",3,IF(O464="中",4,6)),IF(I464="ILF",IF(O464="低",7,IF(O464="中",10,15)),IF(I464="EIF",IF(O464="低",5,IF(O464="中",7,10)),"不计算")))))*Q464,"不计算")</f>
        <v/>
      </c>
      <c r="Q464" s="142" t="n">
        <v>0.333333333333333</v>
      </c>
      <c r="R464" s="143">
        <f>调整因子!$F$13</f>
        <v/>
      </c>
      <c r="S464" s="76" t="n">
        <v>1</v>
      </c>
      <c r="T464" s="144">
        <f>IFERROR(P464*R464,0)</f>
        <v/>
      </c>
      <c r="U464" s="144">
        <f>T464*S464</f>
        <v/>
      </c>
      <c r="V464" s="76" t="inlineStr">
        <is>
          <t>用户偏好设置表、节点属性表、节点关系表、节点漏洞分布表</t>
        </is>
      </c>
      <c r="W464" s="81" t="n"/>
      <c r="X464"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4" s="88" t="n"/>
      <c r="Z464" s="88" t="n"/>
      <c r="AA464" s="96" t="inlineStr">
        <is>
          <t>任务日志表</t>
        </is>
      </c>
    </row>
    <row r="465" hidden="1" ht="43.2" customFormat="1" customHeight="1" s="63">
      <c r="A465" s="69">
        <f>ROW()-1</f>
        <v/>
      </c>
      <c r="B465" s="53" t="n"/>
      <c r="C465" s="78" t="n">
        <v>2025</v>
      </c>
      <c r="D465" s="78" t="inlineStr">
        <is>
          <t>窦鹏岐</t>
        </is>
      </c>
      <c r="E465" s="53" t="n"/>
      <c r="F465" s="53" t="n"/>
      <c r="G465" s="53" t="n"/>
      <c r="H465" s="80" t="inlineStr">
        <is>
          <t>用户查看节点下按应用分类的低风险漏洞数量</t>
        </is>
      </c>
      <c r="I465" s="76" t="n"/>
      <c r="J465" s="108" t="n"/>
      <c r="K465" s="108" t="inlineStr">
        <is>
          <t>和上行合并，输入输出完全一致，相同查询</t>
        </is>
      </c>
      <c r="L465" s="83">
        <f>IF(OR(X465="估算法",X465="算法类",X465="无法识别"),"",IF(V465="",IF(OR(I465="EI",I465="EO",I465="EQ"),0,""),LEN(V465)-LEN(SUBSTITUTE(V465,"、",""))+1))</f>
        <v/>
      </c>
      <c r="M465" s="83">
        <f>IF(OR(X465="估算法",X465="算法类",X465="无法识别"),"",IF(W465="",IF(OR(I465="ILF",I465="EIF"),0,""),LEN(W465)-LEN(SUBSTITUTE(W465,"、",""))+1))</f>
        <v/>
      </c>
      <c r="N465" s="83">
        <f>IF(OR(X465="估算法",X465="算法类",X465="无法识别"),"",IF(X465="",IF(OR(I465="ILF",I465="EIF",I465="EI",I465="EO",I465="EQ"),0,""),LEN(X465)-LEN(SUBSTITUTE(SUBSTITUTE(SUBSTITUTE(SUBSTITUTE(SUBSTITUTE(X465,"|}","--"),"{|","--"),CHAR(10),""),"、",""),"|",""))+IF(AND(OR(I465="EI",I465="EO",I465="EQ"),$AD$1="NESMA"),2,1)))</f>
        <v/>
      </c>
      <c r="O465" s="84">
        <f>IF(I465="EI",IF(OR(X465="估算法",X465="算法类"),"中",IF(X465="无法识别","低",IF(L465&lt;2,IF(N465&lt;16,"低","中"),IF(L465&lt;3,IF(N465&lt;5,"低",IF(N465&lt;16,"中","高")),IF(N465&lt;5,"中","高"))))),IF(OR(I465="EO",I465="EQ"),IF(OR(X465="估算法",X465="算法类"),"中",IF(X465="无法识别","低",IF(L465&lt;2,IF(N465&lt;20,"低","中"),IF(L465&lt;4,IF(N465&lt;6,"低",IF(N465&lt;20,"中","高")),IF(N465&lt;6,"中","高"))))),IF(OR(I465="ILF",I465="EIF"),IF(OR(X465="估算法",X465="算法类",X465="无法识别"),"低",IF(M465&lt;2,IF(N465&lt;51,"低","中"),IF(M465&lt;6,IF(N465&lt;20,"低",IF(N465&lt;51,"中","高")),IF(N465&lt;20,"中","高")))),"不计算")))</f>
        <v/>
      </c>
      <c r="P465" s="142">
        <f>IFERROR(IF(I465="EI",IF(O465="低",3,IF(O465="中",4,6)),IF(I465="EO",IF(O465="低",4,IF(O465="中",5,7)),IF(I465="EQ",IF(O465="低",3,IF(O465="中",4,6)),IF(I465="ILF",IF(O465="低",7,IF(O465="中",10,15)),IF(I465="EIF",IF(O465="低",5,IF(O465="中",7,10)),"不计算")))))*Q465,"不计算")</f>
        <v/>
      </c>
      <c r="Q465" s="142" t="n">
        <v>0.333333333333333</v>
      </c>
      <c r="R465" s="143">
        <f>调整因子!$F$13</f>
        <v/>
      </c>
      <c r="S465" s="70" t="n">
        <v>1</v>
      </c>
      <c r="T465" s="144">
        <f>IFERROR(P465*R465,0)</f>
        <v/>
      </c>
      <c r="U465" s="144">
        <f>T465*S465</f>
        <v/>
      </c>
      <c r="V465" s="76" t="inlineStr">
        <is>
          <t>用户偏好设置表、节点属性表、节点关系表、节点漏洞分布表</t>
        </is>
      </c>
      <c r="W465" s="81" t="n"/>
      <c r="X465"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5" s="88" t="n"/>
      <c r="Z465" s="88" t="n"/>
      <c r="AA465" s="96" t="inlineStr">
        <is>
          <t>任务日志表</t>
        </is>
      </c>
    </row>
    <row r="466" hidden="1" ht="43.2" customFormat="1" customHeight="1" s="63">
      <c r="A466" s="69">
        <f>ROW()-1</f>
        <v/>
      </c>
      <c r="B466" s="53" t="n"/>
      <c r="C466" s="78" t="n">
        <v>2025</v>
      </c>
      <c r="D466" s="78" t="inlineStr">
        <is>
          <t>窦鹏岐</t>
        </is>
      </c>
      <c r="E466" s="53" t="n"/>
      <c r="F466" s="53" t="n"/>
      <c r="G466" s="53" t="n"/>
      <c r="H466" s="80" t="inlineStr">
        <is>
          <t>用户查看节点下按系统分类的高风险漏洞数量</t>
        </is>
      </c>
      <c r="I466" s="76" t="n"/>
      <c r="J466" s="108" t="n"/>
      <c r="K466" s="108" t="inlineStr">
        <is>
          <t>和上行合并，输入输出完全一致，相同查询</t>
        </is>
      </c>
      <c r="L466" s="83">
        <f>IF(OR(X466="估算法",X466="算法类",X466="无法识别"),"",IF(V466="",IF(OR(I466="EI",I466="EO",I466="EQ"),0,""),LEN(V466)-LEN(SUBSTITUTE(V466,"、",""))+1))</f>
        <v/>
      </c>
      <c r="M466" s="83">
        <f>IF(OR(X466="估算法",X466="算法类",X466="无法识别"),"",IF(W466="",IF(OR(I466="ILF",I466="EIF"),0,""),LEN(W466)-LEN(SUBSTITUTE(W466,"、",""))+1))</f>
        <v/>
      </c>
      <c r="N466" s="83">
        <f>IF(OR(X466="估算法",X466="算法类",X466="无法识别"),"",IF(X466="",IF(OR(I466="ILF",I466="EIF",I466="EI",I466="EO",I466="EQ"),0,""),LEN(X466)-LEN(SUBSTITUTE(SUBSTITUTE(SUBSTITUTE(SUBSTITUTE(SUBSTITUTE(X466,"|}","--"),"{|","--"),CHAR(10),""),"、",""),"|",""))+IF(AND(OR(I466="EI",I466="EO",I466="EQ"),$AD$1="NESMA"),2,1)))</f>
        <v/>
      </c>
      <c r="O466" s="84">
        <f>IF(I466="EI",IF(OR(X466="估算法",X466="算法类"),"中",IF(X466="无法识别","低",IF(L466&lt;2,IF(N466&lt;16,"低","中"),IF(L466&lt;3,IF(N466&lt;5,"低",IF(N466&lt;16,"中","高")),IF(N466&lt;5,"中","高"))))),IF(OR(I466="EO",I466="EQ"),IF(OR(X466="估算法",X466="算法类"),"中",IF(X466="无法识别","低",IF(L466&lt;2,IF(N466&lt;20,"低","中"),IF(L466&lt;4,IF(N466&lt;6,"低",IF(N466&lt;20,"中","高")),IF(N466&lt;6,"中","高"))))),IF(OR(I466="ILF",I466="EIF"),IF(OR(X466="估算法",X466="算法类",X466="无法识别"),"低",IF(M466&lt;2,IF(N466&lt;51,"低","中"),IF(M466&lt;6,IF(N466&lt;20,"低",IF(N466&lt;51,"中","高")),IF(N466&lt;20,"中","高")))),"不计算")))</f>
        <v/>
      </c>
      <c r="P466" s="142">
        <f>IFERROR(IF(I466="EI",IF(O466="低",3,IF(O466="中",4,6)),IF(I466="EO",IF(O466="低",4,IF(O466="中",5,7)),IF(I466="EQ",IF(O466="低",3,IF(O466="中",4,6)),IF(I466="ILF",IF(O466="低",7,IF(O466="中",10,15)),IF(I466="EIF",IF(O466="低",5,IF(O466="中",7,10)),"不计算")))))*Q466,"不计算")</f>
        <v/>
      </c>
      <c r="Q466" s="142" t="n">
        <v>0.2</v>
      </c>
      <c r="R466" s="143">
        <f>调整因子!$F$13</f>
        <v/>
      </c>
      <c r="S466" s="70" t="n">
        <v>1</v>
      </c>
      <c r="T466" s="144">
        <f>IFERROR(P466*R466,0)</f>
        <v/>
      </c>
      <c r="U466" s="144">
        <f>T466*S466</f>
        <v/>
      </c>
      <c r="V466" s="76" t="inlineStr">
        <is>
          <t>用户偏好设置表、节点属性表、节点关系表、节点漏洞分布表</t>
        </is>
      </c>
      <c r="W466" s="81" t="n"/>
      <c r="X466"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6" s="88" t="n"/>
      <c r="Z466" s="88" t="n"/>
      <c r="AA466" s="96" t="inlineStr">
        <is>
          <t>任务日志表</t>
        </is>
      </c>
    </row>
    <row r="467" hidden="1" ht="43.2" customFormat="1" customHeight="1" s="63">
      <c r="A467" s="69">
        <f>ROW()-1</f>
        <v/>
      </c>
      <c r="B467" s="53" t="n"/>
      <c r="C467" s="78" t="n">
        <v>2025</v>
      </c>
      <c r="D467" s="78" t="inlineStr">
        <is>
          <t>窦鹏岐</t>
        </is>
      </c>
      <c r="E467" s="53" t="n"/>
      <c r="F467" s="53" t="n"/>
      <c r="G467" s="53" t="n"/>
      <c r="H467" s="80" t="inlineStr">
        <is>
          <t>用户查看节点下按系统分类的中风险漏洞数量</t>
        </is>
      </c>
      <c r="I467" s="76" t="n"/>
      <c r="J467" s="108" t="n"/>
      <c r="K467" s="108" t="inlineStr">
        <is>
          <t>和上行合并，输入输出完全一致，相同查询</t>
        </is>
      </c>
      <c r="L467" s="83">
        <f>IF(OR(X467="估算法",X467="算法类",X467="无法识别"),"",IF(V467="",IF(OR(I467="EI",I467="EO",I467="EQ"),0,""),LEN(V467)-LEN(SUBSTITUTE(V467,"、",""))+1))</f>
        <v/>
      </c>
      <c r="M467" s="83">
        <f>IF(OR(X467="估算法",X467="算法类",X467="无法识别"),"",IF(W467="",IF(OR(I467="ILF",I467="EIF"),0,""),LEN(W467)-LEN(SUBSTITUTE(W467,"、",""))+1))</f>
        <v/>
      </c>
      <c r="N467" s="83">
        <f>IF(OR(X467="估算法",X467="算法类",X467="无法识别"),"",IF(X467="",IF(OR(I467="ILF",I467="EIF",I467="EI",I467="EO",I467="EQ"),0,""),LEN(X467)-LEN(SUBSTITUTE(SUBSTITUTE(SUBSTITUTE(SUBSTITUTE(SUBSTITUTE(X467,"|}","--"),"{|","--"),CHAR(10),""),"、",""),"|",""))+IF(AND(OR(I467="EI",I467="EO",I467="EQ"),$AD$1="NESMA"),2,1)))</f>
        <v/>
      </c>
      <c r="O467" s="84">
        <f>IF(I467="EI",IF(OR(X467="估算法",X467="算法类"),"中",IF(X467="无法识别","低",IF(L467&lt;2,IF(N467&lt;16,"低","中"),IF(L467&lt;3,IF(N467&lt;5,"低",IF(N467&lt;16,"中","高")),IF(N467&lt;5,"中","高"))))),IF(OR(I467="EO",I467="EQ"),IF(OR(X467="估算法",X467="算法类"),"中",IF(X467="无法识别","低",IF(L467&lt;2,IF(N467&lt;20,"低","中"),IF(L467&lt;4,IF(N467&lt;6,"低",IF(N467&lt;20,"中","高")),IF(N467&lt;6,"中","高"))))),IF(OR(I467="ILF",I467="EIF"),IF(OR(X467="估算法",X467="算法类",X467="无法识别"),"低",IF(M467&lt;2,IF(N467&lt;51,"低","中"),IF(M467&lt;6,IF(N467&lt;20,"低",IF(N467&lt;51,"中","高")),IF(N467&lt;20,"中","高")))),"不计算")))</f>
        <v/>
      </c>
      <c r="P467" s="142">
        <f>IFERROR(IF(I467="EI",IF(O467="低",3,IF(O467="中",4,6)),IF(I467="EO",IF(O467="低",4,IF(O467="中",5,7)),IF(I467="EQ",IF(O467="低",3,IF(O467="中",4,6)),IF(I467="ILF",IF(O467="低",7,IF(O467="中",10,15)),IF(I467="EIF",IF(O467="低",5,IF(O467="中",7,10)),"不计算")))))*Q467,"不计算")</f>
        <v/>
      </c>
      <c r="Q467" s="142" t="n">
        <v>0.2</v>
      </c>
      <c r="R467" s="143">
        <f>调整因子!$F$13</f>
        <v/>
      </c>
      <c r="S467" s="76" t="n">
        <v>1</v>
      </c>
      <c r="T467" s="144">
        <f>IFERROR(P467*R467,0)</f>
        <v/>
      </c>
      <c r="U467" s="144">
        <f>T467*S467</f>
        <v/>
      </c>
      <c r="V467" s="76" t="inlineStr">
        <is>
          <t>用户偏好设置表、节点属性表、节点关系表、节点漏洞分布表</t>
        </is>
      </c>
      <c r="W467" s="81" t="n"/>
      <c r="X467"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7" s="88" t="n"/>
      <c r="Z467" s="88" t="n"/>
      <c r="AA467" s="96" t="inlineStr">
        <is>
          <t>任务优先级配置表</t>
        </is>
      </c>
    </row>
    <row r="468" hidden="1" ht="43.2" customFormat="1" customHeight="1" s="63">
      <c r="A468" s="69">
        <f>ROW()-1</f>
        <v/>
      </c>
      <c r="B468" s="53" t="n"/>
      <c r="C468" s="78" t="n">
        <v>2025</v>
      </c>
      <c r="D468" s="78" t="inlineStr">
        <is>
          <t>窦鹏岐</t>
        </is>
      </c>
      <c r="E468" s="53" t="n"/>
      <c r="F468" s="53" t="n"/>
      <c r="G468" s="53" t="n"/>
      <c r="H468" s="80" t="inlineStr">
        <is>
          <t>用户查看节点下按系统分类的低风险漏洞数量</t>
        </is>
      </c>
      <c r="I468" s="76" t="n"/>
      <c r="J468" s="108" t="n"/>
      <c r="K468" s="108" t="inlineStr">
        <is>
          <t>和上行合并，输入输出完全一致，相同查询</t>
        </is>
      </c>
      <c r="L468" s="83">
        <f>IF(OR(X468="估算法",X468="算法类",X468="无法识别"),"",IF(V468="",IF(OR(I468="EI",I468="EO",I468="EQ"),0,""),LEN(V468)-LEN(SUBSTITUTE(V468,"、",""))+1))</f>
        <v/>
      </c>
      <c r="M468" s="83">
        <f>IF(OR(X468="估算法",X468="算法类",X468="无法识别"),"",IF(W468="",IF(OR(I468="ILF",I468="EIF"),0,""),LEN(W468)-LEN(SUBSTITUTE(W468,"、",""))+1))</f>
        <v/>
      </c>
      <c r="N468" s="83">
        <f>IF(OR(X468="估算法",X468="算法类",X468="无法识别"),"",IF(X468="",IF(OR(I468="ILF",I468="EIF",I468="EI",I468="EO",I468="EQ"),0,""),LEN(X468)-LEN(SUBSTITUTE(SUBSTITUTE(SUBSTITUTE(SUBSTITUTE(SUBSTITUTE(X468,"|}","--"),"{|","--"),CHAR(10),""),"、",""),"|",""))+IF(AND(OR(I468="EI",I468="EO",I468="EQ"),$AD$1="NESMA"),2,1)))</f>
        <v/>
      </c>
      <c r="O468" s="84">
        <f>IF(I468="EI",IF(OR(X468="估算法",X468="算法类"),"中",IF(X468="无法识别","低",IF(L468&lt;2,IF(N468&lt;16,"低","中"),IF(L468&lt;3,IF(N468&lt;5,"低",IF(N468&lt;16,"中","高")),IF(N468&lt;5,"中","高"))))),IF(OR(I468="EO",I468="EQ"),IF(OR(X468="估算法",X468="算法类"),"中",IF(X468="无法识别","低",IF(L468&lt;2,IF(N468&lt;20,"低","中"),IF(L468&lt;4,IF(N468&lt;6,"低",IF(N468&lt;20,"中","高")),IF(N468&lt;6,"中","高"))))),IF(OR(I468="ILF",I468="EIF"),IF(OR(X468="估算法",X468="算法类",X468="无法识别"),"低",IF(M468&lt;2,IF(N468&lt;51,"低","中"),IF(M468&lt;6,IF(N468&lt;20,"低",IF(N468&lt;51,"中","高")),IF(N468&lt;20,"中","高")))),"不计算")))</f>
        <v/>
      </c>
      <c r="P468" s="142">
        <f>IFERROR(IF(I468="EI",IF(O468="低",3,IF(O468="中",4,6)),IF(I468="EO",IF(O468="低",4,IF(O468="中",5,7)),IF(I468="EQ",IF(O468="低",3,IF(O468="中",4,6)),IF(I468="ILF",IF(O468="低",7,IF(O468="中",10,15)),IF(I468="EIF",IF(O468="低",5,IF(O468="中",7,10)),"不计算")))))*Q468,"不计算")</f>
        <v/>
      </c>
      <c r="Q468" s="142" t="n">
        <v>0.2</v>
      </c>
      <c r="R468" s="143">
        <f>调整因子!$F$13</f>
        <v/>
      </c>
      <c r="S468" s="70" t="n">
        <v>1</v>
      </c>
      <c r="T468" s="144">
        <f>IFERROR(P468*R468,0)</f>
        <v/>
      </c>
      <c r="U468" s="144">
        <f>T468*S468</f>
        <v/>
      </c>
      <c r="V468" s="76" t="inlineStr">
        <is>
          <t>用户偏好设置表、节点属性表、节点关系表、节点漏洞分布表</t>
        </is>
      </c>
      <c r="W468" s="81" t="n"/>
      <c r="X468"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8" s="88" t="n"/>
      <c r="Z468" s="88" t="n"/>
      <c r="AA468" s="96" t="inlineStr">
        <is>
          <t>任务优先级配置表</t>
        </is>
      </c>
    </row>
    <row r="469" hidden="1" ht="43.2" customFormat="1" customHeight="1" s="63">
      <c r="A469" s="69">
        <f>ROW()-1</f>
        <v/>
      </c>
      <c r="B469" s="53" t="n"/>
      <c r="C469" s="78" t="n">
        <v>2025</v>
      </c>
      <c r="D469" s="78" t="inlineStr">
        <is>
          <t>窦鹏岐</t>
        </is>
      </c>
      <c r="E469" s="53" t="n"/>
      <c r="F469" s="53" t="n"/>
      <c r="G469" s="53" t="n"/>
      <c r="H469" s="80" t="inlineStr">
        <is>
          <t>用户查看节点下按威胁分类的高风险漏洞数量</t>
        </is>
      </c>
      <c r="I469" s="76" t="n"/>
      <c r="J469" s="108" t="n"/>
      <c r="K469" s="108" t="inlineStr">
        <is>
          <t>和上行合并，输入输出完全一致，相同查询</t>
        </is>
      </c>
      <c r="L469" s="83">
        <f>IF(OR(X469="估算法",X469="算法类",X469="无法识别"),"",IF(V469="",IF(OR(I469="EI",I469="EO",I469="EQ"),0,""),LEN(V469)-LEN(SUBSTITUTE(V469,"、",""))+1))</f>
        <v/>
      </c>
      <c r="M469" s="83">
        <f>IF(OR(X469="估算法",X469="算法类",X469="无法识别"),"",IF(W469="",IF(OR(I469="ILF",I469="EIF"),0,""),LEN(W469)-LEN(SUBSTITUTE(W469,"、",""))+1))</f>
        <v/>
      </c>
      <c r="N469" s="83">
        <f>IF(OR(X469="估算法",X469="算法类",X469="无法识别"),"",IF(X469="",IF(OR(I469="ILF",I469="EIF",I469="EI",I469="EO",I469="EQ"),0,""),LEN(X469)-LEN(SUBSTITUTE(SUBSTITUTE(SUBSTITUTE(SUBSTITUTE(SUBSTITUTE(X469,"|}","--"),"{|","--"),CHAR(10),""),"、",""),"|",""))+IF(AND(OR(I469="EI",I469="EO",I469="EQ"),$AD$1="NESMA"),2,1)))</f>
        <v/>
      </c>
      <c r="O469" s="84">
        <f>IF(I469="EI",IF(OR(X469="估算法",X469="算法类"),"中",IF(X469="无法识别","低",IF(L469&lt;2,IF(N469&lt;16,"低","中"),IF(L469&lt;3,IF(N469&lt;5,"低",IF(N469&lt;16,"中","高")),IF(N469&lt;5,"中","高"))))),IF(OR(I469="EO",I469="EQ"),IF(OR(X469="估算法",X469="算法类"),"中",IF(X469="无法识别","低",IF(L469&lt;2,IF(N469&lt;20,"低","中"),IF(L469&lt;4,IF(N469&lt;6,"低",IF(N469&lt;20,"中","高")),IF(N469&lt;6,"中","高"))))),IF(OR(I469="ILF",I469="EIF"),IF(OR(X469="估算法",X469="算法类",X469="无法识别"),"低",IF(M469&lt;2,IF(N469&lt;51,"低","中"),IF(M469&lt;6,IF(N469&lt;20,"低",IF(N469&lt;51,"中","高")),IF(N469&lt;20,"中","高")))),"不计算")))</f>
        <v/>
      </c>
      <c r="P469" s="142">
        <f>IFERROR(IF(I469="EI",IF(O469="低",3,IF(O469="中",4,6)),IF(I469="EO",IF(O469="低",4,IF(O469="中",5,7)),IF(I469="EQ",IF(O469="低",3,IF(O469="中",4,6)),IF(I469="ILF",IF(O469="低",7,IF(O469="中",10,15)),IF(I469="EIF",IF(O469="低",5,IF(O469="中",7,10)),"不计算")))))*Q469,"不计算")</f>
        <v/>
      </c>
      <c r="Q469" s="142" t="n">
        <v>0.2</v>
      </c>
      <c r="R469" s="143">
        <f>调整因子!$F$13</f>
        <v/>
      </c>
      <c r="S469" s="70" t="n">
        <v>1</v>
      </c>
      <c r="T469" s="144">
        <f>IFERROR(P469*R469,0)</f>
        <v/>
      </c>
      <c r="U469" s="144">
        <f>T469*S469</f>
        <v/>
      </c>
      <c r="V469" s="76" t="inlineStr">
        <is>
          <t>用户偏好设置表、节点属性表、节点关系表、节点漏洞分布表</t>
        </is>
      </c>
      <c r="W469" s="81" t="n"/>
      <c r="X469"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69" s="88" t="n"/>
      <c r="Z469" s="88" t="n"/>
      <c r="AA469" s="96" t="inlineStr">
        <is>
          <t>任务优先级配置表</t>
        </is>
      </c>
    </row>
    <row r="470" hidden="1" ht="43.2" customFormat="1" customHeight="1" s="63">
      <c r="A470" s="69">
        <f>ROW()-1</f>
        <v/>
      </c>
      <c r="B470" s="53" t="n"/>
      <c r="C470" s="78" t="n">
        <v>2025</v>
      </c>
      <c r="D470" s="78" t="inlineStr">
        <is>
          <t>窦鹏岐</t>
        </is>
      </c>
      <c r="E470" s="53" t="n"/>
      <c r="F470" s="53" t="n"/>
      <c r="G470" s="53" t="n"/>
      <c r="H470" s="80" t="inlineStr">
        <is>
          <t>用户查看节点下按威胁分类的中风险漏洞数量</t>
        </is>
      </c>
      <c r="I470" s="76" t="n"/>
      <c r="J470" s="108" t="n"/>
      <c r="K470" s="108" t="inlineStr">
        <is>
          <t>和上行合并，输入输出完全一致，相同查询</t>
        </is>
      </c>
      <c r="L470" s="83">
        <f>IF(OR(X470="估算法",X470="算法类",X470="无法识别"),"",IF(V470="",IF(OR(I470="EI",I470="EO",I470="EQ"),0,""),LEN(V470)-LEN(SUBSTITUTE(V470,"、",""))+1))</f>
        <v/>
      </c>
      <c r="M470" s="83">
        <f>IF(OR(X470="估算法",X470="算法类",X470="无法识别"),"",IF(W470="",IF(OR(I470="ILF",I470="EIF"),0,""),LEN(W470)-LEN(SUBSTITUTE(W470,"、",""))+1))</f>
        <v/>
      </c>
      <c r="N470" s="83">
        <f>IF(OR(X470="估算法",X470="算法类",X470="无法识别"),"",IF(X470="",IF(OR(I470="ILF",I470="EIF",I470="EI",I470="EO",I470="EQ"),0,""),LEN(X470)-LEN(SUBSTITUTE(SUBSTITUTE(SUBSTITUTE(SUBSTITUTE(SUBSTITUTE(X470,"|}","--"),"{|","--"),CHAR(10),""),"、",""),"|",""))+IF(AND(OR(I470="EI",I470="EO",I470="EQ"),$AD$1="NESMA"),2,1)))</f>
        <v/>
      </c>
      <c r="O470" s="84">
        <f>IF(I470="EI",IF(OR(X470="估算法",X470="算法类"),"中",IF(X470="无法识别","低",IF(L470&lt;2,IF(N470&lt;16,"低","中"),IF(L470&lt;3,IF(N470&lt;5,"低",IF(N470&lt;16,"中","高")),IF(N470&lt;5,"中","高"))))),IF(OR(I470="EO",I470="EQ"),IF(OR(X470="估算法",X470="算法类"),"中",IF(X470="无法识别","低",IF(L470&lt;2,IF(N470&lt;20,"低","中"),IF(L470&lt;4,IF(N470&lt;6,"低",IF(N470&lt;20,"中","高")),IF(N470&lt;6,"中","高"))))),IF(OR(I470="ILF",I470="EIF"),IF(OR(X470="估算法",X470="算法类",X470="无法识别"),"低",IF(M470&lt;2,IF(N470&lt;51,"低","中"),IF(M470&lt;6,IF(N470&lt;20,"低",IF(N470&lt;51,"中","高")),IF(N470&lt;20,"中","高")))),"不计算")))</f>
        <v/>
      </c>
      <c r="P470" s="142">
        <f>IFERROR(IF(I470="EI",IF(O470="低",3,IF(O470="中",4,6)),IF(I470="EO",IF(O470="低",4,IF(O470="中",5,7)),IF(I470="EQ",IF(O470="低",3,IF(O470="中",4,6)),IF(I470="ILF",IF(O470="低",7,IF(O470="中",10,15)),IF(I470="EIF",IF(O470="低",5,IF(O470="中",7,10)),"不计算")))))*Q470,"不计算")</f>
        <v/>
      </c>
      <c r="Q470" s="142" t="n">
        <v>0.2</v>
      </c>
      <c r="R470" s="143">
        <f>调整因子!$F$13</f>
        <v/>
      </c>
      <c r="S470" s="76" t="n">
        <v>1</v>
      </c>
      <c r="T470" s="144">
        <f>IFERROR(P470*R470,0)</f>
        <v/>
      </c>
      <c r="U470" s="144">
        <f>T470*S470</f>
        <v/>
      </c>
      <c r="V470" s="76" t="inlineStr">
        <is>
          <t>用户偏好设置表、节点属性表、节点关系表、节点漏洞分布表</t>
        </is>
      </c>
      <c r="W470" s="81" t="n"/>
      <c r="X470"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70" s="88" t="n"/>
      <c r="Z470" s="88" t="n"/>
      <c r="AA470" s="96" t="inlineStr">
        <is>
          <t>数据清洗任务表</t>
        </is>
      </c>
    </row>
    <row r="471" hidden="1" ht="43.2" customFormat="1" customHeight="1" s="63">
      <c r="A471" s="69">
        <f>ROW()-1</f>
        <v/>
      </c>
      <c r="B471" s="53" t="n"/>
      <c r="C471" s="78" t="n">
        <v>2025</v>
      </c>
      <c r="D471" s="78" t="inlineStr">
        <is>
          <t>窦鹏岐</t>
        </is>
      </c>
      <c r="E471" s="53" t="n"/>
      <c r="F471" s="53" t="n"/>
      <c r="G471" s="53" t="n"/>
      <c r="H471" s="80" t="inlineStr">
        <is>
          <t>用户查看节点下按威胁分类的低风险漏洞数量</t>
        </is>
      </c>
      <c r="I471" s="76" t="n"/>
      <c r="J471" s="108" t="n"/>
      <c r="K471" s="108" t="inlineStr">
        <is>
          <t>和上行合并，输入输出完全一致，相同查询</t>
        </is>
      </c>
      <c r="L471" s="83">
        <f>IF(OR(X471="估算法",X471="算法类",X471="无法识别"),"",IF(V471="",IF(OR(I471="EI",I471="EO",I471="EQ"),0,""),LEN(V471)-LEN(SUBSTITUTE(V471,"、",""))+1))</f>
        <v/>
      </c>
      <c r="M471" s="83">
        <f>IF(OR(X471="估算法",X471="算法类",X471="无法识别"),"",IF(W471="",IF(OR(I471="ILF",I471="EIF"),0,""),LEN(W471)-LEN(SUBSTITUTE(W471,"、",""))+1))</f>
        <v/>
      </c>
      <c r="N471" s="83">
        <f>IF(OR(X471="估算法",X471="算法类",X471="无法识别"),"",IF(X471="",IF(OR(I471="ILF",I471="EIF",I471="EI",I471="EO",I471="EQ"),0,""),LEN(X471)-LEN(SUBSTITUTE(SUBSTITUTE(SUBSTITUTE(SUBSTITUTE(SUBSTITUTE(X471,"|}","--"),"{|","--"),CHAR(10),""),"、",""),"|",""))+IF(AND(OR(I471="EI",I471="EO",I471="EQ"),$AD$1="NESMA"),2,1)))</f>
        <v/>
      </c>
      <c r="O471" s="84">
        <f>IF(I471="EI",IF(OR(X471="估算法",X471="算法类"),"中",IF(X471="无法识别","低",IF(L471&lt;2,IF(N471&lt;16,"低","中"),IF(L471&lt;3,IF(N471&lt;5,"低",IF(N471&lt;16,"中","高")),IF(N471&lt;5,"中","高"))))),IF(OR(I471="EO",I471="EQ"),IF(OR(X471="估算法",X471="算法类"),"中",IF(X471="无法识别","低",IF(L471&lt;2,IF(N471&lt;20,"低","中"),IF(L471&lt;4,IF(N471&lt;6,"低",IF(N471&lt;20,"中","高")),IF(N471&lt;6,"中","高"))))),IF(OR(I471="ILF",I471="EIF"),IF(OR(X471="估算法",X471="算法类",X471="无法识别"),"低",IF(M471&lt;2,IF(N471&lt;51,"低","中"),IF(M471&lt;6,IF(N471&lt;20,"低",IF(N471&lt;51,"中","高")),IF(N471&lt;20,"中","高")))),"不计算")))</f>
        <v/>
      </c>
      <c r="P471" s="142">
        <f>IFERROR(IF(I471="EI",IF(O471="低",3,IF(O471="中",4,6)),IF(I471="EO",IF(O471="低",4,IF(O471="中",5,7)),IF(I471="EQ",IF(O471="低",3,IF(O471="中",4,6)),IF(I471="ILF",IF(O471="低",7,IF(O471="中",10,15)),IF(I471="EIF",IF(O471="低",5,IF(O471="中",7,10)),"不计算")))))*Q471,"不计算")</f>
        <v/>
      </c>
      <c r="Q471" s="142" t="n">
        <v>0.1</v>
      </c>
      <c r="R471" s="143">
        <f>调整因子!$F$13</f>
        <v/>
      </c>
      <c r="S471" s="70" t="n">
        <v>1</v>
      </c>
      <c r="T471" s="144">
        <f>IFERROR(P471*R471,0)</f>
        <v/>
      </c>
      <c r="U471" s="144">
        <f>T471*S471</f>
        <v/>
      </c>
      <c r="V471" s="76" t="inlineStr">
        <is>
          <t>用户偏好设置表、节点属性表、节点关系表、节点漏洞分布表</t>
        </is>
      </c>
      <c r="W471" s="81" t="n"/>
      <c r="X471"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71" s="88" t="n"/>
      <c r="Z471" s="88" t="n"/>
      <c r="AA471" s="96" t="inlineStr">
        <is>
          <t>数据清洗任务表</t>
        </is>
      </c>
    </row>
    <row r="472" hidden="1" ht="43.2" customFormat="1" customHeight="1" s="63">
      <c r="A472" s="69">
        <f>ROW()-1</f>
        <v/>
      </c>
      <c r="B472" s="53" t="n"/>
      <c r="C472" s="78" t="n">
        <v>2025</v>
      </c>
      <c r="D472" s="78" t="inlineStr">
        <is>
          <t>窦鹏岐</t>
        </is>
      </c>
      <c r="E472" s="53" t="n"/>
      <c r="F472" s="53" t="n"/>
      <c r="G472" s="53" t="n"/>
      <c r="H472" s="80" t="inlineStr">
        <is>
          <t>用户查看节点下按时间分类的高风险漏洞数量</t>
        </is>
      </c>
      <c r="I472" s="76" t="n"/>
      <c r="J472" s="108" t="n"/>
      <c r="K472" s="108" t="inlineStr">
        <is>
          <t>和上行合并，输入输出完全一致，相同查询</t>
        </is>
      </c>
      <c r="L472" s="83">
        <f>IF(OR(X472="估算法",X472="算法类",X472="无法识别"),"",IF(V472="",IF(OR(I472="EI",I472="EO",I472="EQ"),0,""),LEN(V472)-LEN(SUBSTITUTE(V472,"、",""))+1))</f>
        <v/>
      </c>
      <c r="M472" s="83">
        <f>IF(OR(X472="估算法",X472="算法类",X472="无法识别"),"",IF(W472="",IF(OR(I472="ILF",I472="EIF"),0,""),LEN(W472)-LEN(SUBSTITUTE(W472,"、",""))+1))</f>
        <v/>
      </c>
      <c r="N472" s="83">
        <f>IF(OR(X472="估算法",X472="算法类",X472="无法识别"),"",IF(X472="",IF(OR(I472="ILF",I472="EIF",I472="EI",I472="EO",I472="EQ"),0,""),LEN(X472)-LEN(SUBSTITUTE(SUBSTITUTE(SUBSTITUTE(SUBSTITUTE(SUBSTITUTE(X472,"|}","--"),"{|","--"),CHAR(10),""),"、",""),"|",""))+IF(AND(OR(I472="EI",I472="EO",I472="EQ"),$AD$1="NESMA"),2,1)))</f>
        <v/>
      </c>
      <c r="O472" s="84">
        <f>IF(I472="EI",IF(OR(X472="估算法",X472="算法类"),"中",IF(X472="无法识别","低",IF(L472&lt;2,IF(N472&lt;16,"低","中"),IF(L472&lt;3,IF(N472&lt;5,"低",IF(N472&lt;16,"中","高")),IF(N472&lt;5,"中","高"))))),IF(OR(I472="EO",I472="EQ"),IF(OR(X472="估算法",X472="算法类"),"中",IF(X472="无法识别","低",IF(L472&lt;2,IF(N472&lt;20,"低","中"),IF(L472&lt;4,IF(N472&lt;6,"低",IF(N472&lt;20,"中","高")),IF(N472&lt;6,"中","高"))))),IF(OR(I472="ILF",I472="EIF"),IF(OR(X472="估算法",X472="算法类",X472="无法识别"),"低",IF(M472&lt;2,IF(N472&lt;51,"低","中"),IF(M472&lt;6,IF(N472&lt;20,"低",IF(N472&lt;51,"中","高")),IF(N472&lt;20,"中","高")))),"不计算")))</f>
        <v/>
      </c>
      <c r="P472" s="142">
        <f>IFERROR(IF(I472="EI",IF(O472="低",3,IF(O472="中",4,6)),IF(I472="EO",IF(O472="低",4,IF(O472="中",5,7)),IF(I472="EQ",IF(O472="低",3,IF(O472="中",4,6)),IF(I472="ILF",IF(O472="低",7,IF(O472="中",10,15)),IF(I472="EIF",IF(O472="低",5,IF(O472="中",7,10)),"不计算")))))*Q472,"不计算")</f>
        <v/>
      </c>
      <c r="Q472" s="142" t="n">
        <v>0.1</v>
      </c>
      <c r="R472" s="143">
        <f>调整因子!$F$13</f>
        <v/>
      </c>
      <c r="S472" s="70" t="n">
        <v>1</v>
      </c>
      <c r="T472" s="144">
        <f>IFERROR(P472*R472,0)</f>
        <v/>
      </c>
      <c r="U472" s="144">
        <f>T472*S472</f>
        <v/>
      </c>
      <c r="V472" s="76" t="inlineStr">
        <is>
          <t>用户偏好设置表、节点属性表、节点关系表、节点漏洞分布表</t>
        </is>
      </c>
      <c r="W472" s="81" t="n"/>
      <c r="X472"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72" s="88" t="n"/>
      <c r="Z472" s="88" t="n"/>
      <c r="AA472" s="96" t="inlineStr">
        <is>
          <t>态势大屏配置表</t>
        </is>
      </c>
    </row>
    <row r="473" hidden="1" ht="43.2" customFormat="1" customHeight="1" s="63">
      <c r="A473" s="69">
        <f>ROW()-1</f>
        <v/>
      </c>
      <c r="B473" s="53" t="n"/>
      <c r="C473" s="78" t="n">
        <v>2025</v>
      </c>
      <c r="D473" s="78" t="inlineStr">
        <is>
          <t>窦鹏岐</t>
        </is>
      </c>
      <c r="E473" s="53" t="n"/>
      <c r="F473" s="53" t="n"/>
      <c r="G473" s="53" t="n"/>
      <c r="H473" s="80" t="inlineStr">
        <is>
          <t>用户查看节点下按时间分类的中风险漏洞数量</t>
        </is>
      </c>
      <c r="I473" s="76" t="n"/>
      <c r="J473" s="108" t="n"/>
      <c r="K473" s="108" t="inlineStr">
        <is>
          <t>和上行合并，输入输出完全一致，相同查询</t>
        </is>
      </c>
      <c r="L473" s="83">
        <f>IF(OR(X473="估算法",X473="算法类",X473="无法识别"),"",IF(V473="",IF(OR(I473="EI",I473="EO",I473="EQ"),0,""),LEN(V473)-LEN(SUBSTITUTE(V473,"、",""))+1))</f>
        <v/>
      </c>
      <c r="M473" s="83">
        <f>IF(OR(X473="估算法",X473="算法类",X473="无法识别"),"",IF(W473="",IF(OR(I473="ILF",I473="EIF"),0,""),LEN(W473)-LEN(SUBSTITUTE(W473,"、",""))+1))</f>
        <v/>
      </c>
      <c r="N473" s="83">
        <f>IF(OR(X473="估算法",X473="算法类",X473="无法识别"),"",IF(X473="",IF(OR(I473="ILF",I473="EIF",I473="EI",I473="EO",I473="EQ"),0,""),LEN(X473)-LEN(SUBSTITUTE(SUBSTITUTE(SUBSTITUTE(SUBSTITUTE(SUBSTITUTE(X473,"|}","--"),"{|","--"),CHAR(10),""),"、",""),"|",""))+IF(AND(OR(I473="EI",I473="EO",I473="EQ"),$AD$1="NESMA"),2,1)))</f>
        <v/>
      </c>
      <c r="O473" s="84">
        <f>IF(I473="EI",IF(OR(X473="估算法",X473="算法类"),"中",IF(X473="无法识别","低",IF(L473&lt;2,IF(N473&lt;16,"低","中"),IF(L473&lt;3,IF(N473&lt;5,"低",IF(N473&lt;16,"中","高")),IF(N473&lt;5,"中","高"))))),IF(OR(I473="EO",I473="EQ"),IF(OR(X473="估算法",X473="算法类"),"中",IF(X473="无法识别","低",IF(L473&lt;2,IF(N473&lt;20,"低","中"),IF(L473&lt;4,IF(N473&lt;6,"低",IF(N473&lt;20,"中","高")),IF(N473&lt;6,"中","高"))))),IF(OR(I473="ILF",I473="EIF"),IF(OR(X473="估算法",X473="算法类",X473="无法识别"),"低",IF(M473&lt;2,IF(N473&lt;51,"低","中"),IF(M473&lt;6,IF(N473&lt;20,"低",IF(N473&lt;51,"中","高")),IF(N473&lt;20,"中","高")))),"不计算")))</f>
        <v/>
      </c>
      <c r="P473" s="142">
        <f>IFERROR(IF(I473="EI",IF(O473="低",3,IF(O473="中",4,6)),IF(I473="EO",IF(O473="低",4,IF(O473="中",5,7)),IF(I473="EQ",IF(O473="低",3,IF(O473="中",4,6)),IF(I473="ILF",IF(O473="低",7,IF(O473="中",10,15)),IF(I473="EIF",IF(O473="低",5,IF(O473="中",7,10)),"不计算")))))*Q473,"不计算")</f>
        <v/>
      </c>
      <c r="Q473" s="142" t="n">
        <v>0.1</v>
      </c>
      <c r="R473" s="143">
        <f>调整因子!$F$13</f>
        <v/>
      </c>
      <c r="S473" s="76" t="n">
        <v>1</v>
      </c>
      <c r="T473" s="144">
        <f>IFERROR(P473*R473,0)</f>
        <v/>
      </c>
      <c r="U473" s="144">
        <f>T473*S473</f>
        <v/>
      </c>
      <c r="V473" s="76" t="inlineStr">
        <is>
          <t>用户偏好设置表、节点属性表、节点关系表、节点漏洞分布表</t>
        </is>
      </c>
      <c r="W473" s="81" t="n"/>
      <c r="X473"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73" s="88" t="n"/>
      <c r="Z473" s="88" t="n"/>
      <c r="AA473" s="70" t="n"/>
    </row>
    <row r="474" hidden="1" ht="43.2" customFormat="1" customHeight="1" s="63">
      <c r="A474" s="69">
        <f>ROW()-1</f>
        <v/>
      </c>
      <c r="B474" s="53" t="n"/>
      <c r="C474" s="78" t="n">
        <v>2025</v>
      </c>
      <c r="D474" s="78" t="inlineStr">
        <is>
          <t>窦鹏岐</t>
        </is>
      </c>
      <c r="E474" s="53" t="n"/>
      <c r="F474" s="53" t="n"/>
      <c r="G474" s="53" t="n"/>
      <c r="H474" s="80" t="inlineStr">
        <is>
          <t>用户查看节点下按时间分类的低风险漏洞数量</t>
        </is>
      </c>
      <c r="I474" s="76" t="n"/>
      <c r="J474" s="108" t="n"/>
      <c r="K474" s="108" t="inlineStr">
        <is>
          <t>和上行合并，输入输出完全一致，相同查询</t>
        </is>
      </c>
      <c r="L474" s="83">
        <f>IF(OR(X474="估算法",X474="算法类",X474="无法识别"),"",IF(V474="",IF(OR(I474="EI",I474="EO",I474="EQ"),0,""),LEN(V474)-LEN(SUBSTITUTE(V474,"、",""))+1))</f>
        <v/>
      </c>
      <c r="M474" s="83">
        <f>IF(OR(X474="估算法",X474="算法类",X474="无法识别"),"",IF(W474="",IF(OR(I474="ILF",I474="EIF"),0,""),LEN(W474)-LEN(SUBSTITUTE(W474,"、",""))+1))</f>
        <v/>
      </c>
      <c r="N474" s="83">
        <f>IF(OR(X474="估算法",X474="算法类",X474="无法识别"),"",IF(X474="",IF(OR(I474="ILF",I474="EIF",I474="EI",I474="EO",I474="EQ"),0,""),LEN(X474)-LEN(SUBSTITUTE(SUBSTITUTE(SUBSTITUTE(SUBSTITUTE(SUBSTITUTE(X474,"|}","--"),"{|","--"),CHAR(10),""),"、",""),"|",""))+IF(AND(OR(I474="EI",I474="EO",I474="EQ"),$AD$1="NESMA"),2,1)))</f>
        <v/>
      </c>
      <c r="O474" s="84">
        <f>IF(I474="EI",IF(OR(X474="估算法",X474="算法类"),"中",IF(X474="无法识别","低",IF(L474&lt;2,IF(N474&lt;16,"低","中"),IF(L474&lt;3,IF(N474&lt;5,"低",IF(N474&lt;16,"中","高")),IF(N474&lt;5,"中","高"))))),IF(OR(I474="EO",I474="EQ"),IF(OR(X474="估算法",X474="算法类"),"中",IF(X474="无法识别","低",IF(L474&lt;2,IF(N474&lt;20,"低","中"),IF(L474&lt;4,IF(N474&lt;6,"低",IF(N474&lt;20,"中","高")),IF(N474&lt;6,"中","高"))))),IF(OR(I474="ILF",I474="EIF"),IF(OR(X474="估算法",X474="算法类",X474="无法识别"),"低",IF(M474&lt;2,IF(N474&lt;51,"低","中"),IF(M474&lt;6,IF(N474&lt;20,"低",IF(N474&lt;51,"中","高")),IF(N474&lt;20,"中","高")))),"不计算")))</f>
        <v/>
      </c>
      <c r="P474" s="142">
        <f>IFERROR(IF(I474="EI",IF(O474="低",3,IF(O474="中",4,6)),IF(I474="EO",IF(O474="低",4,IF(O474="中",5,7)),IF(I474="EQ",IF(O474="低",3,IF(O474="中",4,6)),IF(I474="ILF",IF(O474="低",7,IF(O474="中",10,15)),IF(I474="EIF",IF(O474="低",5,IF(O474="中",7,10)),"不计算")))))*Q474,"不计算")</f>
        <v/>
      </c>
      <c r="Q474" s="142" t="n">
        <v>0.1</v>
      </c>
      <c r="R474" s="143">
        <f>调整因子!$F$13</f>
        <v/>
      </c>
      <c r="S474" s="70" t="n">
        <v>1</v>
      </c>
      <c r="T474" s="144">
        <f>IFERROR(P474*R474,0)</f>
        <v/>
      </c>
      <c r="U474" s="144">
        <f>T474*S474</f>
        <v/>
      </c>
      <c r="V474" s="76" t="inlineStr">
        <is>
          <t>用户偏好设置表、节点属性表、节点关系表、节点漏洞分布表</t>
        </is>
      </c>
      <c r="W474" s="81" t="n"/>
      <c r="X474"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74" s="88" t="n"/>
      <c r="Z474" s="88" t="n"/>
      <c r="AA474" s="70" t="n"/>
    </row>
    <row r="475" hidden="1" ht="54" customFormat="1" customHeight="1" s="63">
      <c r="A475" s="69">
        <f>ROW()-1</f>
        <v/>
      </c>
      <c r="B475" s="53" t="n"/>
      <c r="C475" s="78" t="n">
        <v>2025</v>
      </c>
      <c r="D475" s="78" t="inlineStr">
        <is>
          <t>窦鹏岐</t>
        </is>
      </c>
      <c r="E475" s="53" t="n"/>
      <c r="F475" s="53" t="n"/>
      <c r="G475" s="53" t="n"/>
      <c r="H475" s="80" t="inlineStr">
        <is>
          <t>用户查看节点下按CVE年份分类的高风险漏洞数量</t>
        </is>
      </c>
      <c r="I475" s="76" t="n"/>
      <c r="J475" s="108" t="n"/>
      <c r="K475" s="108" t="inlineStr">
        <is>
          <t>和上行合并，输入输出完全一致，相同查询</t>
        </is>
      </c>
      <c r="L475" s="83">
        <f>IF(OR(X475="估算法",X475="算法类",X475="无法识别"),"",IF(V475="",IF(OR(I475="EI",I475="EO",I475="EQ"),0,""),LEN(V475)-LEN(SUBSTITUTE(V475,"、",""))+1))</f>
        <v/>
      </c>
      <c r="M475" s="83">
        <f>IF(OR(X475="估算法",X475="算法类",X475="无法识别"),"",IF(W475="",IF(OR(I475="ILF",I475="EIF"),0,""),LEN(W475)-LEN(SUBSTITUTE(W475,"、",""))+1))</f>
        <v/>
      </c>
      <c r="N475" s="83">
        <f>IF(OR(X475="估算法",X475="算法类",X475="无法识别"),"",IF(X475="",IF(OR(I475="ILF",I475="EIF",I475="EI",I475="EO",I475="EQ"),0,""),LEN(X475)-LEN(SUBSTITUTE(SUBSTITUTE(SUBSTITUTE(SUBSTITUTE(SUBSTITUTE(X475,"|}","--"),"{|","--"),CHAR(10),""),"、",""),"|",""))+IF(AND(OR(I475="EI",I475="EO",I475="EQ"),$AD$1="NESMA"),2,1)))</f>
        <v/>
      </c>
      <c r="O475" s="84">
        <f>IF(I475="EI",IF(OR(X475="估算法",X475="算法类"),"中",IF(X475="无法识别","低",IF(L475&lt;2,IF(N475&lt;16,"低","中"),IF(L475&lt;3,IF(N475&lt;5,"低",IF(N475&lt;16,"中","高")),IF(N475&lt;5,"中","高"))))),IF(OR(I475="EO",I475="EQ"),IF(OR(X475="估算法",X475="算法类"),"中",IF(X475="无法识别","低",IF(L475&lt;2,IF(N475&lt;20,"低","中"),IF(L475&lt;4,IF(N475&lt;6,"低",IF(N475&lt;20,"中","高")),IF(N475&lt;6,"中","高"))))),IF(OR(I475="ILF",I475="EIF"),IF(OR(X475="估算法",X475="算法类",X475="无法识别"),"低",IF(M475&lt;2,IF(N475&lt;51,"低","中"),IF(M475&lt;6,IF(N475&lt;20,"低",IF(N475&lt;51,"中","高")),IF(N475&lt;20,"中","高")))),"不计算")))</f>
        <v/>
      </c>
      <c r="P475" s="142">
        <f>IFERROR(IF(I475="EI",IF(O475="低",3,IF(O475="中",4,6)),IF(I475="EO",IF(O475="低",4,IF(O475="中",5,7)),IF(I475="EQ",IF(O475="低",3,IF(O475="中",4,6)),IF(I475="ILF",IF(O475="低",7,IF(O475="中",10,15)),IF(I475="EIF",IF(O475="低",5,IF(O475="中",7,10)),"不计算")))))*Q475,"不计算")</f>
        <v/>
      </c>
      <c r="Q475" s="142" t="n">
        <v>0.1</v>
      </c>
      <c r="R475" s="143">
        <f>调整因子!$F$13</f>
        <v/>
      </c>
      <c r="S475" s="70" t="n">
        <v>1</v>
      </c>
      <c r="T475" s="144">
        <f>IFERROR(P475*R475,0)</f>
        <v/>
      </c>
      <c r="U475" s="144">
        <f>T475*S475</f>
        <v/>
      </c>
      <c r="V475" s="76" t="inlineStr">
        <is>
          <t>用户偏好设置表、主机漏洞表、主机漏洞详情表</t>
        </is>
      </c>
      <c r="W475" s="81" t="n"/>
      <c r="X475" s="76"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Y475" s="88" t="n"/>
      <c r="Z475" s="88" t="n"/>
      <c r="AA475" s="70" t="n"/>
    </row>
    <row r="476" hidden="1" ht="54" customFormat="1" customHeight="1" s="63">
      <c r="A476" s="69">
        <f>ROW()-1</f>
        <v/>
      </c>
      <c r="B476" s="53" t="n"/>
      <c r="C476" s="78" t="n">
        <v>2025</v>
      </c>
      <c r="D476" s="78" t="inlineStr">
        <is>
          <t>窦鹏岐</t>
        </is>
      </c>
      <c r="E476" s="53" t="n"/>
      <c r="F476" s="53" t="n"/>
      <c r="G476" s="53" t="n"/>
      <c r="H476" s="80" t="inlineStr">
        <is>
          <t>用户查看节点下按CVE年份分类的中风险漏洞数量</t>
        </is>
      </c>
      <c r="I476" s="76" t="n"/>
      <c r="J476" s="108" t="n"/>
      <c r="K476" s="108" t="inlineStr">
        <is>
          <t>和上行合并，输入输出完全一致，相同查询</t>
        </is>
      </c>
      <c r="L476" s="83">
        <f>IF(OR(X476="估算法",X476="算法类",X476="无法识别"),"",IF(V476="",IF(OR(I476="EI",I476="EO",I476="EQ"),0,""),LEN(V476)-LEN(SUBSTITUTE(V476,"、",""))+1))</f>
        <v/>
      </c>
      <c r="M476" s="83">
        <f>IF(OR(X476="估算法",X476="算法类",X476="无法识别"),"",IF(W476="",IF(OR(I476="ILF",I476="EIF"),0,""),LEN(W476)-LEN(SUBSTITUTE(W476,"、",""))+1))</f>
        <v/>
      </c>
      <c r="N476" s="83">
        <f>IF(OR(X476="估算法",X476="算法类",X476="无法识别"),"",IF(X476="",IF(OR(I476="ILF",I476="EIF",I476="EI",I476="EO",I476="EQ"),0,""),LEN(X476)-LEN(SUBSTITUTE(SUBSTITUTE(SUBSTITUTE(SUBSTITUTE(SUBSTITUTE(X476,"|}","--"),"{|","--"),CHAR(10),""),"、",""),"|",""))+IF(AND(OR(I476="EI",I476="EO",I476="EQ"),$AD$1="NESMA"),2,1)))</f>
        <v/>
      </c>
      <c r="O476" s="84">
        <f>IF(I476="EI",IF(OR(X476="估算法",X476="算法类"),"中",IF(X476="无法识别","低",IF(L476&lt;2,IF(N476&lt;16,"低","中"),IF(L476&lt;3,IF(N476&lt;5,"低",IF(N476&lt;16,"中","高")),IF(N476&lt;5,"中","高"))))),IF(OR(I476="EO",I476="EQ"),IF(OR(X476="估算法",X476="算法类"),"中",IF(X476="无法识别","低",IF(L476&lt;2,IF(N476&lt;20,"低","中"),IF(L476&lt;4,IF(N476&lt;6,"低",IF(N476&lt;20,"中","高")),IF(N476&lt;6,"中","高"))))),IF(OR(I476="ILF",I476="EIF"),IF(OR(X476="估算法",X476="算法类",X476="无法识别"),"低",IF(M476&lt;2,IF(N476&lt;51,"低","中"),IF(M476&lt;6,IF(N476&lt;20,"低",IF(N476&lt;51,"中","高")),IF(N476&lt;20,"中","高")))),"不计算")))</f>
        <v/>
      </c>
      <c r="P476" s="142">
        <f>IFERROR(IF(I476="EI",IF(O476="低",3,IF(O476="中",4,6)),IF(I476="EO",IF(O476="低",4,IF(O476="中",5,7)),IF(I476="EQ",IF(O476="低",3,IF(O476="中",4,6)),IF(I476="ILF",IF(O476="低",7,IF(O476="中",10,15)),IF(I476="EIF",IF(O476="低",5,IF(O476="中",7,10)),"不计算")))))*Q476,"不计算")</f>
        <v/>
      </c>
      <c r="Q476" s="142" t="n">
        <v>0.1</v>
      </c>
      <c r="R476" s="143">
        <f>调整因子!$F$13</f>
        <v/>
      </c>
      <c r="S476" s="76" t="n">
        <v>1</v>
      </c>
      <c r="T476" s="144">
        <f>IFERROR(P476*R476,0)</f>
        <v/>
      </c>
      <c r="U476" s="144">
        <f>T476*S476</f>
        <v/>
      </c>
      <c r="V476" s="76" t="inlineStr">
        <is>
          <t>用户偏好设置表、主机漏洞表、主机漏洞详情表</t>
        </is>
      </c>
      <c r="W476" s="81" t="n"/>
      <c r="X476" s="76"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Y476" s="88" t="n"/>
      <c r="Z476" s="88" t="n"/>
      <c r="AA476" s="70" t="n"/>
    </row>
    <row r="477" hidden="1" ht="54" customFormat="1" customHeight="1" s="63">
      <c r="A477" s="69">
        <f>ROW()-1</f>
        <v/>
      </c>
      <c r="B477" s="53" t="n"/>
      <c r="C477" s="78" t="n">
        <v>2025</v>
      </c>
      <c r="D477" s="78" t="inlineStr">
        <is>
          <t>窦鹏岐</t>
        </is>
      </c>
      <c r="E477" s="53" t="n"/>
      <c r="F477" s="53" t="n"/>
      <c r="G477" s="53" t="n"/>
      <c r="H477" s="80" t="inlineStr">
        <is>
          <t>用户查看节点下按CVE年份分类的低风险漏洞数量</t>
        </is>
      </c>
      <c r="I477" s="76" t="n"/>
      <c r="J477" s="108" t="n"/>
      <c r="K477" s="108" t="inlineStr">
        <is>
          <t>和上行合并，输入输出完全一致，相同查询</t>
        </is>
      </c>
      <c r="L477" s="83">
        <f>IF(OR(X477="估算法",X477="算法类",X477="无法识别"),"",IF(V477="",IF(OR(I477="EI",I477="EO",I477="EQ"),0,""),LEN(V477)-LEN(SUBSTITUTE(V477,"、",""))+1))</f>
        <v/>
      </c>
      <c r="M477" s="83">
        <f>IF(OR(X477="估算法",X477="算法类",X477="无法识别"),"",IF(W477="",IF(OR(I477="ILF",I477="EIF"),0,""),LEN(W477)-LEN(SUBSTITUTE(W477,"、",""))+1))</f>
        <v/>
      </c>
      <c r="N477" s="83">
        <f>IF(OR(X477="估算法",X477="算法类",X477="无法识别"),"",IF(X477="",IF(OR(I477="ILF",I477="EIF",I477="EI",I477="EO",I477="EQ"),0,""),LEN(X477)-LEN(SUBSTITUTE(SUBSTITUTE(SUBSTITUTE(SUBSTITUTE(SUBSTITUTE(X477,"|}","--"),"{|","--"),CHAR(10),""),"、",""),"|",""))+IF(AND(OR(I477="EI",I477="EO",I477="EQ"),$AD$1="NESMA"),2,1)))</f>
        <v/>
      </c>
      <c r="O477" s="84">
        <f>IF(I477="EI",IF(OR(X477="估算法",X477="算法类"),"中",IF(X477="无法识别","低",IF(L477&lt;2,IF(N477&lt;16,"低","中"),IF(L477&lt;3,IF(N477&lt;5,"低",IF(N477&lt;16,"中","高")),IF(N477&lt;5,"中","高"))))),IF(OR(I477="EO",I477="EQ"),IF(OR(X477="估算法",X477="算法类"),"中",IF(X477="无法识别","低",IF(L477&lt;2,IF(N477&lt;20,"低","中"),IF(L477&lt;4,IF(N477&lt;6,"低",IF(N477&lt;20,"中","高")),IF(N477&lt;6,"中","高"))))),IF(OR(I477="ILF",I477="EIF"),IF(OR(X477="估算法",X477="算法类",X477="无法识别"),"低",IF(M477&lt;2,IF(N477&lt;51,"低","中"),IF(M477&lt;6,IF(N477&lt;20,"低",IF(N477&lt;51,"中","高")),IF(N477&lt;20,"中","高")))),"不计算")))</f>
        <v/>
      </c>
      <c r="P477" s="142">
        <f>IFERROR(IF(I477="EI",IF(O477="低",3,IF(O477="中",4,6)),IF(I477="EO",IF(O477="低",4,IF(O477="中",5,7)),IF(I477="EQ",IF(O477="低",3,IF(O477="中",4,6)),IF(I477="ILF",IF(O477="低",7,IF(O477="中",10,15)),IF(I477="EIF",IF(O477="低",5,IF(O477="中",7,10)),"不计算")))))*Q477,"不计算")</f>
        <v/>
      </c>
      <c r="Q477" s="142" t="n">
        <v>0.1</v>
      </c>
      <c r="R477" s="143">
        <f>调整因子!$F$13</f>
        <v/>
      </c>
      <c r="S477" s="70" t="n">
        <v>1</v>
      </c>
      <c r="T477" s="144">
        <f>IFERROR(P477*R477,0)</f>
        <v/>
      </c>
      <c r="U477" s="144">
        <f>T477*S477</f>
        <v/>
      </c>
      <c r="V477" s="76" t="inlineStr">
        <is>
          <t>用户偏好设置表、主机漏洞表、主机漏洞详情表</t>
        </is>
      </c>
      <c r="W477" s="81" t="n"/>
      <c r="X477" s="76"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Y477" s="88" t="n"/>
      <c r="Z477" s="88" t="n"/>
      <c r="AA477" s="70" t="n"/>
    </row>
    <row r="478" hidden="1" ht="21.6" customFormat="1" customHeight="1" s="63">
      <c r="A478" s="69">
        <f>ROW()-1</f>
        <v/>
      </c>
      <c r="B478" s="53" t="n"/>
      <c r="C478" s="78" t="n">
        <v>2025</v>
      </c>
      <c r="D478" s="78" t="inlineStr">
        <is>
          <t>窦鹏岐</t>
        </is>
      </c>
      <c r="E478" s="53" t="n"/>
      <c r="F478" s="53" t="n"/>
      <c r="G478" s="53" t="n"/>
      <c r="H478" s="80" t="inlineStr">
        <is>
          <t>用户查看节点下脆弱账号信息</t>
        </is>
      </c>
      <c r="I478" s="76" t="inlineStr">
        <is>
          <t>EQ</t>
        </is>
      </c>
      <c r="J478" s="108" t="n"/>
      <c r="K478" s="108" t="n"/>
      <c r="L478" s="83">
        <f>IF(OR(X478="估算法",X478="算法类",X478="无法识别"),"",IF(V478="",IF(OR(I478="EI",I478="EO",I478="EQ"),0,""),LEN(V478)-LEN(SUBSTITUTE(V478,"、",""))+1))</f>
        <v/>
      </c>
      <c r="M478" s="83">
        <f>IF(OR(X478="估算法",X478="算法类",X478="无法识别"),"",IF(W478="",IF(OR(I478="ILF",I478="EIF"),0,""),LEN(W478)-LEN(SUBSTITUTE(W478,"、",""))+1))</f>
        <v/>
      </c>
      <c r="N478" s="83">
        <f>IF(OR(X478="估算法",X478="算法类",X478="无法识别"),"",IF(X478="",IF(OR(I478="ILF",I478="EIF",I478="EI",I478="EO",I478="EQ"),0,""),LEN(X478)-LEN(SUBSTITUTE(SUBSTITUTE(SUBSTITUTE(SUBSTITUTE(SUBSTITUTE(X478,"|}","--"),"{|","--"),CHAR(10),""),"、",""),"|",""))+IF(AND(OR(I478="EI",I478="EO",I478="EQ"),$AD$1="NESMA"),2,1)))</f>
        <v/>
      </c>
      <c r="O478" s="84">
        <f>IF(I478="EI",IF(OR(X478="估算法",X478="算法类"),"中",IF(X478="无法识别","低",IF(L478&lt;2,IF(N478&lt;16,"低","中"),IF(L478&lt;3,IF(N478&lt;5,"低",IF(N478&lt;16,"中","高")),IF(N478&lt;5,"中","高"))))),IF(OR(I478="EO",I478="EQ"),IF(OR(X478="估算法",X478="算法类"),"中",IF(X478="无法识别","低",IF(L478&lt;2,IF(N478&lt;20,"低","中"),IF(L478&lt;4,IF(N478&lt;6,"低",IF(N478&lt;20,"中","高")),IF(N478&lt;6,"中","高"))))),IF(OR(I478="ILF",I478="EIF"),IF(OR(X478="估算法",X478="算法类",X478="无法识别"),"低",IF(M478&lt;2,IF(N478&lt;51,"低","中"),IF(M478&lt;6,IF(N478&lt;20,"低",IF(N478&lt;51,"中","高")),IF(N478&lt;20,"中","高")))),"不计算")))</f>
        <v/>
      </c>
      <c r="P478" s="142">
        <f>IFERROR(IF(I478="EI",IF(O478="低",3,IF(O478="中",4,6)),IF(I478="EO",IF(O478="低",4,IF(O478="中",5,7)),IF(I478="EQ",IF(O478="低",3,IF(O478="中",4,6)),IF(I478="ILF",IF(O478="低",7,IF(O478="中",10,15)),IF(I478="EIF",IF(O478="低",5,IF(O478="中",7,10)),"不计算")))))*Q478,"不计算")</f>
        <v/>
      </c>
      <c r="Q478" s="142" t="n">
        <v>1</v>
      </c>
      <c r="R478" s="143">
        <f>调整因子!$F$13</f>
        <v/>
      </c>
      <c r="S478" s="70" t="n">
        <v>1</v>
      </c>
      <c r="T478" s="144">
        <f>IFERROR(P478*R478,0)</f>
        <v/>
      </c>
      <c r="U478" s="144">
        <f>T478*S478</f>
        <v/>
      </c>
      <c r="V478" s="76" t="inlineStr">
        <is>
          <t>用户偏好设置表、脆弱账号表</t>
        </is>
      </c>
      <c r="W478" s="81" t="n"/>
      <c r="X478" s="76" t="inlineStr">
        <is>
          <t>用户偏好设置表{主键 id 、用户 id 、偏好设置名称、偏好设置值、最后更新时间}
脆弱账号表{主键id、节点id、账号名称、账号类型、风险等级、发现时间、状态}</t>
        </is>
      </c>
      <c r="Y478" s="88" t="n"/>
      <c r="Z478" s="88" t="n"/>
      <c r="AA478" s="70" t="n"/>
    </row>
    <row r="479" hidden="1" ht="21.6" customFormat="1" customHeight="1" s="63">
      <c r="A479" s="69">
        <f>ROW()-1</f>
        <v/>
      </c>
      <c r="B479" s="53" t="n"/>
      <c r="C479" s="78" t="n">
        <v>2025</v>
      </c>
      <c r="D479" s="78" t="inlineStr">
        <is>
          <t>窦鹏岐</t>
        </is>
      </c>
      <c r="E479" s="53" t="n"/>
      <c r="F479" s="53" t="n"/>
      <c r="G479" s="53" t="n"/>
      <c r="H479" s="80" t="inlineStr">
        <is>
          <t>用户查看节点下高风险脆弱账号分布</t>
        </is>
      </c>
      <c r="I479" s="76" t="n"/>
      <c r="J479" s="108" t="n"/>
      <c r="K479" s="108" t="inlineStr">
        <is>
          <t>和上行合并，输入输出完全一致，相同查询</t>
        </is>
      </c>
      <c r="L479" s="83">
        <f>IF(OR(X479="估算法",X479="算法类",X479="无法识别"),"",IF(V479="",IF(OR(I479="EI",I479="EO",I479="EQ"),0,""),LEN(V479)-LEN(SUBSTITUTE(V479,"、",""))+1))</f>
        <v/>
      </c>
      <c r="M479" s="83">
        <f>IF(OR(X479="估算法",X479="算法类",X479="无法识别"),"",IF(W479="",IF(OR(I479="ILF",I479="EIF"),0,""),LEN(W479)-LEN(SUBSTITUTE(W479,"、",""))+1))</f>
        <v/>
      </c>
      <c r="N479" s="83">
        <f>IF(OR(X479="估算法",X479="算法类",X479="无法识别"),"",IF(X479="",IF(OR(I479="ILF",I479="EIF",I479="EI",I479="EO",I479="EQ"),0,""),LEN(X479)-LEN(SUBSTITUTE(SUBSTITUTE(SUBSTITUTE(SUBSTITUTE(SUBSTITUTE(X479,"|}","--"),"{|","--"),CHAR(10),""),"、",""),"|",""))+IF(AND(OR(I479="EI",I479="EO",I479="EQ"),$AD$1="NESMA"),2,1)))</f>
        <v/>
      </c>
      <c r="O479" s="84">
        <f>IF(I479="EI",IF(OR(X479="估算法",X479="算法类"),"中",IF(X479="无法识别","低",IF(L479&lt;2,IF(N479&lt;16,"低","中"),IF(L479&lt;3,IF(N479&lt;5,"低",IF(N479&lt;16,"中","高")),IF(N479&lt;5,"中","高"))))),IF(OR(I479="EO",I479="EQ"),IF(OR(X479="估算法",X479="算法类"),"中",IF(X479="无法识别","低",IF(L479&lt;2,IF(N479&lt;20,"低","中"),IF(L479&lt;4,IF(N479&lt;6,"低",IF(N479&lt;20,"中","高")),IF(N479&lt;6,"中","高"))))),IF(OR(I479="ILF",I479="EIF"),IF(OR(X479="估算法",X479="算法类",X479="无法识别"),"低",IF(M479&lt;2,IF(N479&lt;51,"低","中"),IF(M479&lt;6,IF(N479&lt;20,"低",IF(N479&lt;51,"中","高")),IF(N479&lt;20,"中","高")))),"不计算")))</f>
        <v/>
      </c>
      <c r="P479" s="142">
        <f>IFERROR(IF(I479="EI",IF(O479="低",3,IF(O479="中",4,6)),IF(I479="EO",IF(O479="低",4,IF(O479="中",5,7)),IF(I479="EQ",IF(O479="低",3,IF(O479="中",4,6)),IF(I479="ILF",IF(O479="低",7,IF(O479="中",10,15)),IF(I479="EIF",IF(O479="低",5,IF(O479="中",7,10)),"不计算")))))*Q479,"不计算")</f>
        <v/>
      </c>
      <c r="Q479" s="142" t="n">
        <v>0.333333333333333</v>
      </c>
      <c r="R479" s="143">
        <f>调整因子!$F$13</f>
        <v/>
      </c>
      <c r="S479" s="76" t="n">
        <v>1</v>
      </c>
      <c r="T479" s="144">
        <f>IFERROR(P479*R479,0)</f>
        <v/>
      </c>
      <c r="U479" s="144">
        <f>T479*S479</f>
        <v/>
      </c>
      <c r="V479" s="76" t="inlineStr">
        <is>
          <t>用户偏好设置表、脆弱账号表</t>
        </is>
      </c>
      <c r="W479" s="81" t="n"/>
      <c r="X479" s="76" t="inlineStr">
        <is>
          <t>用户偏好设置表{主键 id 、用户 id 、偏好设置名称、偏好设置值、最后更新时间}
脆弱账号表{主键id、节点id、账号名称、账号类型、风险等级、发现时间、状态}</t>
        </is>
      </c>
      <c r="Y479" s="88" t="n"/>
      <c r="Z479" s="88" t="n"/>
      <c r="AA479" s="70" t="n"/>
    </row>
    <row r="480" hidden="1" ht="21.6" customFormat="1" customHeight="1" s="63">
      <c r="A480" s="69">
        <f>ROW()-1</f>
        <v/>
      </c>
      <c r="B480" s="53" t="n"/>
      <c r="C480" s="78" t="n">
        <v>2025</v>
      </c>
      <c r="D480" s="78" t="inlineStr">
        <is>
          <t>窦鹏岐</t>
        </is>
      </c>
      <c r="E480" s="53" t="n"/>
      <c r="F480" s="53" t="n"/>
      <c r="G480" s="53" t="n"/>
      <c r="H480" s="80" t="inlineStr">
        <is>
          <t>用户查看节点下中风险脆弱账号分布</t>
        </is>
      </c>
      <c r="I480" s="76" t="n"/>
      <c r="J480" s="108" t="n"/>
      <c r="K480" s="108" t="inlineStr">
        <is>
          <t>和上行合并，输入输出完全一致，相同查询</t>
        </is>
      </c>
      <c r="L480" s="83">
        <f>IF(OR(X480="估算法",X480="算法类",X480="无法识别"),"",IF(V480="",IF(OR(I480="EI",I480="EO",I480="EQ"),0,""),LEN(V480)-LEN(SUBSTITUTE(V480,"、",""))+1))</f>
        <v/>
      </c>
      <c r="M480" s="83">
        <f>IF(OR(X480="估算法",X480="算法类",X480="无法识别"),"",IF(W480="",IF(OR(I480="ILF",I480="EIF"),0,""),LEN(W480)-LEN(SUBSTITUTE(W480,"、",""))+1))</f>
        <v/>
      </c>
      <c r="N480" s="83">
        <f>IF(OR(X480="估算法",X480="算法类",X480="无法识别"),"",IF(X480="",IF(OR(I480="ILF",I480="EIF",I480="EI",I480="EO",I480="EQ"),0,""),LEN(X480)-LEN(SUBSTITUTE(SUBSTITUTE(SUBSTITUTE(SUBSTITUTE(SUBSTITUTE(X480,"|}","--"),"{|","--"),CHAR(10),""),"、",""),"|",""))+IF(AND(OR(I480="EI",I480="EO",I480="EQ"),$AD$1="NESMA"),2,1)))</f>
        <v/>
      </c>
      <c r="O480" s="84">
        <f>IF(I480="EI",IF(OR(X480="估算法",X480="算法类"),"中",IF(X480="无法识别","低",IF(L480&lt;2,IF(N480&lt;16,"低","中"),IF(L480&lt;3,IF(N480&lt;5,"低",IF(N480&lt;16,"中","高")),IF(N480&lt;5,"中","高"))))),IF(OR(I480="EO",I480="EQ"),IF(OR(X480="估算法",X480="算法类"),"中",IF(X480="无法识别","低",IF(L480&lt;2,IF(N480&lt;20,"低","中"),IF(L480&lt;4,IF(N480&lt;6,"低",IF(N480&lt;20,"中","高")),IF(N480&lt;6,"中","高"))))),IF(OR(I480="ILF",I480="EIF"),IF(OR(X480="估算法",X480="算法类",X480="无法识别"),"低",IF(M480&lt;2,IF(N480&lt;51,"低","中"),IF(M480&lt;6,IF(N480&lt;20,"低",IF(N480&lt;51,"中","高")),IF(N480&lt;20,"中","高")))),"不计算")))</f>
        <v/>
      </c>
      <c r="P480" s="142">
        <f>IFERROR(IF(I480="EI",IF(O480="低",3,IF(O480="中",4,6)),IF(I480="EO",IF(O480="低",4,IF(O480="中",5,7)),IF(I480="EQ",IF(O480="低",3,IF(O480="中",4,6)),IF(I480="ILF",IF(O480="低",7,IF(O480="中",10,15)),IF(I480="EIF",IF(O480="低",5,IF(O480="中",7,10)),"不计算")))))*Q480,"不计算")</f>
        <v/>
      </c>
      <c r="Q480" s="142" t="n">
        <v>0.333333333333333</v>
      </c>
      <c r="R480" s="143">
        <f>调整因子!$F$13</f>
        <v/>
      </c>
      <c r="S480" s="70" t="n">
        <v>1</v>
      </c>
      <c r="T480" s="144">
        <f>IFERROR(P480*R480,0)</f>
        <v/>
      </c>
      <c r="U480" s="144">
        <f>T480*S480</f>
        <v/>
      </c>
      <c r="V480" s="76" t="inlineStr">
        <is>
          <t>用户偏好设置表、脆弱账号表</t>
        </is>
      </c>
      <c r="W480" s="81" t="n"/>
      <c r="X480" s="76" t="inlineStr">
        <is>
          <t>用户偏好设置表{主键 id 、用户 id 、偏好设置名称、偏好设置值、最后更新时间}
脆弱账号表{主键id、节点id、账号名称、账号类型、风险等级、发现时间、状态}</t>
        </is>
      </c>
      <c r="Y480" s="88" t="n"/>
      <c r="Z480" s="88" t="n"/>
      <c r="AA480" s="70" t="n"/>
    </row>
    <row r="481" hidden="1" ht="21.6" customFormat="1" customHeight="1" s="63">
      <c r="A481" s="69">
        <f>ROW()-1</f>
        <v/>
      </c>
      <c r="B481" s="53" t="n"/>
      <c r="C481" s="78" t="n">
        <v>2025</v>
      </c>
      <c r="D481" s="78" t="inlineStr">
        <is>
          <t>窦鹏岐</t>
        </is>
      </c>
      <c r="E481" s="53" t="n"/>
      <c r="F481" s="53" t="n"/>
      <c r="G481" s="53" t="n"/>
      <c r="H481" s="80" t="inlineStr">
        <is>
          <t>用户查看节点下低风险脆弱账号分布</t>
        </is>
      </c>
      <c r="I481" s="76" t="n"/>
      <c r="J481" s="108" t="n"/>
      <c r="K481" s="108" t="inlineStr">
        <is>
          <t>和上行合并，输入输出完全一致，相同查询</t>
        </is>
      </c>
      <c r="L481" s="83">
        <f>IF(OR(X481="估算法",X481="算法类",X481="无法识别"),"",IF(V481="",IF(OR(I481="EI",I481="EO",I481="EQ"),0,""),LEN(V481)-LEN(SUBSTITUTE(V481,"、",""))+1))</f>
        <v/>
      </c>
      <c r="M481" s="83">
        <f>IF(OR(X481="估算法",X481="算法类",X481="无法识别"),"",IF(W481="",IF(OR(I481="ILF",I481="EIF"),0,""),LEN(W481)-LEN(SUBSTITUTE(W481,"、",""))+1))</f>
        <v/>
      </c>
      <c r="N481" s="83">
        <f>IF(OR(X481="估算法",X481="算法类",X481="无法识别"),"",IF(X481="",IF(OR(I481="ILF",I481="EIF",I481="EI",I481="EO",I481="EQ"),0,""),LEN(X481)-LEN(SUBSTITUTE(SUBSTITUTE(SUBSTITUTE(SUBSTITUTE(SUBSTITUTE(X481,"|}","--"),"{|","--"),CHAR(10),""),"、",""),"|",""))+IF(AND(OR(I481="EI",I481="EO",I481="EQ"),$AD$1="NESMA"),2,1)))</f>
        <v/>
      </c>
      <c r="O481" s="84">
        <f>IF(I481="EI",IF(OR(X481="估算法",X481="算法类"),"中",IF(X481="无法识别","低",IF(L481&lt;2,IF(N481&lt;16,"低","中"),IF(L481&lt;3,IF(N481&lt;5,"低",IF(N481&lt;16,"中","高")),IF(N481&lt;5,"中","高"))))),IF(OR(I481="EO",I481="EQ"),IF(OR(X481="估算法",X481="算法类"),"中",IF(X481="无法识别","低",IF(L481&lt;2,IF(N481&lt;20,"低","中"),IF(L481&lt;4,IF(N481&lt;6,"低",IF(N481&lt;20,"中","高")),IF(N481&lt;6,"中","高"))))),IF(OR(I481="ILF",I481="EIF"),IF(OR(X481="估算法",X481="算法类",X481="无法识别"),"低",IF(M481&lt;2,IF(N481&lt;51,"低","中"),IF(M481&lt;6,IF(N481&lt;20,"低",IF(N481&lt;51,"中","高")),IF(N481&lt;20,"中","高")))),"不计算")))</f>
        <v/>
      </c>
      <c r="P481" s="142">
        <f>IFERROR(IF(I481="EI",IF(O481="低",3,IF(O481="中",4,6)),IF(I481="EO",IF(O481="低",4,IF(O481="中",5,7)),IF(I481="EQ",IF(O481="低",3,IF(O481="中",4,6)),IF(I481="ILF",IF(O481="低",7,IF(O481="中",10,15)),IF(I481="EIF",IF(O481="低",5,IF(O481="中",7,10)),"不计算")))))*Q481,"不计算")</f>
        <v/>
      </c>
      <c r="Q481" s="142" t="n">
        <v>0.333333333333333</v>
      </c>
      <c r="R481" s="143">
        <f>调整因子!$F$13</f>
        <v/>
      </c>
      <c r="S481" s="70" t="n">
        <v>1</v>
      </c>
      <c r="T481" s="144">
        <f>IFERROR(P481*R481,0)</f>
        <v/>
      </c>
      <c r="U481" s="144">
        <f>T481*S481</f>
        <v/>
      </c>
      <c r="V481" s="76" t="inlineStr">
        <is>
          <t>用户偏好设置表、脆弱账号表</t>
        </is>
      </c>
      <c r="W481" s="81" t="n"/>
      <c r="X481" s="76" t="inlineStr">
        <is>
          <t>用户偏好设置表{主键 id 、用户 id 、偏好设置名称、偏好设置值、最后更新时间}
脆弱账号表{主键id、节点id、账号名称、账号类型、风险等级、发现时间、状态}</t>
        </is>
      </c>
      <c r="Y481" s="88" t="n"/>
      <c r="Z481" s="88" t="n"/>
      <c r="AA481" s="70" t="n"/>
    </row>
    <row r="482" hidden="1" ht="43.2" customFormat="1" customHeight="1" s="63">
      <c r="A482" s="69">
        <f>ROW()-1</f>
        <v/>
      </c>
      <c r="B482" s="53" t="n"/>
      <c r="C482" s="78" t="n">
        <v>2025</v>
      </c>
      <c r="D482" s="78" t="inlineStr">
        <is>
          <t>窦鹏岐</t>
        </is>
      </c>
      <c r="E482" s="53" t="n"/>
      <c r="F482" s="53" t="n"/>
      <c r="G482" s="53" t="n"/>
      <c r="H482" s="80" t="inlineStr">
        <is>
          <t>用户查看节点属性</t>
        </is>
      </c>
      <c r="I482" s="76" t="inlineStr">
        <is>
          <t>EQ</t>
        </is>
      </c>
      <c r="J482" s="108" t="n"/>
      <c r="K482" s="108" t="n"/>
      <c r="L482" s="83">
        <f>IF(OR(X482="估算法",X482="算法类",X482="无法识别"),"",IF(V482="",IF(OR(I482="EI",I482="EO",I482="EQ"),0,""),LEN(V482)-LEN(SUBSTITUTE(V482,"、",""))+1))</f>
        <v/>
      </c>
      <c r="M482" s="83">
        <f>IF(OR(X482="估算法",X482="算法类",X482="无法识别"),"",IF(W482="",IF(OR(I482="ILF",I482="EIF"),0,""),LEN(W482)-LEN(SUBSTITUTE(W482,"、",""))+1))</f>
        <v/>
      </c>
      <c r="N482" s="83">
        <f>IF(OR(X482="估算法",X482="算法类",X482="无法识别"),"",IF(X482="",IF(OR(I482="ILF",I482="EIF",I482="EI",I482="EO",I482="EQ"),0,""),LEN(X482)-LEN(SUBSTITUTE(SUBSTITUTE(SUBSTITUTE(SUBSTITUTE(SUBSTITUTE(X482,"|}","--"),"{|","--"),CHAR(10),""),"、",""),"|",""))+IF(AND(OR(I482="EI",I482="EO",I482="EQ"),$AD$1="NESMA"),2,1)))</f>
        <v/>
      </c>
      <c r="O482" s="84">
        <f>IF(I482="EI",IF(OR(X482="估算法",X482="算法类"),"中",IF(X482="无法识别","低",IF(L482&lt;2,IF(N482&lt;16,"低","中"),IF(L482&lt;3,IF(N482&lt;5,"低",IF(N482&lt;16,"中","高")),IF(N482&lt;5,"中","高"))))),IF(OR(I482="EO",I482="EQ"),IF(OR(X482="估算法",X482="算法类"),"中",IF(X482="无法识别","低",IF(L482&lt;2,IF(N482&lt;20,"低","中"),IF(L482&lt;4,IF(N482&lt;6,"低",IF(N482&lt;20,"中","高")),IF(N482&lt;6,"中","高"))))),IF(OR(I482="ILF",I482="EIF"),IF(OR(X482="估算法",X482="算法类",X482="无法识别"),"低",IF(M482&lt;2,IF(N482&lt;51,"低","中"),IF(M482&lt;6,IF(N482&lt;20,"低",IF(N482&lt;51,"中","高")),IF(N482&lt;20,"中","高")))),"不计算")))</f>
        <v/>
      </c>
      <c r="P482" s="142">
        <f>IFERROR(IF(I482="EI",IF(O482="低",3,IF(O482="中",4,6)),IF(I482="EO",IF(O482="低",4,IF(O482="中",5,7)),IF(I482="EQ",IF(O482="低",3,IF(O482="中",4,6)),IF(I482="ILF",IF(O482="低",7,IF(O482="中",10,15)),IF(I482="EIF",IF(O482="低",5,IF(O482="中",7,10)),"不计算")))))*Q482,"不计算")</f>
        <v/>
      </c>
      <c r="Q482" s="142" t="n">
        <v>1</v>
      </c>
      <c r="R482" s="143">
        <f>调整因子!$F$13</f>
        <v/>
      </c>
      <c r="S482" s="76" t="n">
        <v>1</v>
      </c>
      <c r="T482" s="144">
        <f>IFERROR(P482*R482,0)</f>
        <v/>
      </c>
      <c r="U482" s="144">
        <f>T482*S482</f>
        <v/>
      </c>
      <c r="V482" s="76" t="inlineStr">
        <is>
          <t>用户偏好设置表、节点属性表、节点关系表、节点漏洞分布表</t>
        </is>
      </c>
      <c r="W482" s="81" t="n"/>
      <c r="X482"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82" s="88" t="n"/>
      <c r="Z482" s="88" t="n"/>
      <c r="AA482" s="70" t="n"/>
    </row>
    <row r="483" hidden="1" ht="54" customFormat="1" customHeight="1" s="63">
      <c r="A483" s="69">
        <f>ROW()-1</f>
        <v/>
      </c>
      <c r="B483" s="53" t="n"/>
      <c r="C483" s="78" t="n">
        <v>2025</v>
      </c>
      <c r="D483" s="78" t="inlineStr">
        <is>
          <t>窦鹏岐</t>
        </is>
      </c>
      <c r="E483" s="53" t="n"/>
      <c r="F483" s="53" t="n"/>
      <c r="G483" s="53" t="n"/>
      <c r="H483" s="80" t="inlineStr">
        <is>
          <t>用户查看主机资产设备类型视图</t>
        </is>
      </c>
      <c r="I483" s="76" t="inlineStr">
        <is>
          <t>EQ</t>
        </is>
      </c>
      <c r="J483" s="108" t="n"/>
      <c r="K483" s="108" t="n"/>
      <c r="L483" s="83">
        <f>IF(OR(X483="估算法",X483="算法类",X483="无法识别"),"",IF(V483="",IF(OR(I483="EI",I483="EO",I483="EQ"),0,""),LEN(V483)-LEN(SUBSTITUTE(V483,"、",""))+1))</f>
        <v/>
      </c>
      <c r="M483" s="83">
        <f>IF(OR(X483="估算法",X483="算法类",X483="无法识别"),"",IF(W483="",IF(OR(I483="ILF",I483="EIF"),0,""),LEN(W483)-LEN(SUBSTITUTE(W483,"、",""))+1))</f>
        <v/>
      </c>
      <c r="N483" s="83">
        <f>IF(OR(X483="估算法",X483="算法类",X483="无法识别"),"",IF(X483="",IF(OR(I483="ILF",I483="EIF",I483="EI",I483="EO",I483="EQ"),0,""),LEN(X483)-LEN(SUBSTITUTE(SUBSTITUTE(SUBSTITUTE(SUBSTITUTE(SUBSTITUTE(X483,"|}","--"),"{|","--"),CHAR(10),""),"、",""),"|",""))+IF(AND(OR(I483="EI",I483="EO",I483="EQ"),$AD$1="NESMA"),2,1)))</f>
        <v/>
      </c>
      <c r="O483" s="84">
        <f>IF(I483="EI",IF(OR(X483="估算法",X483="算法类"),"中",IF(X483="无法识别","低",IF(L483&lt;2,IF(N483&lt;16,"低","中"),IF(L483&lt;3,IF(N483&lt;5,"低",IF(N483&lt;16,"中","高")),IF(N483&lt;5,"中","高"))))),IF(OR(I483="EO",I483="EQ"),IF(OR(X483="估算法",X483="算法类"),"中",IF(X483="无法识别","低",IF(L483&lt;2,IF(N483&lt;20,"低","中"),IF(L483&lt;4,IF(N483&lt;6,"低",IF(N483&lt;20,"中","高")),IF(N483&lt;6,"中","高"))))),IF(OR(I483="ILF",I483="EIF"),IF(OR(X483="估算法",X483="算法类",X483="无法识别"),"低",IF(M483&lt;2,IF(N483&lt;51,"低","中"),IF(M483&lt;6,IF(N483&lt;20,"低",IF(N483&lt;51,"中","高")),IF(N483&lt;20,"中","高")))),"不计算")))</f>
        <v/>
      </c>
      <c r="P483" s="142">
        <f>IFERROR(IF(I483="EI",IF(O483="低",3,IF(O483="中",4,6)),IF(I483="EO",IF(O483="低",4,IF(O483="中",5,7)),IF(I483="EQ",IF(O483="低",3,IF(O483="中",4,6)),IF(I483="ILF",IF(O483="低",7,IF(O483="中",10,15)),IF(I483="EIF",IF(O483="低",5,IF(O483="中",7,10)),"不计算")))))*Q483,"不计算")</f>
        <v/>
      </c>
      <c r="Q483" s="142" t="n">
        <v>1</v>
      </c>
      <c r="R483" s="143">
        <f>调整因子!$F$13</f>
        <v/>
      </c>
      <c r="S483" s="70" t="n">
        <v>1</v>
      </c>
      <c r="T483" s="144">
        <f>IFERROR(P483*R483,0)</f>
        <v/>
      </c>
      <c r="U483" s="144">
        <f>T483*S483</f>
        <v/>
      </c>
      <c r="V483" s="76" t="inlineStr">
        <is>
          <t>用户偏好设置表、主机漏洞表、主机漏洞详情表</t>
        </is>
      </c>
      <c r="W483" s="81" t="n"/>
      <c r="X483" s="76"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Y483" s="88" t="n"/>
      <c r="Z483" s="88" t="n"/>
      <c r="AA483" s="70" t="n"/>
    </row>
    <row r="484" hidden="1" ht="43.2" customFormat="1" customHeight="1" s="63">
      <c r="A484" s="69">
        <f>ROW()-1</f>
        <v/>
      </c>
      <c r="B484" s="53" t="n"/>
      <c r="C484" s="78" t="n">
        <v>2025</v>
      </c>
      <c r="D484" s="78" t="inlineStr">
        <is>
          <t>窦鹏岐</t>
        </is>
      </c>
      <c r="E484" s="53" t="n"/>
      <c r="F484" s="53" t="n"/>
      <c r="G484" s="53" t="n"/>
      <c r="H484" s="80" t="inlineStr">
        <is>
          <t>用户查看节点非常危险主机数量</t>
        </is>
      </c>
      <c r="I484" s="76" t="n"/>
      <c r="J484" s="108" t="n"/>
      <c r="K484" s="108" t="inlineStr">
        <is>
          <t>和上行合并，输入输出完全一致，相同查询</t>
        </is>
      </c>
      <c r="L484" s="83">
        <f>IF(OR(X484="估算法",X484="算法类",X484="无法识别"),"",IF(V484="",IF(OR(I484="EI",I484="EO",I484="EQ"),0,""),LEN(V484)-LEN(SUBSTITUTE(V484,"、",""))+1))</f>
        <v/>
      </c>
      <c r="M484" s="83">
        <f>IF(OR(X484="估算法",X484="算法类",X484="无法识别"),"",IF(W484="",IF(OR(I484="ILF",I484="EIF"),0,""),LEN(W484)-LEN(SUBSTITUTE(W484,"、",""))+1))</f>
        <v/>
      </c>
      <c r="N484" s="83">
        <f>IF(OR(X484="估算法",X484="算法类",X484="无法识别"),"",IF(X484="",IF(OR(I484="ILF",I484="EIF",I484="EI",I484="EO",I484="EQ"),0,""),LEN(X484)-LEN(SUBSTITUTE(SUBSTITUTE(SUBSTITUTE(SUBSTITUTE(SUBSTITUTE(X484,"|}","--"),"{|","--"),CHAR(10),""),"、",""),"|",""))+IF(AND(OR(I484="EI",I484="EO",I484="EQ"),$AD$1="NESMA"),2,1)))</f>
        <v/>
      </c>
      <c r="O484" s="84">
        <f>IF(I484="EI",IF(OR(X484="估算法",X484="算法类"),"中",IF(X484="无法识别","低",IF(L484&lt;2,IF(N484&lt;16,"低","中"),IF(L484&lt;3,IF(N484&lt;5,"低",IF(N484&lt;16,"中","高")),IF(N484&lt;5,"中","高"))))),IF(OR(I484="EO",I484="EQ"),IF(OR(X484="估算法",X484="算法类"),"中",IF(X484="无法识别","低",IF(L484&lt;2,IF(N484&lt;20,"低","中"),IF(L484&lt;4,IF(N484&lt;6,"低",IF(N484&lt;20,"中","高")),IF(N484&lt;6,"中","高"))))),IF(OR(I484="ILF",I484="EIF"),IF(OR(X484="估算法",X484="算法类",X484="无法识别"),"低",IF(M484&lt;2,IF(N484&lt;51,"低","中"),IF(M484&lt;6,IF(N484&lt;20,"低",IF(N484&lt;51,"中","高")),IF(N484&lt;20,"中","高")))),"不计算")))</f>
        <v/>
      </c>
      <c r="P484" s="142">
        <f>IFERROR(IF(I484="EI",IF(O484="低",3,IF(O484="中",4,6)),IF(I484="EO",IF(O484="低",4,IF(O484="中",5,7)),IF(I484="EQ",IF(O484="低",3,IF(O484="中",4,6)),IF(I484="ILF",IF(O484="低",7,IF(O484="中",10,15)),IF(I484="EIF",IF(O484="低",5,IF(O484="中",7,10)),"不计算")))))*Q484,"不计算")</f>
        <v/>
      </c>
      <c r="Q484" s="142" t="n">
        <v>0.333333333333333</v>
      </c>
      <c r="R484" s="143">
        <f>调整因子!$F$13</f>
        <v/>
      </c>
      <c r="S484" s="70" t="n">
        <v>1</v>
      </c>
      <c r="T484" s="144">
        <f>IFERROR(P484*R484,0)</f>
        <v/>
      </c>
      <c r="U484" s="144">
        <f>T484*S484</f>
        <v/>
      </c>
      <c r="V484" s="76" t="inlineStr">
        <is>
          <t>用户偏好设置表、节点属性表、节点关系表、节点漏洞分布表</t>
        </is>
      </c>
      <c r="W484" s="81" t="n"/>
      <c r="X484"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84" s="88" t="n"/>
      <c r="Z484" s="88" t="n"/>
      <c r="AA484" s="70" t="n"/>
    </row>
    <row r="485" hidden="1" ht="43.2" customFormat="1" customHeight="1" s="63">
      <c r="A485" s="69">
        <f>ROW()-1</f>
        <v/>
      </c>
      <c r="B485" s="53" t="n"/>
      <c r="C485" s="78" t="n">
        <v>2025</v>
      </c>
      <c r="D485" s="78" t="inlineStr">
        <is>
          <t>窦鹏岐</t>
        </is>
      </c>
      <c r="E485" s="53" t="n"/>
      <c r="F485" s="53" t="n"/>
      <c r="G485" s="53" t="n"/>
      <c r="H485" s="80" t="inlineStr">
        <is>
          <t>用户查看节点比较危险主机数量</t>
        </is>
      </c>
      <c r="I485" s="76" t="n"/>
      <c r="J485" s="108" t="n"/>
      <c r="K485" s="108" t="inlineStr">
        <is>
          <t>和上行合并，输入输出完全一致，相同查询</t>
        </is>
      </c>
      <c r="L485" s="83">
        <f>IF(OR(X485="估算法",X485="算法类",X485="无法识别"),"",IF(V485="",IF(OR(I485="EI",I485="EO",I485="EQ"),0,""),LEN(V485)-LEN(SUBSTITUTE(V485,"、",""))+1))</f>
        <v/>
      </c>
      <c r="M485" s="83">
        <f>IF(OR(X485="估算法",X485="算法类",X485="无法识别"),"",IF(W485="",IF(OR(I485="ILF",I485="EIF"),0,""),LEN(W485)-LEN(SUBSTITUTE(W485,"、",""))+1))</f>
        <v/>
      </c>
      <c r="N485" s="83">
        <f>IF(OR(X485="估算法",X485="算法类",X485="无法识别"),"",IF(X485="",IF(OR(I485="ILF",I485="EIF",I485="EI",I485="EO",I485="EQ"),0,""),LEN(X485)-LEN(SUBSTITUTE(SUBSTITUTE(SUBSTITUTE(SUBSTITUTE(SUBSTITUTE(X485,"|}","--"),"{|","--"),CHAR(10),""),"、",""),"|",""))+IF(AND(OR(I485="EI",I485="EO",I485="EQ"),$AD$1="NESMA"),2,1)))</f>
        <v/>
      </c>
      <c r="O485" s="84">
        <f>IF(I485="EI",IF(OR(X485="估算法",X485="算法类"),"中",IF(X485="无法识别","低",IF(L485&lt;2,IF(N485&lt;16,"低","中"),IF(L485&lt;3,IF(N485&lt;5,"低",IF(N485&lt;16,"中","高")),IF(N485&lt;5,"中","高"))))),IF(OR(I485="EO",I485="EQ"),IF(OR(X485="估算法",X485="算法类"),"中",IF(X485="无法识别","低",IF(L485&lt;2,IF(N485&lt;20,"低","中"),IF(L485&lt;4,IF(N485&lt;6,"低",IF(N485&lt;20,"中","高")),IF(N485&lt;6,"中","高"))))),IF(OR(I485="ILF",I485="EIF"),IF(OR(X485="估算法",X485="算法类",X485="无法识别"),"低",IF(M485&lt;2,IF(N485&lt;51,"低","中"),IF(M485&lt;6,IF(N485&lt;20,"低",IF(N485&lt;51,"中","高")),IF(N485&lt;20,"中","高")))),"不计算")))</f>
        <v/>
      </c>
      <c r="P485" s="142">
        <f>IFERROR(IF(I485="EI",IF(O485="低",3,IF(O485="中",4,6)),IF(I485="EO",IF(O485="低",4,IF(O485="中",5,7)),IF(I485="EQ",IF(O485="低",3,IF(O485="中",4,6)),IF(I485="ILF",IF(O485="低",7,IF(O485="中",10,15)),IF(I485="EIF",IF(O485="低",5,IF(O485="中",7,10)),"不计算")))))*Q485,"不计算")</f>
        <v/>
      </c>
      <c r="Q485" s="142" t="n">
        <v>0.333333333333333</v>
      </c>
      <c r="R485" s="143">
        <f>调整因子!$F$13</f>
        <v/>
      </c>
      <c r="S485" s="76" t="n">
        <v>1</v>
      </c>
      <c r="T485" s="144">
        <f>IFERROR(P485*R485,0)</f>
        <v/>
      </c>
      <c r="U485" s="144">
        <f>T485*S485</f>
        <v/>
      </c>
      <c r="V485" s="76" t="inlineStr">
        <is>
          <t>用户偏好设置表、节点属性表、节点关系表、节点漏洞分布表</t>
        </is>
      </c>
      <c r="W485" s="81" t="n"/>
      <c r="X485"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85" s="88" t="n"/>
      <c r="Z485" s="88" t="n"/>
      <c r="AA485" s="70" t="n"/>
    </row>
    <row r="486" hidden="1" ht="43.2" customFormat="1" customHeight="1" s="63">
      <c r="A486" s="69">
        <f>ROW()-1</f>
        <v/>
      </c>
      <c r="B486" s="53" t="n"/>
      <c r="C486" s="78" t="n">
        <v>2025</v>
      </c>
      <c r="D486" s="78" t="inlineStr">
        <is>
          <t>窦鹏岐</t>
        </is>
      </c>
      <c r="E486" s="53" t="n"/>
      <c r="F486" s="53" t="n"/>
      <c r="G486" s="53" t="n"/>
      <c r="H486" s="80" t="inlineStr">
        <is>
          <t>用户查看节点比较安全主机数量</t>
        </is>
      </c>
      <c r="I486" s="76" t="n"/>
      <c r="J486" s="108" t="n"/>
      <c r="K486" s="108" t="inlineStr">
        <is>
          <t>和上行合并，输入输出完全一致，相同查询</t>
        </is>
      </c>
      <c r="L486" s="83">
        <f>IF(OR(X486="估算法",X486="算法类",X486="无法识别"),"",IF(V486="",IF(OR(I486="EI",I486="EO",I486="EQ"),0,""),LEN(V486)-LEN(SUBSTITUTE(V486,"、",""))+1))</f>
        <v/>
      </c>
      <c r="M486" s="83">
        <f>IF(OR(X486="估算法",X486="算法类",X486="无法识别"),"",IF(W486="",IF(OR(I486="ILF",I486="EIF"),0,""),LEN(W486)-LEN(SUBSTITUTE(W486,"、",""))+1))</f>
        <v/>
      </c>
      <c r="N486" s="83">
        <f>IF(OR(X486="估算法",X486="算法类",X486="无法识别"),"",IF(X486="",IF(OR(I486="ILF",I486="EIF",I486="EI",I486="EO",I486="EQ"),0,""),LEN(X486)-LEN(SUBSTITUTE(SUBSTITUTE(SUBSTITUTE(SUBSTITUTE(SUBSTITUTE(X486,"|}","--"),"{|","--"),CHAR(10),""),"、",""),"|",""))+IF(AND(OR(I486="EI",I486="EO",I486="EQ"),$AD$1="NESMA"),2,1)))</f>
        <v/>
      </c>
      <c r="O486" s="84">
        <f>IF(I486="EI",IF(OR(X486="估算法",X486="算法类"),"中",IF(X486="无法识别","低",IF(L486&lt;2,IF(N486&lt;16,"低","中"),IF(L486&lt;3,IF(N486&lt;5,"低",IF(N486&lt;16,"中","高")),IF(N486&lt;5,"中","高"))))),IF(OR(I486="EO",I486="EQ"),IF(OR(X486="估算法",X486="算法类"),"中",IF(X486="无法识别","低",IF(L486&lt;2,IF(N486&lt;20,"低","中"),IF(L486&lt;4,IF(N486&lt;6,"低",IF(N486&lt;20,"中","高")),IF(N486&lt;6,"中","高"))))),IF(OR(I486="ILF",I486="EIF"),IF(OR(X486="估算法",X486="算法类",X486="无法识别"),"低",IF(M486&lt;2,IF(N486&lt;51,"低","中"),IF(M486&lt;6,IF(N486&lt;20,"低",IF(N486&lt;51,"中","高")),IF(N486&lt;20,"中","高")))),"不计算")))</f>
        <v/>
      </c>
      <c r="P486" s="142">
        <f>IFERROR(IF(I486="EI",IF(O486="低",3,IF(O486="中",4,6)),IF(I486="EO",IF(O486="低",4,IF(O486="中",5,7)),IF(I486="EQ",IF(O486="低",3,IF(O486="中",4,6)),IF(I486="ILF",IF(O486="低",7,IF(O486="中",10,15)),IF(I486="EIF",IF(O486="低",5,IF(O486="中",7,10)),"不计算")))))*Q486,"不计算")</f>
        <v/>
      </c>
      <c r="Q486" s="142" t="n">
        <v>0.333333333333333</v>
      </c>
      <c r="R486" s="143">
        <f>调整因子!$F$13</f>
        <v/>
      </c>
      <c r="S486" s="70" t="n">
        <v>1</v>
      </c>
      <c r="T486" s="144">
        <f>IFERROR(P486*R486,0)</f>
        <v/>
      </c>
      <c r="U486" s="144">
        <f>T486*S486</f>
        <v/>
      </c>
      <c r="V486" s="76" t="inlineStr">
        <is>
          <t>用户偏好设置表、节点属性表、节点关系表、节点漏洞分布表</t>
        </is>
      </c>
      <c r="W486" s="81" t="n"/>
      <c r="X486"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86" s="88" t="n"/>
      <c r="Z486" s="88" t="n"/>
      <c r="AA486" s="70" t="n"/>
    </row>
    <row r="487" hidden="1" ht="43.2" customFormat="1" customHeight="1" s="63">
      <c r="A487" s="69">
        <f>ROW()-1</f>
        <v/>
      </c>
      <c r="B487" s="53" t="n"/>
      <c r="C487" s="78" t="n">
        <v>2025</v>
      </c>
      <c r="D487" s="78" t="inlineStr">
        <is>
          <t>窦鹏岐</t>
        </is>
      </c>
      <c r="E487" s="53" t="n"/>
      <c r="F487" s="53" t="n"/>
      <c r="G487" s="53" t="n"/>
      <c r="H487" s="80" t="inlineStr">
        <is>
          <t>用户查看节点非常安全主机数量</t>
        </is>
      </c>
      <c r="I487" s="76" t="n"/>
      <c r="J487" s="108" t="n"/>
      <c r="K487" s="108" t="inlineStr">
        <is>
          <t>和上行合并，输入输出完全一致，相同查询</t>
        </is>
      </c>
      <c r="L487" s="83">
        <f>IF(OR(X487="估算法",X487="算法类",X487="无法识别"),"",IF(V487="",IF(OR(I487="EI",I487="EO",I487="EQ"),0,""),LEN(V487)-LEN(SUBSTITUTE(V487,"、",""))+1))</f>
        <v/>
      </c>
      <c r="M487" s="83">
        <f>IF(OR(X487="估算法",X487="算法类",X487="无法识别"),"",IF(W487="",IF(OR(I487="ILF",I487="EIF"),0,""),LEN(W487)-LEN(SUBSTITUTE(W487,"、",""))+1))</f>
        <v/>
      </c>
      <c r="N487" s="83">
        <f>IF(OR(X487="估算法",X487="算法类",X487="无法识别"),"",IF(X487="",IF(OR(I487="ILF",I487="EIF",I487="EI",I487="EO",I487="EQ"),0,""),LEN(X487)-LEN(SUBSTITUTE(SUBSTITUTE(SUBSTITUTE(SUBSTITUTE(SUBSTITUTE(X487,"|}","--"),"{|","--"),CHAR(10),""),"、",""),"|",""))+IF(AND(OR(I487="EI",I487="EO",I487="EQ"),$AD$1="NESMA"),2,1)))</f>
        <v/>
      </c>
      <c r="O487" s="84">
        <f>IF(I487="EI",IF(OR(X487="估算法",X487="算法类"),"中",IF(X487="无法识别","低",IF(L487&lt;2,IF(N487&lt;16,"低","中"),IF(L487&lt;3,IF(N487&lt;5,"低",IF(N487&lt;16,"中","高")),IF(N487&lt;5,"中","高"))))),IF(OR(I487="EO",I487="EQ"),IF(OR(X487="估算法",X487="算法类"),"中",IF(X487="无法识别","低",IF(L487&lt;2,IF(N487&lt;20,"低","中"),IF(L487&lt;4,IF(N487&lt;6,"低",IF(N487&lt;20,"中","高")),IF(N487&lt;6,"中","高"))))),IF(OR(I487="ILF",I487="EIF"),IF(OR(X487="估算法",X487="算法类",X487="无法识别"),"低",IF(M487&lt;2,IF(N487&lt;51,"低","中"),IF(M487&lt;6,IF(N487&lt;20,"低",IF(N487&lt;51,"中","高")),IF(N487&lt;20,"中","高")))),"不计算")))</f>
        <v/>
      </c>
      <c r="P487" s="142">
        <f>IFERROR(IF(I487="EI",IF(O487="低",3,IF(O487="中",4,6)),IF(I487="EO",IF(O487="低",4,IF(O487="中",5,7)),IF(I487="EQ",IF(O487="低",3,IF(O487="中",4,6)),IF(I487="ILF",IF(O487="低",7,IF(O487="中",10,15)),IF(I487="EIF",IF(O487="低",5,IF(O487="中",7,10)),"不计算")))))*Q487,"不计算")</f>
        <v/>
      </c>
      <c r="Q487" s="142" t="n">
        <v>0.333333333333333</v>
      </c>
      <c r="R487" s="143">
        <f>调整因子!$F$13</f>
        <v/>
      </c>
      <c r="S487" s="70" t="n">
        <v>1</v>
      </c>
      <c r="T487" s="144">
        <f>IFERROR(P487*R487,0)</f>
        <v/>
      </c>
      <c r="U487" s="144">
        <f>T487*S487</f>
        <v/>
      </c>
      <c r="V487" s="76" t="inlineStr">
        <is>
          <t>用户偏好设置表、节点属性表、节点关系表、节点漏洞分布表</t>
        </is>
      </c>
      <c r="W487" s="81" t="n"/>
      <c r="X487"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87" s="88" t="n"/>
      <c r="Z487" s="88" t="n"/>
      <c r="AA487" s="70" t="n"/>
    </row>
    <row r="488" hidden="1" ht="43.2" customFormat="1" customHeight="1" s="63">
      <c r="A488" s="69">
        <f>ROW()-1</f>
        <v/>
      </c>
      <c r="B488" s="53" t="n"/>
      <c r="C488" s="78" t="n">
        <v>2025</v>
      </c>
      <c r="D488" s="78" t="inlineStr">
        <is>
          <t>窦鹏岐</t>
        </is>
      </c>
      <c r="E488" s="53" t="n"/>
      <c r="F488" s="53" t="n"/>
      <c r="G488" s="53" t="n"/>
      <c r="H488" s="80" t="inlineStr">
        <is>
          <t>用户查看节点未知风险主机数量</t>
        </is>
      </c>
      <c r="I488" s="76" t="n"/>
      <c r="J488" s="108" t="n"/>
      <c r="K488" s="108" t="inlineStr">
        <is>
          <t>和上行合并，输入输出完全一致，相同查询</t>
        </is>
      </c>
      <c r="L488" s="83">
        <f>IF(OR(X488="估算法",X488="算法类",X488="无法识别"),"",IF(V488="",IF(OR(I488="EI",I488="EO",I488="EQ"),0,""),LEN(V488)-LEN(SUBSTITUTE(V488,"、",""))+1))</f>
        <v/>
      </c>
      <c r="M488" s="83">
        <f>IF(OR(X488="估算法",X488="算法类",X488="无法识别"),"",IF(W488="",IF(OR(I488="ILF",I488="EIF"),0,""),LEN(W488)-LEN(SUBSTITUTE(W488,"、",""))+1))</f>
        <v/>
      </c>
      <c r="N488" s="83">
        <f>IF(OR(X488="估算法",X488="算法类",X488="无法识别"),"",IF(X488="",IF(OR(I488="ILF",I488="EIF",I488="EI",I488="EO",I488="EQ"),0,""),LEN(X488)-LEN(SUBSTITUTE(SUBSTITUTE(SUBSTITUTE(SUBSTITUTE(SUBSTITUTE(X488,"|}","--"),"{|","--"),CHAR(10),""),"、",""),"|",""))+IF(AND(OR(I488="EI",I488="EO",I488="EQ"),$AD$1="NESMA"),2,1)))</f>
        <v/>
      </c>
      <c r="O488" s="84">
        <f>IF(I488="EI",IF(OR(X488="估算法",X488="算法类"),"中",IF(X488="无法识别","低",IF(L488&lt;2,IF(N488&lt;16,"低","中"),IF(L488&lt;3,IF(N488&lt;5,"低",IF(N488&lt;16,"中","高")),IF(N488&lt;5,"中","高"))))),IF(OR(I488="EO",I488="EQ"),IF(OR(X488="估算法",X488="算法类"),"中",IF(X488="无法识别","低",IF(L488&lt;2,IF(N488&lt;20,"低","中"),IF(L488&lt;4,IF(N488&lt;6,"低",IF(N488&lt;20,"中","高")),IF(N488&lt;6,"中","高"))))),IF(OR(I488="ILF",I488="EIF"),IF(OR(X488="估算法",X488="算法类",X488="无法识别"),"低",IF(M488&lt;2,IF(N488&lt;51,"低","中"),IF(M488&lt;6,IF(N488&lt;20,"低",IF(N488&lt;51,"中","高")),IF(N488&lt;20,"中","高")))),"不计算")))</f>
        <v/>
      </c>
      <c r="P488" s="142">
        <f>IFERROR(IF(I488="EI",IF(O488="低",3,IF(O488="中",4,6)),IF(I488="EO",IF(O488="低",4,IF(O488="中",5,7)),IF(I488="EQ",IF(O488="低",3,IF(O488="中",4,6)),IF(I488="ILF",IF(O488="低",7,IF(O488="中",10,15)),IF(I488="EIF",IF(O488="低",5,IF(O488="中",7,10)),"不计算")))))*Q488,"不计算")</f>
        <v/>
      </c>
      <c r="Q488" s="142" t="n">
        <v>0.333333333333333</v>
      </c>
      <c r="R488" s="143">
        <f>调整因子!$F$13</f>
        <v/>
      </c>
      <c r="S488" s="76" t="n">
        <v>1</v>
      </c>
      <c r="T488" s="144">
        <f>IFERROR(P488*R488,0)</f>
        <v/>
      </c>
      <c r="U488" s="144">
        <f>T488*S488</f>
        <v/>
      </c>
      <c r="V488" s="76" t="inlineStr">
        <is>
          <t>用户偏好设置表、节点属性表、节点关系表、节点漏洞分布表</t>
        </is>
      </c>
      <c r="W488" s="81" t="n"/>
      <c r="X488"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88" s="88" t="n"/>
      <c r="Z488" s="88" t="n"/>
      <c r="AA488" s="70" t="n"/>
    </row>
    <row r="489" hidden="1" ht="43.2" customFormat="1" customHeight="1" s="63">
      <c r="A489" s="69">
        <f>ROW()-1</f>
        <v/>
      </c>
      <c r="B489" s="53" t="n"/>
      <c r="C489" s="78" t="n">
        <v>2025</v>
      </c>
      <c r="D489" s="78" t="inlineStr">
        <is>
          <t>窦鹏岐</t>
        </is>
      </c>
      <c r="E489" s="53" t="n"/>
      <c r="F489" s="53" t="n"/>
      <c r="G489" s="53" t="n"/>
      <c r="H489" s="80" t="inlineStr">
        <is>
          <t>用户查看节点主机漏洞风险等级分布</t>
        </is>
      </c>
      <c r="I489" s="76" t="inlineStr">
        <is>
          <t>EQ</t>
        </is>
      </c>
      <c r="J489" s="108" t="n"/>
      <c r="K489" s="108" t="n"/>
      <c r="L489" s="83">
        <f>IF(OR(X489="估算法",X489="算法类",X489="无法识别"),"",IF(V489="",IF(OR(I489="EI",I489="EO",I489="EQ"),0,""),LEN(V489)-LEN(SUBSTITUTE(V489,"、",""))+1))</f>
        <v/>
      </c>
      <c r="M489" s="83">
        <f>IF(OR(X489="估算法",X489="算法类",X489="无法识别"),"",IF(W489="",IF(OR(I489="ILF",I489="EIF"),0,""),LEN(W489)-LEN(SUBSTITUTE(W489,"、",""))+1))</f>
        <v/>
      </c>
      <c r="N489" s="83">
        <f>IF(OR(X489="估算法",X489="算法类",X489="无法识别"),"",IF(X489="",IF(OR(I489="ILF",I489="EIF",I489="EI",I489="EO",I489="EQ"),0,""),LEN(X489)-LEN(SUBSTITUTE(SUBSTITUTE(SUBSTITUTE(SUBSTITUTE(SUBSTITUTE(X489,"|}","--"),"{|","--"),CHAR(10),""),"、",""),"|",""))+IF(AND(OR(I489="EI",I489="EO",I489="EQ"),$AD$1="NESMA"),2,1)))</f>
        <v/>
      </c>
      <c r="O489" s="84">
        <f>IF(I489="EI",IF(OR(X489="估算法",X489="算法类"),"中",IF(X489="无法识别","低",IF(L489&lt;2,IF(N489&lt;16,"低","中"),IF(L489&lt;3,IF(N489&lt;5,"低",IF(N489&lt;16,"中","高")),IF(N489&lt;5,"中","高"))))),IF(OR(I489="EO",I489="EQ"),IF(OR(X489="估算法",X489="算法类"),"中",IF(X489="无法识别","低",IF(L489&lt;2,IF(N489&lt;20,"低","中"),IF(L489&lt;4,IF(N489&lt;6,"低",IF(N489&lt;20,"中","高")),IF(N489&lt;6,"中","高"))))),IF(OR(I489="ILF",I489="EIF"),IF(OR(X489="估算法",X489="算法类",X489="无法识别"),"低",IF(M489&lt;2,IF(N489&lt;51,"低","中"),IF(M489&lt;6,IF(N489&lt;20,"低",IF(N489&lt;51,"中","高")),IF(N489&lt;20,"中","高")))),"不计算")))</f>
        <v/>
      </c>
      <c r="P489" s="142">
        <f>IFERROR(IF(I489="EI",IF(O489="低",3,IF(O489="中",4,6)),IF(I489="EO",IF(O489="低",4,IF(O489="中",5,7)),IF(I489="EQ",IF(O489="低",3,IF(O489="中",4,6)),IF(I489="ILF",IF(O489="低",7,IF(O489="中",10,15)),IF(I489="EIF",IF(O489="低",5,IF(O489="中",7,10)),"不计算")))))*Q489,"不计算")</f>
        <v/>
      </c>
      <c r="Q489" s="142" t="n">
        <v>0.333333333333333</v>
      </c>
      <c r="R489" s="143">
        <f>调整因子!$F$13</f>
        <v/>
      </c>
      <c r="S489" s="70" t="n">
        <v>1</v>
      </c>
      <c r="T489" s="144">
        <f>IFERROR(P489*R489,0)</f>
        <v/>
      </c>
      <c r="U489" s="144">
        <f>T489*S489</f>
        <v/>
      </c>
      <c r="V489" s="76" t="inlineStr">
        <is>
          <t>用户偏好设置表、节点属性表、节点关系表、节点漏洞分布表</t>
        </is>
      </c>
      <c r="W489" s="81" t="n"/>
      <c r="X489"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89" s="88" t="n"/>
      <c r="Z489" s="88" t="n"/>
      <c r="AA489" s="70" t="n"/>
    </row>
    <row r="490" hidden="1" ht="43.2" customFormat="1" customHeight="1" s="63">
      <c r="A490" s="69">
        <f>ROW()-1</f>
        <v/>
      </c>
      <c r="B490" s="53" t="n"/>
      <c r="C490" s="78" t="n">
        <v>2025</v>
      </c>
      <c r="D490" s="78" t="inlineStr">
        <is>
          <t>窦鹏岐</t>
        </is>
      </c>
      <c r="E490" s="53" t="n"/>
      <c r="F490" s="53" t="n"/>
      <c r="G490" s="53" t="n"/>
      <c r="H490" s="80" t="inlineStr">
        <is>
          <t>用户查看下级节点信息</t>
        </is>
      </c>
      <c r="I490" s="76" t="inlineStr">
        <is>
          <t>EQ</t>
        </is>
      </c>
      <c r="J490" s="108" t="n"/>
      <c r="K490" s="108" t="n"/>
      <c r="L490" s="83">
        <f>IF(OR(X490="估算法",X490="算法类",X490="无法识别"),"",IF(V490="",IF(OR(I490="EI",I490="EO",I490="EQ"),0,""),LEN(V490)-LEN(SUBSTITUTE(V490,"、",""))+1))</f>
        <v/>
      </c>
      <c r="M490" s="83">
        <f>IF(OR(X490="估算法",X490="算法类",X490="无法识别"),"",IF(W490="",IF(OR(I490="ILF",I490="EIF"),0,""),LEN(W490)-LEN(SUBSTITUTE(W490,"、",""))+1))</f>
        <v/>
      </c>
      <c r="N490" s="83">
        <f>IF(OR(X490="估算法",X490="算法类",X490="无法识别"),"",IF(X490="",IF(OR(I490="ILF",I490="EIF",I490="EI",I490="EO",I490="EQ"),0,""),LEN(X490)-LEN(SUBSTITUTE(SUBSTITUTE(SUBSTITUTE(SUBSTITUTE(SUBSTITUTE(X490,"|}","--"),"{|","--"),CHAR(10),""),"、",""),"|",""))+IF(AND(OR(I490="EI",I490="EO",I490="EQ"),$AD$1="NESMA"),2,1)))</f>
        <v/>
      </c>
      <c r="O490" s="84">
        <f>IF(I490="EI",IF(OR(X490="估算法",X490="算法类"),"中",IF(X490="无法识别","低",IF(L490&lt;2,IF(N490&lt;16,"低","中"),IF(L490&lt;3,IF(N490&lt;5,"低",IF(N490&lt;16,"中","高")),IF(N490&lt;5,"中","高"))))),IF(OR(I490="EO",I490="EQ"),IF(OR(X490="估算法",X490="算法类"),"中",IF(X490="无法识别","低",IF(L490&lt;2,IF(N490&lt;20,"低","中"),IF(L490&lt;4,IF(N490&lt;6,"低",IF(N490&lt;20,"中","高")),IF(N490&lt;6,"中","高"))))),IF(OR(I490="ILF",I490="EIF"),IF(OR(X490="估算法",X490="算法类",X490="无法识别"),"低",IF(M490&lt;2,IF(N490&lt;51,"低","中"),IF(M490&lt;6,IF(N490&lt;20,"低",IF(N490&lt;51,"中","高")),IF(N490&lt;20,"中","高")))),"不计算")))</f>
        <v/>
      </c>
      <c r="P490" s="142">
        <f>IFERROR(IF(I490="EI",IF(O490="低",3,IF(O490="中",4,6)),IF(I490="EO",IF(O490="低",4,IF(O490="中",5,7)),IF(I490="EQ",IF(O490="低",3,IF(O490="中",4,6)),IF(I490="ILF",IF(O490="低",7,IF(O490="中",10,15)),IF(I490="EIF",IF(O490="低",5,IF(O490="中",7,10)),"不计算")))))*Q490,"不计算")</f>
        <v/>
      </c>
      <c r="Q490" s="142" t="n">
        <v>0.333333333333333</v>
      </c>
      <c r="R490" s="143">
        <f>调整因子!$F$13</f>
        <v/>
      </c>
      <c r="S490" s="70" t="n">
        <v>1</v>
      </c>
      <c r="T490" s="144">
        <f>IFERROR(P490*R490,0)</f>
        <v/>
      </c>
      <c r="U490" s="144">
        <f>T490*S490</f>
        <v/>
      </c>
      <c r="V490" s="76" t="inlineStr">
        <is>
          <t>用户偏好设置表、节点属性表、节点关系表、节点漏洞分布表</t>
        </is>
      </c>
      <c r="W490" s="81" t="n"/>
      <c r="X490"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0" s="88" t="n"/>
      <c r="Z490" s="88" t="n"/>
      <c r="AA490" s="70" t="n"/>
    </row>
    <row r="491" hidden="1" ht="54" customFormat="1" customHeight="1" s="63">
      <c r="A491" s="69">
        <f>ROW()-1</f>
        <v/>
      </c>
      <c r="B491" s="53" t="n"/>
      <c r="C491" s="78" t="n">
        <v>2025</v>
      </c>
      <c r="D491" s="78" t="inlineStr">
        <is>
          <t>窦鹏岐</t>
        </is>
      </c>
      <c r="E491" s="53" t="n"/>
      <c r="F491" s="53" t="n"/>
      <c r="G491" s="53" t="n"/>
      <c r="H491" s="80" t="inlineStr">
        <is>
          <t>用户查看主机风险等级列表</t>
        </is>
      </c>
      <c r="I491" s="76" t="inlineStr">
        <is>
          <t>EQ</t>
        </is>
      </c>
      <c r="J491" s="108" t="n"/>
      <c r="K491" s="108" t="n"/>
      <c r="L491" s="83">
        <f>IF(OR(X491="估算法",X491="算法类",X491="无法识别"),"",IF(V491="",IF(OR(I491="EI",I491="EO",I491="EQ"),0,""),LEN(V491)-LEN(SUBSTITUTE(V491,"、",""))+1))</f>
        <v/>
      </c>
      <c r="M491" s="83">
        <f>IF(OR(X491="估算法",X491="算法类",X491="无法识别"),"",IF(W491="",IF(OR(I491="ILF",I491="EIF"),0,""),LEN(W491)-LEN(SUBSTITUTE(W491,"、",""))+1))</f>
        <v/>
      </c>
      <c r="N491" s="83">
        <f>IF(OR(X491="估算法",X491="算法类",X491="无法识别"),"",IF(X491="",IF(OR(I491="ILF",I491="EIF",I491="EI",I491="EO",I491="EQ"),0,""),LEN(X491)-LEN(SUBSTITUTE(SUBSTITUTE(SUBSTITUTE(SUBSTITUTE(SUBSTITUTE(X491,"|}","--"),"{|","--"),CHAR(10),""),"、",""),"|",""))+IF(AND(OR(I491="EI",I491="EO",I491="EQ"),$AD$1="NESMA"),2,1)))</f>
        <v/>
      </c>
      <c r="O491" s="84">
        <f>IF(I491="EI",IF(OR(X491="估算法",X491="算法类"),"中",IF(X491="无法识别","低",IF(L491&lt;2,IF(N491&lt;16,"低","中"),IF(L491&lt;3,IF(N491&lt;5,"低",IF(N491&lt;16,"中","高")),IF(N491&lt;5,"中","高"))))),IF(OR(I491="EO",I491="EQ"),IF(OR(X491="估算法",X491="算法类"),"中",IF(X491="无法识别","低",IF(L491&lt;2,IF(N491&lt;20,"低","中"),IF(L491&lt;4,IF(N491&lt;6,"低",IF(N491&lt;20,"中","高")),IF(N491&lt;6,"中","高"))))),IF(OR(I491="ILF",I491="EIF"),IF(OR(X491="估算法",X491="算法类",X491="无法识别"),"低",IF(M491&lt;2,IF(N491&lt;51,"低","中"),IF(M491&lt;6,IF(N491&lt;20,"低",IF(N491&lt;51,"中","高")),IF(N491&lt;20,"中","高")))),"不计算")))</f>
        <v/>
      </c>
      <c r="P491" s="142">
        <f>IFERROR(IF(I491="EI",IF(O491="低",3,IF(O491="中",4,6)),IF(I491="EO",IF(O491="低",4,IF(O491="中",5,7)),IF(I491="EQ",IF(O491="低",3,IF(O491="中",4,6)),IF(I491="ILF",IF(O491="低",7,IF(O491="中",10,15)),IF(I491="EIF",IF(O491="低",5,IF(O491="中",7,10)),"不计算")))))*Q491,"不计算")</f>
        <v/>
      </c>
      <c r="Q491" s="142" t="n">
        <v>0.333333333333333</v>
      </c>
      <c r="R491" s="143">
        <f>调整因子!$F$13</f>
        <v/>
      </c>
      <c r="S491" s="76" t="n">
        <v>1</v>
      </c>
      <c r="T491" s="144">
        <f>IFERROR(P491*R491,0)</f>
        <v/>
      </c>
      <c r="U491" s="144">
        <f>T491*S491</f>
        <v/>
      </c>
      <c r="V491" s="76" t="inlineStr">
        <is>
          <t>用户偏好设置表、主机漏洞表、主机漏洞详情表</t>
        </is>
      </c>
      <c r="W491" s="81" t="n"/>
      <c r="X491" s="76"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Y491" s="88" t="n"/>
      <c r="Z491" s="88" t="n"/>
      <c r="AA491" s="70" t="n"/>
    </row>
    <row r="492" hidden="1" ht="43.2" customFormat="1" customHeight="1" s="63">
      <c r="A492" s="69">
        <f>ROW()-1</f>
        <v/>
      </c>
      <c r="B492" s="53" t="n"/>
      <c r="C492" s="78" t="n">
        <v>2025</v>
      </c>
      <c r="D492" s="78" t="inlineStr">
        <is>
          <t>窦鹏岐</t>
        </is>
      </c>
      <c r="E492" s="53" t="n"/>
      <c r="F492" s="53" t="n"/>
      <c r="G492" s="53" t="n"/>
      <c r="H492" s="80" t="inlineStr">
        <is>
          <t>用户查看节点下非常危险主机信息</t>
        </is>
      </c>
      <c r="I492" s="76" t="n"/>
      <c r="J492" s="108" t="n"/>
      <c r="K492" s="108" t="inlineStr">
        <is>
          <t>和上行合并，输入输出完全一致，相同查询</t>
        </is>
      </c>
      <c r="L492" s="83">
        <f>IF(OR(X492="估算法",X492="算法类",X492="无法识别"),"",IF(V492="",IF(OR(I492="EI",I492="EO",I492="EQ"),0,""),LEN(V492)-LEN(SUBSTITUTE(V492,"、",""))+1))</f>
        <v/>
      </c>
      <c r="M492" s="83">
        <f>IF(OR(X492="估算法",X492="算法类",X492="无法识别"),"",IF(W492="",IF(OR(I492="ILF",I492="EIF"),0,""),LEN(W492)-LEN(SUBSTITUTE(W492,"、",""))+1))</f>
        <v/>
      </c>
      <c r="N492" s="83">
        <f>IF(OR(X492="估算法",X492="算法类",X492="无法识别"),"",IF(X492="",IF(OR(I492="ILF",I492="EIF",I492="EI",I492="EO",I492="EQ"),0,""),LEN(X492)-LEN(SUBSTITUTE(SUBSTITUTE(SUBSTITUTE(SUBSTITUTE(SUBSTITUTE(X492,"|}","--"),"{|","--"),CHAR(10),""),"、",""),"|",""))+IF(AND(OR(I492="EI",I492="EO",I492="EQ"),$AD$1="NESMA"),2,1)))</f>
        <v/>
      </c>
      <c r="O492" s="84">
        <f>IF(I492="EI",IF(OR(X492="估算法",X492="算法类"),"中",IF(X492="无法识别","低",IF(L492&lt;2,IF(N492&lt;16,"低","中"),IF(L492&lt;3,IF(N492&lt;5,"低",IF(N492&lt;16,"中","高")),IF(N492&lt;5,"中","高"))))),IF(OR(I492="EO",I492="EQ"),IF(OR(X492="估算法",X492="算法类"),"中",IF(X492="无法识别","低",IF(L492&lt;2,IF(N492&lt;20,"低","中"),IF(L492&lt;4,IF(N492&lt;6,"低",IF(N492&lt;20,"中","高")),IF(N492&lt;6,"中","高"))))),IF(OR(I492="ILF",I492="EIF"),IF(OR(X492="估算法",X492="算法类",X492="无法识别"),"低",IF(M492&lt;2,IF(N492&lt;51,"低","中"),IF(M492&lt;6,IF(N492&lt;20,"低",IF(N492&lt;51,"中","高")),IF(N492&lt;20,"中","高")))),"不计算")))</f>
        <v/>
      </c>
      <c r="P492" s="142">
        <f>IFERROR(IF(I492="EI",IF(O492="低",3,IF(O492="中",4,6)),IF(I492="EO",IF(O492="低",4,IF(O492="中",5,7)),IF(I492="EQ",IF(O492="低",3,IF(O492="中",4,6)),IF(I492="ILF",IF(O492="低",7,IF(O492="中",10,15)),IF(I492="EIF",IF(O492="低",5,IF(O492="中",7,10)),"不计算")))))*Q492,"不计算")</f>
        <v/>
      </c>
      <c r="Q492" s="142" t="n">
        <v>0.333333333333333</v>
      </c>
      <c r="R492" s="143">
        <f>调整因子!$F$13</f>
        <v/>
      </c>
      <c r="S492" s="70" t="n">
        <v>1</v>
      </c>
      <c r="T492" s="144">
        <f>IFERROR(P492*R492,0)</f>
        <v/>
      </c>
      <c r="U492" s="144">
        <f>T492*S492</f>
        <v/>
      </c>
      <c r="V492" s="76" t="inlineStr">
        <is>
          <t>用户偏好设置表、节点属性表、节点关系表、节点漏洞分布表</t>
        </is>
      </c>
      <c r="W492" s="81" t="n"/>
      <c r="X492"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2" s="88" t="n"/>
      <c r="Z492" s="88" t="n"/>
      <c r="AA492" s="70" t="n"/>
    </row>
    <row r="493" hidden="1" ht="43.2" customFormat="1" customHeight="1" s="63">
      <c r="A493" s="69">
        <f>ROW()-1</f>
        <v/>
      </c>
      <c r="B493" s="53" t="n"/>
      <c r="C493" s="78" t="n">
        <v>2025</v>
      </c>
      <c r="D493" s="78" t="inlineStr">
        <is>
          <t>窦鹏岐</t>
        </is>
      </c>
      <c r="E493" s="53" t="n"/>
      <c r="F493" s="53" t="n"/>
      <c r="G493" s="53" t="n"/>
      <c r="H493" s="80" t="inlineStr">
        <is>
          <t>用户查看节点下比较危险主机信息</t>
        </is>
      </c>
      <c r="I493" s="76" t="n"/>
      <c r="J493" s="108" t="n"/>
      <c r="K493" s="108" t="inlineStr">
        <is>
          <t>和上行合并，输入输出完全一致，相同查询</t>
        </is>
      </c>
      <c r="L493" s="83">
        <f>IF(OR(X493="估算法",X493="算法类",X493="无法识别"),"",IF(V493="",IF(OR(I493="EI",I493="EO",I493="EQ"),0,""),LEN(V493)-LEN(SUBSTITUTE(V493,"、",""))+1))</f>
        <v/>
      </c>
      <c r="M493" s="83">
        <f>IF(OR(X493="估算法",X493="算法类",X493="无法识别"),"",IF(W493="",IF(OR(I493="ILF",I493="EIF"),0,""),LEN(W493)-LEN(SUBSTITUTE(W493,"、",""))+1))</f>
        <v/>
      </c>
      <c r="N493" s="83">
        <f>IF(OR(X493="估算法",X493="算法类",X493="无法识别"),"",IF(X493="",IF(OR(I493="ILF",I493="EIF",I493="EI",I493="EO",I493="EQ"),0,""),LEN(X493)-LEN(SUBSTITUTE(SUBSTITUTE(SUBSTITUTE(SUBSTITUTE(SUBSTITUTE(X493,"|}","--"),"{|","--"),CHAR(10),""),"、",""),"|",""))+IF(AND(OR(I493="EI",I493="EO",I493="EQ"),$AD$1="NESMA"),2,1)))</f>
        <v/>
      </c>
      <c r="O493" s="84">
        <f>IF(I493="EI",IF(OR(X493="估算法",X493="算法类"),"中",IF(X493="无法识别","低",IF(L493&lt;2,IF(N493&lt;16,"低","中"),IF(L493&lt;3,IF(N493&lt;5,"低",IF(N493&lt;16,"中","高")),IF(N493&lt;5,"中","高"))))),IF(OR(I493="EO",I493="EQ"),IF(OR(X493="估算法",X493="算法类"),"中",IF(X493="无法识别","低",IF(L493&lt;2,IF(N493&lt;20,"低","中"),IF(L493&lt;4,IF(N493&lt;6,"低",IF(N493&lt;20,"中","高")),IF(N493&lt;6,"中","高"))))),IF(OR(I493="ILF",I493="EIF"),IF(OR(X493="估算法",X493="算法类",X493="无法识别"),"低",IF(M493&lt;2,IF(N493&lt;51,"低","中"),IF(M493&lt;6,IF(N493&lt;20,"低",IF(N493&lt;51,"中","高")),IF(N493&lt;20,"中","高")))),"不计算")))</f>
        <v/>
      </c>
      <c r="P493" s="142">
        <f>IFERROR(IF(I493="EI",IF(O493="低",3,IF(O493="中",4,6)),IF(I493="EO",IF(O493="低",4,IF(O493="中",5,7)),IF(I493="EQ",IF(O493="低",3,IF(O493="中",4,6)),IF(I493="ILF",IF(O493="低",7,IF(O493="中",10,15)),IF(I493="EIF",IF(O493="低",5,IF(O493="中",7,10)),"不计算")))))*Q493,"不计算")</f>
        <v/>
      </c>
      <c r="Q493" s="142" t="n">
        <v>0.333333333333333</v>
      </c>
      <c r="R493" s="143">
        <f>调整因子!$F$13</f>
        <v/>
      </c>
      <c r="S493" s="70" t="n">
        <v>1</v>
      </c>
      <c r="T493" s="144">
        <f>IFERROR(P493*R493,0)</f>
        <v/>
      </c>
      <c r="U493" s="144">
        <f>T493*S493</f>
        <v/>
      </c>
      <c r="V493" s="76" t="inlineStr">
        <is>
          <t>用户偏好设置表、节点属性表、节点关系表、节点漏洞分布表</t>
        </is>
      </c>
      <c r="W493" s="81" t="n"/>
      <c r="X493"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3" s="88" t="n"/>
      <c r="Z493" s="88" t="n"/>
      <c r="AA493" s="70" t="n"/>
    </row>
    <row r="494" hidden="1" ht="43.2" customFormat="1" customHeight="1" s="63">
      <c r="A494" s="69">
        <f>ROW()-1</f>
        <v/>
      </c>
      <c r="B494" s="53" t="n"/>
      <c r="C494" s="78" t="n">
        <v>2025</v>
      </c>
      <c r="D494" s="78" t="inlineStr">
        <is>
          <t>窦鹏岐</t>
        </is>
      </c>
      <c r="E494" s="53" t="n"/>
      <c r="F494" s="53" t="n"/>
      <c r="G494" s="53" t="n"/>
      <c r="H494" s="80" t="inlineStr">
        <is>
          <t>用户查看节点下非常安全主机信息</t>
        </is>
      </c>
      <c r="I494" s="76" t="n"/>
      <c r="J494" s="108" t="n"/>
      <c r="K494" s="108" t="inlineStr">
        <is>
          <t>和上行合并，输入输出完全一致，相同查询</t>
        </is>
      </c>
      <c r="L494" s="83">
        <f>IF(OR(X494="估算法",X494="算法类",X494="无法识别"),"",IF(V494="",IF(OR(I494="EI",I494="EO",I494="EQ"),0,""),LEN(V494)-LEN(SUBSTITUTE(V494,"、",""))+1))</f>
        <v/>
      </c>
      <c r="M494" s="83">
        <f>IF(OR(X494="估算法",X494="算法类",X494="无法识别"),"",IF(W494="",IF(OR(I494="ILF",I494="EIF"),0,""),LEN(W494)-LEN(SUBSTITUTE(W494,"、",""))+1))</f>
        <v/>
      </c>
      <c r="N494" s="83">
        <f>IF(OR(X494="估算法",X494="算法类",X494="无法识别"),"",IF(X494="",IF(OR(I494="ILF",I494="EIF",I494="EI",I494="EO",I494="EQ"),0,""),LEN(X494)-LEN(SUBSTITUTE(SUBSTITUTE(SUBSTITUTE(SUBSTITUTE(SUBSTITUTE(X494,"|}","--"),"{|","--"),CHAR(10),""),"、",""),"|",""))+IF(AND(OR(I494="EI",I494="EO",I494="EQ"),$AD$1="NESMA"),2,1)))</f>
        <v/>
      </c>
      <c r="O494" s="84">
        <f>IF(I494="EI",IF(OR(X494="估算法",X494="算法类"),"中",IF(X494="无法识别","低",IF(L494&lt;2,IF(N494&lt;16,"低","中"),IF(L494&lt;3,IF(N494&lt;5,"低",IF(N494&lt;16,"中","高")),IF(N494&lt;5,"中","高"))))),IF(OR(I494="EO",I494="EQ"),IF(OR(X494="估算法",X494="算法类"),"中",IF(X494="无法识别","低",IF(L494&lt;2,IF(N494&lt;20,"低","中"),IF(L494&lt;4,IF(N494&lt;6,"低",IF(N494&lt;20,"中","高")),IF(N494&lt;6,"中","高"))))),IF(OR(I494="ILF",I494="EIF"),IF(OR(X494="估算法",X494="算法类",X494="无法识别"),"低",IF(M494&lt;2,IF(N494&lt;51,"低","中"),IF(M494&lt;6,IF(N494&lt;20,"低",IF(N494&lt;51,"中","高")),IF(N494&lt;20,"中","高")))),"不计算")))</f>
        <v/>
      </c>
      <c r="P494" s="142">
        <f>IFERROR(IF(I494="EI",IF(O494="低",3,IF(O494="中",4,6)),IF(I494="EO",IF(O494="低",4,IF(O494="中",5,7)),IF(I494="EQ",IF(O494="低",3,IF(O494="中",4,6)),IF(I494="ILF",IF(O494="低",7,IF(O494="中",10,15)),IF(I494="EIF",IF(O494="低",5,IF(O494="中",7,10)),"不计算")))))*Q494,"不计算")</f>
        <v/>
      </c>
      <c r="Q494" s="142" t="n">
        <v>0.333333333333333</v>
      </c>
      <c r="R494" s="143">
        <f>调整因子!$F$13</f>
        <v/>
      </c>
      <c r="S494" s="76" t="n">
        <v>1</v>
      </c>
      <c r="T494" s="144">
        <f>IFERROR(P494*R494,0)</f>
        <v/>
      </c>
      <c r="U494" s="144">
        <f>T494*S494</f>
        <v/>
      </c>
      <c r="V494" s="76" t="inlineStr">
        <is>
          <t>用户偏好设置表、节点属性表、节点关系表、节点漏洞分布表</t>
        </is>
      </c>
      <c r="W494" s="81" t="n"/>
      <c r="X494"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4" s="88" t="n"/>
      <c r="Z494" s="88" t="n"/>
      <c r="AA494" s="70" t="n"/>
    </row>
    <row r="495" hidden="1" ht="43.2" customFormat="1" customHeight="1" s="63">
      <c r="A495" s="69">
        <f>ROW()-1</f>
        <v/>
      </c>
      <c r="B495" s="53" t="n"/>
      <c r="C495" s="78" t="n">
        <v>2025</v>
      </c>
      <c r="D495" s="78" t="inlineStr">
        <is>
          <t>窦鹏岐</t>
        </is>
      </c>
      <c r="E495" s="53" t="n"/>
      <c r="F495" s="53" t="n"/>
      <c r="G495" s="53" t="n"/>
      <c r="H495" s="80" t="inlineStr">
        <is>
          <t>用户查看节点下比较安全主机信息</t>
        </is>
      </c>
      <c r="I495" s="76" t="n"/>
      <c r="J495" s="108" t="n"/>
      <c r="K495" s="108" t="inlineStr">
        <is>
          <t>和上行合并，输入输出完全一致，相同查询</t>
        </is>
      </c>
      <c r="L495" s="83">
        <f>IF(OR(X495="估算法",X495="算法类",X495="无法识别"),"",IF(V495="",IF(OR(I495="EI",I495="EO",I495="EQ"),0,""),LEN(V495)-LEN(SUBSTITUTE(V495,"、",""))+1))</f>
        <v/>
      </c>
      <c r="M495" s="83">
        <f>IF(OR(X495="估算法",X495="算法类",X495="无法识别"),"",IF(W495="",IF(OR(I495="ILF",I495="EIF"),0,""),LEN(W495)-LEN(SUBSTITUTE(W495,"、",""))+1))</f>
        <v/>
      </c>
      <c r="N495" s="83">
        <f>IF(OR(X495="估算法",X495="算法类",X495="无法识别"),"",IF(X495="",IF(OR(I495="ILF",I495="EIF",I495="EI",I495="EO",I495="EQ"),0,""),LEN(X495)-LEN(SUBSTITUTE(SUBSTITUTE(SUBSTITUTE(SUBSTITUTE(SUBSTITUTE(X495,"|}","--"),"{|","--"),CHAR(10),""),"、",""),"|",""))+IF(AND(OR(I495="EI",I495="EO",I495="EQ"),$AD$1="NESMA"),2,1)))</f>
        <v/>
      </c>
      <c r="O495" s="84">
        <f>IF(I495="EI",IF(OR(X495="估算法",X495="算法类"),"中",IF(X495="无法识别","低",IF(L495&lt;2,IF(N495&lt;16,"低","中"),IF(L495&lt;3,IF(N495&lt;5,"低",IF(N495&lt;16,"中","高")),IF(N495&lt;5,"中","高"))))),IF(OR(I495="EO",I495="EQ"),IF(OR(X495="估算法",X495="算法类"),"中",IF(X495="无法识别","低",IF(L495&lt;2,IF(N495&lt;20,"低","中"),IF(L495&lt;4,IF(N495&lt;6,"低",IF(N495&lt;20,"中","高")),IF(N495&lt;6,"中","高"))))),IF(OR(I495="ILF",I495="EIF"),IF(OR(X495="估算法",X495="算法类",X495="无法识别"),"低",IF(M495&lt;2,IF(N495&lt;51,"低","中"),IF(M495&lt;6,IF(N495&lt;20,"低",IF(N495&lt;51,"中","高")),IF(N495&lt;20,"中","高")))),"不计算")))</f>
        <v/>
      </c>
      <c r="P495" s="142">
        <f>IFERROR(IF(I495="EI",IF(O495="低",3,IF(O495="中",4,6)),IF(I495="EO",IF(O495="低",4,IF(O495="中",5,7)),IF(I495="EQ",IF(O495="低",3,IF(O495="中",4,6)),IF(I495="ILF",IF(O495="低",7,IF(O495="中",10,15)),IF(I495="EIF",IF(O495="低",5,IF(O495="中",7,10)),"不计算")))))*Q495,"不计算")</f>
        <v/>
      </c>
      <c r="Q495" s="142" t="n">
        <v>0.333333333333333</v>
      </c>
      <c r="R495" s="143">
        <f>调整因子!$F$13</f>
        <v/>
      </c>
      <c r="S495" s="70" t="n">
        <v>1</v>
      </c>
      <c r="T495" s="144">
        <f>IFERROR(P495*R495,0)</f>
        <v/>
      </c>
      <c r="U495" s="144">
        <f>T495*S495</f>
        <v/>
      </c>
      <c r="V495" s="76" t="inlineStr">
        <is>
          <t>用户偏好设置表、节点属性表、节点关系表、节点漏洞分布表</t>
        </is>
      </c>
      <c r="W495" s="81" t="n"/>
      <c r="X495"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5" s="88" t="n"/>
      <c r="Z495" s="88" t="n"/>
      <c r="AA495" s="70" t="n"/>
    </row>
    <row r="496" hidden="1" ht="43.2" customFormat="1" customHeight="1" s="63">
      <c r="A496" s="69">
        <f>ROW()-1</f>
        <v/>
      </c>
      <c r="B496" s="53" t="n"/>
      <c r="C496" s="78" t="n">
        <v>2025</v>
      </c>
      <c r="D496" s="78" t="inlineStr">
        <is>
          <t>窦鹏岐</t>
        </is>
      </c>
      <c r="E496" s="53" t="n"/>
      <c r="F496" s="53" t="n"/>
      <c r="G496" s="53" t="n"/>
      <c r="H496" s="80" t="inlineStr">
        <is>
          <t>用户查看节点下未知风险主机信息</t>
        </is>
      </c>
      <c r="I496" s="76" t="n"/>
      <c r="J496" s="108" t="n"/>
      <c r="K496" s="108" t="inlineStr">
        <is>
          <t>和上行合并，输入输出完全一致，相同查询</t>
        </is>
      </c>
      <c r="L496" s="83">
        <f>IF(OR(X496="估算法",X496="算法类",X496="无法识别"),"",IF(V496="",IF(OR(I496="EI",I496="EO",I496="EQ"),0,""),LEN(V496)-LEN(SUBSTITUTE(V496,"、",""))+1))</f>
        <v/>
      </c>
      <c r="M496" s="83">
        <f>IF(OR(X496="估算法",X496="算法类",X496="无法识别"),"",IF(W496="",IF(OR(I496="ILF",I496="EIF"),0,""),LEN(W496)-LEN(SUBSTITUTE(W496,"、",""))+1))</f>
        <v/>
      </c>
      <c r="N496" s="83">
        <f>IF(OR(X496="估算法",X496="算法类",X496="无法识别"),"",IF(X496="",IF(OR(I496="ILF",I496="EIF",I496="EI",I496="EO",I496="EQ"),0,""),LEN(X496)-LEN(SUBSTITUTE(SUBSTITUTE(SUBSTITUTE(SUBSTITUTE(SUBSTITUTE(X496,"|}","--"),"{|","--"),CHAR(10),""),"、",""),"|",""))+IF(AND(OR(I496="EI",I496="EO",I496="EQ"),$AD$1="NESMA"),2,1)))</f>
        <v/>
      </c>
      <c r="O496" s="84">
        <f>IF(I496="EI",IF(OR(X496="估算法",X496="算法类"),"中",IF(X496="无法识别","低",IF(L496&lt;2,IF(N496&lt;16,"低","中"),IF(L496&lt;3,IF(N496&lt;5,"低",IF(N496&lt;16,"中","高")),IF(N496&lt;5,"中","高"))))),IF(OR(I496="EO",I496="EQ"),IF(OR(X496="估算法",X496="算法类"),"中",IF(X496="无法识别","低",IF(L496&lt;2,IF(N496&lt;20,"低","中"),IF(L496&lt;4,IF(N496&lt;6,"低",IF(N496&lt;20,"中","高")),IF(N496&lt;6,"中","高"))))),IF(OR(I496="ILF",I496="EIF"),IF(OR(X496="估算法",X496="算法类",X496="无法识别"),"低",IF(M496&lt;2,IF(N496&lt;51,"低","中"),IF(M496&lt;6,IF(N496&lt;20,"低",IF(N496&lt;51,"中","高")),IF(N496&lt;20,"中","高")))),"不计算")))</f>
        <v/>
      </c>
      <c r="P496" s="142">
        <f>IFERROR(IF(I496="EI",IF(O496="低",3,IF(O496="中",4,6)),IF(I496="EO",IF(O496="低",4,IF(O496="中",5,7)),IF(I496="EQ",IF(O496="低",3,IF(O496="中",4,6)),IF(I496="ILF",IF(O496="低",7,IF(O496="中",10,15)),IF(I496="EIF",IF(O496="低",5,IF(O496="中",7,10)),"不计算")))))*Q496,"不计算")</f>
        <v/>
      </c>
      <c r="Q496" s="142" t="n">
        <v>0.333333333333333</v>
      </c>
      <c r="R496" s="143">
        <f>调整因子!$F$13</f>
        <v/>
      </c>
      <c r="S496" s="70" t="n">
        <v>1</v>
      </c>
      <c r="T496" s="144">
        <f>IFERROR(P496*R496,0)</f>
        <v/>
      </c>
      <c r="U496" s="144">
        <f>T496*S496</f>
        <v/>
      </c>
      <c r="V496" s="76" t="inlineStr">
        <is>
          <t>用户偏好设置表、节点属性表、节点关系表、节点漏洞分布表</t>
        </is>
      </c>
      <c r="W496" s="81" t="n"/>
      <c r="X496"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6" s="88" t="n"/>
      <c r="Z496" s="88" t="n"/>
      <c r="AA496" s="70" t="n"/>
    </row>
    <row r="497" hidden="1" ht="43.2" customFormat="1" customHeight="1" s="63">
      <c r="A497" s="69">
        <f>ROW()-1</f>
        <v/>
      </c>
      <c r="B497" s="53" t="n"/>
      <c r="C497" s="78" t="n">
        <v>2025</v>
      </c>
      <c r="D497" s="78" t="inlineStr">
        <is>
          <t>窦鹏岐</t>
        </is>
      </c>
      <c r="E497" s="53" t="n"/>
      <c r="F497" s="53" t="n"/>
      <c r="G497" s="53" t="n"/>
      <c r="H497" s="80" t="inlineStr">
        <is>
          <t>用户查看节点下漏洞分布</t>
        </is>
      </c>
      <c r="I497" s="76" t="inlineStr">
        <is>
          <t>EQ</t>
        </is>
      </c>
      <c r="J497" s="108" t="n"/>
      <c r="K497" s="108" t="n"/>
      <c r="L497" s="83">
        <f>IF(OR(X497="估算法",X497="算法类",X497="无法识别"),"",IF(V497="",IF(OR(I497="EI",I497="EO",I497="EQ"),0,""),LEN(V497)-LEN(SUBSTITUTE(V497,"、",""))+1))</f>
        <v/>
      </c>
      <c r="M497" s="83">
        <f>IF(OR(X497="估算法",X497="算法类",X497="无法识别"),"",IF(W497="",IF(OR(I497="ILF",I497="EIF"),0,""),LEN(W497)-LEN(SUBSTITUTE(W497,"、",""))+1))</f>
        <v/>
      </c>
      <c r="N497" s="83">
        <f>IF(OR(X497="估算法",X497="算法类",X497="无法识别"),"",IF(X497="",IF(OR(I497="ILF",I497="EIF",I497="EI",I497="EO",I497="EQ"),0,""),LEN(X497)-LEN(SUBSTITUTE(SUBSTITUTE(SUBSTITUTE(SUBSTITUTE(SUBSTITUTE(X497,"|}","--"),"{|","--"),CHAR(10),""),"、",""),"|",""))+IF(AND(OR(I497="EI",I497="EO",I497="EQ"),$AD$1="NESMA"),2,1)))</f>
        <v/>
      </c>
      <c r="O497" s="84">
        <f>IF(I497="EI",IF(OR(X497="估算法",X497="算法类"),"中",IF(X497="无法识别","低",IF(L497&lt;2,IF(N497&lt;16,"低","中"),IF(L497&lt;3,IF(N497&lt;5,"低",IF(N497&lt;16,"中","高")),IF(N497&lt;5,"中","高"))))),IF(OR(I497="EO",I497="EQ"),IF(OR(X497="估算法",X497="算法类"),"中",IF(X497="无法识别","低",IF(L497&lt;2,IF(N497&lt;20,"低","中"),IF(L497&lt;4,IF(N497&lt;6,"低",IF(N497&lt;20,"中","高")),IF(N497&lt;6,"中","高"))))),IF(OR(I497="ILF",I497="EIF"),IF(OR(X497="估算法",X497="算法类",X497="无法识别"),"低",IF(M497&lt;2,IF(N497&lt;51,"低","中"),IF(M497&lt;6,IF(N497&lt;20,"低",IF(N497&lt;51,"中","高")),IF(N497&lt;20,"中","高")))),"不计算")))</f>
        <v/>
      </c>
      <c r="P497" s="142">
        <f>IFERROR(IF(I497="EI",IF(O497="低",3,IF(O497="中",4,6)),IF(I497="EO",IF(O497="低",4,IF(O497="中",5,7)),IF(I497="EQ",IF(O497="低",3,IF(O497="中",4,6)),IF(I497="ILF",IF(O497="低",7,IF(O497="中",10,15)),IF(I497="EIF",IF(O497="低",5,IF(O497="中",7,10)),"不计算")))))*Q497,"不计算")</f>
        <v/>
      </c>
      <c r="Q497" s="142" t="n">
        <v>0.333333333333333</v>
      </c>
      <c r="R497" s="143">
        <f>调整因子!$F$13</f>
        <v/>
      </c>
      <c r="S497" s="76" t="n">
        <v>1</v>
      </c>
      <c r="T497" s="144">
        <f>IFERROR(P497*R497,0)</f>
        <v/>
      </c>
      <c r="U497" s="144">
        <f>T497*S497</f>
        <v/>
      </c>
      <c r="V497" s="76" t="inlineStr">
        <is>
          <t>用户偏好设置表、节点属性表、节点关系表、节点漏洞分布表</t>
        </is>
      </c>
      <c r="W497" s="81" t="n"/>
      <c r="X497"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7" s="88" t="n"/>
      <c r="Z497" s="88" t="n"/>
      <c r="AA497" s="70" t="n"/>
    </row>
    <row r="498" hidden="1" ht="43.2" customFormat="1" customHeight="1" s="63">
      <c r="A498" s="69">
        <f>ROW()-1</f>
        <v/>
      </c>
      <c r="B498" s="53" t="n"/>
      <c r="C498" s="78" t="n">
        <v>2025</v>
      </c>
      <c r="D498" s="78" t="inlineStr">
        <is>
          <t>窦鹏岐</t>
        </is>
      </c>
      <c r="E498" s="53" t="n"/>
      <c r="F498" s="53" t="n"/>
      <c r="G498" s="53" t="n"/>
      <c r="H498" s="80" t="inlineStr">
        <is>
          <t>用户查看节点下高风险漏洞分布</t>
        </is>
      </c>
      <c r="I498" s="76" t="n"/>
      <c r="J498" s="108" t="n"/>
      <c r="K498" s="108" t="inlineStr">
        <is>
          <t>和上行合并，输入输出完全一致，相同查询</t>
        </is>
      </c>
      <c r="L498" s="83">
        <f>IF(OR(X498="估算法",X498="算法类",X498="无法识别"),"",IF(V498="",IF(OR(I498="EI",I498="EO",I498="EQ"),0,""),LEN(V498)-LEN(SUBSTITUTE(V498,"、",""))+1))</f>
        <v/>
      </c>
      <c r="M498" s="83">
        <f>IF(OR(X498="估算法",X498="算法类",X498="无法识别"),"",IF(W498="",IF(OR(I498="ILF",I498="EIF"),0,""),LEN(W498)-LEN(SUBSTITUTE(W498,"、",""))+1))</f>
        <v/>
      </c>
      <c r="N498" s="83">
        <f>IF(OR(X498="估算法",X498="算法类",X498="无法识别"),"",IF(X498="",IF(OR(I498="ILF",I498="EIF",I498="EI",I498="EO",I498="EQ"),0,""),LEN(X498)-LEN(SUBSTITUTE(SUBSTITUTE(SUBSTITUTE(SUBSTITUTE(SUBSTITUTE(X498,"|}","--"),"{|","--"),CHAR(10),""),"、",""),"|",""))+IF(AND(OR(I498="EI",I498="EO",I498="EQ"),$AD$1="NESMA"),2,1)))</f>
        <v/>
      </c>
      <c r="O498" s="84">
        <f>IF(I498="EI",IF(OR(X498="估算法",X498="算法类"),"中",IF(X498="无法识别","低",IF(L498&lt;2,IF(N498&lt;16,"低","中"),IF(L498&lt;3,IF(N498&lt;5,"低",IF(N498&lt;16,"中","高")),IF(N498&lt;5,"中","高"))))),IF(OR(I498="EO",I498="EQ"),IF(OR(X498="估算法",X498="算法类"),"中",IF(X498="无法识别","低",IF(L498&lt;2,IF(N498&lt;20,"低","中"),IF(L498&lt;4,IF(N498&lt;6,"低",IF(N498&lt;20,"中","高")),IF(N498&lt;6,"中","高"))))),IF(OR(I498="ILF",I498="EIF"),IF(OR(X498="估算法",X498="算法类",X498="无法识别"),"低",IF(M498&lt;2,IF(N498&lt;51,"低","中"),IF(M498&lt;6,IF(N498&lt;20,"低",IF(N498&lt;51,"中","高")),IF(N498&lt;20,"中","高")))),"不计算")))</f>
        <v/>
      </c>
      <c r="P498" s="142">
        <f>IFERROR(IF(I498="EI",IF(O498="低",3,IF(O498="中",4,6)),IF(I498="EO",IF(O498="低",4,IF(O498="中",5,7)),IF(I498="EQ",IF(O498="低",3,IF(O498="中",4,6)),IF(I498="ILF",IF(O498="低",7,IF(O498="中",10,15)),IF(I498="EIF",IF(O498="低",5,IF(O498="中",7,10)),"不计算")))))*Q498,"不计算")</f>
        <v/>
      </c>
      <c r="Q498" s="142" t="n">
        <v>0.333333333333333</v>
      </c>
      <c r="R498" s="143">
        <f>调整因子!$F$13</f>
        <v/>
      </c>
      <c r="S498" s="70" t="n">
        <v>1</v>
      </c>
      <c r="T498" s="144">
        <f>IFERROR(P498*R498,0)</f>
        <v/>
      </c>
      <c r="U498" s="144">
        <f>T498*S498</f>
        <v/>
      </c>
      <c r="V498" s="76" t="inlineStr">
        <is>
          <t>用户偏好设置表、节点属性表、节点关系表、节点漏洞分布表</t>
        </is>
      </c>
      <c r="W498" s="81" t="n"/>
      <c r="X498"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8" s="88" t="n"/>
      <c r="Z498" s="88" t="n"/>
      <c r="AA498" s="70" t="n"/>
    </row>
    <row r="499" hidden="1" ht="43.2" customFormat="1" customHeight="1" s="63">
      <c r="A499" s="69">
        <f>ROW()-1</f>
        <v/>
      </c>
      <c r="B499" s="53" t="n"/>
      <c r="C499" s="78" t="n">
        <v>2025</v>
      </c>
      <c r="D499" s="78" t="inlineStr">
        <is>
          <t>窦鹏岐</t>
        </is>
      </c>
      <c r="E499" s="53" t="n"/>
      <c r="F499" s="53" t="n"/>
      <c r="G499" s="53" t="n"/>
      <c r="H499" s="80" t="inlineStr">
        <is>
          <t>用户查看节点下中风险漏洞分布</t>
        </is>
      </c>
      <c r="I499" s="76" t="n"/>
      <c r="J499" s="108" t="n"/>
      <c r="K499" s="108" t="inlineStr">
        <is>
          <t>和上行合并，输入输出完全一致，相同查询</t>
        </is>
      </c>
      <c r="L499" s="83">
        <f>IF(OR(X499="估算法",X499="算法类",X499="无法识别"),"",IF(V499="",IF(OR(I499="EI",I499="EO",I499="EQ"),0,""),LEN(V499)-LEN(SUBSTITUTE(V499,"、",""))+1))</f>
        <v/>
      </c>
      <c r="M499" s="83">
        <f>IF(OR(X499="估算法",X499="算法类",X499="无法识别"),"",IF(W499="",IF(OR(I499="ILF",I499="EIF"),0,""),LEN(W499)-LEN(SUBSTITUTE(W499,"、",""))+1))</f>
        <v/>
      </c>
      <c r="N499" s="83">
        <f>IF(OR(X499="估算法",X499="算法类",X499="无法识别"),"",IF(X499="",IF(OR(I499="ILF",I499="EIF",I499="EI",I499="EO",I499="EQ"),0,""),LEN(X499)-LEN(SUBSTITUTE(SUBSTITUTE(SUBSTITUTE(SUBSTITUTE(SUBSTITUTE(X499,"|}","--"),"{|","--"),CHAR(10),""),"、",""),"|",""))+IF(AND(OR(I499="EI",I499="EO",I499="EQ"),$AD$1="NESMA"),2,1)))</f>
        <v/>
      </c>
      <c r="O499" s="84">
        <f>IF(I499="EI",IF(OR(X499="估算法",X499="算法类"),"中",IF(X499="无法识别","低",IF(L499&lt;2,IF(N499&lt;16,"低","中"),IF(L499&lt;3,IF(N499&lt;5,"低",IF(N499&lt;16,"中","高")),IF(N499&lt;5,"中","高"))))),IF(OR(I499="EO",I499="EQ"),IF(OR(X499="估算法",X499="算法类"),"中",IF(X499="无法识别","低",IF(L499&lt;2,IF(N499&lt;20,"低","中"),IF(L499&lt;4,IF(N499&lt;6,"低",IF(N499&lt;20,"中","高")),IF(N499&lt;6,"中","高"))))),IF(OR(I499="ILF",I499="EIF"),IF(OR(X499="估算法",X499="算法类",X499="无法识别"),"低",IF(M499&lt;2,IF(N499&lt;51,"低","中"),IF(M499&lt;6,IF(N499&lt;20,"低",IF(N499&lt;51,"中","高")),IF(N499&lt;20,"中","高")))),"不计算")))</f>
        <v/>
      </c>
      <c r="P499" s="142">
        <f>IFERROR(IF(I499="EI",IF(O499="低",3,IF(O499="中",4,6)),IF(I499="EO",IF(O499="低",4,IF(O499="中",5,7)),IF(I499="EQ",IF(O499="低",3,IF(O499="中",4,6)),IF(I499="ILF",IF(O499="低",7,IF(O499="中",10,15)),IF(I499="EIF",IF(O499="低",5,IF(O499="中",7,10)),"不计算")))))*Q499,"不计算")</f>
        <v/>
      </c>
      <c r="Q499" s="142" t="n">
        <v>0.333333333333333</v>
      </c>
      <c r="R499" s="143">
        <f>调整因子!$F$13</f>
        <v/>
      </c>
      <c r="S499" s="70" t="n">
        <v>1</v>
      </c>
      <c r="T499" s="144">
        <f>IFERROR(P499*R499,0)</f>
        <v/>
      </c>
      <c r="U499" s="144">
        <f>T499*S499</f>
        <v/>
      </c>
      <c r="V499" s="76" t="inlineStr">
        <is>
          <t>用户偏好设置表、节点属性表、节点关系表、节点漏洞分布表</t>
        </is>
      </c>
      <c r="W499" s="81" t="n"/>
      <c r="X499"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499" s="88" t="n"/>
      <c r="Z499" s="88" t="n"/>
      <c r="AA499" s="70" t="n"/>
    </row>
    <row r="500" hidden="1" ht="43.2" customFormat="1" customHeight="1" s="63">
      <c r="A500" s="69">
        <f>ROW()-1</f>
        <v/>
      </c>
      <c r="B500" s="53" t="n"/>
      <c r="C500" s="78" t="n">
        <v>2025</v>
      </c>
      <c r="D500" s="78" t="inlineStr">
        <is>
          <t>窦鹏岐</t>
        </is>
      </c>
      <c r="E500" s="53" t="n"/>
      <c r="F500" s="53" t="n"/>
      <c r="G500" s="53" t="n"/>
      <c r="H500" s="80" t="inlineStr">
        <is>
          <t>用户查看节点下低风险漏洞分布</t>
        </is>
      </c>
      <c r="I500" s="76" t="n"/>
      <c r="J500" s="108" t="n"/>
      <c r="K500" s="108" t="inlineStr">
        <is>
          <t>和上行合并，输入输出完全一致，相同查询</t>
        </is>
      </c>
      <c r="L500" s="83">
        <f>IF(OR(X500="估算法",X500="算法类",X500="无法识别"),"",IF(V500="",IF(OR(I500="EI",I500="EO",I500="EQ"),0,""),LEN(V500)-LEN(SUBSTITUTE(V500,"、",""))+1))</f>
        <v/>
      </c>
      <c r="M500" s="83">
        <f>IF(OR(X500="估算法",X500="算法类",X500="无法识别"),"",IF(W500="",IF(OR(I500="ILF",I500="EIF"),0,""),LEN(W500)-LEN(SUBSTITUTE(W500,"、",""))+1))</f>
        <v/>
      </c>
      <c r="N500" s="83">
        <f>IF(OR(X500="估算法",X500="算法类",X500="无法识别"),"",IF(X500="",IF(OR(I500="ILF",I500="EIF",I500="EI",I500="EO",I500="EQ"),0,""),LEN(X500)-LEN(SUBSTITUTE(SUBSTITUTE(SUBSTITUTE(SUBSTITUTE(SUBSTITUTE(X500,"|}","--"),"{|","--"),CHAR(10),""),"、",""),"|",""))+IF(AND(OR(I500="EI",I500="EO",I500="EQ"),$AD$1="NESMA"),2,1)))</f>
        <v/>
      </c>
      <c r="O500" s="84">
        <f>IF(I500="EI",IF(OR(X500="估算法",X500="算法类"),"中",IF(X500="无法识别","低",IF(L500&lt;2,IF(N500&lt;16,"低","中"),IF(L500&lt;3,IF(N500&lt;5,"低",IF(N500&lt;16,"中","高")),IF(N500&lt;5,"中","高"))))),IF(OR(I500="EO",I500="EQ"),IF(OR(X500="估算法",X500="算法类"),"中",IF(X500="无法识别","低",IF(L500&lt;2,IF(N500&lt;20,"低","中"),IF(L500&lt;4,IF(N500&lt;6,"低",IF(N500&lt;20,"中","高")),IF(N500&lt;6,"中","高"))))),IF(OR(I500="ILF",I500="EIF"),IF(OR(X500="估算法",X500="算法类",X500="无法识别"),"低",IF(M500&lt;2,IF(N500&lt;51,"低","中"),IF(M500&lt;6,IF(N500&lt;20,"低",IF(N500&lt;51,"中","高")),IF(N500&lt;20,"中","高")))),"不计算")))</f>
        <v/>
      </c>
      <c r="P500" s="142">
        <f>IFERROR(IF(I500="EI",IF(O500="低",3,IF(O500="中",4,6)),IF(I500="EO",IF(O500="低",4,IF(O500="中",5,7)),IF(I500="EQ",IF(O500="低",3,IF(O500="中",4,6)),IF(I500="ILF",IF(O500="低",7,IF(O500="中",10,15)),IF(I500="EIF",IF(O500="低",5,IF(O500="中",7,10)),"不计算")))))*Q500,"不计算")</f>
        <v/>
      </c>
      <c r="Q500" s="142" t="n">
        <v>0.333333333333333</v>
      </c>
      <c r="R500" s="143">
        <f>调整因子!$F$13</f>
        <v/>
      </c>
      <c r="S500" s="76" t="n">
        <v>1</v>
      </c>
      <c r="T500" s="144">
        <f>IFERROR(P500*R500,0)</f>
        <v/>
      </c>
      <c r="U500" s="144">
        <f>T500*S500</f>
        <v/>
      </c>
      <c r="V500" s="76" t="inlineStr">
        <is>
          <t>用户偏好设置表、节点属性表、节点关系表、节点漏洞分布表</t>
        </is>
      </c>
      <c r="W500" s="81" t="n"/>
      <c r="X500" s="76"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Y500" s="88" t="n"/>
      <c r="Z500" s="88" t="n"/>
      <c r="AA500" s="70" t="n"/>
    </row>
    <row r="501" hidden="1" ht="21.6" customFormat="1" customHeight="1" s="63">
      <c r="A501" s="69">
        <f>ROW()-1</f>
        <v/>
      </c>
      <c r="B501" s="53" t="n"/>
      <c r="C501" s="78" t="n">
        <v>2025</v>
      </c>
      <c r="D501" s="78" t="inlineStr">
        <is>
          <t>窦鹏岐</t>
        </is>
      </c>
      <c r="E501" s="53" t="n"/>
      <c r="F501" s="53" t="n"/>
      <c r="G501" s="53" t="n"/>
      <c r="H501" s="80" t="inlineStr">
        <is>
          <t>用户查看主机风险等级信息</t>
        </is>
      </c>
      <c r="I501" s="76" t="inlineStr">
        <is>
          <t>EQ</t>
        </is>
      </c>
      <c r="J501" s="108" t="n"/>
      <c r="K501" s="108" t="n"/>
      <c r="L501" s="83">
        <f>IF(OR(X501="估算法",X501="算法类",X501="无法识别"),"",IF(V501="",IF(OR(I501="EI",I501="EO",I501="EQ"),0,""),LEN(V501)-LEN(SUBSTITUTE(V501,"、",""))+1))</f>
        <v/>
      </c>
      <c r="M501" s="83">
        <f>IF(OR(X501="估算法",X501="算法类",X501="无法识别"),"",IF(W501="",IF(OR(I501="ILF",I501="EIF"),0,""),LEN(W501)-LEN(SUBSTITUTE(W501,"、",""))+1))</f>
        <v/>
      </c>
      <c r="N501" s="83">
        <f>IF(OR(X501="估算法",X501="算法类",X501="无法识别"),"",IF(X501="",IF(OR(I501="ILF",I501="EIF",I501="EI",I501="EO",I501="EQ"),0,""),LEN(X501)-LEN(SUBSTITUTE(SUBSTITUTE(SUBSTITUTE(SUBSTITUTE(SUBSTITUTE(X501,"|}","--"),"{|","--"),CHAR(10),""),"、",""),"|",""))+IF(AND(OR(I501="EI",I501="EO",I501="EQ"),$AD$1="NESMA"),2,1)))</f>
        <v/>
      </c>
      <c r="O501" s="84">
        <f>IF(I501="EI",IF(OR(X501="估算法",X501="算法类"),"中",IF(X501="无法识别","低",IF(L501&lt;2,IF(N501&lt;16,"低","中"),IF(L501&lt;3,IF(N501&lt;5,"低",IF(N501&lt;16,"中","高")),IF(N501&lt;5,"中","高"))))),IF(OR(I501="EO",I501="EQ"),IF(OR(X501="估算法",X501="算法类"),"中",IF(X501="无法识别","低",IF(L501&lt;2,IF(N501&lt;20,"低","中"),IF(L501&lt;4,IF(N501&lt;6,"低",IF(N501&lt;20,"中","高")),IF(N501&lt;6,"中","高"))))),IF(OR(I501="ILF",I501="EIF"),IF(OR(X501="估算法",X501="算法类",X501="无法识别"),"低",IF(M501&lt;2,IF(N501&lt;51,"低","中"),IF(M501&lt;6,IF(N501&lt;20,"低",IF(N501&lt;51,"中","高")),IF(N501&lt;20,"中","高")))),"不计算")))</f>
        <v/>
      </c>
      <c r="P501" s="142">
        <f>IFERROR(IF(I501="EI",IF(O501="低",3,IF(O501="中",4,6)),IF(I501="EO",IF(O501="低",4,IF(O501="中",5,7)),IF(I501="EQ",IF(O501="低",3,IF(O501="中",4,6)),IF(I501="ILF",IF(O501="低",7,IF(O501="中",10,15)),IF(I501="EIF",IF(O501="低",5,IF(O501="中",7,10)),"不计算")))))*Q501,"不计算")</f>
        <v/>
      </c>
      <c r="Q501" s="142" t="n">
        <v>1</v>
      </c>
      <c r="R501" s="143">
        <f>调整因子!$F$13</f>
        <v/>
      </c>
      <c r="S501" s="70" t="n">
        <v>1</v>
      </c>
      <c r="T501" s="144">
        <f>IFERROR(P501*R501,0)</f>
        <v/>
      </c>
      <c r="U501" s="144">
        <f>T501*S501</f>
        <v/>
      </c>
      <c r="V501" s="76" t="inlineStr">
        <is>
          <t>用户偏好设置表、主机风险评估表</t>
        </is>
      </c>
      <c r="W501" s="81" t="n"/>
      <c r="X501" s="76" t="inlineStr">
        <is>
          <t>用户偏好设置表{主键 id 、用户 id 、偏好设置名称、偏好设置值、最后更新时间}
主机风险评估表{主键id、主机id、风险等级、评估时间、评估描述}</t>
        </is>
      </c>
      <c r="Y501" s="88" t="n"/>
      <c r="Z501" s="88" t="n"/>
      <c r="AA501" s="70" t="n"/>
    </row>
    <row r="502" hidden="1" ht="32.4" customFormat="1" customHeight="1" s="63">
      <c r="A502" s="69">
        <f>ROW()-1</f>
        <v/>
      </c>
      <c r="B502" s="53" t="n"/>
      <c r="C502" s="78" t="n">
        <v>2025</v>
      </c>
      <c r="D502" s="78" t="inlineStr">
        <is>
          <t>窦鹏岐</t>
        </is>
      </c>
      <c r="E502" s="53" t="n"/>
      <c r="F502" s="53" t="n"/>
      <c r="G502" s="53" t="n"/>
      <c r="H502" s="80" t="inlineStr">
        <is>
          <t>用户查看主机概况信息</t>
        </is>
      </c>
      <c r="I502" s="76" t="inlineStr">
        <is>
          <t>EQ</t>
        </is>
      </c>
      <c r="J502" s="108" t="n"/>
      <c r="K502" s="108" t="n"/>
      <c r="L502" s="83">
        <f>IF(OR(X502="估算法",X502="算法类",X502="无法识别"),"",IF(V502="",IF(OR(I502="EI",I502="EO",I502="EQ"),0,""),LEN(V502)-LEN(SUBSTITUTE(V502,"、",""))+1))</f>
        <v/>
      </c>
      <c r="M502" s="83">
        <f>IF(OR(X502="估算法",X502="算法类",X502="无法识别"),"",IF(W502="",IF(OR(I502="ILF",I502="EIF"),0,""),LEN(W502)-LEN(SUBSTITUTE(W502,"、",""))+1))</f>
        <v/>
      </c>
      <c r="N502" s="83">
        <f>IF(OR(X502="估算法",X502="算法类",X502="无法识别"),"",IF(X502="",IF(OR(I502="ILF",I502="EIF",I502="EI",I502="EO",I502="EQ"),0,""),LEN(X502)-LEN(SUBSTITUTE(SUBSTITUTE(SUBSTITUTE(SUBSTITUTE(SUBSTITUTE(X502,"|}","--"),"{|","--"),CHAR(10),""),"、",""),"|",""))+IF(AND(OR(I502="EI",I502="EO",I502="EQ"),$AD$1="NESMA"),2,1)))</f>
        <v/>
      </c>
      <c r="O502" s="84">
        <f>IF(I502="EI",IF(OR(X502="估算法",X502="算法类"),"中",IF(X502="无法识别","低",IF(L502&lt;2,IF(N502&lt;16,"低","中"),IF(L502&lt;3,IF(N502&lt;5,"低",IF(N502&lt;16,"中","高")),IF(N502&lt;5,"中","高"))))),IF(OR(I502="EO",I502="EQ"),IF(OR(X502="估算法",X502="算法类"),"中",IF(X502="无法识别","低",IF(L502&lt;2,IF(N502&lt;20,"低","中"),IF(L502&lt;4,IF(N502&lt;6,"低",IF(N502&lt;20,"中","高")),IF(N502&lt;6,"中","高"))))),IF(OR(I502="ILF",I502="EIF"),IF(OR(X502="估算法",X502="算法类",X502="无法识别"),"低",IF(M502&lt;2,IF(N502&lt;51,"低","中"),IF(M502&lt;6,IF(N502&lt;20,"低",IF(N502&lt;51,"中","高")),IF(N502&lt;20,"中","高")))),"不计算")))</f>
        <v/>
      </c>
      <c r="P502" s="142">
        <f>IFERROR(IF(I502="EI",IF(O502="低",3,IF(O502="中",4,6)),IF(I502="EO",IF(O502="低",4,IF(O502="中",5,7)),IF(I502="EQ",IF(O502="低",3,IF(O502="中",4,6)),IF(I502="ILF",IF(O502="低",7,IF(O502="中",10,15)),IF(I502="EIF",IF(O502="低",5,IF(O502="中",7,10)),"不计算")))))*Q502,"不计算")</f>
        <v/>
      </c>
      <c r="Q502" s="142" t="n">
        <v>1</v>
      </c>
      <c r="R502" s="143">
        <f>调整因子!$F$13</f>
        <v/>
      </c>
      <c r="S502" s="70" t="n">
        <v>1</v>
      </c>
      <c r="T502" s="144">
        <f>IFERROR(P502*R502,0)</f>
        <v/>
      </c>
      <c r="U502" s="144">
        <f>T502*S502</f>
        <v/>
      </c>
      <c r="V502" s="76" t="inlineStr">
        <is>
          <t>用户偏好设置表、主机漏洞详情表</t>
        </is>
      </c>
      <c r="W502" s="81" t="n"/>
      <c r="X502" s="76" t="inlineStr">
        <is>
          <t>用户偏好设置表{主键 id 、用户 id 、偏好设置名称、偏好设置值、最后更新时间}
主机漏洞详情表{主键id、主机id、漏洞id、漏洞名称、漏洞描述、风险等级、发现时间、状态、修复建议}</t>
        </is>
      </c>
      <c r="Y502" s="88" t="n"/>
      <c r="Z502" s="88" t="n"/>
      <c r="AA502" s="70" t="n"/>
    </row>
    <row r="503" hidden="1" ht="32.4" customFormat="1" customHeight="1" s="63">
      <c r="A503" s="69">
        <f>ROW()-1</f>
        <v/>
      </c>
      <c r="B503" s="53" t="n"/>
      <c r="C503" s="78" t="n">
        <v>2025</v>
      </c>
      <c r="D503" s="78" t="inlineStr">
        <is>
          <t>窦鹏岐</t>
        </is>
      </c>
      <c r="E503" s="53" t="n"/>
      <c r="F503" s="53" t="n"/>
      <c r="G503" s="53" t="n"/>
      <c r="H503" s="80" t="inlineStr">
        <is>
          <t>用户查看主机漏洞概况信息</t>
        </is>
      </c>
      <c r="I503" s="76" t="n"/>
      <c r="J503" s="108" t="n"/>
      <c r="K503" s="108" t="inlineStr">
        <is>
          <t>和上行合并，输入输出完全一致，相同查询</t>
        </is>
      </c>
      <c r="L503" s="83">
        <f>IF(OR(X503="估算法",X503="算法类",X503="无法识别"),"",IF(V503="",IF(OR(I503="EI",I503="EO",I503="EQ"),0,""),LEN(V503)-LEN(SUBSTITUTE(V503,"、",""))+1))</f>
        <v/>
      </c>
      <c r="M503" s="83">
        <f>IF(OR(X503="估算法",X503="算法类",X503="无法识别"),"",IF(W503="",IF(OR(I503="ILF",I503="EIF"),0,""),LEN(W503)-LEN(SUBSTITUTE(W503,"、",""))+1))</f>
        <v/>
      </c>
      <c r="N503" s="83">
        <f>IF(OR(X503="估算法",X503="算法类",X503="无法识别"),"",IF(X503="",IF(OR(I503="ILF",I503="EIF",I503="EI",I503="EO",I503="EQ"),0,""),LEN(X503)-LEN(SUBSTITUTE(SUBSTITUTE(SUBSTITUTE(SUBSTITUTE(SUBSTITUTE(X503,"|}","--"),"{|","--"),CHAR(10),""),"、",""),"|",""))+IF(AND(OR(I503="EI",I503="EO",I503="EQ"),$AD$1="NESMA"),2,1)))</f>
        <v/>
      </c>
      <c r="O503" s="84">
        <f>IF(I503="EI",IF(OR(X503="估算法",X503="算法类"),"中",IF(X503="无法识别","低",IF(L503&lt;2,IF(N503&lt;16,"低","中"),IF(L503&lt;3,IF(N503&lt;5,"低",IF(N503&lt;16,"中","高")),IF(N503&lt;5,"中","高"))))),IF(OR(I503="EO",I503="EQ"),IF(OR(X503="估算法",X503="算法类"),"中",IF(X503="无法识别","低",IF(L503&lt;2,IF(N503&lt;20,"低","中"),IF(L503&lt;4,IF(N503&lt;6,"低",IF(N503&lt;20,"中","高")),IF(N503&lt;6,"中","高"))))),IF(OR(I503="ILF",I503="EIF"),IF(OR(X503="估算法",X503="算法类",X503="无法识别"),"低",IF(M503&lt;2,IF(N503&lt;51,"低","中"),IF(M503&lt;6,IF(N503&lt;20,"低",IF(N503&lt;51,"中","高")),IF(N503&lt;20,"中","高")))),"不计算")))</f>
        <v/>
      </c>
      <c r="P503" s="142">
        <f>IFERROR(IF(I503="EI",IF(O503="低",3,IF(O503="中",4,6)),IF(I503="EO",IF(O503="低",4,IF(O503="中",5,7)),IF(I503="EQ",IF(O503="低",3,IF(O503="中",4,6)),IF(I503="ILF",IF(O503="低",7,IF(O503="中",10,15)),IF(I503="EIF",IF(O503="低",5,IF(O503="中",7,10)),"不计算")))))*Q503,"不计算")</f>
        <v/>
      </c>
      <c r="Q503" s="142" t="n">
        <v>1</v>
      </c>
      <c r="R503" s="143">
        <f>调整因子!$F$13</f>
        <v/>
      </c>
      <c r="S503" s="76" t="n">
        <v>1</v>
      </c>
      <c r="T503" s="144">
        <f>IFERROR(P503*R503,0)</f>
        <v/>
      </c>
      <c r="U503" s="144">
        <f>T503*S503</f>
        <v/>
      </c>
      <c r="V503" s="76" t="inlineStr">
        <is>
          <t>用户偏好设置表、主机漏洞详情表</t>
        </is>
      </c>
      <c r="W503" s="81" t="n"/>
      <c r="X503" s="76" t="inlineStr">
        <is>
          <t>用户偏好设置表{主键 id 、用户 id 、偏好设置名称、偏好设置值、最后更新时间}
主机漏洞详情表{主键id、主机id、漏洞id、漏洞名称、漏洞描述、风险等级、发现时间、状态、修复建议}</t>
        </is>
      </c>
      <c r="Y503" s="88" t="n"/>
      <c r="Z503" s="88" t="n"/>
      <c r="AA503" s="70" t="n"/>
    </row>
    <row r="504" hidden="1" ht="32.4" customFormat="1" customHeight="1" s="63">
      <c r="A504" s="69">
        <f>ROW()-1</f>
        <v/>
      </c>
      <c r="B504" s="53" t="n"/>
      <c r="C504" s="78" t="n">
        <v>2025</v>
      </c>
      <c r="D504" s="78" t="inlineStr">
        <is>
          <t>窦鹏岐</t>
        </is>
      </c>
      <c r="E504" s="53" t="n"/>
      <c r="F504" s="53" t="n"/>
      <c r="G504" s="53" t="n"/>
      <c r="H504" s="80" t="inlineStr">
        <is>
          <t>用户查看主机高风险漏洞概况信息</t>
        </is>
      </c>
      <c r="I504" s="76" t="n"/>
      <c r="J504" s="108" t="n"/>
      <c r="K504" s="108" t="inlineStr">
        <is>
          <t>和上行合并，输入输出完全一致，相同查询</t>
        </is>
      </c>
      <c r="L504" s="83">
        <f>IF(OR(X504="估算法",X504="算法类",X504="无法识别"),"",IF(V504="",IF(OR(I504="EI",I504="EO",I504="EQ"),0,""),LEN(V504)-LEN(SUBSTITUTE(V504,"、",""))+1))</f>
        <v/>
      </c>
      <c r="M504" s="83">
        <f>IF(OR(X504="估算法",X504="算法类",X504="无法识别"),"",IF(W504="",IF(OR(I504="ILF",I504="EIF"),0,""),LEN(W504)-LEN(SUBSTITUTE(W504,"、",""))+1))</f>
        <v/>
      </c>
      <c r="N504" s="83">
        <f>IF(OR(X504="估算法",X504="算法类",X504="无法识别"),"",IF(X504="",IF(OR(I504="ILF",I504="EIF",I504="EI",I504="EO",I504="EQ"),0,""),LEN(X504)-LEN(SUBSTITUTE(SUBSTITUTE(SUBSTITUTE(SUBSTITUTE(SUBSTITUTE(X504,"|}","--"),"{|","--"),CHAR(10),""),"、",""),"|",""))+IF(AND(OR(I504="EI",I504="EO",I504="EQ"),$AD$1="NESMA"),2,1)))</f>
        <v/>
      </c>
      <c r="O504" s="84">
        <f>IF(I504="EI",IF(OR(X504="估算法",X504="算法类"),"中",IF(X504="无法识别","低",IF(L504&lt;2,IF(N504&lt;16,"低","中"),IF(L504&lt;3,IF(N504&lt;5,"低",IF(N504&lt;16,"中","高")),IF(N504&lt;5,"中","高"))))),IF(OR(I504="EO",I504="EQ"),IF(OR(X504="估算法",X504="算法类"),"中",IF(X504="无法识别","低",IF(L504&lt;2,IF(N504&lt;20,"低","中"),IF(L504&lt;4,IF(N504&lt;6,"低",IF(N504&lt;20,"中","高")),IF(N504&lt;6,"中","高"))))),IF(OR(I504="ILF",I504="EIF"),IF(OR(X504="估算法",X504="算法类",X504="无法识别"),"低",IF(M504&lt;2,IF(N504&lt;51,"低","中"),IF(M504&lt;6,IF(N504&lt;20,"低",IF(N504&lt;51,"中","高")),IF(N504&lt;20,"中","高")))),"不计算")))</f>
        <v/>
      </c>
      <c r="P504" s="142">
        <f>IFERROR(IF(I504="EI",IF(O504="低",3,IF(O504="中",4,6)),IF(I504="EO",IF(O504="低",4,IF(O504="中",5,7)),IF(I504="EQ",IF(O504="低",3,IF(O504="中",4,6)),IF(I504="ILF",IF(O504="低",7,IF(O504="中",10,15)),IF(I504="EIF",IF(O504="低",5,IF(O504="中",7,10)),"不计算")))))*Q504,"不计算")</f>
        <v/>
      </c>
      <c r="Q504" s="142" t="n">
        <v>0.333333333333333</v>
      </c>
      <c r="R504" s="143">
        <f>调整因子!$F$13</f>
        <v/>
      </c>
      <c r="S504" s="70" t="n">
        <v>1</v>
      </c>
      <c r="T504" s="144">
        <f>IFERROR(P504*R504,0)</f>
        <v/>
      </c>
      <c r="U504" s="144">
        <f>T504*S504</f>
        <v/>
      </c>
      <c r="V504" s="76" t="inlineStr">
        <is>
          <t>用户偏好设置表、主机漏洞详情表</t>
        </is>
      </c>
      <c r="W504" s="81" t="n"/>
      <c r="X504" s="76" t="inlineStr">
        <is>
          <t>用户偏好设置表{主键 id 、用户 id 、偏好设置名称、偏好设置值、最后更新时间}
主机漏洞详情表{主键id、主机id、漏洞id、漏洞名称、漏洞描述、风险等级、发现时间、状态、修复建议}</t>
        </is>
      </c>
      <c r="Y504" s="88" t="n"/>
      <c r="Z504" s="88" t="n"/>
      <c r="AA504" s="70" t="n"/>
    </row>
    <row r="505" hidden="1" ht="32.4" customFormat="1" customHeight="1" s="63">
      <c r="A505" s="69">
        <f>ROW()-1</f>
        <v/>
      </c>
      <c r="B505" s="53" t="n"/>
      <c r="C505" s="78" t="n">
        <v>2025</v>
      </c>
      <c r="D505" s="78" t="inlineStr">
        <is>
          <t>窦鹏岐</t>
        </is>
      </c>
      <c r="E505" s="53" t="n"/>
      <c r="F505" s="53" t="n"/>
      <c r="G505" s="53" t="n"/>
      <c r="H505" s="80" t="inlineStr">
        <is>
          <t>用户查看主机中风险漏洞概况信息</t>
        </is>
      </c>
      <c r="I505" s="76" t="n"/>
      <c r="J505" s="108" t="n"/>
      <c r="K505" s="108" t="inlineStr">
        <is>
          <t>和上行合并，输入输出完全一致，相同查询</t>
        </is>
      </c>
      <c r="L505" s="83">
        <f>IF(OR(X505="估算法",X505="算法类",X505="无法识别"),"",IF(V505="",IF(OR(I505="EI",I505="EO",I505="EQ"),0,""),LEN(V505)-LEN(SUBSTITUTE(V505,"、",""))+1))</f>
        <v/>
      </c>
      <c r="M505" s="83">
        <f>IF(OR(X505="估算法",X505="算法类",X505="无法识别"),"",IF(W505="",IF(OR(I505="ILF",I505="EIF"),0,""),LEN(W505)-LEN(SUBSTITUTE(W505,"、",""))+1))</f>
        <v/>
      </c>
      <c r="N505" s="83">
        <f>IF(OR(X505="估算法",X505="算法类",X505="无法识别"),"",IF(X505="",IF(OR(I505="ILF",I505="EIF",I505="EI",I505="EO",I505="EQ"),0,""),LEN(X505)-LEN(SUBSTITUTE(SUBSTITUTE(SUBSTITUTE(SUBSTITUTE(SUBSTITUTE(X505,"|}","--"),"{|","--"),CHAR(10),""),"、",""),"|",""))+IF(AND(OR(I505="EI",I505="EO",I505="EQ"),$AD$1="NESMA"),2,1)))</f>
        <v/>
      </c>
      <c r="O505" s="84">
        <f>IF(I505="EI",IF(OR(X505="估算法",X505="算法类"),"中",IF(X505="无法识别","低",IF(L505&lt;2,IF(N505&lt;16,"低","中"),IF(L505&lt;3,IF(N505&lt;5,"低",IF(N505&lt;16,"中","高")),IF(N505&lt;5,"中","高"))))),IF(OR(I505="EO",I505="EQ"),IF(OR(X505="估算法",X505="算法类"),"中",IF(X505="无法识别","低",IF(L505&lt;2,IF(N505&lt;20,"低","中"),IF(L505&lt;4,IF(N505&lt;6,"低",IF(N505&lt;20,"中","高")),IF(N505&lt;6,"中","高"))))),IF(OR(I505="ILF",I505="EIF"),IF(OR(X505="估算法",X505="算法类",X505="无法识别"),"低",IF(M505&lt;2,IF(N505&lt;51,"低","中"),IF(M505&lt;6,IF(N505&lt;20,"低",IF(N505&lt;51,"中","高")),IF(N505&lt;20,"中","高")))),"不计算")))</f>
        <v/>
      </c>
      <c r="P505" s="142">
        <f>IFERROR(IF(I505="EI",IF(O505="低",3,IF(O505="中",4,6)),IF(I505="EO",IF(O505="低",4,IF(O505="中",5,7)),IF(I505="EQ",IF(O505="低",3,IF(O505="中",4,6)),IF(I505="ILF",IF(O505="低",7,IF(O505="中",10,15)),IF(I505="EIF",IF(O505="低",5,IF(O505="中",7,10)),"不计算")))))*Q505,"不计算")</f>
        <v/>
      </c>
      <c r="Q505" s="142" t="n">
        <v>0.333333333333333</v>
      </c>
      <c r="R505" s="143">
        <f>调整因子!$F$13</f>
        <v/>
      </c>
      <c r="S505" s="70" t="n">
        <v>1</v>
      </c>
      <c r="T505" s="144">
        <f>IFERROR(P505*R505,0)</f>
        <v/>
      </c>
      <c r="U505" s="144">
        <f>T505*S505</f>
        <v/>
      </c>
      <c r="V505" s="76" t="inlineStr">
        <is>
          <t>用户偏好设置表、主机漏洞详情表</t>
        </is>
      </c>
      <c r="W505" s="81" t="n"/>
      <c r="X505" s="76" t="inlineStr">
        <is>
          <t>用户偏好设置表{主键 id 、用户 id 、偏好设置名称、偏好设置值、最后更新时间}
主机漏洞详情表{主键id、主机id、漏洞id、漏洞名称、漏洞描述、风险等级、发现时间、状态、修复建议}</t>
        </is>
      </c>
      <c r="Y505" s="88" t="n"/>
      <c r="Z505" s="88" t="n"/>
      <c r="AA505" s="70" t="n"/>
    </row>
    <row r="506" hidden="1" ht="32.4" customFormat="1" customHeight="1" s="63">
      <c r="A506" s="69">
        <f>ROW()-1</f>
        <v/>
      </c>
      <c r="B506" s="53" t="n"/>
      <c r="C506" s="78" t="n">
        <v>2025</v>
      </c>
      <c r="D506" s="78" t="inlineStr">
        <is>
          <t>窦鹏岐</t>
        </is>
      </c>
      <c r="E506" s="53" t="n"/>
      <c r="F506" s="53" t="n"/>
      <c r="G506" s="53" t="n"/>
      <c r="H506" s="80" t="inlineStr">
        <is>
          <t>用户查看主机低风险漏洞概况信息</t>
        </is>
      </c>
      <c r="I506" s="76" t="n"/>
      <c r="J506" s="108" t="n"/>
      <c r="K506" s="108" t="inlineStr">
        <is>
          <t>和上行合并，输入输出完全一致，相同查询</t>
        </is>
      </c>
      <c r="L506" s="83">
        <f>IF(OR(X506="估算法",X506="算法类",X506="无法识别"),"",IF(V506="",IF(OR(I506="EI",I506="EO",I506="EQ"),0,""),LEN(V506)-LEN(SUBSTITUTE(V506,"、",""))+1))</f>
        <v/>
      </c>
      <c r="M506" s="83">
        <f>IF(OR(X506="估算法",X506="算法类",X506="无法识别"),"",IF(W506="",IF(OR(I506="ILF",I506="EIF"),0,""),LEN(W506)-LEN(SUBSTITUTE(W506,"、",""))+1))</f>
        <v/>
      </c>
      <c r="N506" s="83">
        <f>IF(OR(X506="估算法",X506="算法类",X506="无法识别"),"",IF(X506="",IF(OR(I506="ILF",I506="EIF",I506="EI",I506="EO",I506="EQ"),0,""),LEN(X506)-LEN(SUBSTITUTE(SUBSTITUTE(SUBSTITUTE(SUBSTITUTE(SUBSTITUTE(X506,"|}","--"),"{|","--"),CHAR(10),""),"、",""),"|",""))+IF(AND(OR(I506="EI",I506="EO",I506="EQ"),$AD$1="NESMA"),2,1)))</f>
        <v/>
      </c>
      <c r="O506" s="84">
        <f>IF(I506="EI",IF(OR(X506="估算法",X506="算法类"),"中",IF(X506="无法识别","低",IF(L506&lt;2,IF(N506&lt;16,"低","中"),IF(L506&lt;3,IF(N506&lt;5,"低",IF(N506&lt;16,"中","高")),IF(N506&lt;5,"中","高"))))),IF(OR(I506="EO",I506="EQ"),IF(OR(X506="估算法",X506="算法类"),"中",IF(X506="无法识别","低",IF(L506&lt;2,IF(N506&lt;20,"低","中"),IF(L506&lt;4,IF(N506&lt;6,"低",IF(N506&lt;20,"中","高")),IF(N506&lt;6,"中","高"))))),IF(OR(I506="ILF",I506="EIF"),IF(OR(X506="估算法",X506="算法类",X506="无法识别"),"低",IF(M506&lt;2,IF(N506&lt;51,"低","中"),IF(M506&lt;6,IF(N506&lt;20,"低",IF(N506&lt;51,"中","高")),IF(N506&lt;20,"中","高")))),"不计算")))</f>
        <v/>
      </c>
      <c r="P506" s="142">
        <f>IFERROR(IF(I506="EI",IF(O506="低",3,IF(O506="中",4,6)),IF(I506="EO",IF(O506="低",4,IF(O506="中",5,7)),IF(I506="EQ",IF(O506="低",3,IF(O506="中",4,6)),IF(I506="ILF",IF(O506="低",7,IF(O506="中",10,15)),IF(I506="EIF",IF(O506="低",5,IF(O506="中",7,10)),"不计算")))))*Q506,"不计算")</f>
        <v/>
      </c>
      <c r="Q506" s="142" t="n">
        <v>0.333333333333333</v>
      </c>
      <c r="R506" s="143">
        <f>调整因子!$F$13</f>
        <v/>
      </c>
      <c r="S506" s="76" t="n">
        <v>1</v>
      </c>
      <c r="T506" s="144">
        <f>IFERROR(P506*R506,0)</f>
        <v/>
      </c>
      <c r="U506" s="144">
        <f>T506*S506</f>
        <v/>
      </c>
      <c r="V506" s="76" t="inlineStr">
        <is>
          <t>用户偏好设置表、主机漏洞详情表</t>
        </is>
      </c>
      <c r="W506" s="81" t="n"/>
      <c r="X506" s="76" t="inlineStr">
        <is>
          <t>用户偏好设置表{主键 id 、用户 id 、偏好设置名称、偏好设置值、最后更新时间}
主机漏洞详情表{主键id、主机id、漏洞id、漏洞名称、漏洞描述、风险等级、发现时间、状态、修复建议}</t>
        </is>
      </c>
      <c r="Y506" s="88" t="n"/>
      <c r="Z506" s="88" t="n"/>
      <c r="AA506" s="70" t="n"/>
    </row>
    <row r="507" hidden="1" ht="32.4" customFormat="1" customHeight="1" s="63">
      <c r="A507" s="69">
        <f>ROW()-1</f>
        <v/>
      </c>
      <c r="B507" s="53" t="n"/>
      <c r="C507" s="78" t="n">
        <v>2025</v>
      </c>
      <c r="D507" s="78" t="inlineStr">
        <is>
          <t>窦鹏岐</t>
        </is>
      </c>
      <c r="E507" s="53" t="n"/>
      <c r="F507" s="53" t="n"/>
      <c r="G507" s="53" t="n"/>
      <c r="H507" s="80" t="inlineStr">
        <is>
          <t>用户查看主机漏洞详情</t>
        </is>
      </c>
      <c r="I507" s="76" t="n"/>
      <c r="J507" s="108" t="n"/>
      <c r="K507" s="108" t="inlineStr">
        <is>
          <t>和上行合并，输入输出完全一致，相同查询</t>
        </is>
      </c>
      <c r="L507" s="83">
        <f>IF(OR(X507="估算法",X507="算法类",X507="无法识别"),"",IF(V507="",IF(OR(I507="EI",I507="EO",I507="EQ"),0,""),LEN(V507)-LEN(SUBSTITUTE(V507,"、",""))+1))</f>
        <v/>
      </c>
      <c r="M507" s="83">
        <f>IF(OR(X507="估算法",X507="算法类",X507="无法识别"),"",IF(W507="",IF(OR(I507="ILF",I507="EIF"),0,""),LEN(W507)-LEN(SUBSTITUTE(W507,"、",""))+1))</f>
        <v/>
      </c>
      <c r="N507" s="83">
        <f>IF(OR(X507="估算法",X507="算法类",X507="无法识别"),"",IF(X507="",IF(OR(I507="ILF",I507="EIF",I507="EI",I507="EO",I507="EQ"),0,""),LEN(X507)-LEN(SUBSTITUTE(SUBSTITUTE(SUBSTITUTE(SUBSTITUTE(SUBSTITUTE(X507,"|}","--"),"{|","--"),CHAR(10),""),"、",""),"|",""))+IF(AND(OR(I507="EI",I507="EO",I507="EQ"),$AD$1="NESMA"),2,1)))</f>
        <v/>
      </c>
      <c r="O507" s="84">
        <f>IF(I507="EI",IF(OR(X507="估算法",X507="算法类"),"中",IF(X507="无法识别","低",IF(L507&lt;2,IF(N507&lt;16,"低","中"),IF(L507&lt;3,IF(N507&lt;5,"低",IF(N507&lt;16,"中","高")),IF(N507&lt;5,"中","高"))))),IF(OR(I507="EO",I507="EQ"),IF(OR(X507="估算法",X507="算法类"),"中",IF(X507="无法识别","低",IF(L507&lt;2,IF(N507&lt;20,"低","中"),IF(L507&lt;4,IF(N507&lt;6,"低",IF(N507&lt;20,"中","高")),IF(N507&lt;6,"中","高"))))),IF(OR(I507="ILF",I507="EIF"),IF(OR(X507="估算法",X507="算法类",X507="无法识别"),"低",IF(M507&lt;2,IF(N507&lt;51,"低","中"),IF(M507&lt;6,IF(N507&lt;20,"低",IF(N507&lt;51,"中","高")),IF(N507&lt;20,"中","高")))),"不计算")))</f>
        <v/>
      </c>
      <c r="P507" s="142">
        <f>IFERROR(IF(I507="EI",IF(O507="低",3,IF(O507="中",4,6)),IF(I507="EO",IF(O507="低",4,IF(O507="中",5,7)),IF(I507="EQ",IF(O507="低",3,IF(O507="中",4,6)),IF(I507="ILF",IF(O507="低",7,IF(O507="中",10,15)),IF(I507="EIF",IF(O507="低",5,IF(O507="中",7,10)),"不计算")))))*Q507,"不计算")</f>
        <v/>
      </c>
      <c r="Q507" s="142" t="n">
        <v>1</v>
      </c>
      <c r="R507" s="143">
        <f>调整因子!$F$13</f>
        <v/>
      </c>
      <c r="S507" s="70" t="n">
        <v>1</v>
      </c>
      <c r="T507" s="144">
        <f>IFERROR(P507*R507,0)</f>
        <v/>
      </c>
      <c r="U507" s="144">
        <f>T507*S507</f>
        <v/>
      </c>
      <c r="V507" s="76" t="inlineStr">
        <is>
          <t>用户偏好设置表、主机漏洞详情表</t>
        </is>
      </c>
      <c r="W507" s="81" t="n"/>
      <c r="X507" s="76" t="inlineStr">
        <is>
          <t>用户偏好设置表{主键 id 、用户 id 、偏好设置名称、偏好设置值、最后更新时间}
主机漏洞详情表{主键id、主机id、漏洞id、漏洞名称、漏洞描述、风险等级、发现时间、状态、修复建议}</t>
        </is>
      </c>
      <c r="Y507" s="88" t="n"/>
      <c r="Z507" s="88" t="n"/>
      <c r="AA507" s="70" t="n"/>
    </row>
    <row r="508" hidden="1" ht="32.4" customFormat="1" customHeight="1" s="63">
      <c r="A508" s="69">
        <f>ROW()-1</f>
        <v/>
      </c>
      <c r="B508" s="53" t="n"/>
      <c r="C508" s="78" t="n">
        <v>2025</v>
      </c>
      <c r="D508" s="78" t="inlineStr">
        <is>
          <t>窦鹏岐</t>
        </is>
      </c>
      <c r="E508" s="53" t="n"/>
      <c r="F508" s="53" t="n"/>
      <c r="G508" s="53" t="n"/>
      <c r="H508" s="80" t="inlineStr">
        <is>
          <t>用户查看资产属性</t>
        </is>
      </c>
      <c r="I508" s="76" t="inlineStr">
        <is>
          <t>EQ</t>
        </is>
      </c>
      <c r="J508" s="108" t="n"/>
      <c r="K508" s="108" t="n"/>
      <c r="L508" s="83">
        <f>IF(OR(X508="估算法",X508="算法类",X508="无法识别"),"",IF(V508="",IF(OR(I508="EI",I508="EO",I508="EQ"),0,""),LEN(V508)-LEN(SUBSTITUTE(V508,"、",""))+1))</f>
        <v/>
      </c>
      <c r="M508" s="83">
        <f>IF(OR(X508="估算法",X508="算法类",X508="无法识别"),"",IF(W508="",IF(OR(I508="ILF",I508="EIF"),0,""),LEN(W508)-LEN(SUBSTITUTE(W508,"、",""))+1))</f>
        <v/>
      </c>
      <c r="N508" s="83">
        <f>IF(OR(X508="估算法",X508="算法类",X508="无法识别"),"",IF(X508="",IF(OR(I508="ILF",I508="EIF",I508="EI",I508="EO",I508="EQ"),0,""),LEN(X508)-LEN(SUBSTITUTE(SUBSTITUTE(SUBSTITUTE(SUBSTITUTE(SUBSTITUTE(X508,"|}","--"),"{|","--"),CHAR(10),""),"、",""),"|",""))+IF(AND(OR(I508="EI",I508="EO",I508="EQ"),$AD$1="NESMA"),2,1)))</f>
        <v/>
      </c>
      <c r="O508" s="84">
        <f>IF(I508="EI",IF(OR(X508="估算法",X508="算法类"),"中",IF(X508="无法识别","低",IF(L508&lt;2,IF(N508&lt;16,"低","中"),IF(L508&lt;3,IF(N508&lt;5,"低",IF(N508&lt;16,"中","高")),IF(N508&lt;5,"中","高"))))),IF(OR(I508="EO",I508="EQ"),IF(OR(X508="估算法",X508="算法类"),"中",IF(X508="无法识别","低",IF(L508&lt;2,IF(N508&lt;20,"低","中"),IF(L508&lt;4,IF(N508&lt;6,"低",IF(N508&lt;20,"中","高")),IF(N508&lt;6,"中","高"))))),IF(OR(I508="ILF",I508="EIF"),IF(OR(X508="估算法",X508="算法类",X508="无法识别"),"低",IF(M508&lt;2,IF(N508&lt;51,"低","中"),IF(M508&lt;6,IF(N508&lt;20,"低",IF(N508&lt;51,"中","高")),IF(N508&lt;20,"中","高")))),"不计算")))</f>
        <v/>
      </c>
      <c r="P508" s="142">
        <f>IFERROR(IF(I508="EI",IF(O508="低",3,IF(O508="中",4,6)),IF(I508="EO",IF(O508="低",4,IF(O508="中",5,7)),IF(I508="EQ",IF(O508="低",3,IF(O508="中",4,6)),IF(I508="ILF",IF(O508="低",7,IF(O508="中",10,15)),IF(I508="EIF",IF(O508="低",5,IF(O508="中",7,10)),"不计算")))))*Q508,"不计算")</f>
        <v/>
      </c>
      <c r="Q508" s="142" t="n">
        <v>1</v>
      </c>
      <c r="R508" s="143">
        <f>调整因子!$F$13</f>
        <v/>
      </c>
      <c r="S508" s="70" t="n">
        <v>1</v>
      </c>
      <c r="T508" s="144">
        <f>IFERROR(P508*R508,0)</f>
        <v/>
      </c>
      <c r="U508" s="144">
        <f>T508*S508</f>
        <v/>
      </c>
      <c r="V508" s="76" t="inlineStr">
        <is>
          <t>用户偏好设置表、资产属性表</t>
        </is>
      </c>
      <c r="W508" s="81" t="n"/>
      <c r="X508" s="76" t="inlineStr">
        <is>
          <t>用户偏好设置表{主键 id 、用户 id 、偏好设置名称、偏好设置值、最后更新时间}
资产属性表{主键 id 、资产 id 、资产类型（IP/网站等）、属性名称、属性值、最后更新时间}</t>
        </is>
      </c>
      <c r="Y508" s="88" t="n"/>
      <c r="Z508" s="88" t="n"/>
      <c r="AA508" s="70" t="n"/>
    </row>
    <row r="509" hidden="1" ht="21.6" customFormat="1" customHeight="1" s="63">
      <c r="A509" s="69">
        <f>ROW()-1</f>
        <v/>
      </c>
      <c r="B509" s="53" t="n"/>
      <c r="C509" s="78" t="n">
        <v>2025</v>
      </c>
      <c r="D509" s="78" t="inlineStr">
        <is>
          <t>窦鹏岐</t>
        </is>
      </c>
      <c r="E509" s="53" t="n"/>
      <c r="F509" s="53" t="n"/>
      <c r="G509" s="53" t="n"/>
      <c r="H509" s="80" t="inlineStr">
        <is>
          <t>资产属性表</t>
        </is>
      </c>
      <c r="I509" s="81" t="inlineStr">
        <is>
          <t>ILF</t>
        </is>
      </c>
      <c r="J509" s="108" t="n"/>
      <c r="K509" s="108" t="inlineStr">
        <is>
          <t>数据库表未被本系统所维护</t>
        </is>
      </c>
      <c r="L509" s="83">
        <f>IF(OR(X509="估算法",X509="算法类",X509="无法识别"),"",IF(V509="",IF(OR(I509="EI",I509="EO",I509="EQ"),0,""),LEN(V509)-LEN(SUBSTITUTE(V509,"、",""))+1))</f>
        <v/>
      </c>
      <c r="M509" s="83">
        <f>IF(OR(X509="估算法",X509="算法类",X509="无法识别"),"",IF(W509="",IF(OR(I509="ILF",I509="EIF"),0,""),LEN(W509)-LEN(SUBSTITUTE(W509,"、",""))+1))</f>
        <v/>
      </c>
      <c r="N509" s="83">
        <f>IF(OR(X509="估算法",X509="算法类",X509="无法识别"),"",IF(X509="",IF(OR(I509="ILF",I509="EIF",I509="EI",I509="EO",I509="EQ"),0,""),LEN(X509)-LEN(SUBSTITUTE(SUBSTITUTE(SUBSTITUTE(SUBSTITUTE(SUBSTITUTE(X509,"|}","--"),"{|","--"),CHAR(10),""),"、",""),"|",""))+IF(AND(OR(I509="EI",I509="EO",I509="EQ"),$AD$1="NESMA"),2,1)))</f>
        <v/>
      </c>
      <c r="O509" s="84">
        <f>IF(I509="EI",IF(OR(X509="估算法",X509="算法类"),"中",IF(X509="无法识别","低",IF(L509&lt;2,IF(N509&lt;16,"低","中"),IF(L509&lt;3,IF(N509&lt;5,"低",IF(N509&lt;16,"中","高")),IF(N509&lt;5,"中","高"))))),IF(OR(I509="EO",I509="EQ"),IF(OR(X509="估算法",X509="算法类"),"中",IF(X509="无法识别","低",IF(L509&lt;2,IF(N509&lt;20,"低","中"),IF(L509&lt;4,IF(N509&lt;6,"低",IF(N509&lt;20,"中","高")),IF(N509&lt;6,"中","高"))))),IF(OR(I509="ILF",I509="EIF"),IF(OR(X509="估算法",X509="算法类",X509="无法识别"),"低",IF(M509&lt;2,IF(N509&lt;51,"低","中"),IF(M509&lt;6,IF(N509&lt;20,"低",IF(N509&lt;51,"中","高")),IF(N509&lt;20,"中","高")))),"不计算")))</f>
        <v/>
      </c>
      <c r="P509" s="142">
        <f>IFERROR(IF(I509="EI",IF(O509="低",3,IF(O509="中",4,6)),IF(I509="EO",IF(O509="低",4,IF(O509="中",5,7)),IF(I509="EQ",IF(O509="低",3,IF(O509="中",4,6)),IF(I509="ILF",IF(O509="低",7,IF(O509="中",10,15)),IF(I509="EIF",IF(O509="低",5,IF(O509="中",7,10)),"不计算")))))*Q509,"不计算")</f>
        <v/>
      </c>
      <c r="Q509" s="142" t="n">
        <v>0</v>
      </c>
      <c r="R509" s="143">
        <f>调整因子!$F$13</f>
        <v/>
      </c>
      <c r="S509" s="76" t="n">
        <v>1</v>
      </c>
      <c r="T509" s="144">
        <f>IFERROR(P509*R509,0)</f>
        <v/>
      </c>
      <c r="U509" s="144">
        <f>T509*S509</f>
        <v/>
      </c>
      <c r="V509" s="81" t="n"/>
      <c r="W509" s="76" t="inlineStr">
        <is>
          <t>资产属性表</t>
        </is>
      </c>
      <c r="X509" s="76" t="inlineStr">
        <is>
          <t>资产属性表{主键 id 、资产 id 、资产类型（IP/网站等）、属性名称、属性值、最后更新时间}</t>
        </is>
      </c>
      <c r="Y509" s="88">
        <f>IF(COUNTIFS(V:V,"*"&amp;H509&amp;"*")&gt;0,"存在","不存在")</f>
        <v/>
      </c>
      <c r="Z509" s="88">
        <f>IF(COUNTIFS(AA:AA,"*"&amp;H509&amp;"*")&gt;0,"存在","不存在")</f>
        <v/>
      </c>
      <c r="AA509" s="70" t="n"/>
    </row>
    <row r="510" hidden="1" ht="10.8" customFormat="1" customHeight="1" s="63">
      <c r="A510" s="69">
        <f>ROW()-1</f>
        <v/>
      </c>
      <c r="B510" s="53" t="n"/>
      <c r="C510" s="78" t="n">
        <v>2025</v>
      </c>
      <c r="D510" s="78" t="inlineStr">
        <is>
          <t>窦鹏岐</t>
        </is>
      </c>
      <c r="E510" s="53" t="n"/>
      <c r="F510" s="53" t="n"/>
      <c r="G510" s="53" t="n"/>
      <c r="H510" s="80" t="inlineStr">
        <is>
          <t>用户偏好设置表</t>
        </is>
      </c>
      <c r="I510" s="81" t="inlineStr">
        <is>
          <t>ILF</t>
        </is>
      </c>
      <c r="J510" s="108" t="n"/>
      <c r="K510" s="108" t="inlineStr">
        <is>
          <t>数据库表未被本系统所维护</t>
        </is>
      </c>
      <c r="L510" s="83">
        <f>IF(OR(X510="估算法",X510="算法类",X510="无法识别"),"",IF(V510="",IF(OR(I510="EI",I510="EO",I510="EQ"),0,""),LEN(V510)-LEN(SUBSTITUTE(V510,"、",""))+1))</f>
        <v/>
      </c>
      <c r="M510" s="83">
        <f>IF(OR(X510="估算法",X510="算法类",X510="无法识别"),"",IF(W510="",IF(OR(I510="ILF",I510="EIF"),0,""),LEN(W510)-LEN(SUBSTITUTE(W510,"、",""))+1))</f>
        <v/>
      </c>
      <c r="N510" s="83">
        <f>IF(OR(X510="估算法",X510="算法类",X510="无法识别"),"",IF(X510="",IF(OR(I510="ILF",I510="EIF",I510="EI",I510="EO",I510="EQ"),0,""),LEN(X510)-LEN(SUBSTITUTE(SUBSTITUTE(SUBSTITUTE(SUBSTITUTE(SUBSTITUTE(X510,"|}","--"),"{|","--"),CHAR(10),""),"、",""),"|",""))+IF(AND(OR(I510="EI",I510="EO",I510="EQ"),$AD$1="NESMA"),2,1)))</f>
        <v/>
      </c>
      <c r="O510" s="84">
        <f>IF(I510="EI",IF(OR(X510="估算法",X510="算法类"),"中",IF(X510="无法识别","低",IF(L510&lt;2,IF(N510&lt;16,"低","中"),IF(L510&lt;3,IF(N510&lt;5,"低",IF(N510&lt;16,"中","高")),IF(N510&lt;5,"中","高"))))),IF(OR(I510="EO",I510="EQ"),IF(OR(X510="估算法",X510="算法类"),"中",IF(X510="无法识别","低",IF(L510&lt;2,IF(N510&lt;20,"低","中"),IF(L510&lt;4,IF(N510&lt;6,"低",IF(N510&lt;20,"中","高")),IF(N510&lt;6,"中","高"))))),IF(OR(I510="ILF",I510="EIF"),IF(OR(X510="估算法",X510="算法类",X510="无法识别"),"低",IF(M510&lt;2,IF(N510&lt;51,"低","中"),IF(M510&lt;6,IF(N510&lt;20,"低",IF(N510&lt;51,"中","高")),IF(N510&lt;20,"中","高")))),"不计算")))</f>
        <v/>
      </c>
      <c r="P510" s="142">
        <f>IFERROR(IF(I510="EI",IF(O510="低",3,IF(O510="中",4,6)),IF(I510="EO",IF(O510="低",4,IF(O510="中",5,7)),IF(I510="EQ",IF(O510="低",3,IF(O510="中",4,6)),IF(I510="ILF",IF(O510="低",7,IF(O510="中",10,15)),IF(I510="EIF",IF(O510="低",5,IF(O510="中",7,10)),"不计算")))))*Q510,"不计算")</f>
        <v/>
      </c>
      <c r="Q510" s="142" t="n">
        <v>0</v>
      </c>
      <c r="R510" s="143">
        <f>调整因子!$F$13</f>
        <v/>
      </c>
      <c r="S510" s="70" t="n">
        <v>1</v>
      </c>
      <c r="T510" s="144">
        <f>IFERROR(P510*R510,0)</f>
        <v/>
      </c>
      <c r="U510" s="144">
        <f>T510*S510</f>
        <v/>
      </c>
      <c r="V510" s="81" t="n"/>
      <c r="W510" s="76" t="inlineStr">
        <is>
          <t>用户偏好设置表</t>
        </is>
      </c>
      <c r="X510" s="76" t="inlineStr">
        <is>
          <t>用户偏好设置表{主键 id 、用户 id 、偏好设置名称、偏好设置值、最后更新时间}</t>
        </is>
      </c>
      <c r="Y510" s="88">
        <f>IF(COUNTIFS(V:V,"*"&amp;H510&amp;"*")&gt;0,"存在","不存在")</f>
        <v/>
      </c>
      <c r="Z510" s="88">
        <f>IF(COUNTIFS(AA:AA,"*"&amp;H510&amp;"*")&gt;0,"存在","不存在")</f>
        <v/>
      </c>
      <c r="AA510" s="70" t="n"/>
    </row>
    <row r="511" hidden="1" ht="21.6" customFormat="1" customHeight="1" s="63">
      <c r="A511" s="69">
        <f>ROW()-1</f>
        <v/>
      </c>
      <c r="B511" s="53" t="n"/>
      <c r="C511" s="78" t="n">
        <v>2025</v>
      </c>
      <c r="D511" s="78" t="inlineStr">
        <is>
          <t>窦鹏岐</t>
        </is>
      </c>
      <c r="E511" s="53" t="n"/>
      <c r="F511" s="53" t="n"/>
      <c r="G511" s="53" t="n"/>
      <c r="H511" s="80" t="inlineStr">
        <is>
          <t>用户资产表</t>
        </is>
      </c>
      <c r="I511" s="81" t="n"/>
      <c r="J511" s="108" t="n"/>
      <c r="K511" s="108" t="inlineStr">
        <is>
          <t>数据库表未被本系统所使用</t>
        </is>
      </c>
      <c r="L511" s="83">
        <f>IF(OR(X511="估算法",X511="算法类",X511="无法识别"),"",IF(V511="",IF(OR(I511="EI",I511="EO",I511="EQ"),0,""),LEN(V511)-LEN(SUBSTITUTE(V511,"、",""))+1))</f>
        <v/>
      </c>
      <c r="M511" s="83">
        <f>IF(OR(X511="估算法",X511="算法类",X511="无法识别"),"",IF(W511="",IF(OR(I511="ILF",I511="EIF"),0,""),LEN(W511)-LEN(SUBSTITUTE(W511,"、",""))+1))</f>
        <v/>
      </c>
      <c r="N511" s="83">
        <f>IF(OR(X511="估算法",X511="算法类",X511="无法识别"),"",IF(X511="",IF(OR(I511="ILF",I511="EIF",I511="EI",I511="EO",I511="EQ"),0,""),LEN(X511)-LEN(SUBSTITUTE(SUBSTITUTE(SUBSTITUTE(SUBSTITUTE(SUBSTITUTE(X511,"|}","--"),"{|","--"),CHAR(10),""),"、",""),"|",""))+IF(AND(OR(I511="EI",I511="EO",I511="EQ"),$AD$1="NESMA"),2,1)))</f>
        <v/>
      </c>
      <c r="O511" s="84">
        <f>IF(I511="EI",IF(OR(X511="估算法",X511="算法类"),"中",IF(X511="无法识别","低",IF(L511&lt;2,IF(N511&lt;16,"低","中"),IF(L511&lt;3,IF(N511&lt;5,"低",IF(N511&lt;16,"中","高")),IF(N511&lt;5,"中","高"))))),IF(OR(I511="EO",I511="EQ"),IF(OR(X511="估算法",X511="算法类"),"中",IF(X511="无法识别","低",IF(L511&lt;2,IF(N511&lt;20,"低","中"),IF(L511&lt;4,IF(N511&lt;6,"低",IF(N511&lt;20,"中","高")),IF(N511&lt;6,"中","高"))))),IF(OR(I511="ILF",I511="EIF"),IF(OR(X511="估算法",X511="算法类",X511="无法识别"),"低",IF(M511&lt;2,IF(N511&lt;51,"低","中"),IF(M511&lt;6,IF(N511&lt;20,"低",IF(N511&lt;51,"中","高")),IF(N511&lt;20,"中","高")))),"不计算")))</f>
        <v/>
      </c>
      <c r="P511" s="142">
        <f>IFERROR(IF(I511="EI",IF(O511="低",3,IF(O511="中",4,6)),IF(I511="EO",IF(O511="低",4,IF(O511="中",5,7)),IF(I511="EQ",IF(O511="低",3,IF(O511="中",4,6)),IF(I511="ILF",IF(O511="低",7,IF(O511="中",10,15)),IF(I511="EIF",IF(O511="低",5,IF(O511="中",7,10)),"不计算")))))*Q511,"不计算")</f>
        <v/>
      </c>
      <c r="Q511" s="142" t="n">
        <v>1</v>
      </c>
      <c r="R511" s="143">
        <f>调整因子!$F$13</f>
        <v/>
      </c>
      <c r="S511" s="70" t="n">
        <v>1</v>
      </c>
      <c r="T511" s="144">
        <f>IFERROR(P511*R511,0)</f>
        <v/>
      </c>
      <c r="U511" s="144">
        <f>T511*S511</f>
        <v/>
      </c>
      <c r="V511" s="81" t="n"/>
      <c r="W511" s="76" t="inlineStr">
        <is>
          <t>用户资产表</t>
        </is>
      </c>
      <c r="X511" s="76" t="inlineStr">
        <is>
          <t>用户资产表{主键id、用户id、资产类型（IP/网站等）、资产名称、资产描述、创建时间、最后更新时间}</t>
        </is>
      </c>
      <c r="Y511" s="88">
        <f>IF(COUNTIFS(V:V,"*"&amp;H511&amp;"*")&gt;0,"存在","不存在")</f>
        <v/>
      </c>
      <c r="Z511" s="88">
        <f>IF(COUNTIFS(AA:AA,"*"&amp;H511&amp;"*")&gt;0,"存在","不存在")</f>
        <v/>
      </c>
      <c r="AA511" s="70" t="n"/>
    </row>
    <row r="512" hidden="1" ht="21.6" customFormat="1" customHeight="1" s="63">
      <c r="A512" s="69">
        <f>ROW()-1</f>
        <v/>
      </c>
      <c r="B512" s="53" t="n"/>
      <c r="C512" s="78" t="n">
        <v>2025</v>
      </c>
      <c r="D512" s="78" t="inlineStr">
        <is>
          <t>窦鹏岐</t>
        </is>
      </c>
      <c r="E512" s="53" t="n"/>
      <c r="F512" s="53" t="n"/>
      <c r="G512" s="53" t="n"/>
      <c r="H512" s="80" t="inlineStr">
        <is>
          <t>IP资产表</t>
        </is>
      </c>
      <c r="I512" s="81" t="inlineStr">
        <is>
          <t>ILF</t>
        </is>
      </c>
      <c r="J512" s="108" t="n"/>
      <c r="K512" s="108" t="inlineStr">
        <is>
          <t>数据库表未被本系统所维护</t>
        </is>
      </c>
      <c r="L512" s="83">
        <f>IF(OR(X512="估算法",X512="算法类",X512="无法识别"),"",IF(V512="",IF(OR(I512="EI",I512="EO",I512="EQ"),0,""),LEN(V512)-LEN(SUBSTITUTE(V512,"、",""))+1))</f>
        <v/>
      </c>
      <c r="M512" s="83">
        <f>IF(OR(X512="估算法",X512="算法类",X512="无法识别"),"",IF(W512="",IF(OR(I512="ILF",I512="EIF"),0,""),LEN(W512)-LEN(SUBSTITUTE(W512,"、",""))+1))</f>
        <v/>
      </c>
      <c r="N512" s="83">
        <f>IF(OR(X512="估算法",X512="算法类",X512="无法识别"),"",IF(X512="",IF(OR(I512="ILF",I512="EIF",I512="EI",I512="EO",I512="EQ"),0,""),LEN(X512)-LEN(SUBSTITUTE(SUBSTITUTE(SUBSTITUTE(SUBSTITUTE(SUBSTITUTE(X512,"|}","--"),"{|","--"),CHAR(10),""),"、",""),"|",""))+IF(AND(OR(I512="EI",I512="EO",I512="EQ"),$AD$1="NESMA"),2,1)))</f>
        <v/>
      </c>
      <c r="O512" s="84">
        <f>IF(I512="EI",IF(OR(X512="估算法",X512="算法类"),"中",IF(X512="无法识别","低",IF(L512&lt;2,IF(N512&lt;16,"低","中"),IF(L512&lt;3,IF(N512&lt;5,"低",IF(N512&lt;16,"中","高")),IF(N512&lt;5,"中","高"))))),IF(OR(I512="EO",I512="EQ"),IF(OR(X512="估算法",X512="算法类"),"中",IF(X512="无法识别","低",IF(L512&lt;2,IF(N512&lt;20,"低","中"),IF(L512&lt;4,IF(N512&lt;6,"低",IF(N512&lt;20,"中","高")),IF(N512&lt;6,"中","高"))))),IF(OR(I512="ILF",I512="EIF"),IF(OR(X512="估算法",X512="算法类",X512="无法识别"),"低",IF(M512&lt;2,IF(N512&lt;51,"低","中"),IF(M512&lt;6,IF(N512&lt;20,"低",IF(N512&lt;51,"中","高")),IF(N512&lt;20,"中","高")))),"不计算")))</f>
        <v/>
      </c>
      <c r="P512" s="142">
        <f>IFERROR(IF(I512="EI",IF(O512="低",3,IF(O512="中",4,6)),IF(I512="EO",IF(O512="低",4,IF(O512="中",5,7)),IF(I512="EQ",IF(O512="低",3,IF(O512="中",4,6)),IF(I512="ILF",IF(O512="低",7,IF(O512="中",10,15)),IF(I512="EIF",IF(O512="低",5,IF(O512="中",7,10)),"不计算")))))*Q512,"不计算")</f>
        <v/>
      </c>
      <c r="Q512" s="142" t="n">
        <v>0</v>
      </c>
      <c r="R512" s="143">
        <f>调整因子!$F$13</f>
        <v/>
      </c>
      <c r="S512" s="76" t="n">
        <v>1</v>
      </c>
      <c r="T512" s="144">
        <f>IFERROR(P512*R512,0)</f>
        <v/>
      </c>
      <c r="U512" s="144">
        <f>T512*S512</f>
        <v/>
      </c>
      <c r="V512" s="81" t="n"/>
      <c r="W512" s="76" t="inlineStr">
        <is>
          <t>IP资产表</t>
        </is>
      </c>
      <c r="X512" s="76" t="inlineStr">
        <is>
          <t>IP资产表{主键id、用户id、IP地址、资产名称、资产描述、创建时间、最后更新时间}</t>
        </is>
      </c>
      <c r="Y512" s="88">
        <f>IF(COUNTIFS(V:V,"*"&amp;H512&amp;"*")&gt;0,"存在","不存在")</f>
        <v/>
      </c>
      <c r="Z512" s="88">
        <f>IF(COUNTIFS(AA:AA,"*"&amp;H512&amp;"*")&gt;0,"存在","不存在")</f>
        <v/>
      </c>
      <c r="AA512" s="70" t="n"/>
    </row>
    <row r="513" hidden="1" ht="21.6" customFormat="1" customHeight="1" s="63">
      <c r="A513" s="69">
        <f>ROW()-1</f>
        <v/>
      </c>
      <c r="B513" s="53" t="n"/>
      <c r="C513" s="78" t="n">
        <v>2025</v>
      </c>
      <c r="D513" s="78" t="inlineStr">
        <is>
          <t>窦鹏岐</t>
        </is>
      </c>
      <c r="E513" s="53" t="n"/>
      <c r="F513" s="53" t="n"/>
      <c r="G513" s="53" t="n"/>
      <c r="H513" s="80" t="inlineStr">
        <is>
          <t>网站资产表</t>
        </is>
      </c>
      <c r="I513" s="81" t="inlineStr">
        <is>
          <t>ILF</t>
        </is>
      </c>
      <c r="J513" s="108" t="n"/>
      <c r="K513" s="108" t="inlineStr">
        <is>
          <t>数据库表未被本系统所维护</t>
        </is>
      </c>
      <c r="L513" s="83">
        <f>IF(OR(X513="估算法",X513="算法类",X513="无法识别"),"",IF(V513="",IF(OR(I513="EI",I513="EO",I513="EQ"),0,""),LEN(V513)-LEN(SUBSTITUTE(V513,"、",""))+1))</f>
        <v/>
      </c>
      <c r="M513" s="83">
        <f>IF(OR(X513="估算法",X513="算法类",X513="无法识别"),"",IF(W513="",IF(OR(I513="ILF",I513="EIF"),0,""),LEN(W513)-LEN(SUBSTITUTE(W513,"、",""))+1))</f>
        <v/>
      </c>
      <c r="N513" s="83">
        <f>IF(OR(X513="估算法",X513="算法类",X513="无法识别"),"",IF(X513="",IF(OR(I513="ILF",I513="EIF",I513="EI",I513="EO",I513="EQ"),0,""),LEN(X513)-LEN(SUBSTITUTE(SUBSTITUTE(SUBSTITUTE(SUBSTITUTE(SUBSTITUTE(X513,"|}","--"),"{|","--"),CHAR(10),""),"、",""),"|",""))+IF(AND(OR(I513="EI",I513="EO",I513="EQ"),$AD$1="NESMA"),2,1)))</f>
        <v/>
      </c>
      <c r="O513" s="84">
        <f>IF(I513="EI",IF(OR(X513="估算法",X513="算法类"),"中",IF(X513="无法识别","低",IF(L513&lt;2,IF(N513&lt;16,"低","中"),IF(L513&lt;3,IF(N513&lt;5,"低",IF(N513&lt;16,"中","高")),IF(N513&lt;5,"中","高"))))),IF(OR(I513="EO",I513="EQ"),IF(OR(X513="估算法",X513="算法类"),"中",IF(X513="无法识别","低",IF(L513&lt;2,IF(N513&lt;20,"低","中"),IF(L513&lt;4,IF(N513&lt;6,"低",IF(N513&lt;20,"中","高")),IF(N513&lt;6,"中","高"))))),IF(OR(I513="ILF",I513="EIF"),IF(OR(X513="估算法",X513="算法类",X513="无法识别"),"低",IF(M513&lt;2,IF(N513&lt;51,"低","中"),IF(M513&lt;6,IF(N513&lt;20,"低",IF(N513&lt;51,"中","高")),IF(N513&lt;20,"中","高")))),"不计算")))</f>
        <v/>
      </c>
      <c r="P513" s="142">
        <f>IFERROR(IF(I513="EI",IF(O513="低",3,IF(O513="中",4,6)),IF(I513="EO",IF(O513="低",4,IF(O513="中",5,7)),IF(I513="EQ",IF(O513="低",3,IF(O513="中",4,6)),IF(I513="ILF",IF(O513="低",7,IF(O513="中",10,15)),IF(I513="EIF",IF(O513="低",5,IF(O513="中",7,10)),"不计算")))))*Q513,"不计算")</f>
        <v/>
      </c>
      <c r="Q513" s="142" t="n">
        <v>0</v>
      </c>
      <c r="R513" s="143">
        <f>调整因子!$F$13</f>
        <v/>
      </c>
      <c r="S513" s="70" t="n">
        <v>1</v>
      </c>
      <c r="T513" s="144">
        <f>IFERROR(P513*R513,0)</f>
        <v/>
      </c>
      <c r="U513" s="144">
        <f>T513*S513</f>
        <v/>
      </c>
      <c r="V513" s="81" t="n"/>
      <c r="W513" s="76" t="inlineStr">
        <is>
          <t>网站资产表</t>
        </is>
      </c>
      <c r="X513" s="76" t="inlineStr">
        <is>
          <t>网站资产表{主键id、用户id、网站域名、资产名称、资产描述、创建时间、最后更新时间}</t>
        </is>
      </c>
      <c r="Y513" s="88">
        <f>IF(COUNTIFS(V:V,"*"&amp;H513&amp;"*")&gt;0,"存在","不存在")</f>
        <v/>
      </c>
      <c r="Z513" s="88">
        <f>IF(COUNTIFS(AA:AA,"*"&amp;H513&amp;"*")&gt;0,"存在","不存在")</f>
        <v/>
      </c>
      <c r="AA513" s="70" t="n"/>
    </row>
    <row r="514" hidden="1" ht="10.8" customFormat="1" customHeight="1" s="63">
      <c r="A514" s="69">
        <f>ROW()-1</f>
        <v/>
      </c>
      <c r="B514" s="53" t="n"/>
      <c r="C514" s="78" t="n">
        <v>2025</v>
      </c>
      <c r="D514" s="78" t="inlineStr">
        <is>
          <t>窦鹏岐</t>
        </is>
      </c>
      <c r="E514" s="53" t="n"/>
      <c r="F514" s="53" t="n"/>
      <c r="G514" s="53" t="n"/>
      <c r="H514" s="80" t="inlineStr">
        <is>
          <t>开放端口表</t>
        </is>
      </c>
      <c r="I514" s="81" t="inlineStr">
        <is>
          <t>ILF</t>
        </is>
      </c>
      <c r="J514" s="108" t="n"/>
      <c r="K514" s="108" t="inlineStr">
        <is>
          <t>数据库表未被本系统所维护</t>
        </is>
      </c>
      <c r="L514" s="83">
        <f>IF(OR(X514="估算法",X514="算法类",X514="无法识别"),"",IF(V514="",IF(OR(I514="EI",I514="EO",I514="EQ"),0,""),LEN(V514)-LEN(SUBSTITUTE(V514,"、",""))+1))</f>
        <v/>
      </c>
      <c r="M514" s="83">
        <f>IF(OR(X514="估算法",X514="算法类",X514="无法识别"),"",IF(W514="",IF(OR(I514="ILF",I514="EIF"),0,""),LEN(W514)-LEN(SUBSTITUTE(W514,"、",""))+1))</f>
        <v/>
      </c>
      <c r="N514" s="83">
        <f>IF(OR(X514="估算法",X514="算法类",X514="无法识别"),"",IF(X514="",IF(OR(I514="ILF",I514="EIF",I514="EI",I514="EO",I514="EQ"),0,""),LEN(X514)-LEN(SUBSTITUTE(SUBSTITUTE(SUBSTITUTE(SUBSTITUTE(SUBSTITUTE(X514,"|}","--"),"{|","--"),CHAR(10),""),"、",""),"|",""))+IF(AND(OR(I514="EI",I514="EO",I514="EQ"),$AD$1="NESMA"),2,1)))</f>
        <v/>
      </c>
      <c r="O514" s="84">
        <f>IF(I514="EI",IF(OR(X514="估算法",X514="算法类"),"中",IF(X514="无法识别","低",IF(L514&lt;2,IF(N514&lt;16,"低","中"),IF(L514&lt;3,IF(N514&lt;5,"低",IF(N514&lt;16,"中","高")),IF(N514&lt;5,"中","高"))))),IF(OR(I514="EO",I514="EQ"),IF(OR(X514="估算法",X514="算法类"),"中",IF(X514="无法识别","低",IF(L514&lt;2,IF(N514&lt;20,"低","中"),IF(L514&lt;4,IF(N514&lt;6,"低",IF(N514&lt;20,"中","高")),IF(N514&lt;6,"中","高"))))),IF(OR(I514="ILF",I514="EIF"),IF(OR(X514="估算法",X514="算法类",X514="无法识别"),"低",IF(M514&lt;2,IF(N514&lt;51,"低","中"),IF(M514&lt;6,IF(N514&lt;20,"低",IF(N514&lt;51,"中","高")),IF(N514&lt;20,"中","高")))),"不计算")))</f>
        <v/>
      </c>
      <c r="P514" s="142">
        <f>IFERROR(IF(I514="EI",IF(O514="低",3,IF(O514="中",4,6)),IF(I514="EO",IF(O514="低",4,IF(O514="中",5,7)),IF(I514="EQ",IF(O514="低",3,IF(O514="中",4,6)),IF(I514="ILF",IF(O514="低",7,IF(O514="中",10,15)),IF(I514="EIF",IF(O514="低",5,IF(O514="中",7,10)),"不计算")))))*Q514,"不计算")</f>
        <v/>
      </c>
      <c r="Q514" s="142" t="n">
        <v>0</v>
      </c>
      <c r="R514" s="143">
        <f>调整因子!$F$13</f>
        <v/>
      </c>
      <c r="S514" s="70" t="n">
        <v>1</v>
      </c>
      <c r="T514" s="144">
        <f>IFERROR(P514*R514,0)</f>
        <v/>
      </c>
      <c r="U514" s="144">
        <f>T514*S514</f>
        <v/>
      </c>
      <c r="V514" s="81" t="n"/>
      <c r="W514" s="76" t="inlineStr">
        <is>
          <t>开放端口表</t>
        </is>
      </c>
      <c r="X514" s="76" t="inlineStr">
        <is>
          <t>开放端口表{主键id、资产id、端口号、协议、服务名称、状态、创建时间}</t>
        </is>
      </c>
      <c r="Y514" s="88">
        <f>IF(COUNTIFS(V:V,"*"&amp;H514&amp;"*")&gt;0,"存在","不存在")</f>
        <v/>
      </c>
      <c r="Z514" s="88">
        <f>IF(COUNTIFS(AA:AA,"*"&amp;H514&amp;"*")&gt;0,"存在","不存在")</f>
        <v/>
      </c>
      <c r="AA514" s="70" t="n"/>
    </row>
    <row r="515" hidden="1" ht="21.6" customFormat="1" customHeight="1" s="63">
      <c r="A515" s="69">
        <f>ROW()-1</f>
        <v/>
      </c>
      <c r="B515" s="53" t="n"/>
      <c r="C515" s="78" t="n">
        <v>2025</v>
      </c>
      <c r="D515" s="78" t="inlineStr">
        <is>
          <t>窦鹏岐</t>
        </is>
      </c>
      <c r="E515" s="53" t="n"/>
      <c r="F515" s="53" t="n"/>
      <c r="G515" s="53" t="n"/>
      <c r="H515" s="80" t="inlineStr">
        <is>
          <t>漏洞端口表</t>
        </is>
      </c>
      <c r="I515" s="81" t="inlineStr">
        <is>
          <t>ILF</t>
        </is>
      </c>
      <c r="J515" s="108" t="n"/>
      <c r="K515" s="108" t="inlineStr">
        <is>
          <t>数据库表未被本系统所维护</t>
        </is>
      </c>
      <c r="L515" s="83">
        <f>IF(OR(X515="估算法",X515="算法类",X515="无法识别"),"",IF(V515="",IF(OR(I515="EI",I515="EO",I515="EQ"),0,""),LEN(V515)-LEN(SUBSTITUTE(V515,"、",""))+1))</f>
        <v/>
      </c>
      <c r="M515" s="83">
        <f>IF(OR(X515="估算法",X515="算法类",X515="无法识别"),"",IF(W515="",IF(OR(I515="ILF",I515="EIF"),0,""),LEN(W515)-LEN(SUBSTITUTE(W515,"、",""))+1))</f>
        <v/>
      </c>
      <c r="N515" s="83">
        <f>IF(OR(X515="估算法",X515="算法类",X515="无法识别"),"",IF(X515="",IF(OR(I515="ILF",I515="EIF",I515="EI",I515="EO",I515="EQ"),0,""),LEN(X515)-LEN(SUBSTITUTE(SUBSTITUTE(SUBSTITUTE(SUBSTITUTE(SUBSTITUTE(X515,"|}","--"),"{|","--"),CHAR(10),""),"、",""),"|",""))+IF(AND(OR(I515="EI",I515="EO",I515="EQ"),$AD$1="NESMA"),2,1)))</f>
        <v/>
      </c>
      <c r="O515" s="84">
        <f>IF(I515="EI",IF(OR(X515="估算法",X515="算法类"),"中",IF(X515="无法识别","低",IF(L515&lt;2,IF(N515&lt;16,"低","中"),IF(L515&lt;3,IF(N515&lt;5,"低",IF(N515&lt;16,"中","高")),IF(N515&lt;5,"中","高"))))),IF(OR(I515="EO",I515="EQ"),IF(OR(X515="估算法",X515="算法类"),"中",IF(X515="无法识别","低",IF(L515&lt;2,IF(N515&lt;20,"低","中"),IF(L515&lt;4,IF(N515&lt;6,"低",IF(N515&lt;20,"中","高")),IF(N515&lt;6,"中","高"))))),IF(OR(I515="ILF",I515="EIF"),IF(OR(X515="估算法",X515="算法类",X515="无法识别"),"低",IF(M515&lt;2,IF(N515&lt;51,"低","中"),IF(M515&lt;6,IF(N515&lt;20,"低",IF(N515&lt;51,"中","高")),IF(N515&lt;20,"中","高")))),"不计算")))</f>
        <v/>
      </c>
      <c r="P515" s="142">
        <f>IFERROR(IF(I515="EI",IF(O515="低",3,IF(O515="中",4,6)),IF(I515="EO",IF(O515="低",4,IF(O515="中",5,7)),IF(I515="EQ",IF(O515="低",3,IF(O515="中",4,6)),IF(I515="ILF",IF(O515="低",7,IF(O515="中",10,15)),IF(I515="EIF",IF(O515="低",5,IF(O515="中",7,10)),"不计算")))))*Q515,"不计算")</f>
        <v/>
      </c>
      <c r="Q515" s="142" t="n">
        <v>0</v>
      </c>
      <c r="R515" s="143">
        <f>调整因子!$F$13</f>
        <v/>
      </c>
      <c r="S515" s="76" t="n">
        <v>1</v>
      </c>
      <c r="T515" s="144">
        <f>IFERROR(P515*R515,0)</f>
        <v/>
      </c>
      <c r="U515" s="144">
        <f>T515*S515</f>
        <v/>
      </c>
      <c r="V515" s="81" t="n"/>
      <c r="W515" s="76" t="inlineStr">
        <is>
          <t>漏洞端口表</t>
        </is>
      </c>
      <c r="X515" s="76" t="inlineStr">
        <is>
          <t>漏洞端口表{主键id、资产id、端口号、协议、服务名称、漏洞描述、风险等级、创建时间}</t>
        </is>
      </c>
      <c r="Y515" s="88">
        <f>IF(COUNTIFS(V:V,"*"&amp;H515&amp;"*")&gt;0,"存在","不存在")</f>
        <v/>
      </c>
      <c r="Z515" s="88">
        <f>IF(COUNTIFS(AA:AA,"*"&amp;H515&amp;"*")&gt;0,"存在","不存在")</f>
        <v/>
      </c>
      <c r="AA515" s="70" t="n"/>
    </row>
    <row r="516" hidden="1" ht="10.8" customFormat="1" customHeight="1" s="63">
      <c r="A516" s="69">
        <f>ROW()-1</f>
        <v/>
      </c>
      <c r="B516" s="53" t="n"/>
      <c r="C516" s="78" t="n">
        <v>2025</v>
      </c>
      <c r="D516" s="78" t="inlineStr">
        <is>
          <t>窦鹏岐</t>
        </is>
      </c>
      <c r="E516" s="53" t="n"/>
      <c r="F516" s="53" t="n"/>
      <c r="G516" s="53" t="n"/>
      <c r="H516" s="80" t="inlineStr">
        <is>
          <t>节点风险等级表</t>
        </is>
      </c>
      <c r="I516" s="81" t="inlineStr">
        <is>
          <t>ILF</t>
        </is>
      </c>
      <c r="J516" s="108" t="n"/>
      <c r="K516" s="108" t="inlineStr">
        <is>
          <t>数据库表未被本系统所维护</t>
        </is>
      </c>
      <c r="L516" s="83">
        <f>IF(OR(X516="估算法",X516="算法类",X516="无法识别"),"",IF(V516="",IF(OR(I516="EI",I516="EO",I516="EQ"),0,""),LEN(V516)-LEN(SUBSTITUTE(V516,"、",""))+1))</f>
        <v/>
      </c>
      <c r="M516" s="83">
        <f>IF(OR(X516="估算法",X516="算法类",X516="无法识别"),"",IF(W516="",IF(OR(I516="ILF",I516="EIF"),0,""),LEN(W516)-LEN(SUBSTITUTE(W516,"、",""))+1))</f>
        <v/>
      </c>
      <c r="N516" s="83">
        <f>IF(OR(X516="估算法",X516="算法类",X516="无法识别"),"",IF(X516="",IF(OR(I516="ILF",I516="EIF",I516="EI",I516="EO",I516="EQ"),0,""),LEN(X516)-LEN(SUBSTITUTE(SUBSTITUTE(SUBSTITUTE(SUBSTITUTE(SUBSTITUTE(X516,"|}","--"),"{|","--"),CHAR(10),""),"、",""),"|",""))+IF(AND(OR(I516="EI",I516="EO",I516="EQ"),$AD$1="NESMA"),2,1)))</f>
        <v/>
      </c>
      <c r="O516" s="84">
        <f>IF(I516="EI",IF(OR(X516="估算法",X516="算法类"),"中",IF(X516="无法识别","低",IF(L516&lt;2,IF(N516&lt;16,"低","中"),IF(L516&lt;3,IF(N516&lt;5,"低",IF(N516&lt;16,"中","高")),IF(N516&lt;5,"中","高"))))),IF(OR(I516="EO",I516="EQ"),IF(OR(X516="估算法",X516="算法类"),"中",IF(X516="无法识别","低",IF(L516&lt;2,IF(N516&lt;20,"低","中"),IF(L516&lt;4,IF(N516&lt;6,"低",IF(N516&lt;20,"中","高")),IF(N516&lt;6,"中","高"))))),IF(OR(I516="ILF",I516="EIF"),IF(OR(X516="估算法",X516="算法类",X516="无法识别"),"低",IF(M516&lt;2,IF(N516&lt;51,"低","中"),IF(M516&lt;6,IF(N516&lt;20,"低",IF(N516&lt;51,"中","高")),IF(N516&lt;20,"中","高")))),"不计算")))</f>
        <v/>
      </c>
      <c r="P516" s="142">
        <f>IFERROR(IF(I516="EI",IF(O516="低",3,IF(O516="中",4,6)),IF(I516="EO",IF(O516="低",4,IF(O516="中",5,7)),IF(I516="EQ",IF(O516="低",3,IF(O516="中",4,6)),IF(I516="ILF",IF(O516="低",7,IF(O516="中",10,15)),IF(I516="EIF",IF(O516="低",5,IF(O516="中",7,10)),"不计算")))))*Q516,"不计算")</f>
        <v/>
      </c>
      <c r="Q516" s="142" t="n">
        <v>0</v>
      </c>
      <c r="R516" s="143">
        <f>调整因子!$F$13</f>
        <v/>
      </c>
      <c r="S516" s="70" t="n">
        <v>1</v>
      </c>
      <c r="T516" s="144">
        <f>IFERROR(P516*R516,0)</f>
        <v/>
      </c>
      <c r="U516" s="144">
        <f>T516*S516</f>
        <v/>
      </c>
      <c r="V516" s="81" t="n"/>
      <c r="W516" s="76" t="inlineStr">
        <is>
          <t>节点风险等级表</t>
        </is>
      </c>
      <c r="X516" s="76" t="inlineStr">
        <is>
          <t>节点风险等级表{主键id、节点id、风险等级、评估时间、评估描述}</t>
        </is>
      </c>
      <c r="Y516" s="88">
        <f>IF(COUNTIFS(V:V,"*"&amp;H516&amp;"*")&gt;0,"存在","不存在")</f>
        <v/>
      </c>
      <c r="Z516" s="88">
        <f>IF(COUNTIFS(AA:AA,"*"&amp;H516&amp;"*")&gt;0,"存在","不存在")</f>
        <v/>
      </c>
      <c r="AA516" s="70" t="n"/>
    </row>
    <row r="517" hidden="1" ht="10.8" customFormat="1" customHeight="1" s="63">
      <c r="A517" s="69">
        <f>ROW()-1</f>
        <v/>
      </c>
      <c r="B517" s="53" t="n"/>
      <c r="C517" s="78" t="n">
        <v>2025</v>
      </c>
      <c r="D517" s="78" t="inlineStr">
        <is>
          <t>窦鹏岐</t>
        </is>
      </c>
      <c r="E517" s="53" t="n"/>
      <c r="F517" s="53" t="n"/>
      <c r="G517" s="53" t="n"/>
      <c r="H517" s="80" t="inlineStr">
        <is>
          <t>主机风险评估表</t>
        </is>
      </c>
      <c r="I517" s="81" t="inlineStr">
        <is>
          <t>ILF</t>
        </is>
      </c>
      <c r="J517" s="108" t="n"/>
      <c r="K517" s="108" t="inlineStr">
        <is>
          <t>数据库表未被本系统所维护</t>
        </is>
      </c>
      <c r="L517" s="83">
        <f>IF(OR(X517="估算法",X517="算法类",X517="无法识别"),"",IF(V517="",IF(OR(I517="EI",I517="EO",I517="EQ"),0,""),LEN(V517)-LEN(SUBSTITUTE(V517,"、",""))+1))</f>
        <v/>
      </c>
      <c r="M517" s="83">
        <f>IF(OR(X517="估算法",X517="算法类",X517="无法识别"),"",IF(W517="",IF(OR(I517="ILF",I517="EIF"),0,""),LEN(W517)-LEN(SUBSTITUTE(W517,"、",""))+1))</f>
        <v/>
      </c>
      <c r="N517" s="83">
        <f>IF(OR(X517="估算法",X517="算法类",X517="无法识别"),"",IF(X517="",IF(OR(I517="ILF",I517="EIF",I517="EI",I517="EO",I517="EQ"),0,""),LEN(X517)-LEN(SUBSTITUTE(SUBSTITUTE(SUBSTITUTE(SUBSTITUTE(SUBSTITUTE(X517,"|}","--"),"{|","--"),CHAR(10),""),"、",""),"|",""))+IF(AND(OR(I517="EI",I517="EO",I517="EQ"),$AD$1="NESMA"),2,1)))</f>
        <v/>
      </c>
      <c r="O517" s="84">
        <f>IF(I517="EI",IF(OR(X517="估算法",X517="算法类"),"中",IF(X517="无法识别","低",IF(L517&lt;2,IF(N517&lt;16,"低","中"),IF(L517&lt;3,IF(N517&lt;5,"低",IF(N517&lt;16,"中","高")),IF(N517&lt;5,"中","高"))))),IF(OR(I517="EO",I517="EQ"),IF(OR(X517="估算法",X517="算法类"),"中",IF(X517="无法识别","低",IF(L517&lt;2,IF(N517&lt;20,"低","中"),IF(L517&lt;4,IF(N517&lt;6,"低",IF(N517&lt;20,"中","高")),IF(N517&lt;6,"中","高"))))),IF(OR(I517="ILF",I517="EIF"),IF(OR(X517="估算法",X517="算法类",X517="无法识别"),"低",IF(M517&lt;2,IF(N517&lt;51,"低","中"),IF(M517&lt;6,IF(N517&lt;20,"低",IF(N517&lt;51,"中","高")),IF(N517&lt;20,"中","高")))),"不计算")))</f>
        <v/>
      </c>
      <c r="P517" s="142">
        <f>IFERROR(IF(I517="EI",IF(O517="低",3,IF(O517="中",4,6)),IF(I517="EO",IF(O517="低",4,IF(O517="中",5,7)),IF(I517="EQ",IF(O517="低",3,IF(O517="中",4,6)),IF(I517="ILF",IF(O517="低",7,IF(O517="中",10,15)),IF(I517="EIF",IF(O517="低",5,IF(O517="中",7,10)),"不计算")))))*Q517,"不计算")</f>
        <v/>
      </c>
      <c r="Q517" s="142" t="n">
        <v>0</v>
      </c>
      <c r="R517" s="143">
        <f>调整因子!$F$13</f>
        <v/>
      </c>
      <c r="S517" s="70" t="n">
        <v>1</v>
      </c>
      <c r="T517" s="144">
        <f>IFERROR(P517*R517,0)</f>
        <v/>
      </c>
      <c r="U517" s="144">
        <f>T517*S517</f>
        <v/>
      </c>
      <c r="V517" s="81" t="n"/>
      <c r="W517" s="76" t="inlineStr">
        <is>
          <t>主机风险评估表</t>
        </is>
      </c>
      <c r="X517" s="76" t="inlineStr">
        <is>
          <t>主机风险评估表{主键id、主机id、风险等级、评估时间、评估描述}</t>
        </is>
      </c>
      <c r="Y517" s="88">
        <f>IF(COUNTIFS(V:V,"*"&amp;H517&amp;"*")&gt;0,"存在","不存在")</f>
        <v/>
      </c>
      <c r="Z517" s="88">
        <f>IF(COUNTIFS(AA:AA,"*"&amp;H517&amp;"*")&gt;0,"存在","不存在")</f>
        <v/>
      </c>
      <c r="AA517" s="70" t="n"/>
    </row>
    <row r="518" hidden="1" ht="21.6" customFormat="1" customHeight="1" s="63">
      <c r="A518" s="69">
        <f>ROW()-1</f>
        <v/>
      </c>
      <c r="B518" s="53" t="n"/>
      <c r="C518" s="78" t="n">
        <v>2025</v>
      </c>
      <c r="D518" s="78" t="inlineStr">
        <is>
          <t>窦鹏岐</t>
        </is>
      </c>
      <c r="E518" s="53" t="n"/>
      <c r="F518" s="53" t="n"/>
      <c r="G518" s="53" t="n"/>
      <c r="H518" s="80" t="inlineStr">
        <is>
          <t>主机漏洞表</t>
        </is>
      </c>
      <c r="I518" s="81" t="inlineStr">
        <is>
          <t>ILF</t>
        </is>
      </c>
      <c r="J518" s="108" t="n"/>
      <c r="K518" s="108" t="inlineStr">
        <is>
          <t>数据库表未被本系统所维护</t>
        </is>
      </c>
      <c r="L518" s="83">
        <f>IF(OR(X518="估算法",X518="算法类",X518="无法识别"),"",IF(V518="",IF(OR(I518="EI",I518="EO",I518="EQ"),0,""),LEN(V518)-LEN(SUBSTITUTE(V518,"、",""))+1))</f>
        <v/>
      </c>
      <c r="M518" s="83">
        <f>IF(OR(X518="估算法",X518="算法类",X518="无法识别"),"",IF(W518="",IF(OR(I518="ILF",I518="EIF"),0,""),LEN(W518)-LEN(SUBSTITUTE(W518,"、",""))+1))</f>
        <v/>
      </c>
      <c r="N518" s="83">
        <f>IF(OR(X518="估算法",X518="算法类",X518="无法识别"),"",IF(X518="",IF(OR(I518="ILF",I518="EIF",I518="EI",I518="EO",I518="EQ"),0,""),LEN(X518)-LEN(SUBSTITUTE(SUBSTITUTE(SUBSTITUTE(SUBSTITUTE(SUBSTITUTE(X518,"|}","--"),"{|","--"),CHAR(10),""),"、",""),"|",""))+IF(AND(OR(I518="EI",I518="EO",I518="EQ"),$AD$1="NESMA"),2,1)))</f>
        <v/>
      </c>
      <c r="O518" s="84">
        <f>IF(I518="EI",IF(OR(X518="估算法",X518="算法类"),"中",IF(X518="无法识别","低",IF(L518&lt;2,IF(N518&lt;16,"低","中"),IF(L518&lt;3,IF(N518&lt;5,"低",IF(N518&lt;16,"中","高")),IF(N518&lt;5,"中","高"))))),IF(OR(I518="EO",I518="EQ"),IF(OR(X518="估算法",X518="算法类"),"中",IF(X518="无法识别","低",IF(L518&lt;2,IF(N518&lt;20,"低","中"),IF(L518&lt;4,IF(N518&lt;6,"低",IF(N518&lt;20,"中","高")),IF(N518&lt;6,"中","高"))))),IF(OR(I518="ILF",I518="EIF"),IF(OR(X518="估算法",X518="算法类",X518="无法识别"),"低",IF(M518&lt;2,IF(N518&lt;51,"低","中"),IF(M518&lt;6,IF(N518&lt;20,"低",IF(N518&lt;51,"中","高")),IF(N518&lt;20,"中","高")))),"不计算")))</f>
        <v/>
      </c>
      <c r="P518" s="142">
        <f>IFERROR(IF(I518="EI",IF(O518="低",3,IF(O518="中",4,6)),IF(I518="EO",IF(O518="低",4,IF(O518="中",5,7)),IF(I518="EQ",IF(O518="低",3,IF(O518="中",4,6)),IF(I518="ILF",IF(O518="低",7,IF(O518="中",10,15)),IF(I518="EIF",IF(O518="低",5,IF(O518="中",7,10)),"不计算")))))*Q518,"不计算")</f>
        <v/>
      </c>
      <c r="Q518" s="142" t="n">
        <v>0</v>
      </c>
      <c r="R518" s="143">
        <f>调整因子!$F$13</f>
        <v/>
      </c>
      <c r="S518" s="76" t="n">
        <v>1</v>
      </c>
      <c r="T518" s="144">
        <f>IFERROR(P518*R518,0)</f>
        <v/>
      </c>
      <c r="U518" s="144">
        <f>T518*S518</f>
        <v/>
      </c>
      <c r="V518" s="81" t="n"/>
      <c r="W518" s="76" t="inlineStr">
        <is>
          <t>主机漏洞表</t>
        </is>
      </c>
      <c r="X518" s="76" t="inlineStr">
        <is>
          <t>主机漏洞表{主机漏洞表{主键id、主机id、漏洞名称、漏洞描述、风险等级、发现时间、状态}}</t>
        </is>
      </c>
      <c r="Y518" s="88">
        <f>IF(COUNTIFS(V:V,"*"&amp;H518&amp;"*")&gt;0,"存在","不存在")</f>
        <v/>
      </c>
      <c r="Z518" s="88">
        <f>IF(COUNTIFS(AA:AA,"*"&amp;H518&amp;"*")&gt;0,"存在","不存在")</f>
        <v/>
      </c>
      <c r="AA518" s="70" t="n"/>
    </row>
    <row r="519" hidden="1" ht="21.6" customFormat="1" customHeight="1" s="63">
      <c r="A519" s="69">
        <f>ROW()-1</f>
        <v/>
      </c>
      <c r="B519" s="53" t="n"/>
      <c r="C519" s="78" t="n">
        <v>2025</v>
      </c>
      <c r="D519" s="78" t="inlineStr">
        <is>
          <t>窦鹏岐</t>
        </is>
      </c>
      <c r="E519" s="53" t="n"/>
      <c r="F519" s="53" t="n"/>
      <c r="G519" s="53" t="n"/>
      <c r="H519" s="80" t="inlineStr">
        <is>
          <t>漏洞分类统计表</t>
        </is>
      </c>
      <c r="I519" s="81" t="n"/>
      <c r="J519" s="108" t="n"/>
      <c r="K519" s="108" t="inlineStr">
        <is>
          <t>数据库表未被本系统所使用</t>
        </is>
      </c>
      <c r="L519" s="83">
        <f>IF(OR(X519="估算法",X519="算法类",X519="无法识别"),"",IF(V519="",IF(OR(I519="EI",I519="EO",I519="EQ"),0,""),LEN(V519)-LEN(SUBSTITUTE(V519,"、",""))+1))</f>
        <v/>
      </c>
      <c r="M519" s="83">
        <f>IF(OR(X519="估算法",X519="算法类",X519="无法识别"),"",IF(W519="",IF(OR(I519="ILF",I519="EIF"),0,""),LEN(W519)-LEN(SUBSTITUTE(W519,"、",""))+1))</f>
        <v/>
      </c>
      <c r="N519" s="83">
        <f>IF(OR(X519="估算法",X519="算法类",X519="无法识别"),"",IF(X519="",IF(OR(I519="ILF",I519="EIF",I519="EI",I519="EO",I519="EQ"),0,""),LEN(X519)-LEN(SUBSTITUTE(SUBSTITUTE(SUBSTITUTE(SUBSTITUTE(SUBSTITUTE(X519,"|}","--"),"{|","--"),CHAR(10),""),"、",""),"|",""))+IF(AND(OR(I519="EI",I519="EO",I519="EQ"),$AD$1="NESMA"),2,1)))</f>
        <v/>
      </c>
      <c r="O519" s="84">
        <f>IF(I519="EI",IF(OR(X519="估算法",X519="算法类"),"中",IF(X519="无法识别","低",IF(L519&lt;2,IF(N519&lt;16,"低","中"),IF(L519&lt;3,IF(N519&lt;5,"低",IF(N519&lt;16,"中","高")),IF(N519&lt;5,"中","高"))))),IF(OR(I519="EO",I519="EQ"),IF(OR(X519="估算法",X519="算法类"),"中",IF(X519="无法识别","低",IF(L519&lt;2,IF(N519&lt;20,"低","中"),IF(L519&lt;4,IF(N519&lt;6,"低",IF(N519&lt;20,"中","高")),IF(N519&lt;6,"中","高"))))),IF(OR(I519="ILF",I519="EIF"),IF(OR(X519="估算法",X519="算法类",X519="无法识别"),"低",IF(M519&lt;2,IF(N519&lt;51,"低","中"),IF(M519&lt;6,IF(N519&lt;20,"低",IF(N519&lt;51,"中","高")),IF(N519&lt;20,"中","高")))),"不计算")))</f>
        <v/>
      </c>
      <c r="P519" s="142">
        <f>IFERROR(IF(I519="EI",IF(O519="低",3,IF(O519="中",4,6)),IF(I519="EO",IF(O519="低",4,IF(O519="中",5,7)),IF(I519="EQ",IF(O519="低",3,IF(O519="中",4,6)),IF(I519="ILF",IF(O519="低",7,IF(O519="中",10,15)),IF(I519="EIF",IF(O519="低",5,IF(O519="中",7,10)),"不计算")))))*Q519,"不计算")</f>
        <v/>
      </c>
      <c r="Q519" s="142" t="n">
        <v>1</v>
      </c>
      <c r="R519" s="143">
        <f>调整因子!$F$13</f>
        <v/>
      </c>
      <c r="S519" s="70" t="n">
        <v>1</v>
      </c>
      <c r="T519" s="144">
        <f>IFERROR(P519*R519,0)</f>
        <v/>
      </c>
      <c r="U519" s="144">
        <f>T519*S519</f>
        <v/>
      </c>
      <c r="V519" s="81" t="n"/>
      <c r="W519" s="76" t="inlineStr">
        <is>
          <t>漏洞分类统计表</t>
        </is>
      </c>
      <c r="X519" s="76" t="inlineStr">
        <is>
          <t>漏洞分类统计表{主键id、节点id、分类类型（服务/应用/系统/威胁/时间/CVE年份）、分类名称、风险等级、漏洞数量、统计时间}</t>
        </is>
      </c>
      <c r="Y519" s="88">
        <f>IF(COUNTIFS(V:V,"*"&amp;H519&amp;"*")&gt;0,"存在","不存在")</f>
        <v/>
      </c>
      <c r="Z519" s="88">
        <f>IF(COUNTIFS(AA:AA,"*"&amp;H519&amp;"*")&gt;0,"存在","不存在")</f>
        <v/>
      </c>
      <c r="AA519" s="70" t="n"/>
    </row>
    <row r="520" hidden="1" ht="10.8" customFormat="1" customHeight="1" s="63">
      <c r="A520" s="69">
        <f>ROW()-1</f>
        <v/>
      </c>
      <c r="B520" s="53" t="n"/>
      <c r="C520" s="78" t="n">
        <v>2025</v>
      </c>
      <c r="D520" s="78" t="inlineStr">
        <is>
          <t>窦鹏岐</t>
        </is>
      </c>
      <c r="E520" s="53" t="n"/>
      <c r="F520" s="53" t="n"/>
      <c r="G520" s="53" t="n"/>
      <c r="H520" s="80" t="inlineStr">
        <is>
          <t>脆弱账号表</t>
        </is>
      </c>
      <c r="I520" s="81" t="inlineStr">
        <is>
          <t>ILF</t>
        </is>
      </c>
      <c r="J520" s="108" t="n"/>
      <c r="K520" s="108" t="inlineStr">
        <is>
          <t>数据库表未被本系统所维护</t>
        </is>
      </c>
      <c r="L520" s="83">
        <f>IF(OR(X520="估算法",X520="算法类",X520="无法识别"),"",IF(V520="",IF(OR(I520="EI",I520="EO",I520="EQ"),0,""),LEN(V520)-LEN(SUBSTITUTE(V520,"、",""))+1))</f>
        <v/>
      </c>
      <c r="M520" s="83">
        <f>IF(OR(X520="估算法",X520="算法类",X520="无法识别"),"",IF(W520="",IF(OR(I520="ILF",I520="EIF"),0,""),LEN(W520)-LEN(SUBSTITUTE(W520,"、",""))+1))</f>
        <v/>
      </c>
      <c r="N520" s="83">
        <f>IF(OR(X520="估算法",X520="算法类",X520="无法识别"),"",IF(X520="",IF(OR(I520="ILF",I520="EIF",I520="EI",I520="EO",I520="EQ"),0,""),LEN(X520)-LEN(SUBSTITUTE(SUBSTITUTE(SUBSTITUTE(SUBSTITUTE(SUBSTITUTE(X520,"|}","--"),"{|","--"),CHAR(10),""),"、",""),"|",""))+IF(AND(OR(I520="EI",I520="EO",I520="EQ"),$AD$1="NESMA"),2,1)))</f>
        <v/>
      </c>
      <c r="O520" s="84">
        <f>IF(I520="EI",IF(OR(X520="估算法",X520="算法类"),"中",IF(X520="无法识别","低",IF(L520&lt;2,IF(N520&lt;16,"低","中"),IF(L520&lt;3,IF(N520&lt;5,"低",IF(N520&lt;16,"中","高")),IF(N520&lt;5,"中","高"))))),IF(OR(I520="EO",I520="EQ"),IF(OR(X520="估算法",X520="算法类"),"中",IF(X520="无法识别","低",IF(L520&lt;2,IF(N520&lt;20,"低","中"),IF(L520&lt;4,IF(N520&lt;6,"低",IF(N520&lt;20,"中","高")),IF(N520&lt;6,"中","高"))))),IF(OR(I520="ILF",I520="EIF"),IF(OR(X520="估算法",X520="算法类",X520="无法识别"),"低",IF(M520&lt;2,IF(N520&lt;51,"低","中"),IF(M520&lt;6,IF(N520&lt;20,"低",IF(N520&lt;51,"中","高")),IF(N520&lt;20,"中","高")))),"不计算")))</f>
        <v/>
      </c>
      <c r="P520" s="142">
        <f>IFERROR(IF(I520="EI",IF(O520="低",3,IF(O520="中",4,6)),IF(I520="EO",IF(O520="低",4,IF(O520="中",5,7)),IF(I520="EQ",IF(O520="低",3,IF(O520="中",4,6)),IF(I520="ILF",IF(O520="低",7,IF(O520="中",10,15)),IF(I520="EIF",IF(O520="低",5,IF(O520="中",7,10)),"不计算")))))*Q520,"不计算")</f>
        <v/>
      </c>
      <c r="Q520" s="142" t="n">
        <v>0</v>
      </c>
      <c r="R520" s="143">
        <f>调整因子!$F$13</f>
        <v/>
      </c>
      <c r="S520" s="70" t="n">
        <v>1</v>
      </c>
      <c r="T520" s="144">
        <f>IFERROR(P520*R520,0)</f>
        <v/>
      </c>
      <c r="U520" s="144">
        <f>T520*S520</f>
        <v/>
      </c>
      <c r="V520" s="81" t="n"/>
      <c r="W520" s="76" t="inlineStr">
        <is>
          <t>脆弱账号表</t>
        </is>
      </c>
      <c r="X520" s="76" t="inlineStr">
        <is>
          <t>脆弱账号表{主键id、节点id、账号名称、账号类型、风险等级、发现时间、状态}</t>
        </is>
      </c>
      <c r="Y520" s="88">
        <f>IF(COUNTIFS(V:V,"*"&amp;H520&amp;"*")&gt;0,"存在","不存在")</f>
        <v/>
      </c>
      <c r="Z520" s="88">
        <f>IF(COUNTIFS(AA:AA,"*"&amp;H520&amp;"*")&gt;0,"存在","不存在")</f>
        <v/>
      </c>
      <c r="AA520" s="70" t="n"/>
    </row>
    <row r="521" hidden="1" ht="10.8" customFormat="1" customHeight="1" s="63">
      <c r="A521" s="69">
        <f>ROW()-1</f>
        <v/>
      </c>
      <c r="B521" s="53" t="n"/>
      <c r="C521" s="78" t="n">
        <v>2025</v>
      </c>
      <c r="D521" s="78" t="inlineStr">
        <is>
          <t>窦鹏岐</t>
        </is>
      </c>
      <c r="E521" s="53" t="n"/>
      <c r="F521" s="53" t="n"/>
      <c r="G521" s="53" t="n"/>
      <c r="H521" s="80" t="inlineStr">
        <is>
          <t>节点属性表</t>
        </is>
      </c>
      <c r="I521" s="81" t="inlineStr">
        <is>
          <t>ILF</t>
        </is>
      </c>
      <c r="J521" s="108" t="n"/>
      <c r="K521" s="108" t="inlineStr">
        <is>
          <t>数据库表未被本系统所维护</t>
        </is>
      </c>
      <c r="L521" s="83">
        <f>IF(OR(X521="估算法",X521="算法类",X521="无法识别"),"",IF(V521="",IF(OR(I521="EI",I521="EO",I521="EQ"),0,""),LEN(V521)-LEN(SUBSTITUTE(V521,"、",""))+1))</f>
        <v/>
      </c>
      <c r="M521" s="83">
        <f>IF(OR(X521="估算法",X521="算法类",X521="无法识别"),"",IF(W521="",IF(OR(I521="ILF",I521="EIF"),0,""),LEN(W521)-LEN(SUBSTITUTE(W521,"、",""))+1))</f>
        <v/>
      </c>
      <c r="N521" s="83">
        <f>IF(OR(X521="估算法",X521="算法类",X521="无法识别"),"",IF(X521="",IF(OR(I521="ILF",I521="EIF",I521="EI",I521="EO",I521="EQ"),0,""),LEN(X521)-LEN(SUBSTITUTE(SUBSTITUTE(SUBSTITUTE(SUBSTITUTE(SUBSTITUTE(X521,"|}","--"),"{|","--"),CHAR(10),""),"、",""),"|",""))+IF(AND(OR(I521="EI",I521="EO",I521="EQ"),$AD$1="NESMA"),2,1)))</f>
        <v/>
      </c>
      <c r="O521" s="84">
        <f>IF(I521="EI",IF(OR(X521="估算法",X521="算法类"),"中",IF(X521="无法识别","低",IF(L521&lt;2,IF(N521&lt;16,"低","中"),IF(L521&lt;3,IF(N521&lt;5,"低",IF(N521&lt;16,"中","高")),IF(N521&lt;5,"中","高"))))),IF(OR(I521="EO",I521="EQ"),IF(OR(X521="估算法",X521="算法类"),"中",IF(X521="无法识别","低",IF(L521&lt;2,IF(N521&lt;20,"低","中"),IF(L521&lt;4,IF(N521&lt;6,"低",IF(N521&lt;20,"中","高")),IF(N521&lt;6,"中","高"))))),IF(OR(I521="ILF",I521="EIF"),IF(OR(X521="估算法",X521="算法类",X521="无法识别"),"低",IF(M521&lt;2,IF(N521&lt;51,"低","中"),IF(M521&lt;6,IF(N521&lt;20,"低",IF(N521&lt;51,"中","高")),IF(N521&lt;20,"中","高")))),"不计算")))</f>
        <v/>
      </c>
      <c r="P521" s="142">
        <f>IFERROR(IF(I521="EI",IF(O521="低",3,IF(O521="中",4,6)),IF(I521="EO",IF(O521="低",4,IF(O521="中",5,7)),IF(I521="EQ",IF(O521="低",3,IF(O521="中",4,6)),IF(I521="ILF",IF(O521="低",7,IF(O521="中",10,15)),IF(I521="EIF",IF(O521="低",5,IF(O521="中",7,10)),"不计算")))))*Q521,"不计算")</f>
        <v/>
      </c>
      <c r="Q521" s="142" t="n">
        <v>0</v>
      </c>
      <c r="R521" s="143">
        <f>调整因子!$F$13</f>
        <v/>
      </c>
      <c r="S521" s="76" t="n">
        <v>1</v>
      </c>
      <c r="T521" s="144">
        <f>IFERROR(P521*R521,0)</f>
        <v/>
      </c>
      <c r="U521" s="144">
        <f>T521*S521</f>
        <v/>
      </c>
      <c r="V521" s="81" t="n"/>
      <c r="W521" s="76" t="inlineStr">
        <is>
          <t>节点属性表</t>
        </is>
      </c>
      <c r="X521" s="76" t="inlineStr">
        <is>
          <t>节点属性表{主键id、节点id、属性名称、属性值、创建时间、最后更新时间}</t>
        </is>
      </c>
      <c r="Y521" s="88">
        <f>IF(COUNTIFS(V:V,"*"&amp;H521&amp;"*")&gt;0,"存在","不存在")</f>
        <v/>
      </c>
      <c r="Z521" s="88">
        <f>IF(COUNTIFS(AA:AA,"*"&amp;H521&amp;"*")&gt;0,"存在","不存在")</f>
        <v/>
      </c>
      <c r="AA521" s="70" t="n"/>
    </row>
    <row r="522" hidden="1" ht="10.8" customFormat="1" customHeight="1" s="63">
      <c r="A522" s="69">
        <f>ROW()-1</f>
        <v/>
      </c>
      <c r="B522" s="53" t="n"/>
      <c r="C522" s="78" t="n">
        <v>2025</v>
      </c>
      <c r="D522" s="78" t="inlineStr">
        <is>
          <t>窦鹏岐</t>
        </is>
      </c>
      <c r="E522" s="53" t="n"/>
      <c r="F522" s="53" t="n"/>
      <c r="G522" s="53" t="n"/>
      <c r="H522" s="80" t="inlineStr">
        <is>
          <t>节点关系表</t>
        </is>
      </c>
      <c r="I522" s="81" t="inlineStr">
        <is>
          <t>ILF</t>
        </is>
      </c>
      <c r="J522" s="108" t="n"/>
      <c r="K522" s="108" t="inlineStr">
        <is>
          <t>数据库表未被本系统所维护</t>
        </is>
      </c>
      <c r="L522" s="83">
        <f>IF(OR(X522="估算法",X522="算法类",X522="无法识别"),"",IF(V522="",IF(OR(I522="EI",I522="EO",I522="EQ"),0,""),LEN(V522)-LEN(SUBSTITUTE(V522,"、",""))+1))</f>
        <v/>
      </c>
      <c r="M522" s="83">
        <f>IF(OR(X522="估算法",X522="算法类",X522="无法识别"),"",IF(W522="",IF(OR(I522="ILF",I522="EIF"),0,""),LEN(W522)-LEN(SUBSTITUTE(W522,"、",""))+1))</f>
        <v/>
      </c>
      <c r="N522" s="83">
        <f>IF(OR(X522="估算法",X522="算法类",X522="无法识别"),"",IF(X522="",IF(OR(I522="ILF",I522="EIF",I522="EI",I522="EO",I522="EQ"),0,""),LEN(X522)-LEN(SUBSTITUTE(SUBSTITUTE(SUBSTITUTE(SUBSTITUTE(SUBSTITUTE(X522,"|}","--"),"{|","--"),CHAR(10),""),"、",""),"|",""))+IF(AND(OR(I522="EI",I522="EO",I522="EQ"),$AD$1="NESMA"),2,1)))</f>
        <v/>
      </c>
      <c r="O522" s="84">
        <f>IF(I522="EI",IF(OR(X522="估算法",X522="算法类"),"中",IF(X522="无法识别","低",IF(L522&lt;2,IF(N522&lt;16,"低","中"),IF(L522&lt;3,IF(N522&lt;5,"低",IF(N522&lt;16,"中","高")),IF(N522&lt;5,"中","高"))))),IF(OR(I522="EO",I522="EQ"),IF(OR(X522="估算法",X522="算法类"),"中",IF(X522="无法识别","低",IF(L522&lt;2,IF(N522&lt;20,"低","中"),IF(L522&lt;4,IF(N522&lt;6,"低",IF(N522&lt;20,"中","高")),IF(N522&lt;6,"中","高"))))),IF(OR(I522="ILF",I522="EIF"),IF(OR(X522="估算法",X522="算法类",X522="无法识别"),"低",IF(M522&lt;2,IF(N522&lt;51,"低","中"),IF(M522&lt;6,IF(N522&lt;20,"低",IF(N522&lt;51,"中","高")),IF(N522&lt;20,"中","高")))),"不计算")))</f>
        <v/>
      </c>
      <c r="P522" s="142">
        <f>IFERROR(IF(I522="EI",IF(O522="低",3,IF(O522="中",4,6)),IF(I522="EO",IF(O522="低",4,IF(O522="中",5,7)),IF(I522="EQ",IF(O522="低",3,IF(O522="中",4,6)),IF(I522="ILF",IF(O522="低",7,IF(O522="中",10,15)),IF(I522="EIF",IF(O522="低",5,IF(O522="中",7,10)),"不计算")))))*Q522,"不计算")</f>
        <v/>
      </c>
      <c r="Q522" s="142" t="n">
        <v>0</v>
      </c>
      <c r="R522" s="143">
        <f>调整因子!$F$13</f>
        <v/>
      </c>
      <c r="S522" s="70" t="n">
        <v>1</v>
      </c>
      <c r="T522" s="144">
        <f>IFERROR(P522*R522,0)</f>
        <v/>
      </c>
      <c r="U522" s="144">
        <f>T522*S522</f>
        <v/>
      </c>
      <c r="V522" s="81" t="n"/>
      <c r="W522" s="76" t="inlineStr">
        <is>
          <t>节点关系表</t>
        </is>
      </c>
      <c r="X522" s="76" t="inlineStr">
        <is>
          <t>节点关系表{主键id、父节点id、子节点id、关系类型、创建时间}</t>
        </is>
      </c>
      <c r="Y522" s="88">
        <f>IF(COUNTIFS(V:V,"*"&amp;H522&amp;"*")&gt;0,"存在","不存在")</f>
        <v/>
      </c>
      <c r="Z522" s="88">
        <f>IF(COUNTIFS(AA:AA,"*"&amp;H522&amp;"*")&gt;0,"存在","不存在")</f>
        <v/>
      </c>
      <c r="AA522" s="70" t="n"/>
    </row>
    <row r="523" hidden="1" ht="10.8" customFormat="1" customHeight="1" s="63">
      <c r="A523" s="69">
        <f>ROW()-1</f>
        <v/>
      </c>
      <c r="B523" s="53" t="n"/>
      <c r="C523" s="78" t="n">
        <v>2025</v>
      </c>
      <c r="D523" s="78" t="inlineStr">
        <is>
          <t>窦鹏岐</t>
        </is>
      </c>
      <c r="E523" s="53" t="n"/>
      <c r="F523" s="53" t="n"/>
      <c r="G523" s="53" t="n"/>
      <c r="H523" s="80" t="inlineStr">
        <is>
          <t>节点漏洞分布表</t>
        </is>
      </c>
      <c r="I523" s="81" t="inlineStr">
        <is>
          <t>ILF</t>
        </is>
      </c>
      <c r="J523" s="108" t="n"/>
      <c r="K523" s="108" t="inlineStr">
        <is>
          <t>数据库表未被本系统所维护</t>
        </is>
      </c>
      <c r="L523" s="83">
        <f>IF(OR(X523="估算法",X523="算法类",X523="无法识别"),"",IF(V523="",IF(OR(I523="EI",I523="EO",I523="EQ"),0,""),LEN(V523)-LEN(SUBSTITUTE(V523,"、",""))+1))</f>
        <v/>
      </c>
      <c r="M523" s="83">
        <f>IF(OR(X523="估算法",X523="算法类",X523="无法识别"),"",IF(W523="",IF(OR(I523="ILF",I523="EIF"),0,""),LEN(W523)-LEN(SUBSTITUTE(W523,"、",""))+1))</f>
        <v/>
      </c>
      <c r="N523" s="83">
        <f>IF(OR(X523="估算法",X523="算法类",X523="无法识别"),"",IF(X523="",IF(OR(I523="ILF",I523="EIF",I523="EI",I523="EO",I523="EQ"),0,""),LEN(X523)-LEN(SUBSTITUTE(SUBSTITUTE(SUBSTITUTE(SUBSTITUTE(SUBSTITUTE(X523,"|}","--"),"{|","--"),CHAR(10),""),"、",""),"|",""))+IF(AND(OR(I523="EI",I523="EO",I523="EQ"),$AD$1="NESMA"),2,1)))</f>
        <v/>
      </c>
      <c r="O523" s="84">
        <f>IF(I523="EI",IF(OR(X523="估算法",X523="算法类"),"中",IF(X523="无法识别","低",IF(L523&lt;2,IF(N523&lt;16,"低","中"),IF(L523&lt;3,IF(N523&lt;5,"低",IF(N523&lt;16,"中","高")),IF(N523&lt;5,"中","高"))))),IF(OR(I523="EO",I523="EQ"),IF(OR(X523="估算法",X523="算法类"),"中",IF(X523="无法识别","低",IF(L523&lt;2,IF(N523&lt;20,"低","中"),IF(L523&lt;4,IF(N523&lt;6,"低",IF(N523&lt;20,"中","高")),IF(N523&lt;6,"中","高"))))),IF(OR(I523="ILF",I523="EIF"),IF(OR(X523="估算法",X523="算法类",X523="无法识别"),"低",IF(M523&lt;2,IF(N523&lt;51,"低","中"),IF(M523&lt;6,IF(N523&lt;20,"低",IF(N523&lt;51,"中","高")),IF(N523&lt;20,"中","高")))),"不计算")))</f>
        <v/>
      </c>
      <c r="P523" s="142">
        <f>IFERROR(IF(I523="EI",IF(O523="低",3,IF(O523="中",4,6)),IF(I523="EO",IF(O523="低",4,IF(O523="中",5,7)),IF(I523="EQ",IF(O523="低",3,IF(O523="中",4,6)),IF(I523="ILF",IF(O523="低",7,IF(O523="中",10,15)),IF(I523="EIF",IF(O523="低",5,IF(O523="中",7,10)),"不计算")))))*Q523,"不计算")</f>
        <v/>
      </c>
      <c r="Q523" s="142" t="n">
        <v>0</v>
      </c>
      <c r="R523" s="143">
        <f>调整因子!$F$13</f>
        <v/>
      </c>
      <c r="S523" s="70" t="n">
        <v>1</v>
      </c>
      <c r="T523" s="144">
        <f>IFERROR(P523*R523,0)</f>
        <v/>
      </c>
      <c r="U523" s="144">
        <f>T523*S523</f>
        <v/>
      </c>
      <c r="V523" s="81" t="n"/>
      <c r="W523" s="76" t="inlineStr">
        <is>
          <t>节点漏洞分布表</t>
        </is>
      </c>
      <c r="X523" s="76" t="inlineStr">
        <is>
          <t>节点漏洞分布表{主键id、节点id、漏洞id、风险等级、发现时间、状态}</t>
        </is>
      </c>
      <c r="Y523" s="88">
        <f>IF(COUNTIFS(V:V,"*"&amp;H523&amp;"*")&gt;0,"存在","不存在")</f>
        <v/>
      </c>
      <c r="Z523" s="88">
        <f>IF(COUNTIFS(AA:AA,"*"&amp;H523&amp;"*")&gt;0,"存在","不存在")</f>
        <v/>
      </c>
      <c r="AA523" s="70" t="n"/>
    </row>
    <row r="524" hidden="1" ht="21.6" customFormat="1" customHeight="1" s="63">
      <c r="A524" s="69">
        <f>ROW()-1</f>
        <v/>
      </c>
      <c r="B524" s="53" t="n"/>
      <c r="C524" s="78" t="n">
        <v>2025</v>
      </c>
      <c r="D524" s="78" t="inlineStr">
        <is>
          <t>窦鹏岐</t>
        </is>
      </c>
      <c r="E524" s="53" t="n"/>
      <c r="F524" s="53" t="n"/>
      <c r="G524" s="53" t="n"/>
      <c r="H524" s="80" t="inlineStr">
        <is>
          <t>主机漏洞详情表</t>
        </is>
      </c>
      <c r="I524" s="81" t="inlineStr">
        <is>
          <t>ILF</t>
        </is>
      </c>
      <c r="J524" s="108" t="n"/>
      <c r="K524" s="108" t="inlineStr">
        <is>
          <t>数据库表未被本系统所维护</t>
        </is>
      </c>
      <c r="L524" s="83">
        <f>IF(OR(X524="估算法",X524="算法类",X524="无法识别"),"",IF(V524="",IF(OR(I524="EI",I524="EO",I524="EQ"),0,""),LEN(V524)-LEN(SUBSTITUTE(V524,"、",""))+1))</f>
        <v/>
      </c>
      <c r="M524" s="83">
        <f>IF(OR(X524="估算法",X524="算法类",X524="无法识别"),"",IF(W524="",IF(OR(I524="ILF",I524="EIF"),0,""),LEN(W524)-LEN(SUBSTITUTE(W524,"、",""))+1))</f>
        <v/>
      </c>
      <c r="N524" s="83">
        <f>IF(OR(X524="估算法",X524="算法类",X524="无法识别"),"",IF(X524="",IF(OR(I524="ILF",I524="EIF",I524="EI",I524="EO",I524="EQ"),0,""),LEN(X524)-LEN(SUBSTITUTE(SUBSTITUTE(SUBSTITUTE(SUBSTITUTE(SUBSTITUTE(X524,"|}","--"),"{|","--"),CHAR(10),""),"、",""),"|",""))+IF(AND(OR(I524="EI",I524="EO",I524="EQ"),$AD$1="NESMA"),2,1)))</f>
        <v/>
      </c>
      <c r="O524" s="84">
        <f>IF(I524="EI",IF(OR(X524="估算法",X524="算法类"),"中",IF(X524="无法识别","低",IF(L524&lt;2,IF(N524&lt;16,"低","中"),IF(L524&lt;3,IF(N524&lt;5,"低",IF(N524&lt;16,"中","高")),IF(N524&lt;5,"中","高"))))),IF(OR(I524="EO",I524="EQ"),IF(OR(X524="估算法",X524="算法类"),"中",IF(X524="无法识别","低",IF(L524&lt;2,IF(N524&lt;20,"低","中"),IF(L524&lt;4,IF(N524&lt;6,"低",IF(N524&lt;20,"中","高")),IF(N524&lt;6,"中","高"))))),IF(OR(I524="ILF",I524="EIF"),IF(OR(X524="估算法",X524="算法类",X524="无法识别"),"低",IF(M524&lt;2,IF(N524&lt;51,"低","中"),IF(M524&lt;6,IF(N524&lt;20,"低",IF(N524&lt;51,"中","高")),IF(N524&lt;20,"中","高")))),"不计算")))</f>
        <v/>
      </c>
      <c r="P524" s="142">
        <f>IFERROR(IF(I524="EI",IF(O524="低",3,IF(O524="中",4,6)),IF(I524="EO",IF(O524="低",4,IF(O524="中",5,7)),IF(I524="EQ",IF(O524="低",3,IF(O524="中",4,6)),IF(I524="ILF",IF(O524="低",7,IF(O524="中",10,15)),IF(I524="EIF",IF(O524="低",5,IF(O524="中",7,10)),"不计算")))))*Q524,"不计算")</f>
        <v/>
      </c>
      <c r="Q524" s="142" t="n">
        <v>0</v>
      </c>
      <c r="R524" s="143">
        <f>调整因子!$F$13</f>
        <v/>
      </c>
      <c r="S524" s="76" t="n">
        <v>1</v>
      </c>
      <c r="T524" s="144">
        <f>IFERROR(P524*R524,0)</f>
        <v/>
      </c>
      <c r="U524" s="144">
        <f>T524*S524</f>
        <v/>
      </c>
      <c r="V524" s="81" t="n"/>
      <c r="W524" s="76" t="inlineStr">
        <is>
          <t>主机漏洞详情表</t>
        </is>
      </c>
      <c r="X524" s="76" t="inlineStr">
        <is>
          <t>主机漏洞详情表{主键id、主机id、漏洞id、漏洞名称、漏洞描述、风险等级、发现时间、状态、修复建议}</t>
        </is>
      </c>
      <c r="Y524" s="88">
        <f>IF(COUNTIFS(V:V,"*"&amp;H524&amp;"*")&gt;0,"存在","不存在")</f>
        <v/>
      </c>
      <c r="Z524" s="88">
        <f>IF(COUNTIFS(AA:AA,"*"&amp;H524&amp;"*")&gt;0,"存在","不存在")</f>
        <v/>
      </c>
      <c r="AA524" s="70" t="n"/>
    </row>
    <row r="525" hidden="1" ht="21.6" customFormat="1" customHeight="1" s="63">
      <c r="A525" s="69">
        <f>ROW()-1</f>
        <v/>
      </c>
      <c r="B525" s="53" t="n"/>
      <c r="C525" s="78" t="n">
        <v>2025</v>
      </c>
      <c r="D525" s="78" t="inlineStr">
        <is>
          <t>窦鹏岐</t>
        </is>
      </c>
      <c r="E525" s="53" t="n"/>
      <c r="F525" s="53" t="n"/>
      <c r="G525" s="53" t="n"/>
      <c r="H525" s="80" t="inlineStr">
        <is>
          <t>主机资产列表表</t>
        </is>
      </c>
      <c r="I525" s="81" t="inlineStr">
        <is>
          <t>ILF</t>
        </is>
      </c>
      <c r="J525" s="108" t="n"/>
      <c r="K525" s="108" t="inlineStr">
        <is>
          <t>数据库表未被本系统所维护</t>
        </is>
      </c>
      <c r="L525" s="83">
        <f>IF(OR(X525="估算法",X525="算法类",X525="无法识别"),"",IF(V525="",IF(OR(I525="EI",I525="EO",I525="EQ"),0,""),LEN(V525)-LEN(SUBSTITUTE(V525,"、",""))+1))</f>
        <v/>
      </c>
      <c r="M525" s="83">
        <f>IF(OR(X525="估算法",X525="算法类",X525="无法识别"),"",IF(W525="",IF(OR(I525="ILF",I525="EIF"),0,""),LEN(W525)-LEN(SUBSTITUTE(W525,"、",""))+1))</f>
        <v/>
      </c>
      <c r="N525" s="83">
        <f>IF(OR(X525="估算法",X525="算法类",X525="无法识别"),"",IF(X525="",IF(OR(I525="ILF",I525="EIF",I525="EI",I525="EO",I525="EQ"),0,""),LEN(X525)-LEN(SUBSTITUTE(SUBSTITUTE(SUBSTITUTE(SUBSTITUTE(SUBSTITUTE(X525,"|}","--"),"{|","--"),CHAR(10),""),"、",""),"|",""))+IF(AND(OR(I525="EI",I525="EO",I525="EQ"),$AD$1="NESMA"),2,1)))</f>
        <v/>
      </c>
      <c r="O525" s="84">
        <f>IF(I525="EI",IF(OR(X525="估算法",X525="算法类"),"中",IF(X525="无法识别","低",IF(L525&lt;2,IF(N525&lt;16,"低","中"),IF(L525&lt;3,IF(N525&lt;5,"低",IF(N525&lt;16,"中","高")),IF(N525&lt;5,"中","高"))))),IF(OR(I525="EO",I525="EQ"),IF(OR(X525="估算法",X525="算法类"),"中",IF(X525="无法识别","低",IF(L525&lt;2,IF(N525&lt;20,"低","中"),IF(L525&lt;4,IF(N525&lt;6,"低",IF(N525&lt;20,"中","高")),IF(N525&lt;6,"中","高"))))),IF(OR(I525="ILF",I525="EIF"),IF(OR(X525="估算法",X525="算法类",X525="无法识别"),"低",IF(M525&lt;2,IF(N525&lt;51,"低","中"),IF(M525&lt;6,IF(N525&lt;20,"低",IF(N525&lt;51,"中","高")),IF(N525&lt;20,"中","高")))),"不计算")))</f>
        <v/>
      </c>
      <c r="P525" s="142">
        <f>IFERROR(IF(I525="EI",IF(O525="低",3,IF(O525="中",4,6)),IF(I525="EO",IF(O525="低",4,IF(O525="中",5,7)),IF(I525="EQ",IF(O525="低",3,IF(O525="中",4,6)),IF(I525="ILF",IF(O525="低",7,IF(O525="中",10,15)),IF(I525="EIF",IF(O525="低",5,IF(O525="中",7,10)),"不计算")))))*Q525,"不计算")</f>
        <v/>
      </c>
      <c r="Q525" s="142" t="n">
        <v>0</v>
      </c>
      <c r="R525" s="143">
        <f>调整因子!$F$13</f>
        <v/>
      </c>
      <c r="S525" s="70" t="n">
        <v>1</v>
      </c>
      <c r="T525" s="144">
        <f>IFERROR(P525*R525,0)</f>
        <v/>
      </c>
      <c r="U525" s="144">
        <f>T525*S525</f>
        <v/>
      </c>
      <c r="V525" s="81" t="n"/>
      <c r="W525" s="76" t="inlineStr">
        <is>
          <t>主机资产列表表</t>
        </is>
      </c>
      <c r="X525" s="76" t="inlineStr">
        <is>
          <t>主机资产列表表{主键id、用户id、主机名称、IP地址、操作系统、设备类型、状态、创建时间、最后更新时间}</t>
        </is>
      </c>
      <c r="Y525" s="88">
        <f>IF(COUNTIFS(V:V,"*"&amp;H525&amp;"*")&gt;0,"存在","不存在")</f>
        <v/>
      </c>
      <c r="Z525" s="88">
        <f>IF(COUNTIFS(AA:AA,"*"&amp;H525&amp;"*")&gt;0,"存在","不存在")</f>
        <v/>
      </c>
      <c r="AA525" s="70" t="n"/>
    </row>
    <row r="526" hidden="1" ht="21.6" customFormat="1" customHeight="1" s="63">
      <c r="A526" s="69">
        <f>ROW()-1</f>
        <v/>
      </c>
      <c r="B526" s="53" t="n"/>
      <c r="C526" s="78" t="n">
        <v>2025</v>
      </c>
      <c r="D526" s="78" t="inlineStr">
        <is>
          <t>窦鹏岐</t>
        </is>
      </c>
      <c r="E526" s="53" t="n"/>
      <c r="F526" s="54" t="n"/>
      <c r="G526" s="54" t="n"/>
      <c r="H526" s="80" t="inlineStr">
        <is>
          <t>Web资产列表表</t>
        </is>
      </c>
      <c r="I526" s="81" t="inlineStr">
        <is>
          <t>ILF</t>
        </is>
      </c>
      <c r="J526" s="108" t="n"/>
      <c r="K526" s="108" t="inlineStr">
        <is>
          <t>数据库表未被本系统所维护</t>
        </is>
      </c>
      <c r="L526" s="83">
        <f>IF(OR(X526="估算法",X526="算法类",X526="无法识别"),"",IF(V526="",IF(OR(I526="EI",I526="EO",I526="EQ"),0,""),LEN(V526)-LEN(SUBSTITUTE(V526,"、",""))+1))</f>
        <v/>
      </c>
      <c r="M526" s="83">
        <f>IF(OR(X526="估算法",X526="算法类",X526="无法识别"),"",IF(W526="",IF(OR(I526="ILF",I526="EIF"),0,""),LEN(W526)-LEN(SUBSTITUTE(W526,"、",""))+1))</f>
        <v/>
      </c>
      <c r="N526" s="83">
        <f>IF(OR(X526="估算法",X526="算法类",X526="无法识别"),"",IF(X526="",IF(OR(I526="ILF",I526="EIF",I526="EI",I526="EO",I526="EQ"),0,""),LEN(X526)-LEN(SUBSTITUTE(SUBSTITUTE(SUBSTITUTE(SUBSTITUTE(SUBSTITUTE(X526,"|}","--"),"{|","--"),CHAR(10),""),"、",""),"|",""))+IF(AND(OR(I526="EI",I526="EO",I526="EQ"),$AD$1="NESMA"),2,1)))</f>
        <v/>
      </c>
      <c r="O526" s="84">
        <f>IF(I526="EI",IF(OR(X526="估算法",X526="算法类"),"中",IF(X526="无法识别","低",IF(L526&lt;2,IF(N526&lt;16,"低","中"),IF(L526&lt;3,IF(N526&lt;5,"低",IF(N526&lt;16,"中","高")),IF(N526&lt;5,"中","高"))))),IF(OR(I526="EO",I526="EQ"),IF(OR(X526="估算法",X526="算法类"),"中",IF(X526="无法识别","低",IF(L526&lt;2,IF(N526&lt;20,"低","中"),IF(L526&lt;4,IF(N526&lt;6,"低",IF(N526&lt;20,"中","高")),IF(N526&lt;6,"中","高"))))),IF(OR(I526="ILF",I526="EIF"),IF(OR(X526="估算法",X526="算法类",X526="无法识别"),"低",IF(M526&lt;2,IF(N526&lt;51,"低","中"),IF(M526&lt;6,IF(N526&lt;20,"低",IF(N526&lt;51,"中","高")),IF(N526&lt;20,"中","高")))),"不计算")))</f>
        <v/>
      </c>
      <c r="P526" s="142">
        <f>IFERROR(IF(I526="EI",IF(O526="低",3,IF(O526="中",4,6)),IF(I526="EO",IF(O526="低",4,IF(O526="中",5,7)),IF(I526="EQ",IF(O526="低",3,IF(O526="中",4,6)),IF(I526="ILF",IF(O526="低",7,IF(O526="中",10,15)),IF(I526="EIF",IF(O526="低",5,IF(O526="中",7,10)),"不计算")))))*Q526,"不计算")</f>
        <v/>
      </c>
      <c r="Q526" s="142" t="n">
        <v>0</v>
      </c>
      <c r="R526" s="143">
        <f>调整因子!$F$13</f>
        <v/>
      </c>
      <c r="S526" s="70" t="n">
        <v>1</v>
      </c>
      <c r="T526" s="144">
        <f>IFERROR(P526*R526,0)</f>
        <v/>
      </c>
      <c r="U526" s="144">
        <f>T526*S526</f>
        <v/>
      </c>
      <c r="V526" s="81" t="n"/>
      <c r="W526" s="76" t="inlineStr">
        <is>
          <t>Web资产列表表</t>
        </is>
      </c>
      <c r="X526" s="76" t="inlineStr">
        <is>
          <t>Web资产列表表{主键id、用户id、网站名称、域名、服务器类型、状态、创建时间、最后更新时间}</t>
        </is>
      </c>
      <c r="Y526" s="88">
        <f>IF(COUNTIFS(V:V,"*"&amp;H526&amp;"*")&gt;0,"存在","不存在")</f>
        <v/>
      </c>
      <c r="Z526" s="88">
        <f>IF(COUNTIFS(AA:AA,"*"&amp;H526&amp;"*")&gt;0,"存在","不存在")</f>
        <v/>
      </c>
      <c r="AA526" s="70" t="n"/>
    </row>
    <row r="527" hidden="1" ht="32.4" customFormat="1" customHeight="1" s="63">
      <c r="A527" s="69">
        <f>ROW()-1</f>
        <v/>
      </c>
      <c r="B527" s="53" t="n"/>
      <c r="C527" s="78" t="n">
        <v>2025</v>
      </c>
      <c r="D527" s="78" t="inlineStr">
        <is>
          <t>窦鹏岐</t>
        </is>
      </c>
      <c r="E527" s="53" t="n"/>
      <c r="F527" s="79" t="inlineStr">
        <is>
          <t>靶标资产管理</t>
        </is>
      </c>
      <c r="G527" s="79" t="inlineStr">
        <is>
          <t>靶标资产同步与接口管理</t>
        </is>
      </c>
      <c r="H527" s="80" t="inlineStr">
        <is>
          <t>上报靶标资产</t>
        </is>
      </c>
      <c r="I527" s="76" t="inlineStr">
        <is>
          <t>EI</t>
        </is>
      </c>
      <c r="J527" s="108" t="n"/>
      <c r="K527" s="108" t="n"/>
      <c r="L527" s="83">
        <f>IF(OR(X527="估算法",X527="算法类",X527="无法识别"),"",IF(V527="",IF(OR(I527="EI",I527="EO",I527="EQ"),0,""),LEN(V527)-LEN(SUBSTITUTE(V527,"、",""))+1))</f>
        <v/>
      </c>
      <c r="M527" s="83">
        <f>IF(OR(X527="估算法",X527="算法类",X527="无法识别"),"",IF(W527="",IF(OR(I527="ILF",I527="EIF"),0,""),LEN(W527)-LEN(SUBSTITUTE(W527,"、",""))+1))</f>
        <v/>
      </c>
      <c r="N527" s="83">
        <f>IF(OR(X527="估算法",X527="算法类",X527="无法识别"),"",IF(X527="",IF(OR(I527="ILF",I527="EIF",I527="EI",I527="EO",I527="EQ"),0,""),LEN(X527)-LEN(SUBSTITUTE(SUBSTITUTE(SUBSTITUTE(SUBSTITUTE(SUBSTITUTE(X527,"|}","--"),"{|","--"),CHAR(10),""),"、",""),"|",""))+IF(AND(OR(I527="EI",I527="EO",I527="EQ"),$AD$1="NESMA"),2,1)))</f>
        <v/>
      </c>
      <c r="O527" s="84">
        <f>IF(I527="EI",IF(OR(X527="估算法",X527="算法类"),"中",IF(X527="无法识别","低",IF(L527&lt;2,IF(N527&lt;16,"低","中"),IF(L527&lt;3,IF(N527&lt;5,"低",IF(N527&lt;16,"中","高")),IF(N527&lt;5,"中","高"))))),IF(OR(I527="EO",I527="EQ"),IF(OR(X527="估算法",X527="算法类"),"中",IF(X527="无法识别","低",IF(L527&lt;2,IF(N527&lt;20,"低","中"),IF(L527&lt;4,IF(N527&lt;6,"低",IF(N527&lt;20,"中","高")),IF(N527&lt;6,"中","高"))))),IF(OR(I527="ILF",I527="EIF"),IF(OR(X527="估算法",X527="算法类",X527="无法识别"),"低",IF(M527&lt;2,IF(N527&lt;51,"低","中"),IF(M527&lt;6,IF(N527&lt;20,"低",IF(N527&lt;51,"中","高")),IF(N527&lt;20,"中","高")))),"不计算")))</f>
        <v/>
      </c>
      <c r="P527" s="142">
        <f>IFERROR(IF(I527="EI",IF(O527="低",3,IF(O527="中",4,6)),IF(I527="EO",IF(O527="低",4,IF(O527="中",5,7)),IF(I527="EQ",IF(O527="低",3,IF(O527="中",4,6)),IF(I527="ILF",IF(O527="低",7,IF(O527="中",10,15)),IF(I527="EIF",IF(O527="低",5,IF(O527="中",7,10)),"不计算")))))*Q527,"不计算")</f>
        <v/>
      </c>
      <c r="Q527" s="142" t="n">
        <v>1</v>
      </c>
      <c r="R527" s="143">
        <f>调整因子!$F$13</f>
        <v/>
      </c>
      <c r="S527" s="76" t="n">
        <v>1</v>
      </c>
      <c r="T527" s="144">
        <f>IFERROR(P527*R527,0)</f>
        <v/>
      </c>
      <c r="U527" s="144">
        <f>T527*S527</f>
        <v/>
      </c>
      <c r="V527" s="76" t="inlineStr">
        <is>
          <t>靶标资产表、靶标资产同步记录表</t>
        </is>
      </c>
      <c r="W527" s="81" t="n"/>
      <c r="X527" s="76" t="inlineStr">
        <is>
          <t>靶标资产表{主键 id 、资产名称、资产类型 IP 地址、资产描述、最后更新时间}
靶标资产同步记录表{主键 id 、同步时间同步类型（上报/接收）、同步状态（成功/失败）、同步源、同步数量、同步目标}</t>
        </is>
      </c>
      <c r="Y527" s="88" t="n"/>
      <c r="Z527" s="88" t="n"/>
      <c r="AA527" s="70" t="n"/>
    </row>
    <row r="528" hidden="1" ht="32.4" customFormat="1" customHeight="1" s="63">
      <c r="A528" s="69">
        <f>ROW()-1</f>
        <v/>
      </c>
      <c r="B528" s="53" t="n"/>
      <c r="C528" s="78" t="n">
        <v>2025</v>
      </c>
      <c r="D528" s="78" t="inlineStr">
        <is>
          <t>窦鹏岐</t>
        </is>
      </c>
      <c r="E528" s="53" t="n"/>
      <c r="F528" s="53" t="n"/>
      <c r="G528" s="53" t="n"/>
      <c r="H528" s="80" t="inlineStr">
        <is>
          <t>接收部侧靶标报文</t>
        </is>
      </c>
      <c r="I528" s="76" t="inlineStr">
        <is>
          <t>EI</t>
        </is>
      </c>
      <c r="J528" s="108" t="n"/>
      <c r="K528" s="108" t="n"/>
      <c r="L528" s="83">
        <f>IF(OR(X528="估算法",X528="算法类",X528="无法识别"),"",IF(V528="",IF(OR(I528="EI",I528="EO",I528="EQ"),0,""),LEN(V528)-LEN(SUBSTITUTE(V528,"、",""))+1))</f>
        <v/>
      </c>
      <c r="M528" s="83">
        <f>IF(OR(X528="估算法",X528="算法类",X528="无法识别"),"",IF(W528="",IF(OR(I528="ILF",I528="EIF"),0,""),LEN(W528)-LEN(SUBSTITUTE(W528,"、",""))+1))</f>
        <v/>
      </c>
      <c r="N528" s="83">
        <f>IF(OR(X528="估算法",X528="算法类",X528="无法识别"),"",IF(X528="",IF(OR(I528="ILF",I528="EIF",I528="EI",I528="EO",I528="EQ"),0,""),LEN(X528)-LEN(SUBSTITUTE(SUBSTITUTE(SUBSTITUTE(SUBSTITUTE(SUBSTITUTE(X528,"|}","--"),"{|","--"),CHAR(10),""),"、",""),"|",""))+IF(AND(OR(I528="EI",I528="EO",I528="EQ"),$AD$1="NESMA"),2,1)))</f>
        <v/>
      </c>
      <c r="O528" s="84">
        <f>IF(I528="EI",IF(OR(X528="估算法",X528="算法类"),"中",IF(X528="无法识别","低",IF(L528&lt;2,IF(N528&lt;16,"低","中"),IF(L528&lt;3,IF(N528&lt;5,"低",IF(N528&lt;16,"中","高")),IF(N528&lt;5,"中","高"))))),IF(OR(I528="EO",I528="EQ"),IF(OR(X528="估算法",X528="算法类"),"中",IF(X528="无法识别","低",IF(L528&lt;2,IF(N528&lt;20,"低","中"),IF(L528&lt;4,IF(N528&lt;6,"低",IF(N528&lt;20,"中","高")),IF(N528&lt;6,"中","高"))))),IF(OR(I528="ILF",I528="EIF"),IF(OR(X528="估算法",X528="算法类",X528="无法识别"),"低",IF(M528&lt;2,IF(N528&lt;51,"低","中"),IF(M528&lt;6,IF(N528&lt;20,"低",IF(N528&lt;51,"中","高")),IF(N528&lt;20,"中","高")))),"不计算")))</f>
        <v/>
      </c>
      <c r="P528" s="142">
        <f>IFERROR(IF(I528="EI",IF(O528="低",3,IF(O528="中",4,6)),IF(I528="EO",IF(O528="低",4,IF(O528="中",5,7)),IF(I528="EQ",IF(O528="低",3,IF(O528="中",4,6)),IF(I528="ILF",IF(O528="低",7,IF(O528="中",10,15)),IF(I528="EIF",IF(O528="低",5,IF(O528="中",7,10)),"不计算")))))*Q528,"不计算")</f>
        <v/>
      </c>
      <c r="Q528" s="142" t="n">
        <v>1</v>
      </c>
      <c r="R528" s="143">
        <f>调整因子!$F$13</f>
        <v/>
      </c>
      <c r="S528" s="70" t="n">
        <v>1</v>
      </c>
      <c r="T528" s="144">
        <f>IFERROR(P528*R528,0)</f>
        <v/>
      </c>
      <c r="U528" s="144">
        <f>T528*S528</f>
        <v/>
      </c>
      <c r="V528" s="76" t="inlineStr">
        <is>
          <t>靶标资产表、靶标资产接收记录表</t>
        </is>
      </c>
      <c r="W528" s="81" t="n"/>
      <c r="X528" s="76" t="inlineStr">
        <is>
          <t>靶标资产表{主键 id 、资产名称、资产类型 IP 地址、资产描述、最后更新时间}
靶标资产接收记录表{主键 id 、接收时间、接收来源、接收状态（成功/失败）、接收报文内容}</t>
        </is>
      </c>
      <c r="Y528" s="88" t="n"/>
      <c r="Z528" s="88" t="n"/>
      <c r="AA528" s="70" t="n"/>
    </row>
    <row r="529" hidden="1" ht="10.8" customFormat="1" customHeight="1" s="63">
      <c r="A529" s="69">
        <f>ROW()-1</f>
        <v/>
      </c>
      <c r="B529" s="53" t="n"/>
      <c r="C529" s="78" t="n">
        <v>2025</v>
      </c>
      <c r="D529" s="78" t="inlineStr">
        <is>
          <t>窦鹏岐</t>
        </is>
      </c>
      <c r="E529" s="53" t="n"/>
      <c r="F529" s="53" t="n"/>
      <c r="G529" s="53" t="n"/>
      <c r="H529" s="80" t="inlineStr">
        <is>
          <t>显示靶标资产列表</t>
        </is>
      </c>
      <c r="I529" s="76" t="inlineStr">
        <is>
          <t>EQ</t>
        </is>
      </c>
      <c r="J529" s="108" t="n"/>
      <c r="K529" s="108" t="n"/>
      <c r="L529" s="83">
        <f>IF(OR(X529="估算法",X529="算法类",X529="无法识别"),"",IF(V529="",IF(OR(I529="EI",I529="EO",I529="EQ"),0,""),LEN(V529)-LEN(SUBSTITUTE(V529,"、",""))+1))</f>
        <v/>
      </c>
      <c r="M529" s="83">
        <f>IF(OR(X529="估算法",X529="算法类",X529="无法识别"),"",IF(W529="",IF(OR(I529="ILF",I529="EIF"),0,""),LEN(W529)-LEN(SUBSTITUTE(W529,"、",""))+1))</f>
        <v/>
      </c>
      <c r="N529" s="83">
        <f>IF(OR(X529="估算法",X529="算法类",X529="无法识别"),"",IF(X529="",IF(OR(I529="ILF",I529="EIF",I529="EI",I529="EO",I529="EQ"),0,""),LEN(X529)-LEN(SUBSTITUTE(SUBSTITUTE(SUBSTITUTE(SUBSTITUTE(SUBSTITUTE(X529,"|}","--"),"{|","--"),CHAR(10),""),"、",""),"|",""))+IF(AND(OR(I529="EI",I529="EO",I529="EQ"),$AD$1="NESMA"),2,1)))</f>
        <v/>
      </c>
      <c r="O529" s="84">
        <f>IF(I529="EI",IF(OR(X529="估算法",X529="算法类"),"中",IF(X529="无法识别","低",IF(L529&lt;2,IF(N529&lt;16,"低","中"),IF(L529&lt;3,IF(N529&lt;5,"低",IF(N529&lt;16,"中","高")),IF(N529&lt;5,"中","高"))))),IF(OR(I529="EO",I529="EQ"),IF(OR(X529="估算法",X529="算法类"),"中",IF(X529="无法识别","低",IF(L529&lt;2,IF(N529&lt;20,"低","中"),IF(L529&lt;4,IF(N529&lt;6,"低",IF(N529&lt;20,"中","高")),IF(N529&lt;6,"中","高"))))),IF(OR(I529="ILF",I529="EIF"),IF(OR(X529="估算法",X529="算法类",X529="无法识别"),"低",IF(M529&lt;2,IF(N529&lt;51,"低","中"),IF(M529&lt;6,IF(N529&lt;20,"低",IF(N529&lt;51,"中","高")),IF(N529&lt;20,"中","高")))),"不计算")))</f>
        <v/>
      </c>
      <c r="P529" s="142">
        <f>IFERROR(IF(I529="EI",IF(O529="低",3,IF(O529="中",4,6)),IF(I529="EO",IF(O529="低",4,IF(O529="中",5,7)),IF(I529="EQ",IF(O529="低",3,IF(O529="中",4,6)),IF(I529="ILF",IF(O529="低",7,IF(O529="中",10,15)),IF(I529="EIF",IF(O529="低",5,IF(O529="中",7,10)),"不计算")))))*Q529,"不计算")</f>
        <v/>
      </c>
      <c r="Q529" s="142" t="n">
        <v>1</v>
      </c>
      <c r="R529" s="143">
        <f>调整因子!$F$13</f>
        <v/>
      </c>
      <c r="S529" s="70" t="n">
        <v>1</v>
      </c>
      <c r="T529" s="144">
        <f>IFERROR(P529*R529,0)</f>
        <v/>
      </c>
      <c r="U529" s="144">
        <f>T529*S529</f>
        <v/>
      </c>
      <c r="V529" s="76" t="inlineStr">
        <is>
          <t>靶标资产表</t>
        </is>
      </c>
      <c r="W529" s="81" t="n"/>
      <c r="X529" s="76" t="inlineStr">
        <is>
          <t>靶标资产表{主键 id 、资产名称、资产类型 IP 地址、资产描述、最后更新时间}</t>
        </is>
      </c>
      <c r="Y529" s="88" t="n"/>
      <c r="Z529" s="88" t="n"/>
      <c r="AA529" s="70" t="n"/>
    </row>
    <row r="530" hidden="1" ht="32.4" customFormat="1" customHeight="1" s="63">
      <c r="A530" s="69">
        <f>ROW()-1</f>
        <v/>
      </c>
      <c r="B530" s="53" t="n"/>
      <c r="C530" s="78" t="n">
        <v>2025</v>
      </c>
      <c r="D530" s="78" t="inlineStr">
        <is>
          <t>窦鹏岐</t>
        </is>
      </c>
      <c r="E530" s="53" t="n"/>
      <c r="F530" s="53" t="n"/>
      <c r="G530" s="54" t="n"/>
      <c r="H530" s="80" t="inlineStr">
        <is>
          <t>解析部侧靶标文件数据</t>
        </is>
      </c>
      <c r="I530" s="76" t="n"/>
      <c r="J530" s="108" t="n"/>
      <c r="K530" s="108" t="inlineStr">
        <is>
          <t>非事务功能</t>
        </is>
      </c>
      <c r="L530" s="83">
        <f>IF(OR(X530="估算法",X530="算法类",X530="无法识别"),"",IF(V530="",IF(OR(I530="EI",I530="EO",I530="EQ"),0,""),LEN(V530)-LEN(SUBSTITUTE(V530,"、",""))+1))</f>
        <v/>
      </c>
      <c r="M530" s="83">
        <f>IF(OR(X530="估算法",X530="算法类",X530="无法识别"),"",IF(W530="",IF(OR(I530="ILF",I530="EIF"),0,""),LEN(W530)-LEN(SUBSTITUTE(W530,"、",""))+1))</f>
        <v/>
      </c>
      <c r="N530" s="83">
        <f>IF(OR(X530="估算法",X530="算法类",X530="无法识别"),"",IF(X530="",IF(OR(I530="ILF",I530="EIF",I530="EI",I530="EO",I530="EQ"),0,""),LEN(X530)-LEN(SUBSTITUTE(SUBSTITUTE(SUBSTITUTE(SUBSTITUTE(SUBSTITUTE(X530,"|}","--"),"{|","--"),CHAR(10),""),"、",""),"|",""))+IF(AND(OR(I530="EI",I530="EO",I530="EQ"),$AD$1="NESMA"),2,1)))</f>
        <v/>
      </c>
      <c r="O530" s="84">
        <f>IF(I530="EI",IF(OR(X530="估算法",X530="算法类"),"中",IF(X530="无法识别","低",IF(L530&lt;2,IF(N530&lt;16,"低","中"),IF(L530&lt;3,IF(N530&lt;5,"低",IF(N530&lt;16,"中","高")),IF(N530&lt;5,"中","高"))))),IF(OR(I530="EO",I530="EQ"),IF(OR(X530="估算法",X530="算法类"),"中",IF(X530="无法识别","低",IF(L530&lt;2,IF(N530&lt;20,"低","中"),IF(L530&lt;4,IF(N530&lt;6,"低",IF(N530&lt;20,"中","高")),IF(N530&lt;6,"中","高"))))),IF(OR(I530="ILF",I530="EIF"),IF(OR(X530="估算法",X530="算法类",X530="无法识别"),"低",IF(M530&lt;2,IF(N530&lt;51,"低","中"),IF(M530&lt;6,IF(N530&lt;20,"低",IF(N530&lt;51,"中","高")),IF(N530&lt;20,"中","高")))),"不计算")))</f>
        <v/>
      </c>
      <c r="P530" s="142">
        <f>IFERROR(IF(I530="EI",IF(O530="低",3,IF(O530="中",4,6)),IF(I530="EO",IF(O530="低",4,IF(O530="中",5,7)),IF(I530="EQ",IF(O530="低",3,IF(O530="中",4,6)),IF(I530="ILF",IF(O530="低",7,IF(O530="中",10,15)),IF(I530="EIF",IF(O530="低",5,IF(O530="中",7,10)),"不计算")))))*Q530,"不计算")</f>
        <v/>
      </c>
      <c r="Q530" s="142" t="n">
        <v>1</v>
      </c>
      <c r="R530" s="143">
        <f>调整因子!$F$13</f>
        <v/>
      </c>
      <c r="S530" s="76" t="n">
        <v>1</v>
      </c>
      <c r="T530" s="144">
        <f>IFERROR(P530*R530,0)</f>
        <v/>
      </c>
      <c r="U530" s="144">
        <f>T530*S530</f>
        <v/>
      </c>
      <c r="V530" s="76" t="inlineStr">
        <is>
          <t>靶标资产表、靶标资产接收记录表</t>
        </is>
      </c>
      <c r="W530" s="81" t="n"/>
      <c r="X530" s="76" t="inlineStr">
        <is>
          <t>靶标资产表{主键 id 、资产名称、资产类型 IP 地址、资产描述、最后更新时间}
靶标资产接收记录表{主键 id 、接收时间、接收来源、接收状态（成功/失败）、接收报文内容}</t>
        </is>
      </c>
      <c r="Y530" s="88" t="n"/>
      <c r="Z530" s="88" t="n"/>
      <c r="AA530" s="70" t="n"/>
    </row>
    <row r="531" hidden="1" ht="10.8" customFormat="1" customHeight="1" s="63">
      <c r="A531" s="69">
        <f>ROW()-1</f>
        <v/>
      </c>
      <c r="B531" s="53" t="n"/>
      <c r="C531" s="78" t="n">
        <v>2025</v>
      </c>
      <c r="D531" s="78" t="inlineStr">
        <is>
          <t>窦鹏岐</t>
        </is>
      </c>
      <c r="E531" s="53" t="n"/>
      <c r="F531" s="53" t="n"/>
      <c r="G531" s="79" t="inlineStr">
        <is>
          <t>靶标资产信息管理</t>
        </is>
      </c>
      <c r="H531" s="80" t="inlineStr">
        <is>
          <t>上报下载</t>
        </is>
      </c>
      <c r="I531" s="76" t="inlineStr">
        <is>
          <t>EO</t>
        </is>
      </c>
      <c r="J531" s="108" t="n"/>
      <c r="K531" s="108" t="n"/>
      <c r="L531" s="83">
        <f>IF(OR(X531="估算法",X531="算法类",X531="无法识别"),"",IF(V531="",IF(OR(I531="EI",I531="EO",I531="EQ"),0,""),LEN(V531)-LEN(SUBSTITUTE(V531,"、",""))+1))</f>
        <v/>
      </c>
      <c r="M531" s="83">
        <f>IF(OR(X531="估算法",X531="算法类",X531="无法识别"),"",IF(W531="",IF(OR(I531="ILF",I531="EIF"),0,""),LEN(W531)-LEN(SUBSTITUTE(W531,"、",""))+1))</f>
        <v/>
      </c>
      <c r="N531" s="83">
        <f>IF(OR(X531="估算法",X531="算法类",X531="无法识别"),"",IF(X531="",IF(OR(I531="ILF",I531="EIF",I531="EI",I531="EO",I531="EQ"),0,""),LEN(X531)-LEN(SUBSTITUTE(SUBSTITUTE(SUBSTITUTE(SUBSTITUTE(SUBSTITUTE(X531,"|}","--"),"{|","--"),CHAR(10),""),"、",""),"|",""))+IF(AND(OR(I531="EI",I531="EO",I531="EQ"),$AD$1="NESMA"),2,1)))</f>
        <v/>
      </c>
      <c r="O531" s="84">
        <f>IF(I531="EI",IF(OR(X531="估算法",X531="算法类"),"中",IF(X531="无法识别","低",IF(L531&lt;2,IF(N531&lt;16,"低","中"),IF(L531&lt;3,IF(N531&lt;5,"低",IF(N531&lt;16,"中","高")),IF(N531&lt;5,"中","高"))))),IF(OR(I531="EO",I531="EQ"),IF(OR(X531="估算法",X531="算法类"),"中",IF(X531="无法识别","低",IF(L531&lt;2,IF(N531&lt;20,"低","中"),IF(L531&lt;4,IF(N531&lt;6,"低",IF(N531&lt;20,"中","高")),IF(N531&lt;6,"中","高"))))),IF(OR(I531="ILF",I531="EIF"),IF(OR(X531="估算法",X531="算法类",X531="无法识别"),"低",IF(M531&lt;2,IF(N531&lt;51,"低","中"),IF(M531&lt;6,IF(N531&lt;20,"低",IF(N531&lt;51,"中","高")),IF(N531&lt;20,"中","高")))),"不计算")))</f>
        <v/>
      </c>
      <c r="P531" s="142">
        <f>IFERROR(IF(I531="EI",IF(O531="低",3,IF(O531="中",4,6)),IF(I531="EO",IF(O531="低",4,IF(O531="中",5,7)),IF(I531="EQ",IF(O531="低",3,IF(O531="中",4,6)),IF(I531="ILF",IF(O531="低",7,IF(O531="中",10,15)),IF(I531="EIF",IF(O531="低",5,IF(O531="中",7,10)),"不计算")))))*Q531,"不计算")</f>
        <v/>
      </c>
      <c r="Q531" s="142" t="n">
        <v>1</v>
      </c>
      <c r="R531" s="143">
        <f>调整因子!$F$13</f>
        <v/>
      </c>
      <c r="S531" s="70" t="n">
        <v>1</v>
      </c>
      <c r="T531" s="144">
        <f>IFERROR(P531*R531,0)</f>
        <v/>
      </c>
      <c r="U531" s="144">
        <f>T531*S531</f>
        <v/>
      </c>
      <c r="V531" s="76" t="inlineStr">
        <is>
          <t>靶标资产表</t>
        </is>
      </c>
      <c r="W531" s="81" t="n"/>
      <c r="X531" s="76" t="inlineStr">
        <is>
          <t>靶标资产表{主键 id 、资产名称、资产类型 IP 地址、资产描述、最后更新时间}</t>
        </is>
      </c>
      <c r="Y531" s="88" t="n"/>
      <c r="Z531" s="88" t="n"/>
      <c r="AA531" s="70" t="n"/>
    </row>
    <row r="532" hidden="1" ht="54" customFormat="1" customHeight="1" s="63">
      <c r="A532" s="69">
        <f>ROW()-1</f>
        <v/>
      </c>
      <c r="B532" s="53" t="n"/>
      <c r="C532" s="78" t="n">
        <v>2025</v>
      </c>
      <c r="D532" s="78" t="inlineStr">
        <is>
          <t>窦鹏岐</t>
        </is>
      </c>
      <c r="E532" s="53" t="n"/>
      <c r="F532" s="53" t="n"/>
      <c r="G532" s="53" t="n"/>
      <c r="H532" s="80" t="inlineStr">
        <is>
          <t>导入靶标</t>
        </is>
      </c>
      <c r="I532" s="76" t="inlineStr">
        <is>
          <t>EI</t>
        </is>
      </c>
      <c r="J532" s="108" t="n"/>
      <c r="K532" s="108" t="n"/>
      <c r="L532" s="83">
        <f>IF(OR(X532="估算法",X532="算法类",X532="无法识别"),"",IF(V532="",IF(OR(I532="EI",I532="EO",I532="EQ"),0,""),LEN(V532)-LEN(SUBSTITUTE(V532,"、",""))+1))</f>
        <v/>
      </c>
      <c r="M532" s="83">
        <f>IF(OR(X532="估算法",X532="算法类",X532="无法识别"),"",IF(W532="",IF(OR(I532="ILF",I532="EIF"),0,""),LEN(W532)-LEN(SUBSTITUTE(W532,"、",""))+1))</f>
        <v/>
      </c>
      <c r="N532" s="83">
        <f>IF(OR(X532="估算法",X532="算法类",X532="无法识别"),"",IF(X532="",IF(OR(I532="ILF",I532="EIF",I532="EI",I532="EO",I532="EQ"),0,""),LEN(X532)-LEN(SUBSTITUTE(SUBSTITUTE(SUBSTITUTE(SUBSTITUTE(SUBSTITUTE(X532,"|}","--"),"{|","--"),CHAR(10),""),"、",""),"|",""))+IF(AND(OR(I532="EI",I532="EO",I532="EQ"),$AD$1="NESMA"),2,1)))</f>
        <v/>
      </c>
      <c r="O532" s="84">
        <f>IF(I532="EI",IF(OR(X532="估算法",X532="算法类"),"中",IF(X532="无法识别","低",IF(L532&lt;2,IF(N532&lt;16,"低","中"),IF(L532&lt;3,IF(N532&lt;5,"低",IF(N532&lt;16,"中","高")),IF(N532&lt;5,"中","高"))))),IF(OR(I532="EO",I532="EQ"),IF(OR(X532="估算法",X532="算法类"),"中",IF(X532="无法识别","低",IF(L532&lt;2,IF(N532&lt;20,"低","中"),IF(L532&lt;4,IF(N532&lt;6,"低",IF(N532&lt;20,"中","高")),IF(N532&lt;6,"中","高"))))),IF(OR(I532="ILF",I532="EIF"),IF(OR(X532="估算法",X532="算法类",X532="无法识别"),"低",IF(M532&lt;2,IF(N532&lt;51,"低","中"),IF(M532&lt;6,IF(N532&lt;20,"低",IF(N532&lt;51,"中","高")),IF(N532&lt;20,"中","高")))),"不计算")))</f>
        <v/>
      </c>
      <c r="P532" s="142">
        <f>IFERROR(IF(I532="EI",IF(O532="低",3,IF(O532="中",4,6)),IF(I532="EO",IF(O532="低",4,IF(O532="中",5,7)),IF(I532="EQ",IF(O532="低",3,IF(O532="中",4,6)),IF(I532="ILF",IF(O532="低",7,IF(O532="中",10,15)),IF(I532="EIF",IF(O532="低",5,IF(O532="中",7,10)),"不计算")))))*Q532,"不计算")</f>
        <v/>
      </c>
      <c r="Q532" s="142" t="n">
        <v>1</v>
      </c>
      <c r="R532" s="143">
        <f>调整因子!$F$13</f>
        <v/>
      </c>
      <c r="S532" s="70" t="n">
        <v>1</v>
      </c>
      <c r="T532" s="144">
        <f>IFERROR(P532*R532,0)</f>
        <v/>
      </c>
      <c r="U532" s="144">
        <f>T532*S532</f>
        <v/>
      </c>
      <c r="V532" s="76" t="inlineStr">
        <is>
          <t>靶标资产表、靶标资产导入记录表、靶标资产同步记录表</t>
        </is>
      </c>
      <c r="W532" s="81" t="n"/>
      <c r="X532" s="76" t="inlineStr">
        <is>
          <t>靶标资产表{主键 id 、资产名称、资产类型 IP 地址、资产描述、最后更新时间}
靶标资产导入记录表{主键 id 、导入时间、导入人、导入文件名、导入状态（成功/失败）}
靶标资产同步记录表{主键 id 、同步时间同步类型（上报/接收）、同步状态（成功/失败）、同步源、同步数量、同步目标}</t>
        </is>
      </c>
      <c r="Y532" s="88" t="n"/>
      <c r="Z532" s="88" t="n"/>
      <c r="AA532" s="70" t="n"/>
    </row>
    <row r="533" hidden="1" ht="10.8" customFormat="1" customHeight="1" s="63">
      <c r="A533" s="69">
        <f>ROW()-1</f>
        <v/>
      </c>
      <c r="B533" s="53" t="n"/>
      <c r="C533" s="78" t="n">
        <v>2025</v>
      </c>
      <c r="D533" s="78" t="inlineStr">
        <is>
          <t>窦鹏岐</t>
        </is>
      </c>
      <c r="E533" s="53" t="n"/>
      <c r="F533" s="53" t="n"/>
      <c r="G533" s="53" t="n"/>
      <c r="H533" s="80" t="inlineStr">
        <is>
          <t>导出靶标</t>
        </is>
      </c>
      <c r="I533" s="76" t="inlineStr">
        <is>
          <t>EO</t>
        </is>
      </c>
      <c r="J533" s="108" t="n"/>
      <c r="K533" s="108" t="n"/>
      <c r="L533" s="83">
        <f>IF(OR(X533="估算法",X533="算法类",X533="无法识别"),"",IF(V533="",IF(OR(I533="EI",I533="EO",I533="EQ"),0,""),LEN(V533)-LEN(SUBSTITUTE(V533,"、",""))+1))</f>
        <v/>
      </c>
      <c r="M533" s="83">
        <f>IF(OR(X533="估算法",X533="算法类",X533="无法识别"),"",IF(W533="",IF(OR(I533="ILF",I533="EIF"),0,""),LEN(W533)-LEN(SUBSTITUTE(W533,"、",""))+1))</f>
        <v/>
      </c>
      <c r="N533" s="83">
        <f>IF(OR(X533="估算法",X533="算法类",X533="无法识别"),"",IF(X533="",IF(OR(I533="ILF",I533="EIF",I533="EI",I533="EO",I533="EQ"),0,""),LEN(X533)-LEN(SUBSTITUTE(SUBSTITUTE(SUBSTITUTE(SUBSTITUTE(SUBSTITUTE(X533,"|}","--"),"{|","--"),CHAR(10),""),"、",""),"|",""))+IF(AND(OR(I533="EI",I533="EO",I533="EQ"),$AD$1="NESMA"),2,1)))</f>
        <v/>
      </c>
      <c r="O533" s="84">
        <f>IF(I533="EI",IF(OR(X533="估算法",X533="算法类"),"中",IF(X533="无法识别","低",IF(L533&lt;2,IF(N533&lt;16,"低","中"),IF(L533&lt;3,IF(N533&lt;5,"低",IF(N533&lt;16,"中","高")),IF(N533&lt;5,"中","高"))))),IF(OR(I533="EO",I533="EQ"),IF(OR(X533="估算法",X533="算法类"),"中",IF(X533="无法识别","低",IF(L533&lt;2,IF(N533&lt;20,"低","中"),IF(L533&lt;4,IF(N533&lt;6,"低",IF(N533&lt;20,"中","高")),IF(N533&lt;6,"中","高"))))),IF(OR(I533="ILF",I533="EIF"),IF(OR(X533="估算法",X533="算法类",X533="无法识别"),"低",IF(M533&lt;2,IF(N533&lt;51,"低","中"),IF(M533&lt;6,IF(N533&lt;20,"低",IF(N533&lt;51,"中","高")),IF(N533&lt;20,"中","高")))),"不计算")))</f>
        <v/>
      </c>
      <c r="P533" s="142">
        <f>IFERROR(IF(I533="EI",IF(O533="低",3,IF(O533="中",4,6)),IF(I533="EO",IF(O533="低",4,IF(O533="中",5,7)),IF(I533="EQ",IF(O533="低",3,IF(O533="中",4,6)),IF(I533="ILF",IF(O533="低",7,IF(O533="中",10,15)),IF(I533="EIF",IF(O533="低",5,IF(O533="中",7,10)),"不计算")))))*Q533,"不计算")</f>
        <v/>
      </c>
      <c r="Q533" s="142" t="n">
        <v>1</v>
      </c>
      <c r="R533" s="143">
        <f>调整因子!$F$13</f>
        <v/>
      </c>
      <c r="S533" s="76" t="n">
        <v>1</v>
      </c>
      <c r="T533" s="144">
        <f>IFERROR(P533*R533,0)</f>
        <v/>
      </c>
      <c r="U533" s="144">
        <f>T533*S533</f>
        <v/>
      </c>
      <c r="V533" s="76" t="inlineStr">
        <is>
          <t>靶标资产表</t>
        </is>
      </c>
      <c r="W533" s="81" t="n"/>
      <c r="X533" s="76" t="inlineStr">
        <is>
          <t>靶标资产表{主键 id 、资产名称、资产类型 IP 地址、资产描述、最后更新时间}</t>
        </is>
      </c>
      <c r="Y533" s="88" t="n"/>
      <c r="Z533" s="88" t="n"/>
      <c r="AA533" s="70" t="n"/>
    </row>
    <row r="534" hidden="1" ht="10.8" customFormat="1" customHeight="1" s="63">
      <c r="A534" s="69">
        <f>ROW()-1</f>
        <v/>
      </c>
      <c r="B534" s="53" t="n"/>
      <c r="C534" s="78" t="n">
        <v>2025</v>
      </c>
      <c r="D534" s="78" t="inlineStr">
        <is>
          <t>窦鹏岐</t>
        </is>
      </c>
      <c r="E534" s="53" t="n"/>
      <c r="F534" s="53" t="n"/>
      <c r="G534" s="53" t="n"/>
      <c r="H534" s="80" t="inlineStr">
        <is>
          <t>查看靶标</t>
        </is>
      </c>
      <c r="I534" s="76" t="inlineStr">
        <is>
          <t>EQ</t>
        </is>
      </c>
      <c r="J534" s="108" t="n"/>
      <c r="K534" s="108" t="n"/>
      <c r="L534" s="83">
        <f>IF(OR(X534="估算法",X534="算法类",X534="无法识别"),"",IF(V534="",IF(OR(I534="EI",I534="EO",I534="EQ"),0,""),LEN(V534)-LEN(SUBSTITUTE(V534,"、",""))+1))</f>
        <v/>
      </c>
      <c r="M534" s="83">
        <f>IF(OR(X534="估算法",X534="算法类",X534="无法识别"),"",IF(W534="",IF(OR(I534="ILF",I534="EIF"),0,""),LEN(W534)-LEN(SUBSTITUTE(W534,"、",""))+1))</f>
        <v/>
      </c>
      <c r="N534" s="83">
        <f>IF(OR(X534="估算法",X534="算法类",X534="无法识别"),"",IF(X534="",IF(OR(I534="ILF",I534="EIF",I534="EI",I534="EO",I534="EQ"),0,""),LEN(X534)-LEN(SUBSTITUTE(SUBSTITUTE(SUBSTITUTE(SUBSTITUTE(SUBSTITUTE(X534,"|}","--"),"{|","--"),CHAR(10),""),"、",""),"|",""))+IF(AND(OR(I534="EI",I534="EO",I534="EQ"),$AD$1="NESMA"),2,1)))</f>
        <v/>
      </c>
      <c r="O534" s="84">
        <f>IF(I534="EI",IF(OR(X534="估算法",X534="算法类"),"中",IF(X534="无法识别","低",IF(L534&lt;2,IF(N534&lt;16,"低","中"),IF(L534&lt;3,IF(N534&lt;5,"低",IF(N534&lt;16,"中","高")),IF(N534&lt;5,"中","高"))))),IF(OR(I534="EO",I534="EQ"),IF(OR(X534="估算法",X534="算法类"),"中",IF(X534="无法识别","低",IF(L534&lt;2,IF(N534&lt;20,"低","中"),IF(L534&lt;4,IF(N534&lt;6,"低",IF(N534&lt;20,"中","高")),IF(N534&lt;6,"中","高"))))),IF(OR(I534="ILF",I534="EIF"),IF(OR(X534="估算法",X534="算法类",X534="无法识别"),"低",IF(M534&lt;2,IF(N534&lt;51,"低","中"),IF(M534&lt;6,IF(N534&lt;20,"低",IF(N534&lt;51,"中","高")),IF(N534&lt;20,"中","高")))),"不计算")))</f>
        <v/>
      </c>
      <c r="P534" s="142">
        <f>IFERROR(IF(I534="EI",IF(O534="低",3,IF(O534="中",4,6)),IF(I534="EO",IF(O534="低",4,IF(O534="中",5,7)),IF(I534="EQ",IF(O534="低",3,IF(O534="中",4,6)),IF(I534="ILF",IF(O534="低",7,IF(O534="中",10,15)),IF(I534="EIF",IF(O534="低",5,IF(O534="中",7,10)),"不计算")))))*Q534,"不计算")</f>
        <v/>
      </c>
      <c r="Q534" s="142" t="n">
        <v>1</v>
      </c>
      <c r="R534" s="143">
        <f>调整因子!$F$13</f>
        <v/>
      </c>
      <c r="S534" s="70" t="n">
        <v>1</v>
      </c>
      <c r="T534" s="144">
        <f>IFERROR(P534*R534,0)</f>
        <v/>
      </c>
      <c r="U534" s="144">
        <f>T534*S534</f>
        <v/>
      </c>
      <c r="V534" s="76" t="inlineStr">
        <is>
          <t>靶标资产表</t>
        </is>
      </c>
      <c r="W534" s="81" t="n"/>
      <c r="X534" s="76" t="inlineStr">
        <is>
          <t>靶标资产表{主键 id 、资产名称、资产类型 IP 地址、资产描述、最后更新时间}</t>
        </is>
      </c>
      <c r="Y534" s="88" t="n"/>
      <c r="Z534" s="88" t="n"/>
      <c r="AA534" s="70" t="n"/>
    </row>
    <row r="535" hidden="1" ht="21.6" customFormat="1" customHeight="1" s="63">
      <c r="A535" s="69">
        <f>ROW()-1</f>
        <v/>
      </c>
      <c r="B535" s="53" t="n"/>
      <c r="C535" s="78" t="n">
        <v>2025</v>
      </c>
      <c r="D535" s="78" t="inlineStr">
        <is>
          <t>窦鹏岐</t>
        </is>
      </c>
      <c r="E535" s="53" t="n"/>
      <c r="F535" s="53" t="n"/>
      <c r="G535" s="54" t="n"/>
      <c r="H535" s="80" t="inlineStr">
        <is>
          <t>编辑靶标</t>
        </is>
      </c>
      <c r="I535" s="76" t="inlineStr">
        <is>
          <t>EI</t>
        </is>
      </c>
      <c r="J535" s="108" t="n"/>
      <c r="K535" s="108" t="n"/>
      <c r="L535" s="83">
        <f>IF(OR(X535="估算法",X535="算法类",X535="无法识别"),"",IF(V535="",IF(OR(I535="EI",I535="EO",I535="EQ"),0,""),LEN(V535)-LEN(SUBSTITUTE(V535,"、",""))+1))</f>
        <v/>
      </c>
      <c r="M535" s="83">
        <f>IF(OR(X535="估算法",X535="算法类",X535="无法识别"),"",IF(W535="",IF(OR(I535="ILF",I535="EIF"),0,""),LEN(W535)-LEN(SUBSTITUTE(W535,"、",""))+1))</f>
        <v/>
      </c>
      <c r="N535" s="83">
        <f>IF(OR(X535="估算法",X535="算法类",X535="无法识别"),"",IF(X535="",IF(OR(I535="ILF",I535="EIF",I535="EI",I535="EO",I535="EQ"),0,""),LEN(X535)-LEN(SUBSTITUTE(SUBSTITUTE(SUBSTITUTE(SUBSTITUTE(SUBSTITUTE(X535,"|}","--"),"{|","--"),CHAR(10),""),"、",""),"|",""))+IF(AND(OR(I535="EI",I535="EO",I535="EQ"),$AD$1="NESMA"),2,1)))</f>
        <v/>
      </c>
      <c r="O535" s="84">
        <f>IF(I535="EI",IF(OR(X535="估算法",X535="算法类"),"中",IF(X535="无法识别","低",IF(L535&lt;2,IF(N535&lt;16,"低","中"),IF(L535&lt;3,IF(N535&lt;5,"低",IF(N535&lt;16,"中","高")),IF(N535&lt;5,"中","高"))))),IF(OR(I535="EO",I535="EQ"),IF(OR(X535="估算法",X535="算法类"),"中",IF(X535="无法识别","低",IF(L535&lt;2,IF(N535&lt;20,"低","中"),IF(L535&lt;4,IF(N535&lt;6,"低",IF(N535&lt;20,"中","高")),IF(N535&lt;6,"中","高"))))),IF(OR(I535="ILF",I535="EIF"),IF(OR(X535="估算法",X535="算法类",X535="无法识别"),"低",IF(M535&lt;2,IF(N535&lt;51,"低","中"),IF(M535&lt;6,IF(N535&lt;20,"低",IF(N535&lt;51,"中","高")),IF(N535&lt;20,"中","高")))),"不计算")))</f>
        <v/>
      </c>
      <c r="P535" s="142">
        <f>IFERROR(IF(I535="EI",IF(O535="低",3,IF(O535="中",4,6)),IF(I535="EO",IF(O535="低",4,IF(O535="中",5,7)),IF(I535="EQ",IF(O535="低",3,IF(O535="中",4,6)),IF(I535="ILF",IF(O535="低",7,IF(O535="中",10,15)),IF(I535="EIF",IF(O535="低",5,IF(O535="中",7,10)),"不计算")))))*Q535,"不计算")</f>
        <v/>
      </c>
      <c r="Q535" s="142" t="n">
        <v>1</v>
      </c>
      <c r="R535" s="143">
        <f>调整因子!$F$13</f>
        <v/>
      </c>
      <c r="S535" s="70" t="n">
        <v>1</v>
      </c>
      <c r="T535" s="144">
        <f>IFERROR(P535*R535,0)</f>
        <v/>
      </c>
      <c r="U535" s="144">
        <f>T535*S535</f>
        <v/>
      </c>
      <c r="V535" s="76" t="inlineStr">
        <is>
          <t>靶标资产表、靶标资产修改记录表</t>
        </is>
      </c>
      <c r="W535" s="81" t="n"/>
      <c r="X535" s="76" t="inlineStr">
        <is>
          <t>靶标资产表{主键 id 、资产名称、资产类型 IP 地址、资产描述、最后更新时间}
靶标资产修改记录表{主键 id 、编辑时间、编辑人、编辑的资产 id、 编辑内容}</t>
        </is>
      </c>
      <c r="Y535" s="88" t="n"/>
      <c r="Z535" s="88" t="n"/>
      <c r="AA535" s="70" t="n"/>
    </row>
    <row r="536" hidden="1" ht="32.4" customFormat="1" customHeight="1" s="63">
      <c r="A536" s="69">
        <f>ROW()-1</f>
        <v/>
      </c>
      <c r="B536" s="53" t="n"/>
      <c r="C536" s="78" t="n">
        <v>2025</v>
      </c>
      <c r="D536" s="78" t="inlineStr">
        <is>
          <t>窦鹏岐</t>
        </is>
      </c>
      <c r="E536" s="53" t="n"/>
      <c r="F536" s="53" t="n"/>
      <c r="G536" s="79" t="inlineStr">
        <is>
          <t>漏洞攻防环境管理</t>
        </is>
      </c>
      <c r="H536" s="80" t="inlineStr">
        <is>
          <t>创建靶标环境</t>
        </is>
      </c>
      <c r="I536" s="76" t="inlineStr">
        <is>
          <t>EI</t>
        </is>
      </c>
      <c r="J536" s="108" t="n"/>
      <c r="K536" s="108" t="n"/>
      <c r="L536" s="83">
        <f>IF(OR(X536="估算法",X536="算法类",X536="无法识别"),"",IF(V536="",IF(OR(I536="EI",I536="EO",I536="EQ"),0,""),LEN(V536)-LEN(SUBSTITUTE(V536,"、",""))+1))</f>
        <v/>
      </c>
      <c r="M536" s="83">
        <f>IF(OR(X536="估算法",X536="算法类",X536="无法识别"),"",IF(W536="",IF(OR(I536="ILF",I536="EIF"),0,""),LEN(W536)-LEN(SUBSTITUTE(W536,"、",""))+1))</f>
        <v/>
      </c>
      <c r="N536" s="83">
        <f>IF(OR(X536="估算法",X536="算法类",X536="无法识别"),"",IF(X536="",IF(OR(I536="ILF",I536="EIF",I536="EI",I536="EO",I536="EQ"),0,""),LEN(X536)-LEN(SUBSTITUTE(SUBSTITUTE(SUBSTITUTE(SUBSTITUTE(SUBSTITUTE(X536,"|}","--"),"{|","--"),CHAR(10),""),"、",""),"|",""))+IF(AND(OR(I536="EI",I536="EO",I536="EQ"),$AD$1="NESMA"),2,1)))</f>
        <v/>
      </c>
      <c r="O536" s="84">
        <f>IF(I536="EI",IF(OR(X536="估算法",X536="算法类"),"中",IF(X536="无法识别","低",IF(L536&lt;2,IF(N536&lt;16,"低","中"),IF(L536&lt;3,IF(N536&lt;5,"低",IF(N536&lt;16,"中","高")),IF(N536&lt;5,"中","高"))))),IF(OR(I536="EO",I536="EQ"),IF(OR(X536="估算法",X536="算法类"),"中",IF(X536="无法识别","低",IF(L536&lt;2,IF(N536&lt;20,"低","中"),IF(L536&lt;4,IF(N536&lt;6,"低",IF(N536&lt;20,"中","高")),IF(N536&lt;6,"中","高"))))),IF(OR(I536="ILF",I536="EIF"),IF(OR(X536="估算法",X536="算法类",X536="无法识别"),"低",IF(M536&lt;2,IF(N536&lt;51,"低","中"),IF(M536&lt;6,IF(N536&lt;20,"低",IF(N536&lt;51,"中","高")),IF(N536&lt;20,"中","高")))),"不计算")))</f>
        <v/>
      </c>
      <c r="P536" s="142">
        <f>IFERROR(IF(I536="EI",IF(O536="低",3,IF(O536="中",4,6)),IF(I536="EO",IF(O536="低",4,IF(O536="中",5,7)),IF(I536="EQ",IF(O536="低",3,IF(O536="中",4,6)),IF(I536="ILF",IF(O536="低",7,IF(O536="中",10,15)),IF(I536="EIF",IF(O536="低",5,IF(O536="中",7,10)),"不计算")))))*Q536,"不计算")</f>
        <v/>
      </c>
      <c r="Q536" s="142" t="n">
        <v>1</v>
      </c>
      <c r="R536" s="143">
        <f>调整因子!$F$13</f>
        <v/>
      </c>
      <c r="S536" s="76" t="n">
        <v>1</v>
      </c>
      <c r="T536" s="144">
        <f>IFERROR(P536*R536,0)</f>
        <v/>
      </c>
      <c r="U536" s="144">
        <f>T536*S536</f>
        <v/>
      </c>
      <c r="V536" s="76" t="inlineStr">
        <is>
          <t>靶标资产表、靶标环境调整记录表</t>
        </is>
      </c>
      <c r="W536" s="81" t="n"/>
      <c r="X536" s="76" t="inlineStr">
        <is>
          <t>靶标资产表{主键 id 、资产名称、资产类型 IP 地址、资产描述、最后更新时间}
靶标环境调整记录表{主键 id 、调整时间、调整人、调整的环境 id 、调整内容、调整前状态、调整后状态}</t>
        </is>
      </c>
      <c r="Y536" s="88" t="n"/>
      <c r="Z536" s="88" t="n"/>
      <c r="AA536" s="70" t="n"/>
    </row>
    <row r="537" hidden="1" ht="32.4" customFormat="1" customHeight="1" s="63">
      <c r="A537" s="69">
        <f>ROW()-1</f>
        <v/>
      </c>
      <c r="B537" s="53" t="n"/>
      <c r="C537" s="78" t="n">
        <v>2025</v>
      </c>
      <c r="D537" s="78" t="inlineStr">
        <is>
          <t>窦鹏岐</t>
        </is>
      </c>
      <c r="E537" s="53" t="n"/>
      <c r="F537" s="53" t="n"/>
      <c r="G537" s="53" t="n"/>
      <c r="H537" s="80" t="inlineStr">
        <is>
          <t>调整靶标环境</t>
        </is>
      </c>
      <c r="I537" s="76" t="inlineStr">
        <is>
          <t>EI</t>
        </is>
      </c>
      <c r="J537" s="108" t="n"/>
      <c r="K537" s="108" t="n"/>
      <c r="L537" s="83">
        <f>IF(OR(X537="估算法",X537="算法类",X537="无法识别"),"",IF(V537="",IF(OR(I537="EI",I537="EO",I537="EQ"),0,""),LEN(V537)-LEN(SUBSTITUTE(V537,"、",""))+1))</f>
        <v/>
      </c>
      <c r="M537" s="83">
        <f>IF(OR(X537="估算法",X537="算法类",X537="无法识别"),"",IF(W537="",IF(OR(I537="ILF",I537="EIF"),0,""),LEN(W537)-LEN(SUBSTITUTE(W537,"、",""))+1))</f>
        <v/>
      </c>
      <c r="N537" s="83">
        <f>IF(OR(X537="估算法",X537="算法类",X537="无法识别"),"",IF(X537="",IF(OR(I537="ILF",I537="EIF",I537="EI",I537="EO",I537="EQ"),0,""),LEN(X537)-LEN(SUBSTITUTE(SUBSTITUTE(SUBSTITUTE(SUBSTITUTE(SUBSTITUTE(X537,"|}","--"),"{|","--"),CHAR(10),""),"、",""),"|",""))+IF(AND(OR(I537="EI",I537="EO",I537="EQ"),$AD$1="NESMA"),2,1)))</f>
        <v/>
      </c>
      <c r="O537" s="84">
        <f>IF(I537="EI",IF(OR(X537="估算法",X537="算法类"),"中",IF(X537="无法识别","低",IF(L537&lt;2,IF(N537&lt;16,"低","中"),IF(L537&lt;3,IF(N537&lt;5,"低",IF(N537&lt;16,"中","高")),IF(N537&lt;5,"中","高"))))),IF(OR(I537="EO",I537="EQ"),IF(OR(X537="估算法",X537="算法类"),"中",IF(X537="无法识别","低",IF(L537&lt;2,IF(N537&lt;20,"低","中"),IF(L537&lt;4,IF(N537&lt;6,"低",IF(N537&lt;20,"中","高")),IF(N537&lt;6,"中","高"))))),IF(OR(I537="ILF",I537="EIF"),IF(OR(X537="估算法",X537="算法类",X537="无法识别"),"低",IF(M537&lt;2,IF(N537&lt;51,"低","中"),IF(M537&lt;6,IF(N537&lt;20,"低",IF(N537&lt;51,"中","高")),IF(N537&lt;20,"中","高")))),"不计算")))</f>
        <v/>
      </c>
      <c r="P537" s="142">
        <f>IFERROR(IF(I537="EI",IF(O537="低",3,IF(O537="中",4,6)),IF(I537="EO",IF(O537="低",4,IF(O537="中",5,7)),IF(I537="EQ",IF(O537="低",3,IF(O537="中",4,6)),IF(I537="ILF",IF(O537="低",7,IF(O537="中",10,15)),IF(I537="EIF",IF(O537="低",5,IF(O537="中",7,10)),"不计算")))))*Q537,"不计算")</f>
        <v/>
      </c>
      <c r="Q537" s="142" t="n">
        <v>1</v>
      </c>
      <c r="R537" s="143">
        <f>调整因子!$F$13</f>
        <v/>
      </c>
      <c r="S537" s="70" t="n">
        <v>1</v>
      </c>
      <c r="T537" s="144">
        <f>IFERROR(P537*R537,0)</f>
        <v/>
      </c>
      <c r="U537" s="144">
        <f>T537*S537</f>
        <v/>
      </c>
      <c r="V537" s="76" t="inlineStr">
        <is>
          <t>靶标资产表、靶标环境调整记录表</t>
        </is>
      </c>
      <c r="W537" s="81" t="n"/>
      <c r="X537" s="76" t="inlineStr">
        <is>
          <t>靶标资产表{主键 id 、资产名称、资产类型 IP 地址、资产描述、最后更新时间}
靶标环境调整记录表{主键 id 、调整时间、调整人、调整的环境 id 、调整内容、调整前状态、调整后状态}</t>
        </is>
      </c>
      <c r="Y537" s="88" t="n"/>
      <c r="Z537" s="88" t="n"/>
      <c r="AA537" s="70" t="n"/>
    </row>
    <row r="538" hidden="1" ht="10.8" customFormat="1" customHeight="1" s="63">
      <c r="A538" s="69">
        <f>ROW()-1</f>
        <v/>
      </c>
      <c r="B538" s="53" t="n"/>
      <c r="C538" s="78" t="n">
        <v>2025</v>
      </c>
      <c r="D538" s="78" t="inlineStr">
        <is>
          <t>窦鹏岐</t>
        </is>
      </c>
      <c r="E538" s="53" t="n"/>
      <c r="F538" s="53" t="n"/>
      <c r="G538" s="53" t="n"/>
      <c r="H538" s="80" t="inlineStr">
        <is>
          <t>靶标资产表</t>
        </is>
      </c>
      <c r="I538" s="81" t="inlineStr">
        <is>
          <t>ILF</t>
        </is>
      </c>
      <c r="J538" s="108" t="n"/>
      <c r="K538" s="108" t="n"/>
      <c r="L538" s="83">
        <f>IF(OR(X538="估算法",X538="算法类",X538="无法识别"),"",IF(V538="",IF(OR(I538="EI",I538="EO",I538="EQ"),0,""),LEN(V538)-LEN(SUBSTITUTE(V538,"、",""))+1))</f>
        <v/>
      </c>
      <c r="M538" s="83">
        <f>IF(OR(X538="估算法",X538="算法类",X538="无法识别"),"",IF(W538="",IF(OR(I538="ILF",I538="EIF"),0,""),LEN(W538)-LEN(SUBSTITUTE(W538,"、",""))+1))</f>
        <v/>
      </c>
      <c r="N538" s="83">
        <f>IF(OR(X538="估算法",X538="算法类",X538="无法识别"),"",IF(X538="",IF(OR(I538="ILF",I538="EIF",I538="EI",I538="EO",I538="EQ"),0,""),LEN(X538)-LEN(SUBSTITUTE(SUBSTITUTE(SUBSTITUTE(SUBSTITUTE(SUBSTITUTE(X538,"|}","--"),"{|","--"),CHAR(10),""),"、",""),"|",""))+IF(AND(OR(I538="EI",I538="EO",I538="EQ"),$AD$1="NESMA"),2,1)))</f>
        <v/>
      </c>
      <c r="O538" s="84">
        <f>IF(I538="EI",IF(OR(X538="估算法",X538="算法类"),"中",IF(X538="无法识别","低",IF(L538&lt;2,IF(N538&lt;16,"低","中"),IF(L538&lt;3,IF(N538&lt;5,"低",IF(N538&lt;16,"中","高")),IF(N538&lt;5,"中","高"))))),IF(OR(I538="EO",I538="EQ"),IF(OR(X538="估算法",X538="算法类"),"中",IF(X538="无法识别","低",IF(L538&lt;2,IF(N538&lt;20,"低","中"),IF(L538&lt;4,IF(N538&lt;6,"低",IF(N538&lt;20,"中","高")),IF(N538&lt;6,"中","高"))))),IF(OR(I538="ILF",I538="EIF"),IF(OR(X538="估算法",X538="算法类",X538="无法识别"),"低",IF(M538&lt;2,IF(N538&lt;51,"低","中"),IF(M538&lt;6,IF(N538&lt;20,"低",IF(N538&lt;51,"中","高")),IF(N538&lt;20,"中","高")))),"不计算")))</f>
        <v/>
      </c>
      <c r="P538" s="142">
        <f>IFERROR(IF(I538="EI",IF(O538="低",3,IF(O538="中",4,6)),IF(I538="EO",IF(O538="低",4,IF(O538="中",5,7)),IF(I538="EQ",IF(O538="低",3,IF(O538="中",4,6)),IF(I538="ILF",IF(O538="低",7,IF(O538="中",10,15)),IF(I538="EIF",IF(O538="低",5,IF(O538="中",7,10)),"不计算")))))*Q538,"不计算")</f>
        <v/>
      </c>
      <c r="Q538" s="142" t="n">
        <v>1</v>
      </c>
      <c r="R538" s="143">
        <f>调整因子!$F$13</f>
        <v/>
      </c>
      <c r="S538" s="70" t="n">
        <v>1</v>
      </c>
      <c r="T538" s="144">
        <f>IFERROR(P538*R538,0)</f>
        <v/>
      </c>
      <c r="U538" s="144">
        <f>T538*S538</f>
        <v/>
      </c>
      <c r="V538" s="81" t="n"/>
      <c r="W538" s="76" t="inlineStr">
        <is>
          <t>靶标资产表</t>
        </is>
      </c>
      <c r="X538" s="76" t="inlineStr">
        <is>
          <t>靶标资产表{主键 id 、资产名称、资产类型 IP 地址、资产描述、最后更新时间}</t>
        </is>
      </c>
      <c r="Y538" s="88">
        <f>IF(COUNTIFS(V:V,"*"&amp;H538&amp;"*")&gt;0,"存在","不存在")</f>
        <v/>
      </c>
      <c r="Z538" s="88">
        <f>IF(COUNTIFS(AA:AA,"*"&amp;H538&amp;"*")&gt;0,"存在","不存在")</f>
        <v/>
      </c>
      <c r="AA538" s="70" t="n"/>
    </row>
    <row r="539" hidden="1" ht="21.6" customFormat="1" customHeight="1" s="63">
      <c r="A539" s="69">
        <f>ROW()-1</f>
        <v/>
      </c>
      <c r="B539" s="53" t="n"/>
      <c r="C539" s="78" t="n">
        <v>2025</v>
      </c>
      <c r="D539" s="78" t="inlineStr">
        <is>
          <t>窦鹏岐</t>
        </is>
      </c>
      <c r="E539" s="53" t="n"/>
      <c r="F539" s="53" t="n"/>
      <c r="G539" s="53" t="n"/>
      <c r="H539" s="80" t="inlineStr">
        <is>
          <t>靶标资产同步记录表</t>
        </is>
      </c>
      <c r="I539" s="81" t="n"/>
      <c r="J539" s="108" t="n"/>
      <c r="K539" s="108" t="inlineStr">
        <is>
          <t>非ILF-流水</t>
        </is>
      </c>
      <c r="L539" s="83">
        <f>IF(OR(X539="估算法",X539="算法类",X539="无法识别"),"",IF(V539="",IF(OR(I539="EI",I539="EO",I539="EQ"),0,""),LEN(V539)-LEN(SUBSTITUTE(V539,"、",""))+1))</f>
        <v/>
      </c>
      <c r="M539" s="83">
        <f>IF(OR(X539="估算法",X539="算法类",X539="无法识别"),"",IF(W539="",IF(OR(I539="ILF",I539="EIF"),0,""),LEN(W539)-LEN(SUBSTITUTE(W539,"、",""))+1))</f>
        <v/>
      </c>
      <c r="N539" s="83">
        <f>IF(OR(X539="估算法",X539="算法类",X539="无法识别"),"",IF(X539="",IF(OR(I539="ILF",I539="EIF",I539="EI",I539="EO",I539="EQ"),0,""),LEN(X539)-LEN(SUBSTITUTE(SUBSTITUTE(SUBSTITUTE(SUBSTITUTE(SUBSTITUTE(X539,"|}","--"),"{|","--"),CHAR(10),""),"、",""),"|",""))+IF(AND(OR(I539="EI",I539="EO",I539="EQ"),$AD$1="NESMA"),2,1)))</f>
        <v/>
      </c>
      <c r="O539" s="84">
        <f>IF(I539="EI",IF(OR(X539="估算法",X539="算法类"),"中",IF(X539="无法识别","低",IF(L539&lt;2,IF(N539&lt;16,"低","中"),IF(L539&lt;3,IF(N539&lt;5,"低",IF(N539&lt;16,"中","高")),IF(N539&lt;5,"中","高"))))),IF(OR(I539="EO",I539="EQ"),IF(OR(X539="估算法",X539="算法类"),"中",IF(X539="无法识别","低",IF(L539&lt;2,IF(N539&lt;20,"低","中"),IF(L539&lt;4,IF(N539&lt;6,"低",IF(N539&lt;20,"中","高")),IF(N539&lt;6,"中","高"))))),IF(OR(I539="ILF",I539="EIF"),IF(OR(X539="估算法",X539="算法类",X539="无法识别"),"低",IF(M539&lt;2,IF(N539&lt;51,"低","中"),IF(M539&lt;6,IF(N539&lt;20,"低",IF(N539&lt;51,"中","高")),IF(N539&lt;20,"中","高")))),"不计算")))</f>
        <v/>
      </c>
      <c r="P539" s="142">
        <f>IFERROR(IF(I539="EI",IF(O539="低",3,IF(O539="中",4,6)),IF(I539="EO",IF(O539="低",4,IF(O539="中",5,7)),IF(I539="EQ",IF(O539="低",3,IF(O539="中",4,6)),IF(I539="ILF",IF(O539="低",7,IF(O539="中",10,15)),IF(I539="EIF",IF(O539="低",5,IF(O539="中",7,10)),"不计算")))))*Q539,"不计算")</f>
        <v/>
      </c>
      <c r="Q539" s="142" t="n">
        <v>1</v>
      </c>
      <c r="R539" s="143">
        <f>调整因子!$F$13</f>
        <v/>
      </c>
      <c r="S539" s="76" t="n">
        <v>1</v>
      </c>
      <c r="T539" s="144">
        <f>IFERROR(P539*R539,0)</f>
        <v/>
      </c>
      <c r="U539" s="144">
        <f>T539*S539</f>
        <v/>
      </c>
      <c r="V539" s="81" t="n"/>
      <c r="W539" s="76" t="inlineStr">
        <is>
          <t>靶标资产同步记录表</t>
        </is>
      </c>
      <c r="X539" s="76" t="inlineStr">
        <is>
          <t>靶标资产同步记录表{主键 id 、同步时间同步类型（上报/接收）、同步状态（成功/失败）、同步源、同步数量、同步目标}</t>
        </is>
      </c>
      <c r="Y539" s="88">
        <f>IF(COUNTIFS(V:V,"*"&amp;H539&amp;"*")&gt;0,"存在","不存在")</f>
        <v/>
      </c>
      <c r="Z539" s="88">
        <f>IF(COUNTIFS(AA:AA,"*"&amp;H539&amp;"*")&gt;0,"存在","不存在")</f>
        <v/>
      </c>
      <c r="AA539" s="101" t="n"/>
    </row>
    <row r="540" hidden="1" ht="21.6" customHeight="1">
      <c r="A540" s="69">
        <f>ROW()-1</f>
        <v/>
      </c>
      <c r="B540" s="53" t="n"/>
      <c r="C540" s="78" t="n">
        <v>2025</v>
      </c>
      <c r="D540" s="78" t="inlineStr">
        <is>
          <t>窦鹏岐</t>
        </is>
      </c>
      <c r="E540" s="53" t="n"/>
      <c r="F540" s="53" t="n"/>
      <c r="G540" s="53" t="n"/>
      <c r="H540" s="80" t="inlineStr">
        <is>
          <t>靶标资产接收记录表</t>
        </is>
      </c>
      <c r="I540" s="81" t="n"/>
      <c r="J540" s="108" t="n"/>
      <c r="K540" s="108" t="inlineStr">
        <is>
          <t>非ILF-流水</t>
        </is>
      </c>
      <c r="L540" s="83">
        <f>IF(OR(X540="估算法",X540="算法类",X540="无法识别"),"",IF(V540="",IF(OR(I540="EI",I540="EO",I540="EQ"),0,""),LEN(V540)-LEN(SUBSTITUTE(V540,"、",""))+1))</f>
        <v/>
      </c>
      <c r="M540" s="83">
        <f>IF(OR(X540="估算法",X540="算法类",X540="无法识别"),"",IF(W540="",IF(OR(I540="ILF",I540="EIF"),0,""),LEN(W540)-LEN(SUBSTITUTE(W540,"、",""))+1))</f>
        <v/>
      </c>
      <c r="N540" s="83">
        <f>IF(OR(X540="估算法",X540="算法类",X540="无法识别"),"",IF(X540="",IF(OR(I540="ILF",I540="EIF",I540="EI",I540="EO",I540="EQ"),0,""),LEN(X540)-LEN(SUBSTITUTE(SUBSTITUTE(SUBSTITUTE(SUBSTITUTE(SUBSTITUTE(X540,"|}","--"),"{|","--"),CHAR(10),""),"、",""),"|",""))+IF(AND(OR(I540="EI",I540="EO",I540="EQ"),$AD$1="NESMA"),2,1)))</f>
        <v/>
      </c>
      <c r="O540" s="84">
        <f>IF(I540="EI",IF(OR(X540="估算法",X540="算法类"),"中",IF(X540="无法识别","低",IF(L540&lt;2,IF(N540&lt;16,"低","中"),IF(L540&lt;3,IF(N540&lt;5,"低",IF(N540&lt;16,"中","高")),IF(N540&lt;5,"中","高"))))),IF(OR(I540="EO",I540="EQ"),IF(OR(X540="估算法",X540="算法类"),"中",IF(X540="无法识别","低",IF(L540&lt;2,IF(N540&lt;20,"低","中"),IF(L540&lt;4,IF(N540&lt;6,"低",IF(N540&lt;20,"中","高")),IF(N540&lt;6,"中","高"))))),IF(OR(I540="ILF",I540="EIF"),IF(OR(X540="估算法",X540="算法类",X540="无法识别"),"低",IF(M540&lt;2,IF(N540&lt;51,"低","中"),IF(M540&lt;6,IF(N540&lt;20,"低",IF(N540&lt;51,"中","高")),IF(N540&lt;20,"中","高")))),"不计算")))</f>
        <v/>
      </c>
      <c r="P540" s="142">
        <f>IFERROR(IF(I540="EI",IF(O540="低",3,IF(O540="中",4,6)),IF(I540="EO",IF(O540="低",4,IF(O540="中",5,7)),IF(I540="EQ",IF(O540="低",3,IF(O540="中",4,6)),IF(I540="ILF",IF(O540="低",7,IF(O540="中",10,15)),IF(I540="EIF",IF(O540="低",5,IF(O540="中",7,10)),"不计算")))))*Q540,"不计算")</f>
        <v/>
      </c>
      <c r="Q540" s="142" t="n">
        <v>1</v>
      </c>
      <c r="R540" s="143">
        <f>调整因子!$F$13</f>
        <v/>
      </c>
      <c r="S540" s="70" t="n">
        <v>1</v>
      </c>
      <c r="T540" s="144">
        <f>IFERROR(P540*R540,0)</f>
        <v/>
      </c>
      <c r="U540" s="144">
        <f>T540*S540</f>
        <v/>
      </c>
      <c r="V540" s="81" t="n"/>
      <c r="W540" s="76" t="inlineStr">
        <is>
          <t>靶标资产接收记录表</t>
        </is>
      </c>
      <c r="X540" s="76" t="inlineStr">
        <is>
          <t>靶标资产接收记录表{主键 id 、接收时间、接收来源、接收状态（成功/失败）、接收报文内容}</t>
        </is>
      </c>
      <c r="Y540" s="88">
        <f>IF(COUNTIFS(V:V,"*"&amp;H540&amp;"*")&gt;0,"存在","不存在")</f>
        <v/>
      </c>
      <c r="Z540" s="88">
        <f>IF(COUNTIFS(AA:AA,"*"&amp;H540&amp;"*")&gt;0,"存在","不存在")</f>
        <v/>
      </c>
      <c r="AA540" s="70" t="n"/>
    </row>
    <row r="541" hidden="1" ht="21.6" customHeight="1">
      <c r="A541" s="69">
        <f>ROW()-1</f>
        <v/>
      </c>
      <c r="B541" s="53" t="n"/>
      <c r="C541" s="78" t="n">
        <v>2025</v>
      </c>
      <c r="D541" s="78" t="inlineStr">
        <is>
          <t>窦鹏岐</t>
        </is>
      </c>
      <c r="E541" s="53" t="n"/>
      <c r="F541" s="53" t="n"/>
      <c r="G541" s="53" t="n"/>
      <c r="H541" s="80" t="inlineStr">
        <is>
          <t>靶标资产导入记录表</t>
        </is>
      </c>
      <c r="I541" s="81" t="n"/>
      <c r="J541" s="108" t="n"/>
      <c r="K541" s="108" t="inlineStr">
        <is>
          <t>非ILF-流水</t>
        </is>
      </c>
      <c r="L541" s="83">
        <f>IF(OR(X541="估算法",X541="算法类",X541="无法识别"),"",IF(V541="",IF(OR(I541="EI",I541="EO",I541="EQ"),0,""),LEN(V541)-LEN(SUBSTITUTE(V541,"、",""))+1))</f>
        <v/>
      </c>
      <c r="M541" s="83">
        <f>IF(OR(X541="估算法",X541="算法类",X541="无法识别"),"",IF(W541="",IF(OR(I541="ILF",I541="EIF"),0,""),LEN(W541)-LEN(SUBSTITUTE(W541,"、",""))+1))</f>
        <v/>
      </c>
      <c r="N541" s="83">
        <f>IF(OR(X541="估算法",X541="算法类",X541="无法识别"),"",IF(X541="",IF(OR(I541="ILF",I541="EIF",I541="EI",I541="EO",I541="EQ"),0,""),LEN(X541)-LEN(SUBSTITUTE(SUBSTITUTE(SUBSTITUTE(SUBSTITUTE(SUBSTITUTE(X541,"|}","--"),"{|","--"),CHAR(10),""),"、",""),"|",""))+IF(AND(OR(I541="EI",I541="EO",I541="EQ"),$AD$1="NESMA"),2,1)))</f>
        <v/>
      </c>
      <c r="O541" s="84">
        <f>IF(I541="EI",IF(OR(X541="估算法",X541="算法类"),"中",IF(X541="无法识别","低",IF(L541&lt;2,IF(N541&lt;16,"低","中"),IF(L541&lt;3,IF(N541&lt;5,"低",IF(N541&lt;16,"中","高")),IF(N541&lt;5,"中","高"))))),IF(OR(I541="EO",I541="EQ"),IF(OR(X541="估算法",X541="算法类"),"中",IF(X541="无法识别","低",IF(L541&lt;2,IF(N541&lt;20,"低","中"),IF(L541&lt;4,IF(N541&lt;6,"低",IF(N541&lt;20,"中","高")),IF(N541&lt;6,"中","高"))))),IF(OR(I541="ILF",I541="EIF"),IF(OR(X541="估算法",X541="算法类",X541="无法识别"),"低",IF(M541&lt;2,IF(N541&lt;51,"低","中"),IF(M541&lt;6,IF(N541&lt;20,"低",IF(N541&lt;51,"中","高")),IF(N541&lt;20,"中","高")))),"不计算")))</f>
        <v/>
      </c>
      <c r="P541" s="142">
        <f>IFERROR(IF(I541="EI",IF(O541="低",3,IF(O541="中",4,6)),IF(I541="EO",IF(O541="低",4,IF(O541="中",5,7)),IF(I541="EQ",IF(O541="低",3,IF(O541="中",4,6)),IF(I541="ILF",IF(O541="低",7,IF(O541="中",10,15)),IF(I541="EIF",IF(O541="低",5,IF(O541="中",7,10)),"不计算")))))*Q541,"不计算")</f>
        <v/>
      </c>
      <c r="Q541" s="142" t="n">
        <v>1</v>
      </c>
      <c r="R541" s="143">
        <f>调整因子!$F$13</f>
        <v/>
      </c>
      <c r="S541" s="70" t="n">
        <v>1</v>
      </c>
      <c r="T541" s="144">
        <f>IFERROR(P541*R541,0)</f>
        <v/>
      </c>
      <c r="U541" s="144">
        <f>T541*S541</f>
        <v/>
      </c>
      <c r="V541" s="81" t="n"/>
      <c r="W541" s="76" t="inlineStr">
        <is>
          <t>靶标资产导入记录表</t>
        </is>
      </c>
      <c r="X541" s="76" t="inlineStr">
        <is>
          <t>靶标资产导入记录表{主键 id 、导入时间、导入人、导入文件名、导入状态（成功/失败）}</t>
        </is>
      </c>
      <c r="Y541" s="88">
        <f>IF(COUNTIFS(V:V,"*"&amp;H541&amp;"*")&gt;0,"存在","不存在")</f>
        <v/>
      </c>
      <c r="Z541" s="88">
        <f>IF(COUNTIFS(AA:AA,"*"&amp;H541&amp;"*")&gt;0,"存在","不存在")</f>
        <v/>
      </c>
      <c r="AA541" s="101" t="n"/>
    </row>
    <row r="542" hidden="1" ht="21.6" customHeight="1">
      <c r="A542" s="69">
        <f>ROW()-1</f>
        <v/>
      </c>
      <c r="B542" s="53" t="n"/>
      <c r="C542" s="78" t="n">
        <v>2025</v>
      </c>
      <c r="D542" s="78" t="inlineStr">
        <is>
          <t>窦鹏岐</t>
        </is>
      </c>
      <c r="E542" s="53" t="n"/>
      <c r="F542" s="53" t="n"/>
      <c r="G542" s="53" t="n"/>
      <c r="H542" s="80" t="inlineStr">
        <is>
          <t>靶标环境调整记录表</t>
        </is>
      </c>
      <c r="I542" s="81" t="n"/>
      <c r="J542" s="108" t="n"/>
      <c r="K542" s="108" t="inlineStr">
        <is>
          <t>非ILF-流水</t>
        </is>
      </c>
      <c r="L542" s="83">
        <f>IF(OR(X542="估算法",X542="算法类",X542="无法识别"),"",IF(V542="",IF(OR(I542="EI",I542="EO",I542="EQ"),0,""),LEN(V542)-LEN(SUBSTITUTE(V542,"、",""))+1))</f>
        <v/>
      </c>
      <c r="M542" s="83">
        <f>IF(OR(X542="估算法",X542="算法类",X542="无法识别"),"",IF(W542="",IF(OR(I542="ILF",I542="EIF"),0,""),LEN(W542)-LEN(SUBSTITUTE(W542,"、",""))+1))</f>
        <v/>
      </c>
      <c r="N542" s="83">
        <f>IF(OR(X542="估算法",X542="算法类",X542="无法识别"),"",IF(X542="",IF(OR(I542="ILF",I542="EIF",I542="EI",I542="EO",I542="EQ"),0,""),LEN(X542)-LEN(SUBSTITUTE(SUBSTITUTE(SUBSTITUTE(SUBSTITUTE(SUBSTITUTE(X542,"|}","--"),"{|","--"),CHAR(10),""),"、",""),"|",""))+IF(AND(OR(I542="EI",I542="EO",I542="EQ"),$AD$1="NESMA"),2,1)))</f>
        <v/>
      </c>
      <c r="O542" s="84">
        <f>IF(I542="EI",IF(OR(X542="估算法",X542="算法类"),"中",IF(X542="无法识别","低",IF(L542&lt;2,IF(N542&lt;16,"低","中"),IF(L542&lt;3,IF(N542&lt;5,"低",IF(N542&lt;16,"中","高")),IF(N542&lt;5,"中","高"))))),IF(OR(I542="EO",I542="EQ"),IF(OR(X542="估算法",X542="算法类"),"中",IF(X542="无法识别","低",IF(L542&lt;2,IF(N542&lt;20,"低","中"),IF(L542&lt;4,IF(N542&lt;6,"低",IF(N542&lt;20,"中","高")),IF(N542&lt;6,"中","高"))))),IF(OR(I542="ILF",I542="EIF"),IF(OR(X542="估算法",X542="算法类",X542="无法识别"),"低",IF(M542&lt;2,IF(N542&lt;51,"低","中"),IF(M542&lt;6,IF(N542&lt;20,"低",IF(N542&lt;51,"中","高")),IF(N542&lt;20,"中","高")))),"不计算")))</f>
        <v/>
      </c>
      <c r="P542" s="142">
        <f>IFERROR(IF(I542="EI",IF(O542="低",3,IF(O542="中",4,6)),IF(I542="EO",IF(O542="低",4,IF(O542="中",5,7)),IF(I542="EQ",IF(O542="低",3,IF(O542="中",4,6)),IF(I542="ILF",IF(O542="低",7,IF(O542="中",10,15)),IF(I542="EIF",IF(O542="低",5,IF(O542="中",7,10)),"不计算")))))*Q542,"不计算")</f>
        <v/>
      </c>
      <c r="Q542" s="142" t="n">
        <v>1</v>
      </c>
      <c r="R542" s="143">
        <f>调整因子!$F$13</f>
        <v/>
      </c>
      <c r="S542" s="76" t="n">
        <v>1</v>
      </c>
      <c r="T542" s="144">
        <f>IFERROR(P542*R542,0)</f>
        <v/>
      </c>
      <c r="U542" s="144">
        <f>T542*S542</f>
        <v/>
      </c>
      <c r="V542" s="81" t="n"/>
      <c r="W542" s="76" t="inlineStr">
        <is>
          <t>靶标环境调整记录表</t>
        </is>
      </c>
      <c r="X542" s="76" t="inlineStr">
        <is>
          <t>靶标环境调整记录表{主键 id 、调整时间、调整人、调整的环境 id 、调整内容、调整前状态、调整后状态}</t>
        </is>
      </c>
      <c r="Y542" s="88">
        <f>IF(COUNTIFS(V:V,"*"&amp;H542&amp;"*")&gt;0,"存在","不存在")</f>
        <v/>
      </c>
      <c r="Z542" s="88">
        <f>IF(COUNTIFS(AA:AA,"*"&amp;H542&amp;"*")&gt;0,"存在","不存在")</f>
        <v/>
      </c>
      <c r="AA542" s="70" t="n"/>
    </row>
    <row r="543" hidden="1">
      <c r="A543" s="69">
        <f>ROW()-1</f>
        <v/>
      </c>
      <c r="B543" s="53" t="n"/>
      <c r="C543" s="78" t="n">
        <v>2025</v>
      </c>
      <c r="D543" s="78" t="inlineStr">
        <is>
          <t>窦鹏岐</t>
        </is>
      </c>
      <c r="E543" s="54" t="n"/>
      <c r="F543" s="54" t="n"/>
      <c r="G543" s="54" t="n"/>
      <c r="H543" s="80" t="inlineStr">
        <is>
          <t>靶标资产修改记录表</t>
        </is>
      </c>
      <c r="I543" s="81" t="n"/>
      <c r="J543" s="108" t="n"/>
      <c r="K543" s="108" t="inlineStr">
        <is>
          <t>非ILF-流水</t>
        </is>
      </c>
      <c r="L543" s="83">
        <f>IF(OR(X543="估算法",X543="算法类",X543="无法识别"),"",IF(V543="",IF(OR(I543="EI",I543="EO",I543="EQ"),0,""),LEN(V543)-LEN(SUBSTITUTE(V543,"、",""))+1))</f>
        <v/>
      </c>
      <c r="M543" s="83">
        <f>IF(OR(X543="估算法",X543="算法类",X543="无法识别"),"",IF(W543="",IF(OR(I543="ILF",I543="EIF"),0,""),LEN(W543)-LEN(SUBSTITUTE(W543,"、",""))+1))</f>
        <v/>
      </c>
      <c r="N543" s="83">
        <f>IF(OR(X543="估算法",X543="算法类",X543="无法识别"),"",IF(X543="",IF(OR(I543="ILF",I543="EIF",I543="EI",I543="EO",I543="EQ"),0,""),LEN(X543)-LEN(SUBSTITUTE(SUBSTITUTE(SUBSTITUTE(SUBSTITUTE(SUBSTITUTE(X543,"|}","--"),"{|","--"),CHAR(10),""),"、",""),"|",""))+IF(AND(OR(I543="EI",I543="EO",I543="EQ"),$AD$1="NESMA"),2,1)))</f>
        <v/>
      </c>
      <c r="O543" s="84">
        <f>IF(I543="EI",IF(OR(X543="估算法",X543="算法类"),"中",IF(X543="无法识别","低",IF(L543&lt;2,IF(N543&lt;16,"低","中"),IF(L543&lt;3,IF(N543&lt;5,"低",IF(N543&lt;16,"中","高")),IF(N543&lt;5,"中","高"))))),IF(OR(I543="EO",I543="EQ"),IF(OR(X543="估算法",X543="算法类"),"中",IF(X543="无法识别","低",IF(L543&lt;2,IF(N543&lt;20,"低","中"),IF(L543&lt;4,IF(N543&lt;6,"低",IF(N543&lt;20,"中","高")),IF(N543&lt;6,"中","高"))))),IF(OR(I543="ILF",I543="EIF"),IF(OR(X543="估算法",X543="算法类",X543="无法识别"),"低",IF(M543&lt;2,IF(N543&lt;51,"低","中"),IF(M543&lt;6,IF(N543&lt;20,"低",IF(N543&lt;51,"中","高")),IF(N543&lt;20,"中","高")))),"不计算")))</f>
        <v/>
      </c>
      <c r="P543" s="142">
        <f>IFERROR(IF(I543="EI",IF(O543="低",3,IF(O543="中",4,6)),IF(I543="EO",IF(O543="低",4,IF(O543="中",5,7)),IF(I543="EQ",IF(O543="低",3,IF(O543="中",4,6)),IF(I543="ILF",IF(O543="低",7,IF(O543="中",10,15)),IF(I543="EIF",IF(O543="低",5,IF(O543="中",7,10)),"不计算")))))*Q543,"不计算")</f>
        <v/>
      </c>
      <c r="Q543" s="142" t="n">
        <v>0.333333333333333</v>
      </c>
      <c r="R543" s="143">
        <f>调整因子!$F$13</f>
        <v/>
      </c>
      <c r="S543" s="70" t="n">
        <v>1</v>
      </c>
      <c r="T543" s="144">
        <f>IFERROR(P543*R543,0)</f>
        <v/>
      </c>
      <c r="U543" s="144">
        <f>T543*S543</f>
        <v/>
      </c>
      <c r="V543" s="81" t="n"/>
      <c r="W543" s="76" t="inlineStr">
        <is>
          <t>靶标资产修改记录表</t>
        </is>
      </c>
      <c r="X543" s="76" t="inlineStr">
        <is>
          <t>靶标资产修改记录表{主键 id 、编辑时间、编辑人、编辑的资产 id、 编辑内容}</t>
        </is>
      </c>
      <c r="Y543" s="88">
        <f>IF(COUNTIFS(V:V,"*"&amp;H543&amp;"*")&gt;0,"存在","不存在")</f>
        <v/>
      </c>
      <c r="Z543" s="88">
        <f>IF(COUNTIFS(AA:AA,"*"&amp;H543&amp;"*")&gt;0,"存在","不存在")</f>
        <v/>
      </c>
      <c r="AA543" s="101" t="n"/>
    </row>
    <row r="544" hidden="1">
      <c r="A544" s="69">
        <f>ROW()-1</f>
        <v/>
      </c>
      <c r="B544" s="53" t="n"/>
      <c r="C544" s="78" t="n">
        <v>2025</v>
      </c>
      <c r="D544" s="78" t="inlineStr">
        <is>
          <t>汤凤欣</t>
        </is>
      </c>
      <c r="E544" s="76" t="inlineStr">
        <is>
          <t>漏洞处置修复效果核验</t>
        </is>
      </c>
      <c r="F544" s="79" t="inlineStr">
        <is>
          <t>漏洞等效防护</t>
        </is>
      </c>
      <c r="G544" s="79" t="inlineStr">
        <is>
          <t>漏洞等效防护处置</t>
        </is>
      </c>
      <c r="H544" s="102" t="inlineStr">
        <is>
          <t>系统漏洞等效防护处置</t>
        </is>
      </c>
      <c r="I544" s="76" t="n"/>
      <c r="J544" s="108" t="n"/>
      <c r="K544" s="108" t="inlineStr">
        <is>
          <t>非事务功能，非用户感知或触发</t>
        </is>
      </c>
      <c r="L544" s="83">
        <f>IF(OR(X544="估算法",X544="算法类",X544="无法识别"),"",IF(V544="",IF(OR(I544="EI",I544="EO",I544="EQ"),0,""),LEN(V544)-LEN(SUBSTITUTE(V544,"、",""))+1))</f>
        <v/>
      </c>
      <c r="M544" s="83">
        <f>IF(OR(X544="估算法",X544="算法类",X544="无法识别"),"",IF(W544="",IF(OR(I544="ILF",I544="EIF"),0,""),LEN(W544)-LEN(SUBSTITUTE(W544,"、",""))+1))</f>
        <v/>
      </c>
      <c r="N544" s="83">
        <f>IF(OR(X544="估算法",X544="算法类",X544="无法识别"),"",IF(X544="",IF(OR(I544="ILF",I544="EIF",I544="EI",I544="EO",I544="EQ"),0,""),LEN(X544)-LEN(SUBSTITUTE(SUBSTITUTE(SUBSTITUTE(SUBSTITUTE(SUBSTITUTE(X544,"|}","--"),"{|","--"),CHAR(10),""),"、",""),"|",""))+IF(AND(OR(I544="EI",I544="EO",I544="EQ"),$AD$1="NESMA"),2,1)))</f>
        <v/>
      </c>
      <c r="O544" s="84">
        <f>IF(I544="EI",IF(OR(X544="估算法",X544="算法类"),"中",IF(X544="无法识别","低",IF(L544&lt;2,IF(N544&lt;16,"低","中"),IF(L544&lt;3,IF(N544&lt;5,"低",IF(N544&lt;16,"中","高")),IF(N544&lt;5,"中","高"))))),IF(OR(I544="EO",I544="EQ"),IF(OR(X544="估算法",X544="算法类"),"中",IF(X544="无法识别","低",IF(L544&lt;2,IF(N544&lt;20,"低","中"),IF(L544&lt;4,IF(N544&lt;6,"低",IF(N544&lt;20,"中","高")),IF(N544&lt;6,"中","高"))))),IF(OR(I544="ILF",I544="EIF"),IF(OR(X544="估算法",X544="算法类",X544="无法识别"),"低",IF(M544&lt;2,IF(N544&lt;51,"低","中"),IF(M544&lt;6,IF(N544&lt;20,"低",IF(N544&lt;51,"中","高")),IF(N544&lt;20,"中","高")))),"不计算")))</f>
        <v/>
      </c>
      <c r="P544" s="142">
        <f>IFERROR(IF(I544="EI",IF(O544="低",3,IF(O544="中",4,6)),IF(I544="EO",IF(O544="低",4,IF(O544="中",5,7)),IF(I544="EQ",IF(O544="低",3,IF(O544="中",4,6)),IF(I544="ILF",IF(O544="低",7,IF(O544="中",10,15)),IF(I544="EIF",IF(O544="低",5,IF(O544="中",7,10)),"不计算")))))*Q544,"不计算")</f>
        <v/>
      </c>
      <c r="Q544" s="142" t="n">
        <v>1</v>
      </c>
      <c r="R544" s="143">
        <f>调整因子!$F$13</f>
        <v/>
      </c>
      <c r="S544" s="70" t="n">
        <v>1</v>
      </c>
      <c r="T544" s="144">
        <f>IFERROR(P544*R544,0)</f>
        <v/>
      </c>
      <c r="U544" s="144">
        <f>T544*S544</f>
        <v/>
      </c>
      <c r="V544" s="88" t="inlineStr">
        <is>
          <t>防护处置接口文件</t>
        </is>
      </c>
      <c r="W544" s="89" t="n"/>
      <c r="X544" s="88" t="inlineStr">
        <is>
          <t>防护处置接口文件{处置目标、端口、处置方式、防护时间|}</t>
        </is>
      </c>
      <c r="Y544" s="88" t="n"/>
      <c r="Z544" s="88" t="n"/>
      <c r="AA544" s="70" t="n"/>
    </row>
    <row r="545" hidden="1">
      <c r="A545" s="69">
        <f>ROW()-1</f>
        <v/>
      </c>
      <c r="B545" s="53" t="n"/>
      <c r="C545" s="78" t="n">
        <v>2025</v>
      </c>
      <c r="D545" s="78" t="inlineStr">
        <is>
          <t>汤凤欣</t>
        </is>
      </c>
      <c r="E545" s="53" t="n"/>
      <c r="F545" s="53" t="n"/>
      <c r="G545" s="54" t="n"/>
      <c r="H545" s="81" t="inlineStr">
        <is>
          <t>防护处置接口文件</t>
        </is>
      </c>
      <c r="I545" s="76" t="inlineStr">
        <is>
          <t>EIF</t>
        </is>
      </c>
      <c r="J545" s="108" t="n"/>
      <c r="K545" s="108" t="n"/>
      <c r="L545" s="83">
        <f>IF(OR(X545="估算法",X545="算法类",X545="无法识别"),"",IF(V545="",IF(OR(I545="EI",I545="EO",I545="EQ"),0,""),LEN(V545)-LEN(SUBSTITUTE(V545,"、",""))+1))</f>
        <v/>
      </c>
      <c r="M545" s="83">
        <f>IF(OR(X545="估算法",X545="算法类",X545="无法识别"),"",IF(W545="",IF(OR(I545="ILF",I545="EIF"),0,""),LEN(W545)-LEN(SUBSTITUTE(W545,"、",""))+1))</f>
        <v/>
      </c>
      <c r="N545" s="83">
        <f>IF(OR(X545="估算法",X545="算法类",X545="无法识别"),"",IF(X545="",IF(OR(I545="ILF",I545="EIF",I545="EI",I545="EO",I545="EQ"),0,""),LEN(X545)-LEN(SUBSTITUTE(SUBSTITUTE(SUBSTITUTE(SUBSTITUTE(SUBSTITUTE(X545,"|}","--"),"{|","--"),CHAR(10),""),"、",""),"|",""))+IF(AND(OR(I545="EI",I545="EO",I545="EQ"),$AD$1="NESMA"),2,1)))</f>
        <v/>
      </c>
      <c r="O545" s="84">
        <f>IF(I545="EI",IF(OR(X545="估算法",X545="算法类"),"中",IF(X545="无法识别","低",IF(L545&lt;2,IF(N545&lt;16,"低","中"),IF(L545&lt;3,IF(N545&lt;5,"低",IF(N545&lt;16,"中","高")),IF(N545&lt;5,"中","高"))))),IF(OR(I545="EO",I545="EQ"),IF(OR(X545="估算法",X545="算法类"),"中",IF(X545="无法识别","低",IF(L545&lt;2,IF(N545&lt;20,"低","中"),IF(L545&lt;4,IF(N545&lt;6,"低",IF(N545&lt;20,"中","高")),IF(N545&lt;6,"中","高"))))),IF(OR(I545="ILF",I545="EIF"),IF(OR(X545="估算法",X545="算法类",X545="无法识别"),"低",IF(M545&lt;2,IF(N545&lt;51,"低","中"),IF(M545&lt;6,IF(N545&lt;20,"低",IF(N545&lt;51,"中","高")),IF(N545&lt;20,"中","高")))),"不计算")))</f>
        <v/>
      </c>
      <c r="P545" s="142">
        <f>IFERROR(IF(I545="EI",IF(O545="低",3,IF(O545="中",4,6)),IF(I545="EO",IF(O545="低",4,IF(O545="中",5,7)),IF(I545="EQ",IF(O545="低",3,IF(O545="中",4,6)),IF(I545="ILF",IF(O545="低",7,IF(O545="中",10,15)),IF(I545="EIF",IF(O545="低",5,IF(O545="中",7,10)),"不计算")))))*Q545,"不计算")</f>
        <v/>
      </c>
      <c r="Q545" s="142" t="n">
        <v>1</v>
      </c>
      <c r="R545" s="143">
        <f>调整因子!$F$13</f>
        <v/>
      </c>
      <c r="S545" s="76" t="n">
        <v>1</v>
      </c>
      <c r="T545" s="144">
        <f>IFERROR(P545*R545,0)</f>
        <v/>
      </c>
      <c r="U545" s="144">
        <f>T545*S545</f>
        <v/>
      </c>
      <c r="V545" s="89" t="n"/>
      <c r="W545" s="88" t="inlineStr">
        <is>
          <t>防护处置接口文件</t>
        </is>
      </c>
      <c r="X545" s="88" t="inlineStr">
        <is>
          <t>防护处置接口文件{处置目标、端口、处置方式、防护时间|}</t>
        </is>
      </c>
      <c r="Y545" s="88">
        <f>IF(COUNTIFS(V:V,"*"&amp;H545&amp;"*")&gt;0,"存在","不存在")</f>
        <v/>
      </c>
      <c r="Z545" s="88">
        <f>IF(COUNTIFS(AA:AA,"*"&amp;H545&amp;"*")&gt;0,"存在","不存在")</f>
        <v/>
      </c>
      <c r="AA545" s="101" t="n"/>
    </row>
    <row r="546" hidden="1" ht="21.6" customHeight="1">
      <c r="A546" s="69">
        <f>ROW()-1</f>
        <v/>
      </c>
      <c r="B546" s="53" t="n"/>
      <c r="C546" s="78" t="n">
        <v>2025</v>
      </c>
      <c r="D546" s="78" t="inlineStr">
        <is>
          <t>汤凤欣</t>
        </is>
      </c>
      <c r="E546" s="53" t="n"/>
      <c r="F546" s="53" t="n"/>
      <c r="G546" s="79" t="inlineStr">
        <is>
          <t>等效防护策略配置</t>
        </is>
      </c>
      <c r="H546" s="102" t="inlineStr">
        <is>
          <t>配置漏洞等效防护策略</t>
        </is>
      </c>
      <c r="I546" s="76" t="inlineStr">
        <is>
          <t>EI</t>
        </is>
      </c>
      <c r="J546" s="108" t="n"/>
      <c r="K546" s="108" t="n"/>
      <c r="L546" s="83">
        <f>IF(OR(X546="估算法",X546="算法类",X546="无法识别"),"",IF(V546="",IF(OR(I546="EI",I546="EO",I546="EQ"),0,""),LEN(V546)-LEN(SUBSTITUTE(V546,"、",""))+1))</f>
        <v/>
      </c>
      <c r="M546" s="83">
        <f>IF(OR(X546="估算法",X546="算法类",X546="无法识别"),"",IF(W546="",IF(OR(I546="ILF",I546="EIF"),0,""),LEN(W546)-LEN(SUBSTITUTE(W546,"、",""))+1))</f>
        <v/>
      </c>
      <c r="N546" s="83">
        <f>IF(OR(X546="估算法",X546="算法类",X546="无法识别"),"",IF(X546="",IF(OR(I546="ILF",I546="EIF",I546="EI",I546="EO",I546="EQ"),0,""),LEN(X546)-LEN(SUBSTITUTE(SUBSTITUTE(SUBSTITUTE(SUBSTITUTE(SUBSTITUTE(X546,"|}","--"),"{|","--"),CHAR(10),""),"、",""),"|",""))+IF(AND(OR(I546="EI",I546="EO",I546="EQ"),$AD$1="NESMA"),2,1)))</f>
        <v/>
      </c>
      <c r="O546" s="84">
        <f>IF(I546="EI",IF(OR(X546="估算法",X546="算法类"),"中",IF(X546="无法识别","低",IF(L546&lt;2,IF(N546&lt;16,"低","中"),IF(L546&lt;3,IF(N546&lt;5,"低",IF(N546&lt;16,"中","高")),IF(N546&lt;5,"中","高"))))),IF(OR(I546="EO",I546="EQ"),IF(OR(X546="估算法",X546="算法类"),"中",IF(X546="无法识别","低",IF(L546&lt;2,IF(N546&lt;20,"低","中"),IF(L546&lt;4,IF(N546&lt;6,"低",IF(N546&lt;20,"中","高")),IF(N546&lt;6,"中","高"))))),IF(OR(I546="ILF",I546="EIF"),IF(OR(X546="估算法",X546="算法类",X546="无法识别"),"低",IF(M546&lt;2,IF(N546&lt;51,"低","中"),IF(M546&lt;6,IF(N546&lt;20,"低",IF(N546&lt;51,"中","高")),IF(N546&lt;20,"中","高")))),"不计算")))</f>
        <v/>
      </c>
      <c r="P546" s="142">
        <f>IFERROR(IF(I546="EI",IF(O546="低",3,IF(O546="中",4,6)),IF(I546="EO",IF(O546="低",4,IF(O546="中",5,7)),IF(I546="EQ",IF(O546="低",3,IF(O546="中",4,6)),IF(I546="ILF",IF(O546="低",7,IF(O546="中",10,15)),IF(I546="EIF",IF(O546="低",5,IF(O546="中",7,10)),"不计算")))))*Q546,"不计算")</f>
        <v/>
      </c>
      <c r="Q546" s="142" t="n">
        <v>1</v>
      </c>
      <c r="R546" s="143">
        <f>调整因子!$F$13</f>
        <v/>
      </c>
      <c r="S546" s="70" t="n">
        <v>1</v>
      </c>
      <c r="T546" s="144">
        <f>IFERROR(P546*R546,0)</f>
        <v/>
      </c>
      <c r="U546" s="144">
        <f>T546*S546</f>
        <v/>
      </c>
      <c r="V546" s="88" t="inlineStr">
        <is>
          <t>等效防护策略数据表</t>
        </is>
      </c>
      <c r="W546" s="89" t="n"/>
      <c r="X546" s="88" t="inlineStr">
        <is>
          <t>等效防护策略表{策略ID、策略名称、策略编码、业务场景编码、厂商、名称、型号、系统版本、规则包版本|}</t>
        </is>
      </c>
      <c r="Y546" s="88" t="n"/>
      <c r="Z546" s="88" t="n"/>
      <c r="AA546" s="70" t="n"/>
    </row>
    <row r="547" hidden="1" ht="21.6" customHeight="1">
      <c r="A547" s="69">
        <f>ROW()-1</f>
        <v/>
      </c>
      <c r="B547" s="53" t="n"/>
      <c r="C547" s="78" t="n">
        <v>2025</v>
      </c>
      <c r="D547" s="78" t="inlineStr">
        <is>
          <t>汤凤欣</t>
        </is>
      </c>
      <c r="E547" s="53" t="n"/>
      <c r="F547" s="53" t="n"/>
      <c r="G547" s="54" t="n"/>
      <c r="H547" s="81" t="inlineStr">
        <is>
          <t>等效防护策略数据表</t>
        </is>
      </c>
      <c r="I547" s="76" t="inlineStr">
        <is>
          <t>ILF</t>
        </is>
      </c>
      <c r="J547" s="108" t="n"/>
      <c r="K547" s="108" t="n"/>
      <c r="L547" s="83">
        <f>IF(OR(X547="估算法",X547="算法类",X547="无法识别"),"",IF(V547="",IF(OR(I547="EI",I547="EO",I547="EQ"),0,""),LEN(V547)-LEN(SUBSTITUTE(V547,"、",""))+1))</f>
        <v/>
      </c>
      <c r="M547" s="83">
        <f>IF(OR(X547="估算法",X547="算法类",X547="无法识别"),"",IF(W547="",IF(OR(I547="ILF",I547="EIF"),0,""),LEN(W547)-LEN(SUBSTITUTE(W547,"、",""))+1))</f>
        <v/>
      </c>
      <c r="N547" s="83">
        <f>IF(OR(X547="估算法",X547="算法类",X547="无法识别"),"",IF(X547="",IF(OR(I547="ILF",I547="EIF",I547="EI",I547="EO",I547="EQ"),0,""),LEN(X547)-LEN(SUBSTITUTE(SUBSTITUTE(SUBSTITUTE(SUBSTITUTE(SUBSTITUTE(X547,"|}","--"),"{|","--"),CHAR(10),""),"、",""),"|",""))+IF(AND(OR(I547="EI",I547="EO",I547="EQ"),$AD$1="NESMA"),2,1)))</f>
        <v/>
      </c>
      <c r="O547" s="84">
        <f>IF(I547="EI",IF(OR(X547="估算法",X547="算法类"),"中",IF(X547="无法识别","低",IF(L547&lt;2,IF(N547&lt;16,"低","中"),IF(L547&lt;3,IF(N547&lt;5,"低",IF(N547&lt;16,"中","高")),IF(N547&lt;5,"中","高"))))),IF(OR(I547="EO",I547="EQ"),IF(OR(X547="估算法",X547="算法类"),"中",IF(X547="无法识别","低",IF(L547&lt;2,IF(N547&lt;20,"低","中"),IF(L547&lt;4,IF(N547&lt;6,"低",IF(N547&lt;20,"中","高")),IF(N547&lt;6,"中","高"))))),IF(OR(I547="ILF",I547="EIF"),IF(OR(X547="估算法",X547="算法类",X547="无法识别"),"低",IF(M547&lt;2,IF(N547&lt;51,"低","中"),IF(M547&lt;6,IF(N547&lt;20,"低",IF(N547&lt;51,"中","高")),IF(N547&lt;20,"中","高")))),"不计算")))</f>
        <v/>
      </c>
      <c r="P547" s="142">
        <f>IFERROR(IF(I547="EI",IF(O547="低",3,IF(O547="中",4,6)),IF(I547="EO",IF(O547="低",4,IF(O547="中",5,7)),IF(I547="EQ",IF(O547="低",3,IF(O547="中",4,6)),IF(I547="ILF",IF(O547="低",7,IF(O547="中",10,15)),IF(I547="EIF",IF(O547="低",5,IF(O547="中",7,10)),"不计算")))))*Q547,"不计算")</f>
        <v/>
      </c>
      <c r="Q547" s="142" t="n">
        <v>1</v>
      </c>
      <c r="R547" s="143">
        <f>调整因子!$F$13</f>
        <v/>
      </c>
      <c r="S547" s="70" t="n">
        <v>1</v>
      </c>
      <c r="T547" s="144">
        <f>IFERROR(P547*R547,0)</f>
        <v/>
      </c>
      <c r="U547" s="144">
        <f>T547*S547</f>
        <v/>
      </c>
      <c r="V547" s="89" t="n"/>
      <c r="W547" s="88" t="inlineStr">
        <is>
          <t>等效防护策略表</t>
        </is>
      </c>
      <c r="X547" s="88" t="inlineStr">
        <is>
          <t>等效防护策略表{策略ID、策略名称、策略编码、业务场景编码、厂商、名称、型号、系统版本、规则包版本|}</t>
        </is>
      </c>
      <c r="Y547" s="88">
        <f>IF(COUNTIFS(V:V,"*"&amp;H547&amp;"*")&gt;0,"存在","不存在")</f>
        <v/>
      </c>
      <c r="Z547" s="88">
        <f>IF(COUNTIFS(AA:AA,"*"&amp;H547&amp;"*")&gt;0,"存在","不存在")</f>
        <v/>
      </c>
      <c r="AA547" s="101" t="n"/>
    </row>
    <row r="548" hidden="1" ht="64.8" customHeight="1">
      <c r="A548" s="69">
        <f>ROW()-1</f>
        <v/>
      </c>
      <c r="B548" s="53" t="n"/>
      <c r="C548" s="78" t="n">
        <v>2025</v>
      </c>
      <c r="D548" s="78" t="inlineStr">
        <is>
          <t>汤凤欣</t>
        </is>
      </c>
      <c r="E548" s="53" t="n"/>
      <c r="F548" s="53" t="n"/>
      <c r="G548" s="79" t="inlineStr">
        <is>
          <t>第三方安全设备接口配置</t>
        </is>
      </c>
      <c r="H548" s="102" t="inlineStr">
        <is>
          <t>修改处置接口配置</t>
        </is>
      </c>
      <c r="I548" s="76" t="inlineStr">
        <is>
          <t>EI</t>
        </is>
      </c>
      <c r="J548" s="108" t="n"/>
      <c r="K548" s="108" t="n"/>
      <c r="L548" s="83">
        <f>IF(OR(X548="估算法",X548="算法类",X548="无法识别"),"",IF(V548="",IF(OR(I548="EI",I548="EO",I548="EQ"),0,""),LEN(V548)-LEN(SUBSTITUTE(V548,"、",""))+1))</f>
        <v/>
      </c>
      <c r="M548" s="83">
        <f>IF(OR(X548="估算法",X548="算法类",X548="无法识别"),"",IF(W548="",IF(OR(I548="ILF",I548="EIF"),0,""),LEN(W548)-LEN(SUBSTITUTE(W548,"、",""))+1))</f>
        <v/>
      </c>
      <c r="N548" s="83">
        <f>IF(OR(X548="估算法",X548="算法类",X548="无法识别"),"",IF(X548="",IF(OR(I548="ILF",I548="EIF",I548="EI",I548="EO",I548="EQ"),0,""),LEN(X548)-LEN(SUBSTITUTE(SUBSTITUTE(SUBSTITUTE(SUBSTITUTE(SUBSTITUTE(X548,"|}","--"),"{|","--"),CHAR(10),""),"、",""),"|",""))+IF(AND(OR(I548="EI",I548="EO",I548="EQ"),$AD$1="NESMA"),2,1)))</f>
        <v/>
      </c>
      <c r="O548" s="84">
        <f>IF(I548="EI",IF(OR(X548="估算法",X548="算法类"),"中",IF(X548="无法识别","低",IF(L548&lt;2,IF(N548&lt;16,"低","中"),IF(L548&lt;3,IF(N548&lt;5,"低",IF(N548&lt;16,"中","高")),IF(N548&lt;5,"中","高"))))),IF(OR(I548="EO",I548="EQ"),IF(OR(X548="估算法",X548="算法类"),"中",IF(X548="无法识别","低",IF(L548&lt;2,IF(N548&lt;20,"低","中"),IF(L548&lt;4,IF(N548&lt;6,"低",IF(N548&lt;20,"中","高")),IF(N548&lt;6,"中","高"))))),IF(OR(I548="ILF",I548="EIF"),IF(OR(X548="估算法",X548="算法类",X548="无法识别"),"低",IF(M548&lt;2,IF(N548&lt;51,"低","中"),IF(M548&lt;6,IF(N548&lt;20,"低",IF(N548&lt;51,"中","高")),IF(N548&lt;20,"中","高")))),"不计算")))</f>
        <v/>
      </c>
      <c r="P548" s="142">
        <f>IFERROR(IF(I548="EI",IF(O548="低",3,IF(O548="中",4,6)),IF(I548="EO",IF(O548="低",4,IF(O548="中",5,7)),IF(I548="EQ",IF(O548="低",3,IF(O548="中",4,6)),IF(I548="ILF",IF(O548="低",7,IF(O548="中",10,15)),IF(I548="EIF",IF(O548="低",5,IF(O548="中",7,10)),"不计算")))))*Q548,"不计算")</f>
        <v/>
      </c>
      <c r="Q548" s="142" t="n">
        <v>0.333333333333333</v>
      </c>
      <c r="R548" s="143">
        <f>调整因子!$F$13</f>
        <v/>
      </c>
      <c r="S548" s="76" t="n">
        <v>1</v>
      </c>
      <c r="T548" s="144">
        <f>IFERROR(P548*R548,0)</f>
        <v/>
      </c>
      <c r="U548" s="144">
        <f>T548*S548</f>
        <v/>
      </c>
      <c r="V548" s="88" t="inlineStr">
        <is>
          <t>安全设备接口配置数据表、安全设备类型数据表、安全设备信息数据表</t>
        </is>
      </c>
      <c r="W548" s="89" t="n"/>
      <c r="X548" s="88"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Y548" s="88" t="n"/>
      <c r="Z548" s="88" t="n"/>
      <c r="AA548" s="70" t="n"/>
    </row>
    <row r="549" hidden="1" ht="64.8" customHeight="1">
      <c r="A549" s="69">
        <f>ROW()-1</f>
        <v/>
      </c>
      <c r="B549" s="53" t="n"/>
      <c r="C549" s="78" t="n">
        <v>2025</v>
      </c>
      <c r="D549" s="78" t="inlineStr">
        <is>
          <t>汤凤欣</t>
        </is>
      </c>
      <c r="E549" s="53" t="n"/>
      <c r="F549" s="53" t="n"/>
      <c r="G549" s="53" t="n"/>
      <c r="H549" s="102" t="inlineStr">
        <is>
          <t>停用处置接口配置</t>
        </is>
      </c>
      <c r="I549" s="76" t="n"/>
      <c r="J549" s="95" t="n"/>
      <c r="K549" s="95" t="inlineStr">
        <is>
          <t>和启动合并，启停为相同功能</t>
        </is>
      </c>
      <c r="L549" s="83">
        <f>IF(OR(X549="估算法",X549="算法类",X549="无法识别"),"",IF(V549="",IF(OR(I549="EI",I549="EO",I549="EQ"),0,""),LEN(V549)-LEN(SUBSTITUTE(V549,"、",""))+1))</f>
        <v/>
      </c>
      <c r="M549" s="83">
        <f>IF(OR(X549="估算法",X549="算法类",X549="无法识别"),"",IF(W549="",IF(OR(I549="ILF",I549="EIF"),0,""),LEN(W549)-LEN(SUBSTITUTE(W549,"、",""))+1))</f>
        <v/>
      </c>
      <c r="N549" s="83">
        <f>IF(OR(X549="估算法",X549="算法类",X549="无法识别"),"",IF(X549="",IF(OR(I549="ILF",I549="EIF",I549="EI",I549="EO",I549="EQ"),0,""),LEN(X549)-LEN(SUBSTITUTE(SUBSTITUTE(SUBSTITUTE(SUBSTITUTE(SUBSTITUTE(X549,"|}","--"),"{|","--"),CHAR(10),""),"、",""),"|",""))+IF(AND(OR(I549="EI",I549="EO",I549="EQ"),$AD$1="NESMA"),2,1)))</f>
        <v/>
      </c>
      <c r="O549" s="84">
        <f>IF(I549="EI",IF(OR(X549="估算法",X549="算法类"),"中",IF(X549="无法识别","低",IF(L549&lt;2,IF(N549&lt;16,"低","中"),IF(L549&lt;3,IF(N549&lt;5,"低",IF(N549&lt;16,"中","高")),IF(N549&lt;5,"中","高"))))),IF(OR(I549="EO",I549="EQ"),IF(OR(X549="估算法",X549="算法类"),"中",IF(X549="无法识别","低",IF(L549&lt;2,IF(N549&lt;20,"低","中"),IF(L549&lt;4,IF(N549&lt;6,"低",IF(N549&lt;20,"中","高")),IF(N549&lt;6,"中","高"))))),IF(OR(I549="ILF",I549="EIF"),IF(OR(X549="估算法",X549="算法类",X549="无法识别"),"低",IF(M549&lt;2,IF(N549&lt;51,"低","中"),IF(M549&lt;6,IF(N549&lt;20,"低",IF(N549&lt;51,"中","高")),IF(N549&lt;20,"中","高")))),"不计算")))</f>
        <v/>
      </c>
      <c r="P549" s="142">
        <f>IFERROR(IF(I549="EI",IF(O549="低",3,IF(O549="中",4,6)),IF(I549="EO",IF(O549="低",4,IF(O549="中",5,7)),IF(I549="EQ",IF(O549="低",3,IF(O549="中",4,6)),IF(I549="ILF",IF(O549="低",7,IF(O549="中",10,15)),IF(I549="EIF",IF(O549="低",5,IF(O549="中",7,10)),"不计算")))))*Q549,"不计算")</f>
        <v/>
      </c>
      <c r="Q549" s="142" t="n">
        <v>0.333333333333333</v>
      </c>
      <c r="R549" s="143">
        <f>调整因子!$F$13</f>
        <v/>
      </c>
      <c r="S549" s="70" t="n">
        <v>1</v>
      </c>
      <c r="T549" s="144">
        <f>IFERROR(P549*R549,0)</f>
        <v/>
      </c>
      <c r="U549" s="144">
        <f>T549*S549</f>
        <v/>
      </c>
      <c r="V549" s="88" t="inlineStr">
        <is>
          <t>安全设备接口配置数据表、安全设备类型数据表、安全设备信息数据表</t>
        </is>
      </c>
      <c r="W549" s="89" t="n"/>
      <c r="X549" s="88"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Y549" s="88" t="n"/>
      <c r="Z549" s="88" t="n"/>
      <c r="AA549" s="101" t="n"/>
    </row>
    <row r="550" hidden="1" ht="64.8" customHeight="1">
      <c r="A550" s="69">
        <f>ROW()-1</f>
        <v/>
      </c>
      <c r="B550" s="53" t="n"/>
      <c r="C550" s="78" t="n">
        <v>2025</v>
      </c>
      <c r="D550" s="78" t="inlineStr">
        <is>
          <t>汤凤欣</t>
        </is>
      </c>
      <c r="E550" s="53" t="n"/>
      <c r="F550" s="53" t="n"/>
      <c r="G550" s="53" t="n"/>
      <c r="H550" s="102" t="inlineStr">
        <is>
          <t>删除处置接口配置</t>
        </is>
      </c>
      <c r="I550" s="76" t="inlineStr">
        <is>
          <t>EI</t>
        </is>
      </c>
      <c r="J550" s="108" t="n"/>
      <c r="K550" s="108" t="n"/>
      <c r="L550" s="83">
        <f>IF(OR(X550="估算法",X550="算法类",X550="无法识别"),"",IF(V550="",IF(OR(I550="EI",I550="EO",I550="EQ"),0,""),LEN(V550)-LEN(SUBSTITUTE(V550,"、",""))+1))</f>
        <v/>
      </c>
      <c r="M550" s="83">
        <f>IF(OR(X550="估算法",X550="算法类",X550="无法识别"),"",IF(W550="",IF(OR(I550="ILF",I550="EIF"),0,""),LEN(W550)-LEN(SUBSTITUTE(W550,"、",""))+1))</f>
        <v/>
      </c>
      <c r="N550" s="83">
        <f>IF(OR(X550="估算法",X550="算法类",X550="无法识别"),"",IF(X550="",IF(OR(I550="ILF",I550="EIF",I550="EI",I550="EO",I550="EQ"),0,""),LEN(X550)-LEN(SUBSTITUTE(SUBSTITUTE(SUBSTITUTE(SUBSTITUTE(SUBSTITUTE(X550,"|}","--"),"{|","--"),CHAR(10),""),"、",""),"|",""))+IF(AND(OR(I550="EI",I550="EO",I550="EQ"),$AD$1="NESMA"),2,1)))</f>
        <v/>
      </c>
      <c r="O550" s="84">
        <f>IF(I550="EI",IF(OR(X550="估算法",X550="算法类"),"中",IF(X550="无法识别","低",IF(L550&lt;2,IF(N550&lt;16,"低","中"),IF(L550&lt;3,IF(N550&lt;5,"低",IF(N550&lt;16,"中","高")),IF(N550&lt;5,"中","高"))))),IF(OR(I550="EO",I550="EQ"),IF(OR(X550="估算法",X550="算法类"),"中",IF(X550="无法识别","低",IF(L550&lt;2,IF(N550&lt;20,"低","中"),IF(L550&lt;4,IF(N550&lt;6,"低",IF(N550&lt;20,"中","高")),IF(N550&lt;6,"中","高"))))),IF(OR(I550="ILF",I550="EIF"),IF(OR(X550="估算法",X550="算法类",X550="无法识别"),"低",IF(M550&lt;2,IF(N550&lt;51,"低","中"),IF(M550&lt;6,IF(N550&lt;20,"低",IF(N550&lt;51,"中","高")),IF(N550&lt;20,"中","高")))),"不计算")))</f>
        <v/>
      </c>
      <c r="P550" s="142">
        <f>IFERROR(IF(I550="EI",IF(O550="低",3,IF(O550="中",4,6)),IF(I550="EO",IF(O550="低",4,IF(O550="中",5,7)),IF(I550="EQ",IF(O550="低",3,IF(O550="中",4,6)),IF(I550="ILF",IF(O550="低",7,IF(O550="中",10,15)),IF(I550="EIF",IF(O550="低",5,IF(O550="中",7,10)),"不计算")))))*Q550,"不计算")</f>
        <v/>
      </c>
      <c r="Q550" s="142" t="n">
        <v>0.333333333333333</v>
      </c>
      <c r="R550" s="143">
        <f>调整因子!$F$13</f>
        <v/>
      </c>
      <c r="S550" s="70" t="n">
        <v>1</v>
      </c>
      <c r="T550" s="144">
        <f>IFERROR(P550*R550,0)</f>
        <v/>
      </c>
      <c r="U550" s="144">
        <f>T550*S550</f>
        <v/>
      </c>
      <c r="V550" s="88" t="inlineStr">
        <is>
          <t>安全设备接口配置数据表、安全设备类型数据表、安全设备信息数据表</t>
        </is>
      </c>
      <c r="W550" s="89" t="n"/>
      <c r="X550" s="88"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Y550" s="88" t="n"/>
      <c r="Z550" s="88" t="n"/>
      <c r="AA550" s="70" t="n"/>
    </row>
    <row r="551" hidden="1" ht="64.8" customHeight="1">
      <c r="A551" s="69">
        <f>ROW()-1</f>
        <v/>
      </c>
      <c r="B551" s="53" t="n"/>
      <c r="C551" s="78" t="n">
        <v>2025</v>
      </c>
      <c r="D551" s="78" t="inlineStr">
        <is>
          <t>汤凤欣</t>
        </is>
      </c>
      <c r="E551" s="53" t="n"/>
      <c r="F551" s="53" t="n"/>
      <c r="G551" s="53" t="n"/>
      <c r="H551" s="80" t="inlineStr">
        <is>
          <t>启用处置接口配置</t>
        </is>
      </c>
      <c r="I551" s="76" t="inlineStr">
        <is>
          <t>EI</t>
        </is>
      </c>
      <c r="J551" s="108" t="n"/>
      <c r="K551" s="108" t="n"/>
      <c r="L551" s="83">
        <f>IF(OR(X551="估算法",X551="算法类",X551="无法识别"),"",IF(V551="",IF(OR(I551="EI",I551="EO",I551="EQ"),0,""),LEN(V551)-LEN(SUBSTITUTE(V551,"、",""))+1))</f>
        <v/>
      </c>
      <c r="M551" s="83">
        <f>IF(OR(X551="估算法",X551="算法类",X551="无法识别"),"",IF(W551="",IF(OR(I551="ILF",I551="EIF"),0,""),LEN(W551)-LEN(SUBSTITUTE(W551,"、",""))+1))</f>
        <v/>
      </c>
      <c r="N551" s="83">
        <f>IF(OR(X551="估算法",X551="算法类",X551="无法识别"),"",IF(X551="",IF(OR(I551="ILF",I551="EIF",I551="EI",I551="EO",I551="EQ"),0,""),LEN(X551)-LEN(SUBSTITUTE(SUBSTITUTE(SUBSTITUTE(SUBSTITUTE(SUBSTITUTE(X551,"|}","--"),"{|","--"),CHAR(10),""),"、",""),"|",""))+IF(AND(OR(I551="EI",I551="EO",I551="EQ"),$AD$1="NESMA"),2,1)))</f>
        <v/>
      </c>
      <c r="O551" s="84">
        <f>IF(I551="EI",IF(OR(X551="估算法",X551="算法类"),"中",IF(X551="无法识别","低",IF(L551&lt;2,IF(N551&lt;16,"低","中"),IF(L551&lt;3,IF(N551&lt;5,"低",IF(N551&lt;16,"中","高")),IF(N551&lt;5,"中","高"))))),IF(OR(I551="EO",I551="EQ"),IF(OR(X551="估算法",X551="算法类"),"中",IF(X551="无法识别","低",IF(L551&lt;2,IF(N551&lt;20,"低","中"),IF(L551&lt;4,IF(N551&lt;6,"低",IF(N551&lt;20,"中","高")),IF(N551&lt;6,"中","高"))))),IF(OR(I551="ILF",I551="EIF"),IF(OR(X551="估算法",X551="算法类",X551="无法识别"),"低",IF(M551&lt;2,IF(N551&lt;51,"低","中"),IF(M551&lt;6,IF(N551&lt;20,"低",IF(N551&lt;51,"中","高")),IF(N551&lt;20,"中","高")))),"不计算")))</f>
        <v/>
      </c>
      <c r="P551" s="142">
        <f>IFERROR(IF(I551="EI",IF(O551="低",3,IF(O551="中",4,6)),IF(I551="EO",IF(O551="低",4,IF(O551="中",5,7)),IF(I551="EQ",IF(O551="低",3,IF(O551="中",4,6)),IF(I551="ILF",IF(O551="低",7,IF(O551="中",10,15)),IF(I551="EIF",IF(O551="低",5,IF(O551="中",7,10)),"不计算")))))*Q551,"不计算")</f>
        <v/>
      </c>
      <c r="Q551" s="142" t="n">
        <v>1</v>
      </c>
      <c r="R551" s="143">
        <f>调整因子!$F$13</f>
        <v/>
      </c>
      <c r="S551" s="76" t="n">
        <v>1</v>
      </c>
      <c r="T551" s="144">
        <f>IFERROR(P551*R551,0)</f>
        <v/>
      </c>
      <c r="U551" s="144">
        <f>T551*S551</f>
        <v/>
      </c>
      <c r="V551" s="88" t="inlineStr">
        <is>
          <t>安全设备接口配置数据表、安全设备类型数据表、安全设备信息数据表</t>
        </is>
      </c>
      <c r="W551" s="89" t="n"/>
      <c r="X551" s="88"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Y551" s="88" t="n"/>
      <c r="Z551" s="88" t="n"/>
      <c r="AA551" s="101" t="n"/>
    </row>
    <row r="552" hidden="1" ht="64.8" customHeight="1">
      <c r="A552" s="69">
        <f>ROW()-1</f>
        <v/>
      </c>
      <c r="B552" s="53" t="n"/>
      <c r="C552" s="78" t="n">
        <v>2025</v>
      </c>
      <c r="D552" s="78" t="inlineStr">
        <is>
          <t>汤凤欣</t>
        </is>
      </c>
      <c r="E552" s="53" t="n"/>
      <c r="F552" s="53" t="n"/>
      <c r="G552" s="53" t="n"/>
      <c r="H552" s="102" t="inlineStr">
        <is>
          <t>新增处置接口配置</t>
        </is>
      </c>
      <c r="I552" s="76" t="inlineStr">
        <is>
          <t>EI</t>
        </is>
      </c>
      <c r="J552" s="108" t="n"/>
      <c r="K552" s="108" t="n"/>
      <c r="L552" s="83">
        <f>IF(OR(X552="估算法",X552="算法类",X552="无法识别"),"",IF(V552="",IF(OR(I552="EI",I552="EO",I552="EQ"),0,""),LEN(V552)-LEN(SUBSTITUTE(V552,"、",""))+1))</f>
        <v/>
      </c>
      <c r="M552" s="83">
        <f>IF(OR(X552="估算法",X552="算法类",X552="无法识别"),"",IF(W552="",IF(OR(I552="ILF",I552="EIF"),0,""),LEN(W552)-LEN(SUBSTITUTE(W552,"、",""))+1))</f>
        <v/>
      </c>
      <c r="N552" s="83">
        <f>IF(OR(X552="估算法",X552="算法类",X552="无法识别"),"",IF(X552="",IF(OR(I552="ILF",I552="EIF",I552="EI",I552="EO",I552="EQ"),0,""),LEN(X552)-LEN(SUBSTITUTE(SUBSTITUTE(SUBSTITUTE(SUBSTITUTE(SUBSTITUTE(X552,"|}","--"),"{|","--"),CHAR(10),""),"、",""),"|",""))+IF(AND(OR(I552="EI",I552="EO",I552="EQ"),$AD$1="NESMA"),2,1)))</f>
        <v/>
      </c>
      <c r="O552" s="84">
        <f>IF(I552="EI",IF(OR(X552="估算法",X552="算法类"),"中",IF(X552="无法识别","低",IF(L552&lt;2,IF(N552&lt;16,"低","中"),IF(L552&lt;3,IF(N552&lt;5,"低",IF(N552&lt;16,"中","高")),IF(N552&lt;5,"中","高"))))),IF(OR(I552="EO",I552="EQ"),IF(OR(X552="估算法",X552="算法类"),"中",IF(X552="无法识别","低",IF(L552&lt;2,IF(N552&lt;20,"低","中"),IF(L552&lt;4,IF(N552&lt;6,"低",IF(N552&lt;20,"中","高")),IF(N552&lt;6,"中","高"))))),IF(OR(I552="ILF",I552="EIF"),IF(OR(X552="估算法",X552="算法类",X552="无法识别"),"低",IF(M552&lt;2,IF(N552&lt;51,"低","中"),IF(M552&lt;6,IF(N552&lt;20,"低",IF(N552&lt;51,"中","高")),IF(N552&lt;20,"中","高")))),"不计算")))</f>
        <v/>
      </c>
      <c r="P552" s="142">
        <f>IFERROR(IF(I552="EI",IF(O552="低",3,IF(O552="中",4,6)),IF(I552="EO",IF(O552="低",4,IF(O552="中",5,7)),IF(I552="EQ",IF(O552="低",3,IF(O552="中",4,6)),IF(I552="ILF",IF(O552="低",7,IF(O552="中",10,15)),IF(I552="EIF",IF(O552="低",5,IF(O552="中",7,10)),"不计算")))))*Q552,"不计算")</f>
        <v/>
      </c>
      <c r="Q552" s="142" t="n">
        <v>0.333333333333333</v>
      </c>
      <c r="R552" s="143">
        <f>调整因子!$F$13</f>
        <v/>
      </c>
      <c r="S552" s="70" t="n">
        <v>1</v>
      </c>
      <c r="T552" s="144">
        <f>IFERROR(P552*R552,0)</f>
        <v/>
      </c>
      <c r="U552" s="144">
        <f>T552*S552</f>
        <v/>
      </c>
      <c r="V552" s="88" t="inlineStr">
        <is>
          <t>安全设备接口配置数据表、安全设备类型数据表、安全设备信息数据表</t>
        </is>
      </c>
      <c r="W552" s="89" t="n"/>
      <c r="X552" s="88"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Y552" s="88" t="n"/>
      <c r="Z552" s="88" t="n"/>
      <c r="AA552" s="70" t="n"/>
    </row>
    <row r="553" hidden="1" ht="64.8" customHeight="1">
      <c r="A553" s="69">
        <f>ROW()-1</f>
        <v/>
      </c>
      <c r="B553" s="53" t="n"/>
      <c r="C553" s="78" t="n">
        <v>2025</v>
      </c>
      <c r="D553" s="78" t="inlineStr">
        <is>
          <t>汤凤欣</t>
        </is>
      </c>
      <c r="E553" s="53" t="n"/>
      <c r="F553" s="53" t="n"/>
      <c r="G553" s="53" t="n"/>
      <c r="H553" s="102" t="inlineStr">
        <is>
          <t>查询处置接口配置</t>
        </is>
      </c>
      <c r="I553" s="76" t="inlineStr">
        <is>
          <t>EQ</t>
        </is>
      </c>
      <c r="J553" s="108" t="n"/>
      <c r="K553" s="108" t="n"/>
      <c r="L553" s="83">
        <f>IF(OR(X553="估算法",X553="算法类",X553="无法识别"),"",IF(V553="",IF(OR(I553="EI",I553="EO",I553="EQ"),0,""),LEN(V553)-LEN(SUBSTITUTE(V553,"、",""))+1))</f>
        <v/>
      </c>
      <c r="M553" s="83">
        <f>IF(OR(X553="估算法",X553="算法类",X553="无法识别"),"",IF(W553="",IF(OR(I553="ILF",I553="EIF"),0,""),LEN(W553)-LEN(SUBSTITUTE(W553,"、",""))+1))</f>
        <v/>
      </c>
      <c r="N553" s="83">
        <f>IF(OR(X553="估算法",X553="算法类",X553="无法识别"),"",IF(X553="",IF(OR(I553="ILF",I553="EIF",I553="EI",I553="EO",I553="EQ"),0,""),LEN(X553)-LEN(SUBSTITUTE(SUBSTITUTE(SUBSTITUTE(SUBSTITUTE(SUBSTITUTE(X553,"|}","--"),"{|","--"),CHAR(10),""),"、",""),"|",""))+IF(AND(OR(I553="EI",I553="EO",I553="EQ"),$AD$1="NESMA"),2,1)))</f>
        <v/>
      </c>
      <c r="O553" s="84">
        <f>IF(I553="EI",IF(OR(X553="估算法",X553="算法类"),"中",IF(X553="无法识别","低",IF(L553&lt;2,IF(N553&lt;16,"低","中"),IF(L553&lt;3,IF(N553&lt;5,"低",IF(N553&lt;16,"中","高")),IF(N553&lt;5,"中","高"))))),IF(OR(I553="EO",I553="EQ"),IF(OR(X553="估算法",X553="算法类"),"中",IF(X553="无法识别","低",IF(L553&lt;2,IF(N553&lt;20,"低","中"),IF(L553&lt;4,IF(N553&lt;6,"低",IF(N553&lt;20,"中","高")),IF(N553&lt;6,"中","高"))))),IF(OR(I553="ILF",I553="EIF"),IF(OR(X553="估算法",X553="算法类",X553="无法识别"),"低",IF(M553&lt;2,IF(N553&lt;51,"低","中"),IF(M553&lt;6,IF(N553&lt;20,"低",IF(N553&lt;51,"中","高")),IF(N553&lt;20,"中","高")))),"不计算")))</f>
        <v/>
      </c>
      <c r="P553" s="142">
        <f>IFERROR(IF(I553="EI",IF(O553="低",3,IF(O553="中",4,6)),IF(I553="EO",IF(O553="低",4,IF(O553="中",5,7)),IF(I553="EQ",IF(O553="低",3,IF(O553="中",4,6)),IF(I553="ILF",IF(O553="低",7,IF(O553="中",10,15)),IF(I553="EIF",IF(O553="低",5,IF(O553="中",7,10)),"不计算")))))*Q553,"不计算")</f>
        <v/>
      </c>
      <c r="Q553" s="142" t="n">
        <v>1</v>
      </c>
      <c r="R553" s="143">
        <f>调整因子!$F$13</f>
        <v/>
      </c>
      <c r="S553" s="70" t="n">
        <v>1</v>
      </c>
      <c r="T553" s="144">
        <f>IFERROR(P553*R553,0)</f>
        <v/>
      </c>
      <c r="U553" s="144">
        <f>T553*S553</f>
        <v/>
      </c>
      <c r="V553" s="88" t="inlineStr">
        <is>
          <t>安全设备接口配置数据表、安全设备类型数据表、安全设备信息数据表</t>
        </is>
      </c>
      <c r="W553" s="89" t="n"/>
      <c r="X553" s="88"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Y553" s="88" t="n"/>
      <c r="Z553" s="88" t="n"/>
      <c r="AA553" s="101" t="n"/>
    </row>
    <row r="554" hidden="1" ht="21.6" customHeight="1">
      <c r="A554" s="69">
        <f>ROW()-1</f>
        <v/>
      </c>
      <c r="B554" s="53" t="n"/>
      <c r="C554" s="78" t="n">
        <v>2025</v>
      </c>
      <c r="D554" s="78" t="inlineStr">
        <is>
          <t>汤凤欣</t>
        </is>
      </c>
      <c r="E554" s="53" t="n"/>
      <c r="F554" s="54" t="n"/>
      <c r="G554" s="54" t="n"/>
      <c r="H554" s="81" t="inlineStr">
        <is>
          <t>安全设备接口配置数据表</t>
        </is>
      </c>
      <c r="I554" s="76" t="inlineStr">
        <is>
          <t>ILF</t>
        </is>
      </c>
      <c r="J554" s="108" t="n"/>
      <c r="K554" s="108" t="n"/>
      <c r="L554" s="83">
        <f>IF(OR(X554="估算法",X554="算法类",X554="无法识别"),"",IF(V554="",IF(OR(I554="EI",I554="EO",I554="EQ"),0,""),LEN(V554)-LEN(SUBSTITUTE(V554,"、",""))+1))</f>
        <v/>
      </c>
      <c r="M554" s="83">
        <f>IF(OR(X554="估算法",X554="算法类",X554="无法识别"),"",IF(W554="",IF(OR(I554="ILF",I554="EIF"),0,""),LEN(W554)-LEN(SUBSTITUTE(W554,"、",""))+1))</f>
        <v/>
      </c>
      <c r="N554" s="83">
        <f>IF(OR(X554="估算法",X554="算法类",X554="无法识别"),"",IF(X554="",IF(OR(I554="ILF",I554="EIF",I554="EI",I554="EO",I554="EQ"),0,""),LEN(X554)-LEN(SUBSTITUTE(SUBSTITUTE(SUBSTITUTE(SUBSTITUTE(SUBSTITUTE(X554,"|}","--"),"{|","--"),CHAR(10),""),"、",""),"|",""))+IF(AND(OR(I554="EI",I554="EO",I554="EQ"),$AD$1="NESMA"),2,1)))</f>
        <v/>
      </c>
      <c r="O554" s="84">
        <f>IF(I554="EI",IF(OR(X554="估算法",X554="算法类"),"中",IF(X554="无法识别","低",IF(L554&lt;2,IF(N554&lt;16,"低","中"),IF(L554&lt;3,IF(N554&lt;5,"低",IF(N554&lt;16,"中","高")),IF(N554&lt;5,"中","高"))))),IF(OR(I554="EO",I554="EQ"),IF(OR(X554="估算法",X554="算法类"),"中",IF(X554="无法识别","低",IF(L554&lt;2,IF(N554&lt;20,"低","中"),IF(L554&lt;4,IF(N554&lt;6,"低",IF(N554&lt;20,"中","高")),IF(N554&lt;6,"中","高"))))),IF(OR(I554="ILF",I554="EIF"),IF(OR(X554="估算法",X554="算法类",X554="无法识别"),"低",IF(M554&lt;2,IF(N554&lt;51,"低","中"),IF(M554&lt;6,IF(N554&lt;20,"低",IF(N554&lt;51,"中","高")),IF(N554&lt;20,"中","高")))),"不计算")))</f>
        <v/>
      </c>
      <c r="P554" s="142">
        <f>IFERROR(IF(I554="EI",IF(O554="低",3,IF(O554="中",4,6)),IF(I554="EO",IF(O554="低",4,IF(O554="中",5,7)),IF(I554="EQ",IF(O554="低",3,IF(O554="中",4,6)),IF(I554="ILF",IF(O554="低",7,IF(O554="中",10,15)),IF(I554="EIF",IF(O554="低",5,IF(O554="中",7,10)),"不计算")))))*Q554,"不计算")</f>
        <v/>
      </c>
      <c r="Q554" s="142" t="n">
        <v>1</v>
      </c>
      <c r="R554" s="143">
        <f>调整因子!$F$13</f>
        <v/>
      </c>
      <c r="S554" s="76" t="n">
        <v>1</v>
      </c>
      <c r="T554" s="144">
        <f>IFERROR(P554*R554,0)</f>
        <v/>
      </c>
      <c r="U554" s="144">
        <f>T554*S554</f>
        <v/>
      </c>
      <c r="V554" s="89" t="n"/>
      <c r="W554" s="88" t="inlineStr">
        <is>
          <t>安全设备接口配置数据表</t>
        </is>
      </c>
      <c r="X554" s="88" t="inlineStr">
        <is>
          <t>安全设备接口配置数据表{配置ID、配置名称、配置编码、安全设备ID、接口名称、接口URL、接口参数|}</t>
        </is>
      </c>
      <c r="Y554" s="88">
        <f>IF(COUNTIFS(V:V,"*"&amp;H554&amp;"*")&gt;0,"存在","不存在")</f>
        <v/>
      </c>
      <c r="Z554" s="88">
        <f>IF(COUNTIFS(AA:AA,"*"&amp;H554&amp;"*")&gt;0,"存在","不存在")</f>
        <v/>
      </c>
      <c r="AA554" s="70" t="n"/>
    </row>
    <row r="555" hidden="1" ht="21.6" customHeight="1">
      <c r="A555" s="69">
        <f>ROW()-1</f>
        <v/>
      </c>
      <c r="B555" s="53" t="n"/>
      <c r="C555" s="78" t="n">
        <v>2025</v>
      </c>
      <c r="D555" s="78" t="inlineStr">
        <is>
          <t>汤凤欣</t>
        </is>
      </c>
      <c r="E555" s="53" t="n"/>
      <c r="F555" s="79" t="inlineStr">
        <is>
          <t>响应过程审计</t>
        </is>
      </c>
      <c r="G555" s="79" t="inlineStr">
        <is>
          <t>响应过程操作日志记录</t>
        </is>
      </c>
      <c r="H555" s="81" t="inlineStr">
        <is>
          <t>产品漏洞验证下发调用记录查询</t>
        </is>
      </c>
      <c r="I555" s="76" t="inlineStr">
        <is>
          <t>EQ</t>
        </is>
      </c>
      <c r="J555" s="108" t="n"/>
      <c r="K555" s="108" t="inlineStr">
        <is>
          <t>日志记录，非事务功能</t>
        </is>
      </c>
      <c r="L555" s="83">
        <f>IF(OR(X555="估算法",X555="算法类",X555="无法识别"),"",IF(V555="",IF(OR(I555="EI",I555="EO",I555="EQ"),0,""),LEN(V555)-LEN(SUBSTITUTE(V555,"、",""))+1))</f>
        <v/>
      </c>
      <c r="M555" s="83">
        <f>IF(OR(X555="估算法",X555="算法类",X555="无法识别"),"",IF(W555="",IF(OR(I555="ILF",I555="EIF"),0,""),LEN(W555)-LEN(SUBSTITUTE(W555,"、",""))+1))</f>
        <v/>
      </c>
      <c r="N555" s="83">
        <f>IF(OR(X555="估算法",X555="算法类",X555="无法识别"),"",IF(X555="",IF(OR(I555="ILF",I555="EIF",I555="EI",I555="EO",I555="EQ"),0,""),LEN(X555)-LEN(SUBSTITUTE(SUBSTITUTE(SUBSTITUTE(SUBSTITUTE(SUBSTITUTE(X555,"|}","--"),"{|","--"),CHAR(10),""),"、",""),"|",""))+IF(AND(OR(I555="EI",I555="EO",I555="EQ"),$AD$1="NESMA"),2,1)))</f>
        <v/>
      </c>
      <c r="O555" s="84">
        <f>IF(I555="EI",IF(OR(X555="估算法",X555="算法类"),"中",IF(X555="无法识别","低",IF(L555&lt;2,IF(N555&lt;16,"低","中"),IF(L555&lt;3,IF(N555&lt;5,"低",IF(N555&lt;16,"中","高")),IF(N555&lt;5,"中","高"))))),IF(OR(I555="EO",I555="EQ"),IF(OR(X555="估算法",X555="算法类"),"中",IF(X555="无法识别","低",IF(L555&lt;2,IF(N555&lt;20,"低","中"),IF(L555&lt;4,IF(N555&lt;6,"低",IF(N555&lt;20,"中","高")),IF(N555&lt;6,"中","高"))))),IF(OR(I555="ILF",I555="EIF"),IF(OR(X555="估算法",X555="算法类",X555="无法识别"),"低",IF(M555&lt;2,IF(N555&lt;51,"低","中"),IF(M555&lt;6,IF(N555&lt;20,"低",IF(N555&lt;51,"中","高")),IF(N555&lt;20,"中","高")))),"不计算")))</f>
        <v/>
      </c>
      <c r="P555" s="142">
        <f>IFERROR(IF(I555="EI",IF(O555="低",3,IF(O555="中",4,6)),IF(I555="EO",IF(O555="低",4,IF(O555="中",5,7)),IF(I555="EQ",IF(O555="低",3,IF(O555="中",4,6)),IF(I555="ILF",IF(O555="低",7,IF(O555="中",10,15)),IF(I555="EIF",IF(O555="低",5,IF(O555="中",7,10)),"不计算")))))*Q555,"不计算")</f>
        <v/>
      </c>
      <c r="Q555" s="142" t="n">
        <v>1</v>
      </c>
      <c r="R555" s="143">
        <f>调整因子!$F$13</f>
        <v/>
      </c>
      <c r="S555" s="70" t="n">
        <v>1</v>
      </c>
      <c r="T555" s="144">
        <f>IFERROR(P555*R555,0)</f>
        <v/>
      </c>
      <c r="U555" s="144">
        <f>T555*S555</f>
        <v/>
      </c>
      <c r="V555" s="76" t="inlineStr">
        <is>
          <t>产品漏洞验证响应数据表</t>
        </is>
      </c>
      <c r="W555" s="89" t="n"/>
      <c r="X555" s="76" t="inlineStr">
        <is>
          <t>产品漏洞验证响应数据表{记录ID、记录时间、角色编码、处置人信息、所属部门、源角色、处置漏洞总数、目标状态、到达状态数量分布、工单处置结果、工单说明|}</t>
        </is>
      </c>
      <c r="Y555" s="88" t="n"/>
      <c r="Z555" s="88" t="n"/>
      <c r="AA555" s="101" t="n"/>
    </row>
    <row r="556" hidden="1" ht="43.2" customHeight="1">
      <c r="A556" s="69">
        <f>ROW()-1</f>
        <v/>
      </c>
      <c r="B556" s="53" t="n"/>
      <c r="C556" s="78" t="n">
        <v>2025</v>
      </c>
      <c r="D556" s="78" t="inlineStr">
        <is>
          <t>汤凤欣</t>
        </is>
      </c>
      <c r="E556" s="53" t="n"/>
      <c r="F556" s="53" t="n"/>
      <c r="G556" s="53" t="n"/>
      <c r="H556" s="81" t="inlineStr">
        <is>
          <t>记录修复工单回传响应数据</t>
        </is>
      </c>
      <c r="I556" s="76" t="n"/>
      <c r="J556" s="108" t="n"/>
      <c r="K556" s="108" t="inlineStr">
        <is>
          <t>日志记录，非事务功能</t>
        </is>
      </c>
      <c r="L556" s="83">
        <f>IF(OR(X556="估算法",X556="算法类",X556="无法识别"),"",IF(V556="",IF(OR(I556="EI",I556="EO",I556="EQ"),0,""),LEN(V556)-LEN(SUBSTITUTE(V556,"、",""))+1))</f>
        <v/>
      </c>
      <c r="M556" s="83">
        <f>IF(OR(X556="估算法",X556="算法类",X556="无法识别"),"",IF(W556="",IF(OR(I556="ILF",I556="EIF"),0,""),LEN(W556)-LEN(SUBSTITUTE(W556,"、",""))+1))</f>
        <v/>
      </c>
      <c r="N556" s="83">
        <f>IF(OR(X556="估算法",X556="算法类",X556="无法识别"),"",IF(X556="",IF(OR(I556="ILF",I556="EIF",I556="EI",I556="EO",I556="EQ"),0,""),LEN(X556)-LEN(SUBSTITUTE(SUBSTITUTE(SUBSTITUTE(SUBSTITUTE(SUBSTITUTE(X556,"|}","--"),"{|","--"),CHAR(10),""),"、",""),"|",""))+IF(AND(OR(I556="EI",I556="EO",I556="EQ"),$AD$1="NESMA"),2,1)))</f>
        <v/>
      </c>
      <c r="O556" s="84">
        <f>IF(I556="EI",IF(OR(X556="估算法",X556="算法类"),"中",IF(X556="无法识别","低",IF(L556&lt;2,IF(N556&lt;16,"低","中"),IF(L556&lt;3,IF(N556&lt;5,"低",IF(N556&lt;16,"中","高")),IF(N556&lt;5,"中","高"))))),IF(OR(I556="EO",I556="EQ"),IF(OR(X556="估算法",X556="算法类"),"中",IF(X556="无法识别","低",IF(L556&lt;2,IF(N556&lt;20,"低","中"),IF(L556&lt;4,IF(N556&lt;6,"低",IF(N556&lt;20,"中","高")),IF(N556&lt;6,"中","高"))))),IF(OR(I556="ILF",I556="EIF"),IF(OR(X556="估算法",X556="算法类",X556="无法识别"),"低",IF(M556&lt;2,IF(N556&lt;51,"低","中"),IF(M556&lt;6,IF(N556&lt;20,"低",IF(N556&lt;51,"中","高")),IF(N556&lt;20,"中","高")))),"不计算")))</f>
        <v/>
      </c>
      <c r="P556" s="142">
        <f>IFERROR(IF(I556="EI",IF(O556="低",3,IF(O556="中",4,6)),IF(I556="EO",IF(O556="低",4,IF(O556="中",5,7)),IF(I556="EQ",IF(O556="低",3,IF(O556="中",4,6)),IF(I556="ILF",IF(O556="低",7,IF(O556="中",10,15)),IF(I556="EIF",IF(O556="低",5,IF(O556="中",7,10)),"不计算")))))*Q556,"不计算")</f>
        <v/>
      </c>
      <c r="Q556" s="142" t="n">
        <v>1</v>
      </c>
      <c r="R556" s="143">
        <f>调整因子!$F$13</f>
        <v/>
      </c>
      <c r="S556" s="70" t="n">
        <v>1</v>
      </c>
      <c r="T556" s="144">
        <f>IFERROR(P556*R556,0)</f>
        <v/>
      </c>
      <c r="U556" s="144">
        <f>T556*S556</f>
        <v/>
      </c>
      <c r="V556" s="76" t="inlineStr">
        <is>
          <t>修复工单回传响应数据表</t>
        </is>
      </c>
      <c r="W556" s="89" t="n"/>
      <c r="X556" s="76" t="inlineStr">
        <is>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Y556" s="88" t="n"/>
      <c r="Z556" s="88" t="n"/>
      <c r="AA556" s="70" t="n"/>
    </row>
    <row r="557" hidden="1" ht="43.2" customHeight="1">
      <c r="A557" s="69">
        <f>ROW()-1</f>
        <v/>
      </c>
      <c r="B557" s="53" t="n"/>
      <c r="C557" s="78" t="n">
        <v>2025</v>
      </c>
      <c r="D557" s="78" t="inlineStr">
        <is>
          <t>汤凤欣</t>
        </is>
      </c>
      <c r="E557" s="53" t="n"/>
      <c r="F557" s="53" t="n"/>
      <c r="G557" s="53" t="n"/>
      <c r="H557" s="81" t="inlineStr">
        <is>
          <t>记录修复工单指派响应数据</t>
        </is>
      </c>
      <c r="I557" s="76" t="n"/>
      <c r="J557" s="108" t="n"/>
      <c r="K557" s="108" t="inlineStr">
        <is>
          <t>日志记录，非事务功能</t>
        </is>
      </c>
      <c r="L557" s="83">
        <f>IF(OR(X557="估算法",X557="算法类",X557="无法识别"),"",IF(V557="",IF(OR(I557="EI",I557="EO",I557="EQ"),0,""),LEN(V557)-LEN(SUBSTITUTE(V557,"、",""))+1))</f>
        <v/>
      </c>
      <c r="M557" s="83">
        <f>IF(OR(X557="估算法",X557="算法类",X557="无法识别"),"",IF(W557="",IF(OR(I557="ILF",I557="EIF"),0,""),LEN(W557)-LEN(SUBSTITUTE(W557,"、",""))+1))</f>
        <v/>
      </c>
      <c r="N557" s="83">
        <f>IF(OR(X557="估算法",X557="算法类",X557="无法识别"),"",IF(X557="",IF(OR(I557="ILF",I557="EIF",I557="EI",I557="EO",I557="EQ"),0,""),LEN(X557)-LEN(SUBSTITUTE(SUBSTITUTE(SUBSTITUTE(SUBSTITUTE(SUBSTITUTE(X557,"|}","--"),"{|","--"),CHAR(10),""),"、",""),"|",""))+IF(AND(OR(I557="EI",I557="EO",I557="EQ"),$AD$1="NESMA"),2,1)))</f>
        <v/>
      </c>
      <c r="O557" s="84">
        <f>IF(I557="EI",IF(OR(X557="估算法",X557="算法类"),"中",IF(X557="无法识别","低",IF(L557&lt;2,IF(N557&lt;16,"低","中"),IF(L557&lt;3,IF(N557&lt;5,"低",IF(N557&lt;16,"中","高")),IF(N557&lt;5,"中","高"))))),IF(OR(I557="EO",I557="EQ"),IF(OR(X557="估算法",X557="算法类"),"中",IF(X557="无法识别","低",IF(L557&lt;2,IF(N557&lt;20,"低","中"),IF(L557&lt;4,IF(N557&lt;6,"低",IF(N557&lt;20,"中","高")),IF(N557&lt;6,"中","高"))))),IF(OR(I557="ILF",I557="EIF"),IF(OR(X557="估算法",X557="算法类",X557="无法识别"),"低",IF(M557&lt;2,IF(N557&lt;51,"低","中"),IF(M557&lt;6,IF(N557&lt;20,"低",IF(N557&lt;51,"中","高")),IF(N557&lt;20,"中","高")))),"不计算")))</f>
        <v/>
      </c>
      <c r="P557" s="142">
        <f>IFERROR(IF(I557="EI",IF(O557="低",3,IF(O557="中",4,6)),IF(I557="EO",IF(O557="低",4,IF(O557="中",5,7)),IF(I557="EQ",IF(O557="低",3,IF(O557="中",4,6)),IF(I557="ILF",IF(O557="低",7,IF(O557="中",10,15)),IF(I557="EIF",IF(O557="低",5,IF(O557="中",7,10)),"不计算")))))*Q557,"不计算")</f>
        <v/>
      </c>
      <c r="Q557" s="142" t="n">
        <v>1</v>
      </c>
      <c r="R557" s="143">
        <f>调整因子!$F$13</f>
        <v/>
      </c>
      <c r="S557" s="76" t="n">
        <v>1</v>
      </c>
      <c r="T557" s="144">
        <f>IFERROR(P557*R557,0)</f>
        <v/>
      </c>
      <c r="U557" s="144">
        <f>T557*S557</f>
        <v/>
      </c>
      <c r="V557" s="76" t="inlineStr">
        <is>
          <t>修复工单指派响应数据表</t>
        </is>
      </c>
      <c r="W557" s="89" t="n"/>
      <c r="X557" s="76" t="inlineStr">
        <is>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Y557" s="88" t="n"/>
      <c r="Z557" s="88" t="n"/>
      <c r="AA557" s="101" t="n"/>
    </row>
    <row r="558" hidden="1" ht="21.6" customHeight="1">
      <c r="A558" s="69">
        <f>ROW()-1</f>
        <v/>
      </c>
      <c r="B558" s="53" t="n"/>
      <c r="C558" s="78" t="n">
        <v>2025</v>
      </c>
      <c r="D558" s="78" t="inlineStr">
        <is>
          <t>汤凤欣</t>
        </is>
      </c>
      <c r="E558" s="53" t="n"/>
      <c r="F558" s="53" t="n"/>
      <c r="G558" s="53" t="n"/>
      <c r="H558" s="81" t="inlineStr">
        <is>
          <t>记录弱口令扫描任务下发响应数据</t>
        </is>
      </c>
      <c r="I558" s="76" t="n"/>
      <c r="J558" s="108" t="n"/>
      <c r="K558" s="108" t="inlineStr">
        <is>
          <t>日志记录，非事务功能</t>
        </is>
      </c>
      <c r="L558" s="83">
        <f>IF(OR(X558="估算法",X558="算法类",X558="无法识别"),"",IF(V558="",IF(OR(I558="EI",I558="EO",I558="EQ"),0,""),LEN(V558)-LEN(SUBSTITUTE(V558,"、",""))+1))</f>
        <v/>
      </c>
      <c r="M558" s="83">
        <f>IF(OR(X558="估算法",X558="算法类",X558="无法识别"),"",IF(W558="",IF(OR(I558="ILF",I558="EIF"),0,""),LEN(W558)-LEN(SUBSTITUTE(W558,"、",""))+1))</f>
        <v/>
      </c>
      <c r="N558" s="83">
        <f>IF(OR(X558="估算法",X558="算法类",X558="无法识别"),"",IF(X558="",IF(OR(I558="ILF",I558="EIF",I558="EI",I558="EO",I558="EQ"),0,""),LEN(X558)-LEN(SUBSTITUTE(SUBSTITUTE(SUBSTITUTE(SUBSTITUTE(SUBSTITUTE(X558,"|}","--"),"{|","--"),CHAR(10),""),"、",""),"|",""))+IF(AND(OR(I558="EI",I558="EO",I558="EQ"),$AD$1="NESMA"),2,1)))</f>
        <v/>
      </c>
      <c r="O558" s="84">
        <f>IF(I558="EI",IF(OR(X558="估算法",X558="算法类"),"中",IF(X558="无法识别","低",IF(L558&lt;2,IF(N558&lt;16,"低","中"),IF(L558&lt;3,IF(N558&lt;5,"低",IF(N558&lt;16,"中","高")),IF(N558&lt;5,"中","高"))))),IF(OR(I558="EO",I558="EQ"),IF(OR(X558="估算法",X558="算法类"),"中",IF(X558="无法识别","低",IF(L558&lt;2,IF(N558&lt;20,"低","中"),IF(L558&lt;4,IF(N558&lt;6,"低",IF(N558&lt;20,"中","高")),IF(N558&lt;6,"中","高"))))),IF(OR(I558="ILF",I558="EIF"),IF(OR(X558="估算法",X558="算法类",X558="无法识别"),"低",IF(M558&lt;2,IF(N558&lt;51,"低","中"),IF(M558&lt;6,IF(N558&lt;20,"低",IF(N558&lt;51,"中","高")),IF(N558&lt;20,"中","高")))),"不计算")))</f>
        <v/>
      </c>
      <c r="P558" s="142">
        <f>IFERROR(IF(I558="EI",IF(O558="低",3,IF(O558="中",4,6)),IF(I558="EO",IF(O558="低",4,IF(O558="中",5,7)),IF(I558="EQ",IF(O558="低",3,IF(O558="中",4,6)),IF(I558="ILF",IF(O558="低",7,IF(O558="中",10,15)),IF(I558="EIF",IF(O558="低",5,IF(O558="中",7,10)),"不计算")))))*Q558,"不计算")</f>
        <v/>
      </c>
      <c r="Q558" s="142" t="n">
        <v>1</v>
      </c>
      <c r="R558" s="143">
        <f>调整因子!$F$13</f>
        <v/>
      </c>
      <c r="S558" s="70" t="n">
        <v>1</v>
      </c>
      <c r="T558" s="144">
        <f>IFERROR(P558*R558,0)</f>
        <v/>
      </c>
      <c r="U558" s="144">
        <f>T558*S558</f>
        <v/>
      </c>
      <c r="V558" s="76" t="inlineStr">
        <is>
          <t>弱口令扫描任务下发响应数据表</t>
        </is>
      </c>
      <c r="W558" s="89" t="n"/>
      <c r="X558" s="76" t="inlineStr">
        <is>
          <t>弱口令扫描任务下发响应数据表{记录ID、记录时间、弱口令任务ID、下发时间、响应耗时、响应状态|}</t>
        </is>
      </c>
      <c r="Y558" s="88" t="n"/>
      <c r="Z558" s="88" t="n"/>
      <c r="AA558" s="70" t="n"/>
    </row>
    <row r="559" hidden="1" ht="21.6" customHeight="1">
      <c r="A559" s="69">
        <f>ROW()-1</f>
        <v/>
      </c>
      <c r="B559" s="53" t="n"/>
      <c r="C559" s="78" t="n">
        <v>2025</v>
      </c>
      <c r="D559" s="78" t="inlineStr">
        <is>
          <t>汤凤欣</t>
        </is>
      </c>
      <c r="E559" s="53" t="n"/>
      <c r="F559" s="53" t="n"/>
      <c r="G559" s="53" t="n"/>
      <c r="H559" s="81" t="inlineStr">
        <is>
          <t>记录弱口令扫描结果获取响应数据</t>
        </is>
      </c>
      <c r="I559" s="76" t="n"/>
      <c r="J559" s="108" t="n"/>
      <c r="K559" s="108" t="inlineStr">
        <is>
          <t>日志记录，非事务功能</t>
        </is>
      </c>
      <c r="L559" s="83">
        <f>IF(OR(X559="估算法",X559="算法类",X559="无法识别"),"",IF(V559="",IF(OR(I559="EI",I559="EO",I559="EQ"),0,""),LEN(V559)-LEN(SUBSTITUTE(V559,"、",""))+1))</f>
        <v/>
      </c>
      <c r="M559" s="83">
        <f>IF(OR(X559="估算法",X559="算法类",X559="无法识别"),"",IF(W559="",IF(OR(I559="ILF",I559="EIF"),0,""),LEN(W559)-LEN(SUBSTITUTE(W559,"、",""))+1))</f>
        <v/>
      </c>
      <c r="N559" s="83">
        <f>IF(OR(X559="估算法",X559="算法类",X559="无法识别"),"",IF(X559="",IF(OR(I559="ILF",I559="EIF",I559="EI",I559="EO",I559="EQ"),0,""),LEN(X559)-LEN(SUBSTITUTE(SUBSTITUTE(SUBSTITUTE(SUBSTITUTE(SUBSTITUTE(X559,"|}","--"),"{|","--"),CHAR(10),""),"、",""),"|",""))+IF(AND(OR(I559="EI",I559="EO",I559="EQ"),$AD$1="NESMA"),2,1)))</f>
        <v/>
      </c>
      <c r="O559" s="84">
        <f>IF(I559="EI",IF(OR(X559="估算法",X559="算法类"),"中",IF(X559="无法识别","低",IF(L559&lt;2,IF(N559&lt;16,"低","中"),IF(L559&lt;3,IF(N559&lt;5,"低",IF(N559&lt;16,"中","高")),IF(N559&lt;5,"中","高"))))),IF(OR(I559="EO",I559="EQ"),IF(OR(X559="估算法",X559="算法类"),"中",IF(X559="无法识别","低",IF(L559&lt;2,IF(N559&lt;20,"低","中"),IF(L559&lt;4,IF(N559&lt;6,"低",IF(N559&lt;20,"中","高")),IF(N559&lt;6,"中","高"))))),IF(OR(I559="ILF",I559="EIF"),IF(OR(X559="估算法",X559="算法类",X559="无法识别"),"低",IF(M559&lt;2,IF(N559&lt;51,"低","中"),IF(M559&lt;6,IF(N559&lt;20,"低",IF(N559&lt;51,"中","高")),IF(N559&lt;20,"中","高")))),"不计算")))</f>
        <v/>
      </c>
      <c r="P559" s="142">
        <f>IFERROR(IF(I559="EI",IF(O559="低",3,IF(O559="中",4,6)),IF(I559="EO",IF(O559="低",4,IF(O559="中",5,7)),IF(I559="EQ",IF(O559="低",3,IF(O559="中",4,6)),IF(I559="ILF",IF(O559="低",7,IF(O559="中",10,15)),IF(I559="EIF",IF(O559="低",5,IF(O559="中",7,10)),"不计算")))))*Q559,"不计算")</f>
        <v/>
      </c>
      <c r="Q559" s="142" t="n">
        <v>1</v>
      </c>
      <c r="R559" s="143">
        <f>调整因子!$F$13</f>
        <v/>
      </c>
      <c r="S559" s="70" t="n">
        <v>1</v>
      </c>
      <c r="T559" s="144">
        <f>IFERROR(P559*R559,0)</f>
        <v/>
      </c>
      <c r="U559" s="144">
        <f>T559*S559</f>
        <v/>
      </c>
      <c r="V559" s="76" t="inlineStr">
        <is>
          <t>弱口令扫描结果获取响应数据表</t>
        </is>
      </c>
      <c r="W559" s="89" t="n"/>
      <c r="X559" s="76" t="inlineStr">
        <is>
          <t>弱口令扫描结果获取响应数据表{记录ID、记录时间、响应耗时、扫描结果数量、扫描任务ID、任务下发时间、响应状态|}</t>
        </is>
      </c>
      <c r="Y559" s="88" t="n"/>
      <c r="Z559" s="88" t="n"/>
      <c r="AA559" s="101" t="n"/>
    </row>
    <row r="560" hidden="1" ht="21.6" customHeight="1">
      <c r="A560" s="69">
        <f>ROW()-1</f>
        <v/>
      </c>
      <c r="B560" s="53" t="n"/>
      <c r="C560" s="78" t="n">
        <v>2025</v>
      </c>
      <c r="D560" s="78" t="inlineStr">
        <is>
          <t>汤凤欣</t>
        </is>
      </c>
      <c r="E560" s="53" t="n"/>
      <c r="F560" s="53" t="n"/>
      <c r="G560" s="53" t="n"/>
      <c r="H560" s="81" t="inlineStr">
        <is>
          <t>记录弱口令扫描进度获取响应数据</t>
        </is>
      </c>
      <c r="I560" s="76" t="n"/>
      <c r="J560" s="108" t="n"/>
      <c r="K560" s="108" t="inlineStr">
        <is>
          <t>日志记录，非事务功能</t>
        </is>
      </c>
      <c r="L560" s="83">
        <f>IF(OR(X560="估算法",X560="算法类",X560="无法识别"),"",IF(V560="",IF(OR(I560="EI",I560="EO",I560="EQ"),0,""),LEN(V560)-LEN(SUBSTITUTE(V560,"、",""))+1))</f>
        <v/>
      </c>
      <c r="M560" s="83">
        <f>IF(OR(X560="估算法",X560="算法类",X560="无法识别"),"",IF(W560="",IF(OR(I560="ILF",I560="EIF"),0,""),LEN(W560)-LEN(SUBSTITUTE(W560,"、",""))+1))</f>
        <v/>
      </c>
      <c r="N560" s="83">
        <f>IF(OR(X560="估算法",X560="算法类",X560="无法识别"),"",IF(X560="",IF(OR(I560="ILF",I560="EIF",I560="EI",I560="EO",I560="EQ"),0,""),LEN(X560)-LEN(SUBSTITUTE(SUBSTITUTE(SUBSTITUTE(SUBSTITUTE(SUBSTITUTE(X560,"|}","--"),"{|","--"),CHAR(10),""),"、",""),"|",""))+IF(AND(OR(I560="EI",I560="EO",I560="EQ"),$AD$1="NESMA"),2,1)))</f>
        <v/>
      </c>
      <c r="O560" s="84">
        <f>IF(I560="EI",IF(OR(X560="估算法",X560="算法类"),"中",IF(X560="无法识别","低",IF(L560&lt;2,IF(N560&lt;16,"低","中"),IF(L560&lt;3,IF(N560&lt;5,"低",IF(N560&lt;16,"中","高")),IF(N560&lt;5,"中","高"))))),IF(OR(I560="EO",I560="EQ"),IF(OR(X560="估算法",X560="算法类"),"中",IF(X560="无法识别","低",IF(L560&lt;2,IF(N560&lt;20,"低","中"),IF(L560&lt;4,IF(N560&lt;6,"低",IF(N560&lt;20,"中","高")),IF(N560&lt;6,"中","高"))))),IF(OR(I560="ILF",I560="EIF"),IF(OR(X560="估算法",X560="算法类",X560="无法识别"),"低",IF(M560&lt;2,IF(N560&lt;51,"低","中"),IF(M560&lt;6,IF(N560&lt;20,"低",IF(N560&lt;51,"中","高")),IF(N560&lt;20,"中","高")))),"不计算")))</f>
        <v/>
      </c>
      <c r="P560" s="142">
        <f>IFERROR(IF(I560="EI",IF(O560="低",3,IF(O560="中",4,6)),IF(I560="EO",IF(O560="低",4,IF(O560="中",5,7)),IF(I560="EQ",IF(O560="低",3,IF(O560="中",4,6)),IF(I560="ILF",IF(O560="低",7,IF(O560="中",10,15)),IF(I560="EIF",IF(O560="低",5,IF(O560="中",7,10)),"不计算")))))*Q560,"不计算")</f>
        <v/>
      </c>
      <c r="Q560" s="142" t="n">
        <v>1</v>
      </c>
      <c r="R560" s="143">
        <f>调整因子!$F$13</f>
        <v/>
      </c>
      <c r="S560" s="76" t="n">
        <v>1</v>
      </c>
      <c r="T560" s="144">
        <f>IFERROR(P560*R560,0)</f>
        <v/>
      </c>
      <c r="U560" s="144">
        <f>T560*S560</f>
        <v/>
      </c>
      <c r="V560" s="76" t="inlineStr">
        <is>
          <t>弱口令扫描进度获取响应数据表</t>
        </is>
      </c>
      <c r="W560" s="89" t="n"/>
      <c r="X560" s="76" t="inlineStr">
        <is>
          <t>弱口令扫描进度获取响应数据表{记录ID、记录时间、扫描任务ID、请求时间、响应耗时、进度信息、响应状态|}</t>
        </is>
      </c>
      <c r="Y560" s="88" t="n"/>
      <c r="Z560" s="88" t="n"/>
      <c r="AA560" s="70" t="n"/>
    </row>
    <row r="561" hidden="1" ht="21.6" customHeight="1">
      <c r="A561" s="69">
        <f>ROW()-1</f>
        <v/>
      </c>
      <c r="B561" s="53" t="n"/>
      <c r="C561" s="78" t="n">
        <v>2025</v>
      </c>
      <c r="D561" s="78" t="inlineStr">
        <is>
          <t>汤凤欣</t>
        </is>
      </c>
      <c r="E561" s="53" t="n"/>
      <c r="F561" s="53" t="n"/>
      <c r="G561" s="53" t="n"/>
      <c r="H561" s="81" t="inlineStr">
        <is>
          <t>记录漏洞扫描任务下发响应数据</t>
        </is>
      </c>
      <c r="I561" s="76" t="n"/>
      <c r="J561" s="108" t="n"/>
      <c r="K561" s="108" t="inlineStr">
        <is>
          <t>日志记录，非事务功能</t>
        </is>
      </c>
      <c r="L561" s="83">
        <f>IF(OR(X561="估算法",X561="算法类",X561="无法识别"),"",IF(V561="",IF(OR(I561="EI",I561="EO",I561="EQ"),0,""),LEN(V561)-LEN(SUBSTITUTE(V561,"、",""))+1))</f>
        <v/>
      </c>
      <c r="M561" s="83">
        <f>IF(OR(X561="估算法",X561="算法类",X561="无法识别"),"",IF(W561="",IF(OR(I561="ILF",I561="EIF"),0,""),LEN(W561)-LEN(SUBSTITUTE(W561,"、",""))+1))</f>
        <v/>
      </c>
      <c r="N561" s="83">
        <f>IF(OR(X561="估算法",X561="算法类",X561="无法识别"),"",IF(X561="",IF(OR(I561="ILF",I561="EIF",I561="EI",I561="EO",I561="EQ"),0,""),LEN(X561)-LEN(SUBSTITUTE(SUBSTITUTE(SUBSTITUTE(SUBSTITUTE(SUBSTITUTE(X561,"|}","--"),"{|","--"),CHAR(10),""),"、",""),"|",""))+IF(AND(OR(I561="EI",I561="EO",I561="EQ"),$AD$1="NESMA"),2,1)))</f>
        <v/>
      </c>
      <c r="O561" s="84">
        <f>IF(I561="EI",IF(OR(X561="估算法",X561="算法类"),"中",IF(X561="无法识别","低",IF(L561&lt;2,IF(N561&lt;16,"低","中"),IF(L561&lt;3,IF(N561&lt;5,"低",IF(N561&lt;16,"中","高")),IF(N561&lt;5,"中","高"))))),IF(OR(I561="EO",I561="EQ"),IF(OR(X561="估算法",X561="算法类"),"中",IF(X561="无法识别","低",IF(L561&lt;2,IF(N561&lt;20,"低","中"),IF(L561&lt;4,IF(N561&lt;6,"低",IF(N561&lt;20,"中","高")),IF(N561&lt;6,"中","高"))))),IF(OR(I561="ILF",I561="EIF"),IF(OR(X561="估算法",X561="算法类",X561="无法识别"),"低",IF(M561&lt;2,IF(N561&lt;51,"低","中"),IF(M561&lt;6,IF(N561&lt;20,"低",IF(N561&lt;51,"中","高")),IF(N561&lt;20,"中","高")))),"不计算")))</f>
        <v/>
      </c>
      <c r="P561" s="142">
        <f>IFERROR(IF(I561="EI",IF(O561="低",3,IF(O561="中",4,6)),IF(I561="EO",IF(O561="低",4,IF(O561="中",5,7)),IF(I561="EQ",IF(O561="低",3,IF(O561="中",4,6)),IF(I561="ILF",IF(O561="低",7,IF(O561="中",10,15)),IF(I561="EIF",IF(O561="低",5,IF(O561="中",7,10)),"不计算")))))*Q561,"不计算")</f>
        <v/>
      </c>
      <c r="Q561" s="142" t="n">
        <v>1</v>
      </c>
      <c r="R561" s="143">
        <f>调整因子!$F$13</f>
        <v/>
      </c>
      <c r="S561" s="70" t="n">
        <v>1</v>
      </c>
      <c r="T561" s="144">
        <f>IFERROR(P561*R561,0)</f>
        <v/>
      </c>
      <c r="U561" s="144">
        <f>T561*S561</f>
        <v/>
      </c>
      <c r="V561" s="76" t="inlineStr">
        <is>
          <t>漏洞扫描任务下发响应数据表</t>
        </is>
      </c>
      <c r="W561" s="89" t="n"/>
      <c r="X561" s="76" t="inlineStr">
        <is>
          <t>漏洞扫描任务下发响应数据表{记录ID、记录时间、漏洞扫描任务ID、下发时间、响应耗时、响应状态|}</t>
        </is>
      </c>
      <c r="Y561" s="88" t="n"/>
      <c r="Z561" s="88" t="n"/>
      <c r="AA561" s="101" t="n"/>
    </row>
    <row r="562" hidden="1" ht="21.6" customHeight="1">
      <c r="A562" s="69">
        <f>ROW()-1</f>
        <v/>
      </c>
      <c r="B562" s="53" t="n"/>
      <c r="C562" s="78" t="n">
        <v>2025</v>
      </c>
      <c r="D562" s="78" t="inlineStr">
        <is>
          <t>汤凤欣</t>
        </is>
      </c>
      <c r="E562" s="53" t="n"/>
      <c r="F562" s="53" t="n"/>
      <c r="G562" s="53" t="n"/>
      <c r="H562" s="81" t="inlineStr">
        <is>
          <t>记录漏洞扫描结果获取响应数据</t>
        </is>
      </c>
      <c r="I562" s="76" t="n"/>
      <c r="J562" s="108" t="n"/>
      <c r="K562" s="108" t="inlineStr">
        <is>
          <t>日志记录，非事务功能</t>
        </is>
      </c>
      <c r="L562" s="83">
        <f>IF(OR(X562="估算法",X562="算法类",X562="无法识别"),"",IF(V562="",IF(OR(I562="EI",I562="EO",I562="EQ"),0,""),LEN(V562)-LEN(SUBSTITUTE(V562,"、",""))+1))</f>
        <v/>
      </c>
      <c r="M562" s="83">
        <f>IF(OR(X562="估算法",X562="算法类",X562="无法识别"),"",IF(W562="",IF(OR(I562="ILF",I562="EIF"),0,""),LEN(W562)-LEN(SUBSTITUTE(W562,"、",""))+1))</f>
        <v/>
      </c>
      <c r="N562" s="83">
        <f>IF(OR(X562="估算法",X562="算法类",X562="无法识别"),"",IF(X562="",IF(OR(I562="ILF",I562="EIF",I562="EI",I562="EO",I562="EQ"),0,""),LEN(X562)-LEN(SUBSTITUTE(SUBSTITUTE(SUBSTITUTE(SUBSTITUTE(SUBSTITUTE(X562,"|}","--"),"{|","--"),CHAR(10),""),"、",""),"|",""))+IF(AND(OR(I562="EI",I562="EO",I562="EQ"),$AD$1="NESMA"),2,1)))</f>
        <v/>
      </c>
      <c r="O562" s="84">
        <f>IF(I562="EI",IF(OR(X562="估算法",X562="算法类"),"中",IF(X562="无法识别","低",IF(L562&lt;2,IF(N562&lt;16,"低","中"),IF(L562&lt;3,IF(N562&lt;5,"低",IF(N562&lt;16,"中","高")),IF(N562&lt;5,"中","高"))))),IF(OR(I562="EO",I562="EQ"),IF(OR(X562="估算法",X562="算法类"),"中",IF(X562="无法识别","低",IF(L562&lt;2,IF(N562&lt;20,"低","中"),IF(L562&lt;4,IF(N562&lt;6,"低",IF(N562&lt;20,"中","高")),IF(N562&lt;6,"中","高"))))),IF(OR(I562="ILF",I562="EIF"),IF(OR(X562="估算法",X562="算法类",X562="无法识别"),"低",IF(M562&lt;2,IF(N562&lt;51,"低","中"),IF(M562&lt;6,IF(N562&lt;20,"低",IF(N562&lt;51,"中","高")),IF(N562&lt;20,"中","高")))),"不计算")))</f>
        <v/>
      </c>
      <c r="P562" s="142">
        <f>IFERROR(IF(I562="EI",IF(O562="低",3,IF(O562="中",4,6)),IF(I562="EO",IF(O562="低",4,IF(O562="中",5,7)),IF(I562="EQ",IF(O562="低",3,IF(O562="中",4,6)),IF(I562="ILF",IF(O562="低",7,IF(O562="中",10,15)),IF(I562="EIF",IF(O562="低",5,IF(O562="中",7,10)),"不计算")))))*Q562,"不计算")</f>
        <v/>
      </c>
      <c r="Q562" s="142" t="n">
        <v>1</v>
      </c>
      <c r="R562" s="143">
        <f>调整因子!$F$13</f>
        <v/>
      </c>
      <c r="S562" s="70" t="n">
        <v>1</v>
      </c>
      <c r="T562" s="144">
        <f>IFERROR(P562*R562,0)</f>
        <v/>
      </c>
      <c r="U562" s="144">
        <f>T562*S562</f>
        <v/>
      </c>
      <c r="V562" s="76" t="inlineStr">
        <is>
          <t>漏洞扫描结果获取响应数据表</t>
        </is>
      </c>
      <c r="W562" s="89" t="n"/>
      <c r="X562" s="76" t="inlineStr">
        <is>
          <t>漏洞扫描结果获取响应数据表{记录ID、记录时间、漏洞扫描任务ID、下发时间、任务耗时、请求时间、响应耗时、响应状态、结果数量|}</t>
        </is>
      </c>
      <c r="Y562" s="88" t="n"/>
      <c r="Z562" s="88" t="n"/>
      <c r="AA562" s="70" t="n"/>
    </row>
    <row r="563" hidden="1" ht="21.6" customHeight="1">
      <c r="A563" s="69">
        <f>ROW()-1</f>
        <v/>
      </c>
      <c r="B563" s="53" t="n"/>
      <c r="C563" s="78" t="n">
        <v>2025</v>
      </c>
      <c r="D563" s="78" t="inlineStr">
        <is>
          <t>汤凤欣</t>
        </is>
      </c>
      <c r="E563" s="53" t="n"/>
      <c r="F563" s="53" t="n"/>
      <c r="G563" s="53" t="n"/>
      <c r="H563" s="81" t="inlineStr">
        <is>
          <t>记录漏洞扫描进度获取响应数据</t>
        </is>
      </c>
      <c r="I563" s="76" t="n"/>
      <c r="J563" s="108" t="n"/>
      <c r="K563" s="108" t="inlineStr">
        <is>
          <t>日志记录，非事务功能</t>
        </is>
      </c>
      <c r="L563" s="83">
        <f>IF(OR(X563="估算法",X563="算法类",X563="无法识别"),"",IF(V563="",IF(OR(I563="EI",I563="EO",I563="EQ"),0,""),LEN(V563)-LEN(SUBSTITUTE(V563,"、",""))+1))</f>
        <v/>
      </c>
      <c r="M563" s="83">
        <f>IF(OR(X563="估算法",X563="算法类",X563="无法识别"),"",IF(W563="",IF(OR(I563="ILF",I563="EIF"),0,""),LEN(W563)-LEN(SUBSTITUTE(W563,"、",""))+1))</f>
        <v/>
      </c>
      <c r="N563" s="83">
        <f>IF(OR(X563="估算法",X563="算法类",X563="无法识别"),"",IF(X563="",IF(OR(I563="ILF",I563="EIF",I563="EI",I563="EO",I563="EQ"),0,""),LEN(X563)-LEN(SUBSTITUTE(SUBSTITUTE(SUBSTITUTE(SUBSTITUTE(SUBSTITUTE(X563,"|}","--"),"{|","--"),CHAR(10),""),"、",""),"|",""))+IF(AND(OR(I563="EI",I563="EO",I563="EQ"),$AD$1="NESMA"),2,1)))</f>
        <v/>
      </c>
      <c r="O563" s="84">
        <f>IF(I563="EI",IF(OR(X563="估算法",X563="算法类"),"中",IF(X563="无法识别","低",IF(L563&lt;2,IF(N563&lt;16,"低","中"),IF(L563&lt;3,IF(N563&lt;5,"低",IF(N563&lt;16,"中","高")),IF(N563&lt;5,"中","高"))))),IF(OR(I563="EO",I563="EQ"),IF(OR(X563="估算法",X563="算法类"),"中",IF(X563="无法识别","低",IF(L563&lt;2,IF(N563&lt;20,"低","中"),IF(L563&lt;4,IF(N563&lt;6,"低",IF(N563&lt;20,"中","高")),IF(N563&lt;6,"中","高"))))),IF(OR(I563="ILF",I563="EIF"),IF(OR(X563="估算法",X563="算法类",X563="无法识别"),"低",IF(M563&lt;2,IF(N563&lt;51,"低","中"),IF(M563&lt;6,IF(N563&lt;20,"低",IF(N563&lt;51,"中","高")),IF(N563&lt;20,"中","高")))),"不计算")))</f>
        <v/>
      </c>
      <c r="P563" s="142">
        <f>IFERROR(IF(I563="EI",IF(O563="低",3,IF(O563="中",4,6)),IF(I563="EO",IF(O563="低",4,IF(O563="中",5,7)),IF(I563="EQ",IF(O563="低",3,IF(O563="中",4,6)),IF(I563="ILF",IF(O563="低",7,IF(O563="中",10,15)),IF(I563="EIF",IF(O563="低",5,IF(O563="中",7,10)),"不计算")))))*Q563,"不计算")</f>
        <v/>
      </c>
      <c r="Q563" s="142" t="n">
        <v>1</v>
      </c>
      <c r="R563" s="143">
        <f>调整因子!$F$13</f>
        <v/>
      </c>
      <c r="S563" s="76" t="n">
        <v>1</v>
      </c>
      <c r="T563" s="144">
        <f>IFERROR(P563*R563,0)</f>
        <v/>
      </c>
      <c r="U563" s="144">
        <f>T563*S563</f>
        <v/>
      </c>
      <c r="V563" s="76" t="inlineStr">
        <is>
          <t>漏洞扫描进度获取响应数据表</t>
        </is>
      </c>
      <c r="W563" s="89" t="n"/>
      <c r="X563" s="76" t="inlineStr">
        <is>
          <t>漏洞扫描进度获取响应数据表{记录ID、记录时间、漏洞扫描任务ID、请求时间、响应耗时、响应装填、进度信息、任务下发时间、扫描目标数量|}</t>
        </is>
      </c>
      <c r="Y563" s="88" t="n"/>
      <c r="Z563" s="88" t="n"/>
      <c r="AA563" s="101" t="n"/>
    </row>
    <row r="564" hidden="1" ht="21.6" customHeight="1">
      <c r="A564" s="69">
        <f>ROW()-1</f>
        <v/>
      </c>
      <c r="B564" s="53" t="n"/>
      <c r="C564" s="78" t="n">
        <v>2025</v>
      </c>
      <c r="D564" s="78" t="inlineStr">
        <is>
          <t>汤凤欣</t>
        </is>
      </c>
      <c r="E564" s="53" t="n"/>
      <c r="F564" s="53" t="n"/>
      <c r="G564" s="53" t="n"/>
      <c r="H564" s="81" t="inlineStr">
        <is>
          <t>记录漏洞预警任务下发响应数据</t>
        </is>
      </c>
      <c r="I564" s="76" t="n"/>
      <c r="J564" s="108" t="n"/>
      <c r="K564" s="108" t="inlineStr">
        <is>
          <t>日志记录，非事务功能</t>
        </is>
      </c>
      <c r="L564" s="83">
        <f>IF(OR(X564="估算法",X564="算法类",X564="无法识别"),"",IF(V564="",IF(OR(I564="EI",I564="EO",I564="EQ"),0,""),LEN(V564)-LEN(SUBSTITUTE(V564,"、",""))+1))</f>
        <v/>
      </c>
      <c r="M564" s="83">
        <f>IF(OR(X564="估算法",X564="算法类",X564="无法识别"),"",IF(W564="",IF(OR(I564="ILF",I564="EIF"),0,""),LEN(W564)-LEN(SUBSTITUTE(W564,"、",""))+1))</f>
        <v/>
      </c>
      <c r="N564" s="83">
        <f>IF(OR(X564="估算法",X564="算法类",X564="无法识别"),"",IF(X564="",IF(OR(I564="ILF",I564="EIF",I564="EI",I564="EO",I564="EQ"),0,""),LEN(X564)-LEN(SUBSTITUTE(SUBSTITUTE(SUBSTITUTE(SUBSTITUTE(SUBSTITUTE(X564,"|}","--"),"{|","--"),CHAR(10),""),"、",""),"|",""))+IF(AND(OR(I564="EI",I564="EO",I564="EQ"),$AD$1="NESMA"),2,1)))</f>
        <v/>
      </c>
      <c r="O564" s="84">
        <f>IF(I564="EI",IF(OR(X564="估算法",X564="算法类"),"中",IF(X564="无法识别","低",IF(L564&lt;2,IF(N564&lt;16,"低","中"),IF(L564&lt;3,IF(N564&lt;5,"低",IF(N564&lt;16,"中","高")),IF(N564&lt;5,"中","高"))))),IF(OR(I564="EO",I564="EQ"),IF(OR(X564="估算法",X564="算法类"),"中",IF(X564="无法识别","低",IF(L564&lt;2,IF(N564&lt;20,"低","中"),IF(L564&lt;4,IF(N564&lt;6,"低",IF(N564&lt;20,"中","高")),IF(N564&lt;6,"中","高"))))),IF(OR(I564="ILF",I564="EIF"),IF(OR(X564="估算法",X564="算法类",X564="无法识别"),"低",IF(M564&lt;2,IF(N564&lt;51,"低","中"),IF(M564&lt;6,IF(N564&lt;20,"低",IF(N564&lt;51,"中","高")),IF(N564&lt;20,"中","高")))),"不计算")))</f>
        <v/>
      </c>
      <c r="P564" s="142">
        <f>IFERROR(IF(I564="EI",IF(O564="低",3,IF(O564="中",4,6)),IF(I564="EO",IF(O564="低",4,IF(O564="中",5,7)),IF(I564="EQ",IF(O564="低",3,IF(O564="中",4,6)),IF(I564="ILF",IF(O564="低",7,IF(O564="中",10,15)),IF(I564="EIF",IF(O564="低",5,IF(O564="中",7,10)),"不计算")))))*Q564,"不计算")</f>
        <v/>
      </c>
      <c r="Q564" s="142" t="n">
        <v>1</v>
      </c>
      <c r="R564" s="143">
        <f>调整因子!$F$13</f>
        <v/>
      </c>
      <c r="S564" s="70" t="n">
        <v>1</v>
      </c>
      <c r="T564" s="144">
        <f>IFERROR(P564*R564,0)</f>
        <v/>
      </c>
      <c r="U564" s="144">
        <f>T564*S564</f>
        <v/>
      </c>
      <c r="V564" s="76" t="inlineStr">
        <is>
          <t>漏洞预警任务下发响应数据表</t>
        </is>
      </c>
      <c r="W564" s="89" t="n"/>
      <c r="X564" s="76" t="inlineStr">
        <is>
          <t>漏洞预警任务下发响应数据表{记录ID、记录时间、预警任务ID、请求时间、响应耗时、响应状态|}</t>
        </is>
      </c>
      <c r="Y564" s="88" t="n"/>
      <c r="Z564" s="88" t="n"/>
      <c r="AA564" s="70" t="n"/>
    </row>
    <row r="565" hidden="1" ht="21.6" customHeight="1">
      <c r="A565" s="69">
        <f>ROW()-1</f>
        <v/>
      </c>
      <c r="B565" s="53" t="n"/>
      <c r="C565" s="78" t="n">
        <v>2025</v>
      </c>
      <c r="D565" s="78" t="inlineStr">
        <is>
          <t>汤凤欣</t>
        </is>
      </c>
      <c r="E565" s="53" t="n"/>
      <c r="F565" s="53" t="n"/>
      <c r="G565" s="53" t="n"/>
      <c r="H565" s="81" t="inlineStr">
        <is>
          <t>记录漏洞预警任务结果获取响应数据</t>
        </is>
      </c>
      <c r="I565" s="76" t="n"/>
      <c r="J565" s="108" t="n"/>
      <c r="K565" s="108" t="inlineStr">
        <is>
          <t>日志记录，非事务功能</t>
        </is>
      </c>
      <c r="L565" s="83">
        <f>IF(OR(X565="估算法",X565="算法类",X565="无法识别"),"",IF(V565="",IF(OR(I565="EI",I565="EO",I565="EQ"),0,""),LEN(V565)-LEN(SUBSTITUTE(V565,"、",""))+1))</f>
        <v/>
      </c>
      <c r="M565" s="83">
        <f>IF(OR(X565="估算法",X565="算法类",X565="无法识别"),"",IF(W565="",IF(OR(I565="ILF",I565="EIF"),0,""),LEN(W565)-LEN(SUBSTITUTE(W565,"、",""))+1))</f>
        <v/>
      </c>
      <c r="N565" s="83">
        <f>IF(OR(X565="估算法",X565="算法类",X565="无法识别"),"",IF(X565="",IF(OR(I565="ILF",I565="EIF",I565="EI",I565="EO",I565="EQ"),0,""),LEN(X565)-LEN(SUBSTITUTE(SUBSTITUTE(SUBSTITUTE(SUBSTITUTE(SUBSTITUTE(X565,"|}","--"),"{|","--"),CHAR(10),""),"、",""),"|",""))+IF(AND(OR(I565="EI",I565="EO",I565="EQ"),$AD$1="NESMA"),2,1)))</f>
        <v/>
      </c>
      <c r="O565" s="84">
        <f>IF(I565="EI",IF(OR(X565="估算法",X565="算法类"),"中",IF(X565="无法识别","低",IF(L565&lt;2,IF(N565&lt;16,"低","中"),IF(L565&lt;3,IF(N565&lt;5,"低",IF(N565&lt;16,"中","高")),IF(N565&lt;5,"中","高"))))),IF(OR(I565="EO",I565="EQ"),IF(OR(X565="估算法",X565="算法类"),"中",IF(X565="无法识别","低",IF(L565&lt;2,IF(N565&lt;20,"低","中"),IF(L565&lt;4,IF(N565&lt;6,"低",IF(N565&lt;20,"中","高")),IF(N565&lt;6,"中","高"))))),IF(OR(I565="ILF",I565="EIF"),IF(OR(X565="估算法",X565="算法类",X565="无法识别"),"低",IF(M565&lt;2,IF(N565&lt;51,"低","中"),IF(M565&lt;6,IF(N565&lt;20,"低",IF(N565&lt;51,"中","高")),IF(N565&lt;20,"中","高")))),"不计算")))</f>
        <v/>
      </c>
      <c r="P565" s="142">
        <f>IFERROR(IF(I565="EI",IF(O565="低",3,IF(O565="中",4,6)),IF(I565="EO",IF(O565="低",4,IF(O565="中",5,7)),IF(I565="EQ",IF(O565="低",3,IF(O565="中",4,6)),IF(I565="ILF",IF(O565="低",7,IF(O565="中",10,15)),IF(I565="EIF",IF(O565="低",5,IF(O565="中",7,10)),"不计算")))))*Q565,"不计算")</f>
        <v/>
      </c>
      <c r="Q565" s="142" t="n">
        <v>1</v>
      </c>
      <c r="R565" s="143">
        <f>调整因子!$F$13</f>
        <v/>
      </c>
      <c r="S565" s="70" t="n">
        <v>1</v>
      </c>
      <c r="T565" s="144">
        <f>IFERROR(P565*R565,0)</f>
        <v/>
      </c>
      <c r="U565" s="144">
        <f>T565*S565</f>
        <v/>
      </c>
      <c r="V565" s="76" t="inlineStr">
        <is>
          <t>漏洞预警任务结果获取响应数据表</t>
        </is>
      </c>
      <c r="W565" s="89" t="n"/>
      <c r="X565" s="76" t="inlineStr">
        <is>
          <t>漏洞预警任务结果获取响应数据表{记录ID、记录时间、预警任务ID、请求时间、响应耗时、结果数量、下发时间|}</t>
        </is>
      </c>
      <c r="Y565" s="88" t="n"/>
      <c r="Z565" s="88" t="n"/>
      <c r="AA565" s="101" t="n"/>
    </row>
    <row r="566" hidden="1" ht="21.6" customHeight="1">
      <c r="A566" s="69">
        <f>ROW()-1</f>
        <v/>
      </c>
      <c r="B566" s="53" t="n"/>
      <c r="C566" s="78" t="n">
        <v>2025</v>
      </c>
      <c r="D566" s="78" t="inlineStr">
        <is>
          <t>汤凤欣</t>
        </is>
      </c>
      <c r="E566" s="53" t="n"/>
      <c r="F566" s="53" t="n"/>
      <c r="G566" s="53" t="n"/>
      <c r="H566" s="81" t="inlineStr">
        <is>
          <t>记录漏洞预警任务进度获取响应数据</t>
        </is>
      </c>
      <c r="I566" s="76" t="n"/>
      <c r="J566" s="108" t="n"/>
      <c r="K566" s="108" t="inlineStr">
        <is>
          <t>日志记录，非事务功能</t>
        </is>
      </c>
      <c r="L566" s="83">
        <f>IF(OR(X566="估算法",X566="算法类",X566="无法识别"),"",IF(V566="",IF(OR(I566="EI",I566="EO",I566="EQ"),0,""),LEN(V566)-LEN(SUBSTITUTE(V566,"、",""))+1))</f>
        <v/>
      </c>
      <c r="M566" s="83">
        <f>IF(OR(X566="估算法",X566="算法类",X566="无法识别"),"",IF(W566="",IF(OR(I566="ILF",I566="EIF"),0,""),LEN(W566)-LEN(SUBSTITUTE(W566,"、",""))+1))</f>
        <v/>
      </c>
      <c r="N566" s="83">
        <f>IF(OR(X566="估算法",X566="算法类",X566="无法识别"),"",IF(X566="",IF(OR(I566="ILF",I566="EIF",I566="EI",I566="EO",I566="EQ"),0,""),LEN(X566)-LEN(SUBSTITUTE(SUBSTITUTE(SUBSTITUTE(SUBSTITUTE(SUBSTITUTE(X566,"|}","--"),"{|","--"),CHAR(10),""),"、",""),"|",""))+IF(AND(OR(I566="EI",I566="EO",I566="EQ"),$AD$1="NESMA"),2,1)))</f>
        <v/>
      </c>
      <c r="O566" s="84">
        <f>IF(I566="EI",IF(OR(X566="估算法",X566="算法类"),"中",IF(X566="无法识别","低",IF(L566&lt;2,IF(N566&lt;16,"低","中"),IF(L566&lt;3,IF(N566&lt;5,"低",IF(N566&lt;16,"中","高")),IF(N566&lt;5,"中","高"))))),IF(OR(I566="EO",I566="EQ"),IF(OR(X566="估算法",X566="算法类"),"中",IF(X566="无法识别","低",IF(L566&lt;2,IF(N566&lt;20,"低","中"),IF(L566&lt;4,IF(N566&lt;6,"低",IF(N566&lt;20,"中","高")),IF(N566&lt;6,"中","高"))))),IF(OR(I566="ILF",I566="EIF"),IF(OR(X566="估算法",X566="算法类",X566="无法识别"),"低",IF(M566&lt;2,IF(N566&lt;51,"低","中"),IF(M566&lt;6,IF(N566&lt;20,"低",IF(N566&lt;51,"中","高")),IF(N566&lt;20,"中","高")))),"不计算")))</f>
        <v/>
      </c>
      <c r="P566" s="142">
        <f>IFERROR(IF(I566="EI",IF(O566="低",3,IF(O566="中",4,6)),IF(I566="EO",IF(O566="低",4,IF(O566="中",5,7)),IF(I566="EQ",IF(O566="低",3,IF(O566="中",4,6)),IF(I566="ILF",IF(O566="低",7,IF(O566="中",10,15)),IF(I566="EIF",IF(O566="低",5,IF(O566="中",7,10)),"不计算")))))*Q566,"不计算")</f>
        <v/>
      </c>
      <c r="Q566" s="142" t="n">
        <v>1</v>
      </c>
      <c r="R566" s="143">
        <f>调整因子!$F$13</f>
        <v/>
      </c>
      <c r="S566" s="76" t="n">
        <v>1</v>
      </c>
      <c r="T566" s="144">
        <f>IFERROR(P566*R566,0)</f>
        <v/>
      </c>
      <c r="U566" s="144">
        <f>T566*S566</f>
        <v/>
      </c>
      <c r="V566" s="76" t="inlineStr">
        <is>
          <t>漏洞预警任务进度获取响应数据表</t>
        </is>
      </c>
      <c r="W566" s="89" t="n"/>
      <c r="X566" s="76" t="inlineStr">
        <is>
          <t>漏洞预警任务进度获取响应数据表{记录ID、记录时间、预警任务ID、进度获取请求时间、响应耗时、进度信息、响应状态|}</t>
        </is>
      </c>
      <c r="Y566" s="88" t="n"/>
      <c r="Z566" s="88" t="n"/>
      <c r="AA566" s="70" t="n"/>
    </row>
    <row r="567" hidden="1" ht="21.6" customHeight="1">
      <c r="A567" s="69">
        <f>ROW()-1</f>
        <v/>
      </c>
      <c r="B567" s="53" t="n"/>
      <c r="C567" s="78" t="n">
        <v>2025</v>
      </c>
      <c r="D567" s="78" t="inlineStr">
        <is>
          <t>汤凤欣</t>
        </is>
      </c>
      <c r="E567" s="53" t="n"/>
      <c r="F567" s="53" t="n"/>
      <c r="G567" s="53" t="n"/>
      <c r="H567" s="81" t="inlineStr">
        <is>
          <t>记录防护策略下发响应数据</t>
        </is>
      </c>
      <c r="I567" s="76" t="n"/>
      <c r="J567" s="108" t="n"/>
      <c r="K567" s="108" t="inlineStr">
        <is>
          <t>日志记录，非事务功能</t>
        </is>
      </c>
      <c r="L567" s="83">
        <f>IF(OR(X567="估算法",X567="算法类",X567="无法识别"),"",IF(V567="",IF(OR(I567="EI",I567="EO",I567="EQ"),0,""),LEN(V567)-LEN(SUBSTITUTE(V567,"、",""))+1))</f>
        <v/>
      </c>
      <c r="M567" s="83">
        <f>IF(OR(X567="估算法",X567="算法类",X567="无法识别"),"",IF(W567="",IF(OR(I567="ILF",I567="EIF"),0,""),LEN(W567)-LEN(SUBSTITUTE(W567,"、",""))+1))</f>
        <v/>
      </c>
      <c r="N567" s="83">
        <f>IF(OR(X567="估算法",X567="算法类",X567="无法识别"),"",IF(X567="",IF(OR(I567="ILF",I567="EIF",I567="EI",I567="EO",I567="EQ"),0,""),LEN(X567)-LEN(SUBSTITUTE(SUBSTITUTE(SUBSTITUTE(SUBSTITUTE(SUBSTITUTE(X567,"|}","--"),"{|","--"),CHAR(10),""),"、",""),"|",""))+IF(AND(OR(I567="EI",I567="EO",I567="EQ"),$AD$1="NESMA"),2,1)))</f>
        <v/>
      </c>
      <c r="O567" s="84">
        <f>IF(I567="EI",IF(OR(X567="估算法",X567="算法类"),"中",IF(X567="无法识别","低",IF(L567&lt;2,IF(N567&lt;16,"低","中"),IF(L567&lt;3,IF(N567&lt;5,"低",IF(N567&lt;16,"中","高")),IF(N567&lt;5,"中","高"))))),IF(OR(I567="EO",I567="EQ"),IF(OR(X567="估算法",X567="算法类"),"中",IF(X567="无法识别","低",IF(L567&lt;2,IF(N567&lt;20,"低","中"),IF(L567&lt;4,IF(N567&lt;6,"低",IF(N567&lt;20,"中","高")),IF(N567&lt;6,"中","高"))))),IF(OR(I567="ILF",I567="EIF"),IF(OR(X567="估算法",X567="算法类",X567="无法识别"),"低",IF(M567&lt;2,IF(N567&lt;51,"低","中"),IF(M567&lt;6,IF(N567&lt;20,"低",IF(N567&lt;51,"中","高")),IF(N567&lt;20,"中","高")))),"不计算")))</f>
        <v/>
      </c>
      <c r="P567" s="142">
        <f>IFERROR(IF(I567="EI",IF(O567="低",3,IF(O567="中",4,6)),IF(I567="EO",IF(O567="低",4,IF(O567="中",5,7)),IF(I567="EQ",IF(O567="低",3,IF(O567="中",4,6)),IF(I567="ILF",IF(O567="低",7,IF(O567="中",10,15)),IF(I567="EIF",IF(O567="低",5,IF(O567="中",7,10)),"不计算")))))*Q567,"不计算")</f>
        <v/>
      </c>
      <c r="Q567" s="142" t="n">
        <v>1</v>
      </c>
      <c r="R567" s="143">
        <f>调整因子!$F$13</f>
        <v/>
      </c>
      <c r="S567" s="70" t="n">
        <v>1</v>
      </c>
      <c r="T567" s="144">
        <f>IFERROR(P567*R567,0)</f>
        <v/>
      </c>
      <c r="U567" s="144">
        <f>T567*S567</f>
        <v/>
      </c>
      <c r="V567" s="76" t="inlineStr">
        <is>
          <t>防护策略下发响应数据表</t>
        </is>
      </c>
      <c r="W567" s="89" t="n"/>
      <c r="X567" s="76" t="inlineStr">
        <is>
          <t>防护策略下发响应数据表{记录ID、记录时间、相应状态、下发时间、响应耗时、响应状态|}</t>
        </is>
      </c>
      <c r="Y567" s="88" t="n"/>
      <c r="Z567" s="88" t="n"/>
      <c r="AA567" s="101" t="n"/>
    </row>
    <row r="568" hidden="1" ht="151.2" customHeight="1">
      <c r="A568" s="69">
        <f>ROW()-1</f>
        <v/>
      </c>
      <c r="B568" s="53" t="n"/>
      <c r="C568" s="78" t="n">
        <v>2025</v>
      </c>
      <c r="D568" s="78" t="inlineStr">
        <is>
          <t>汤凤欣</t>
        </is>
      </c>
      <c r="E568" s="53" t="n"/>
      <c r="F568" s="53" t="n"/>
      <c r="G568" s="53" t="n"/>
      <c r="H568" s="81" t="inlineStr">
        <is>
          <t>产品漏洞验证响应数据表</t>
        </is>
      </c>
      <c r="I568" s="76" t="inlineStr">
        <is>
          <t>ILF</t>
        </is>
      </c>
      <c r="J568" s="108" t="n"/>
      <c r="K568" s="108" t="inlineStr">
        <is>
          <t>数据库表未被本系统所维护</t>
        </is>
      </c>
      <c r="L568" s="83">
        <f>IF(OR(X568="估算法",X568="算法类",X568="无法识别"),"",IF(V568="",IF(OR(I568="EI",I568="EO",I568="EQ"),0,""),LEN(V568)-LEN(SUBSTITUTE(V568,"、",""))+1))</f>
        <v/>
      </c>
      <c r="M568" s="83">
        <f>IF(OR(X568="估算法",X568="算法类",X568="无法识别"),"",IF(W568="",IF(OR(I568="ILF",I568="EIF"),0,""),LEN(W568)-LEN(SUBSTITUTE(W568,"、",""))+1))</f>
        <v/>
      </c>
      <c r="N568" s="83">
        <f>IF(OR(X568="估算法",X568="算法类",X568="无法识别"),"",IF(X568="",IF(OR(I568="ILF",I568="EIF",I568="EI",I568="EO",I568="EQ"),0,""),LEN(X568)-LEN(SUBSTITUTE(SUBSTITUTE(SUBSTITUTE(SUBSTITUTE(SUBSTITUTE(X568,"|}","--"),"{|","--"),CHAR(10),""),"、",""),"|",""))+IF(AND(OR(I568="EI",I568="EO",I568="EQ"),$AD$1="NESMA"),2,1)))</f>
        <v/>
      </c>
      <c r="O568" s="84">
        <f>IF(I568="EI",IF(OR(X568="估算法",X568="算法类"),"中",IF(X568="无法识别","低",IF(L568&lt;2,IF(N568&lt;16,"低","中"),IF(L568&lt;3,IF(N568&lt;5,"低",IF(N568&lt;16,"中","高")),IF(N568&lt;5,"中","高"))))),IF(OR(I568="EO",I568="EQ"),IF(OR(X568="估算法",X568="算法类"),"中",IF(X568="无法识别","低",IF(L568&lt;2,IF(N568&lt;20,"低","中"),IF(L568&lt;4,IF(N568&lt;6,"低",IF(N568&lt;20,"中","高")),IF(N568&lt;6,"中","高"))))),IF(OR(I568="ILF",I568="EIF"),IF(OR(X568="估算法",X568="算法类",X568="无法识别"),"低",IF(M568&lt;2,IF(N568&lt;51,"低","中"),IF(M568&lt;6,IF(N568&lt;20,"低",IF(N568&lt;51,"中","高")),IF(N568&lt;20,"中","高")))),"不计算")))</f>
        <v/>
      </c>
      <c r="P568" s="142">
        <f>IFERROR(IF(I568="EI",IF(O568="低",3,IF(O568="中",4,6)),IF(I568="EO",IF(O568="低",4,IF(O568="中",5,7)),IF(I568="EQ",IF(O568="低",3,IF(O568="中",4,6)),IF(I568="ILF",IF(O568="低",7,IF(O568="中",10,15)),IF(I568="EIF",IF(O568="低",5,IF(O568="中",7,10)),"不计算")))))*Q568,"不计算")</f>
        <v/>
      </c>
      <c r="Q568" s="142" t="n">
        <v>0</v>
      </c>
      <c r="R568" s="143">
        <f>调整因子!$F$13</f>
        <v/>
      </c>
      <c r="S568" s="70" t="n">
        <v>1</v>
      </c>
      <c r="T568" s="144">
        <f>IFERROR(P568*R568,0)</f>
        <v/>
      </c>
      <c r="U568" s="144">
        <f>T568*S568</f>
        <v/>
      </c>
      <c r="V568" s="89" t="n"/>
      <c r="W568" s="76"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结果获取响应数据表、漏洞扫描进度获取响应数据表、漏洞预警任务下发响应数据表、漏洞预警任务结果获取响应数据表、漏洞预警任务进度获取响应数据表、防护策略下发响应数据表</t>
        </is>
      </c>
      <c r="X568" s="76" t="inlineStr">
        <is>
          <t>记录ID、记录时间、角色编码、处置人信息、所属部门、处置人部门、源角色、源角色编码、处置漏洞总数、目标状态、到达状态数量分布、工单处置结果、工单说明、事务序号、产品漏洞范围数量、资产范围数量、实际处置资产数量、未排查原因、未排查资产数量分布、处置到达目标状态系统漏洞实例数、台账日志数、弱口令任务ID、下发时间、响应耗时、响应状态、扫描结果数量、扫描任务ID、任务下发时间、进度信息、请求时间、漏洞扫描任务ID、任务耗时、结果数量、响应装填、扫描目标数量、预警任务ID、进度获取请求时间、相应状态</t>
        </is>
      </c>
      <c r="Y568" s="88">
        <f>IF(COUNTIFS(V:V,"*"&amp;H568&amp;"*")&gt;0,"存在","不存在")</f>
        <v/>
      </c>
      <c r="Z568" s="88">
        <f>IF(COUNTIFS(AA:AA,"*"&amp;H568&amp;"*")&gt;0,"存在","不存在")</f>
        <v/>
      </c>
      <c r="AA568" s="70" t="n"/>
    </row>
    <row r="569" hidden="1" ht="43.2" customHeight="1">
      <c r="A569" s="69">
        <f>ROW()-1</f>
        <v/>
      </c>
      <c r="B569" s="53" t="n"/>
      <c r="C569" s="78" t="n">
        <v>2025</v>
      </c>
      <c r="D569" s="78" t="inlineStr">
        <is>
          <t>汤凤欣</t>
        </is>
      </c>
      <c r="E569" s="53" t="n"/>
      <c r="F569" s="53" t="n"/>
      <c r="G569" s="53" t="n"/>
      <c r="H569" s="81" t="inlineStr">
        <is>
          <t>修复工单回传响应数据表</t>
        </is>
      </c>
      <c r="I569" s="76" t="inlineStr">
        <is>
          <t>ILF</t>
        </is>
      </c>
      <c r="J569" s="108" t="n"/>
      <c r="K569" s="108" t="inlineStr">
        <is>
          <t>数据库表未被本系统所维护</t>
        </is>
      </c>
      <c r="L569" s="83">
        <f>IF(OR(X569="估算法",X569="算法类",X569="无法识别"),"",IF(V569="",IF(OR(I569="EI",I569="EO",I569="EQ"),0,""),LEN(V569)-LEN(SUBSTITUTE(V569,"、",""))+1))</f>
        <v/>
      </c>
      <c r="M569" s="83">
        <f>IF(OR(X569="估算法",X569="算法类",X569="无法识别"),"",IF(W569="",IF(OR(I569="ILF",I569="EIF"),0,""),LEN(W569)-LEN(SUBSTITUTE(W569,"、",""))+1))</f>
        <v/>
      </c>
      <c r="N569" s="83">
        <f>IF(OR(X569="估算法",X569="算法类",X569="无法识别"),"",IF(X569="",IF(OR(I569="ILF",I569="EIF",I569="EI",I569="EO",I569="EQ"),0,""),LEN(X569)-LEN(SUBSTITUTE(SUBSTITUTE(SUBSTITUTE(SUBSTITUTE(SUBSTITUTE(X569,"|}","--"),"{|","--"),CHAR(10),""),"、",""),"|",""))+IF(AND(OR(I569="EI",I569="EO",I569="EQ"),$AD$1="NESMA"),2,1)))</f>
        <v/>
      </c>
      <c r="O569" s="84">
        <f>IF(I569="EI",IF(OR(X569="估算法",X569="算法类"),"中",IF(X569="无法识别","低",IF(L569&lt;2,IF(N569&lt;16,"低","中"),IF(L569&lt;3,IF(N569&lt;5,"低",IF(N569&lt;16,"中","高")),IF(N569&lt;5,"中","高"))))),IF(OR(I569="EO",I569="EQ"),IF(OR(X569="估算法",X569="算法类"),"中",IF(X569="无法识别","低",IF(L569&lt;2,IF(N569&lt;20,"低","中"),IF(L569&lt;4,IF(N569&lt;6,"低",IF(N569&lt;20,"中","高")),IF(N569&lt;6,"中","高"))))),IF(OR(I569="ILF",I569="EIF"),IF(OR(X569="估算法",X569="算法类",X569="无法识别"),"低",IF(M569&lt;2,IF(N569&lt;51,"低","中"),IF(M569&lt;6,IF(N569&lt;20,"低",IF(N569&lt;51,"中","高")),IF(N569&lt;20,"中","高")))),"不计算")))</f>
        <v/>
      </c>
      <c r="P569" s="142">
        <f>IFERROR(IF(I569="EI",IF(O569="低",3,IF(O569="中",4,6)),IF(I569="EO",IF(O569="低",4,IF(O569="中",5,7)),IF(I569="EQ",IF(O569="低",3,IF(O569="中",4,6)),IF(I569="ILF",IF(O569="低",7,IF(O569="中",10,15)),IF(I569="EIF",IF(O569="低",5,IF(O569="中",7,10)),"不计算")))))*Q569,"不计算")</f>
        <v/>
      </c>
      <c r="Q569" s="142" t="n">
        <v>0</v>
      </c>
      <c r="R569" s="143">
        <f>调整因子!$F$13</f>
        <v/>
      </c>
      <c r="S569" s="76" t="n">
        <v>1</v>
      </c>
      <c r="T569" s="144">
        <f>IFERROR(P569*R569,0)</f>
        <v/>
      </c>
      <c r="U569" s="144">
        <f>T569*S569</f>
        <v/>
      </c>
      <c r="V569" s="89" t="n"/>
      <c r="W569" s="76" t="inlineStr">
        <is>
          <t>修复工单回传响应数据表</t>
        </is>
      </c>
      <c r="X569" s="76" t="inlineStr">
        <is>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Y569" s="88">
        <f>IF(COUNTIFS(V:V,"*"&amp;H569&amp;"*")&gt;0,"存在","不存在")</f>
        <v/>
      </c>
      <c r="Z569" s="88">
        <f>IF(COUNTIFS(AA:AA,"*"&amp;H569&amp;"*")&gt;0,"存在","不存在")</f>
        <v/>
      </c>
      <c r="AA569" s="101" t="n"/>
    </row>
    <row r="570" hidden="1" ht="43.2" customHeight="1">
      <c r="A570" s="69">
        <f>ROW()-1</f>
        <v/>
      </c>
      <c r="B570" s="53" t="n"/>
      <c r="C570" s="78" t="n">
        <v>2025</v>
      </c>
      <c r="D570" s="78" t="inlineStr">
        <is>
          <t>汤凤欣</t>
        </is>
      </c>
      <c r="E570" s="53" t="n"/>
      <c r="F570" s="53" t="n"/>
      <c r="G570" s="53" t="n"/>
      <c r="H570" s="81" t="inlineStr">
        <is>
          <t>修复工单指派响应数据表</t>
        </is>
      </c>
      <c r="I570" s="76" t="inlineStr">
        <is>
          <t>ILF</t>
        </is>
      </c>
      <c r="J570" s="108" t="n"/>
      <c r="K570" s="108" t="inlineStr">
        <is>
          <t>数据库表未被本系统所维护</t>
        </is>
      </c>
      <c r="L570" s="83">
        <f>IF(OR(X570="估算法",X570="算法类",X570="无法识别"),"",IF(V570="",IF(OR(I570="EI",I570="EO",I570="EQ"),0,""),LEN(V570)-LEN(SUBSTITUTE(V570,"、",""))+1))</f>
        <v/>
      </c>
      <c r="M570" s="83">
        <f>IF(OR(X570="估算法",X570="算法类",X570="无法识别"),"",IF(W570="",IF(OR(I570="ILF",I570="EIF"),0,""),LEN(W570)-LEN(SUBSTITUTE(W570,"、",""))+1))</f>
        <v/>
      </c>
      <c r="N570" s="83">
        <f>IF(OR(X570="估算法",X570="算法类",X570="无法识别"),"",IF(X570="",IF(OR(I570="ILF",I570="EIF",I570="EI",I570="EO",I570="EQ"),0,""),LEN(X570)-LEN(SUBSTITUTE(SUBSTITUTE(SUBSTITUTE(SUBSTITUTE(SUBSTITUTE(X570,"|}","--"),"{|","--"),CHAR(10),""),"、",""),"|",""))+IF(AND(OR(I570="EI",I570="EO",I570="EQ"),$AD$1="NESMA"),2,1)))</f>
        <v/>
      </c>
      <c r="O570" s="84">
        <f>IF(I570="EI",IF(OR(X570="估算法",X570="算法类"),"中",IF(X570="无法识别","低",IF(L570&lt;2,IF(N570&lt;16,"低","中"),IF(L570&lt;3,IF(N570&lt;5,"低",IF(N570&lt;16,"中","高")),IF(N570&lt;5,"中","高"))))),IF(OR(I570="EO",I570="EQ"),IF(OR(X570="估算法",X570="算法类"),"中",IF(X570="无法识别","低",IF(L570&lt;2,IF(N570&lt;20,"低","中"),IF(L570&lt;4,IF(N570&lt;6,"低",IF(N570&lt;20,"中","高")),IF(N570&lt;6,"中","高"))))),IF(OR(I570="ILF",I570="EIF"),IF(OR(X570="估算法",X570="算法类",X570="无法识别"),"低",IF(M570&lt;2,IF(N570&lt;51,"低","中"),IF(M570&lt;6,IF(N570&lt;20,"低",IF(N570&lt;51,"中","高")),IF(N570&lt;20,"中","高")))),"不计算")))</f>
        <v/>
      </c>
      <c r="P570" s="142">
        <f>IFERROR(IF(I570="EI",IF(O570="低",3,IF(O570="中",4,6)),IF(I570="EO",IF(O570="低",4,IF(O570="中",5,7)),IF(I570="EQ",IF(O570="低",3,IF(O570="中",4,6)),IF(I570="ILF",IF(O570="低",7,IF(O570="中",10,15)),IF(I570="EIF",IF(O570="低",5,IF(O570="中",7,10)),"不计算")))))*Q570,"不计算")</f>
        <v/>
      </c>
      <c r="Q570" s="142" t="n">
        <v>0</v>
      </c>
      <c r="R570" s="143">
        <f>调整因子!$F$13</f>
        <v/>
      </c>
      <c r="S570" s="70" t="n">
        <v>1</v>
      </c>
      <c r="T570" s="144">
        <f>IFERROR(P570*R570,0)</f>
        <v/>
      </c>
      <c r="U570" s="144">
        <f>T570*S570</f>
        <v/>
      </c>
      <c r="V570" s="89" t="n"/>
      <c r="W570" s="76" t="inlineStr">
        <is>
          <t>修复工单指派响应数据表</t>
        </is>
      </c>
      <c r="X570" s="76" t="inlineStr">
        <is>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Y570" s="88">
        <f>IF(COUNTIFS(V:V,"*"&amp;H570&amp;"*")&gt;0,"存在","不存在")</f>
        <v/>
      </c>
      <c r="Z570" s="88">
        <f>IF(COUNTIFS(AA:AA,"*"&amp;H570&amp;"*")&gt;0,"存在","不存在")</f>
        <v/>
      </c>
      <c r="AA570" s="70" t="n"/>
    </row>
    <row r="571" hidden="1" ht="21.6" customHeight="1">
      <c r="A571" s="69">
        <f>ROW()-1</f>
        <v/>
      </c>
      <c r="B571" s="53" t="n"/>
      <c r="C571" s="78" t="n">
        <v>2025</v>
      </c>
      <c r="D571" s="78" t="inlineStr">
        <is>
          <t>汤凤欣</t>
        </is>
      </c>
      <c r="E571" s="53" t="n"/>
      <c r="F571" s="53" t="n"/>
      <c r="G571" s="53" t="n"/>
      <c r="H571" s="81" t="inlineStr">
        <is>
          <t>弱口令扫描任务下发响应数据表</t>
        </is>
      </c>
      <c r="I571" s="76" t="inlineStr">
        <is>
          <t>ILF</t>
        </is>
      </c>
      <c r="J571" s="108" t="n"/>
      <c r="K571" s="108" t="inlineStr">
        <is>
          <t>数据库表未被本系统所维护</t>
        </is>
      </c>
      <c r="L571" s="83">
        <f>IF(OR(X571="估算法",X571="算法类",X571="无法识别"),"",IF(V571="",IF(OR(I571="EI",I571="EO",I571="EQ"),0,""),LEN(V571)-LEN(SUBSTITUTE(V571,"、",""))+1))</f>
        <v/>
      </c>
      <c r="M571" s="83">
        <f>IF(OR(X571="估算法",X571="算法类",X571="无法识别"),"",IF(W571="",IF(OR(I571="ILF",I571="EIF"),0,""),LEN(W571)-LEN(SUBSTITUTE(W571,"、",""))+1))</f>
        <v/>
      </c>
      <c r="N571" s="83">
        <f>IF(OR(X571="估算法",X571="算法类",X571="无法识别"),"",IF(X571="",IF(OR(I571="ILF",I571="EIF",I571="EI",I571="EO",I571="EQ"),0,""),LEN(X571)-LEN(SUBSTITUTE(SUBSTITUTE(SUBSTITUTE(SUBSTITUTE(SUBSTITUTE(X571,"|}","--"),"{|","--"),CHAR(10),""),"、",""),"|",""))+IF(AND(OR(I571="EI",I571="EO",I571="EQ"),$AD$1="NESMA"),2,1)))</f>
        <v/>
      </c>
      <c r="O571" s="84">
        <f>IF(I571="EI",IF(OR(X571="估算法",X571="算法类"),"中",IF(X571="无法识别","低",IF(L571&lt;2,IF(N571&lt;16,"低","中"),IF(L571&lt;3,IF(N571&lt;5,"低",IF(N571&lt;16,"中","高")),IF(N571&lt;5,"中","高"))))),IF(OR(I571="EO",I571="EQ"),IF(OR(X571="估算法",X571="算法类"),"中",IF(X571="无法识别","低",IF(L571&lt;2,IF(N571&lt;20,"低","中"),IF(L571&lt;4,IF(N571&lt;6,"低",IF(N571&lt;20,"中","高")),IF(N571&lt;6,"中","高"))))),IF(OR(I571="ILF",I571="EIF"),IF(OR(X571="估算法",X571="算法类",X571="无法识别"),"低",IF(M571&lt;2,IF(N571&lt;51,"低","中"),IF(M571&lt;6,IF(N571&lt;20,"低",IF(N571&lt;51,"中","高")),IF(N571&lt;20,"中","高")))),"不计算")))</f>
        <v/>
      </c>
      <c r="P571" s="142">
        <f>IFERROR(IF(I571="EI",IF(O571="低",3,IF(O571="中",4,6)),IF(I571="EO",IF(O571="低",4,IF(O571="中",5,7)),IF(I571="EQ",IF(O571="低",3,IF(O571="中",4,6)),IF(I571="ILF",IF(O571="低",7,IF(O571="中",10,15)),IF(I571="EIF",IF(O571="低",5,IF(O571="中",7,10)),"不计算")))))*Q571,"不计算")</f>
        <v/>
      </c>
      <c r="Q571" s="142" t="n">
        <v>0</v>
      </c>
      <c r="R571" s="143">
        <f>调整因子!$F$13</f>
        <v/>
      </c>
      <c r="S571" s="70" t="n">
        <v>1</v>
      </c>
      <c r="T571" s="144">
        <f>IFERROR(P571*R571,0)</f>
        <v/>
      </c>
      <c r="U571" s="144">
        <f>T571*S571</f>
        <v/>
      </c>
      <c r="V571" s="89" t="n"/>
      <c r="W571" s="76" t="inlineStr">
        <is>
          <t>弱口令扫描任务下发响应数据表</t>
        </is>
      </c>
      <c r="X571" s="76" t="inlineStr">
        <is>
          <t>弱口令扫描任务下发响应数据表{记录ID、记录时间、弱口令任务ID、下发时间、响应耗时、响应状态|}</t>
        </is>
      </c>
      <c r="Y571" s="88">
        <f>IF(COUNTIFS(V:V,"*"&amp;H571&amp;"*")&gt;0,"存在","不存在")</f>
        <v/>
      </c>
      <c r="Z571" s="88">
        <f>IF(COUNTIFS(AA:AA,"*"&amp;H571&amp;"*")&gt;0,"存在","不存在")</f>
        <v/>
      </c>
      <c r="AA571" s="101" t="n"/>
    </row>
    <row r="572" hidden="1" ht="21.6" customHeight="1">
      <c r="A572" s="69">
        <f>ROW()-1</f>
        <v/>
      </c>
      <c r="B572" s="53" t="n"/>
      <c r="C572" s="78" t="n">
        <v>2025</v>
      </c>
      <c r="D572" s="78" t="inlineStr">
        <is>
          <t>汤凤欣</t>
        </is>
      </c>
      <c r="E572" s="53" t="n"/>
      <c r="F572" s="53" t="n"/>
      <c r="G572" s="53" t="n"/>
      <c r="H572" s="81" t="inlineStr">
        <is>
          <t>弱口令扫描结果获取响应数据表</t>
        </is>
      </c>
      <c r="I572" s="76" t="inlineStr">
        <is>
          <t>ILF</t>
        </is>
      </c>
      <c r="J572" s="108" t="n"/>
      <c r="K572" s="108" t="inlineStr">
        <is>
          <t>数据库表未被本系统所维护</t>
        </is>
      </c>
      <c r="L572" s="83">
        <f>IF(OR(X572="估算法",X572="算法类",X572="无法识别"),"",IF(V572="",IF(OR(I572="EI",I572="EO",I572="EQ"),0,""),LEN(V572)-LEN(SUBSTITUTE(V572,"、",""))+1))</f>
        <v/>
      </c>
      <c r="M572" s="83">
        <f>IF(OR(X572="估算法",X572="算法类",X572="无法识别"),"",IF(W572="",IF(OR(I572="ILF",I572="EIF"),0,""),LEN(W572)-LEN(SUBSTITUTE(W572,"、",""))+1))</f>
        <v/>
      </c>
      <c r="N572" s="83">
        <f>IF(OR(X572="估算法",X572="算法类",X572="无法识别"),"",IF(X572="",IF(OR(I572="ILF",I572="EIF",I572="EI",I572="EO",I572="EQ"),0,""),LEN(X572)-LEN(SUBSTITUTE(SUBSTITUTE(SUBSTITUTE(SUBSTITUTE(SUBSTITUTE(X572,"|}","--"),"{|","--"),CHAR(10),""),"、",""),"|",""))+IF(AND(OR(I572="EI",I572="EO",I572="EQ"),$AD$1="NESMA"),2,1)))</f>
        <v/>
      </c>
      <c r="O572" s="84">
        <f>IF(I572="EI",IF(OR(X572="估算法",X572="算法类"),"中",IF(X572="无法识别","低",IF(L572&lt;2,IF(N572&lt;16,"低","中"),IF(L572&lt;3,IF(N572&lt;5,"低",IF(N572&lt;16,"中","高")),IF(N572&lt;5,"中","高"))))),IF(OR(I572="EO",I572="EQ"),IF(OR(X572="估算法",X572="算法类"),"中",IF(X572="无法识别","低",IF(L572&lt;2,IF(N572&lt;20,"低","中"),IF(L572&lt;4,IF(N572&lt;6,"低",IF(N572&lt;20,"中","高")),IF(N572&lt;6,"中","高"))))),IF(OR(I572="ILF",I572="EIF"),IF(OR(X572="估算法",X572="算法类",X572="无法识别"),"低",IF(M572&lt;2,IF(N572&lt;51,"低","中"),IF(M572&lt;6,IF(N572&lt;20,"低",IF(N572&lt;51,"中","高")),IF(N572&lt;20,"中","高")))),"不计算")))</f>
        <v/>
      </c>
      <c r="P572" s="142">
        <f>IFERROR(IF(I572="EI",IF(O572="低",3,IF(O572="中",4,6)),IF(I572="EO",IF(O572="低",4,IF(O572="中",5,7)),IF(I572="EQ",IF(O572="低",3,IF(O572="中",4,6)),IF(I572="ILF",IF(O572="低",7,IF(O572="中",10,15)),IF(I572="EIF",IF(O572="低",5,IF(O572="中",7,10)),"不计算")))))*Q572,"不计算")</f>
        <v/>
      </c>
      <c r="Q572" s="142" t="n">
        <v>0</v>
      </c>
      <c r="R572" s="143">
        <f>调整因子!$F$13</f>
        <v/>
      </c>
      <c r="S572" s="76" t="n">
        <v>1</v>
      </c>
      <c r="T572" s="144">
        <f>IFERROR(P572*R572,0)</f>
        <v/>
      </c>
      <c r="U572" s="144">
        <f>T572*S572</f>
        <v/>
      </c>
      <c r="V572" s="89" t="n"/>
      <c r="W572" s="76" t="inlineStr">
        <is>
          <t>弱口令扫描结果获取响应数据表</t>
        </is>
      </c>
      <c r="X572" s="76" t="inlineStr">
        <is>
          <t>弱口令扫描结果获取响应数据表{记录ID、记录时间、响应耗时、扫描结果数量、扫描任务ID、任务下发时间、响应状态|}</t>
        </is>
      </c>
      <c r="Y572" s="88">
        <f>IF(COUNTIFS(V:V,"*"&amp;H572&amp;"*")&gt;0,"存在","不存在")</f>
        <v/>
      </c>
      <c r="Z572" s="88">
        <f>IF(COUNTIFS(AA:AA,"*"&amp;H572&amp;"*")&gt;0,"存在","不存在")</f>
        <v/>
      </c>
      <c r="AA572" s="70" t="n"/>
    </row>
    <row r="573" hidden="1" ht="21.6" customHeight="1">
      <c r="A573" s="69">
        <f>ROW()-1</f>
        <v/>
      </c>
      <c r="B573" s="53" t="n"/>
      <c r="C573" s="78" t="n">
        <v>2025</v>
      </c>
      <c r="D573" s="78" t="inlineStr">
        <is>
          <t>汤凤欣</t>
        </is>
      </c>
      <c r="E573" s="53" t="n"/>
      <c r="F573" s="53" t="n"/>
      <c r="G573" s="53" t="n"/>
      <c r="H573" s="81" t="inlineStr">
        <is>
          <t>弱口令扫描进度获取响应数据表</t>
        </is>
      </c>
      <c r="I573" s="76" t="inlineStr">
        <is>
          <t>ILF</t>
        </is>
      </c>
      <c r="J573" s="108" t="n"/>
      <c r="K573" s="108" t="inlineStr">
        <is>
          <t>数据库表未被本系统所维护</t>
        </is>
      </c>
      <c r="L573" s="83">
        <f>IF(OR(X573="估算法",X573="算法类",X573="无法识别"),"",IF(V573="",IF(OR(I573="EI",I573="EO",I573="EQ"),0,""),LEN(V573)-LEN(SUBSTITUTE(V573,"、",""))+1))</f>
        <v/>
      </c>
      <c r="M573" s="83">
        <f>IF(OR(X573="估算法",X573="算法类",X573="无法识别"),"",IF(W573="",IF(OR(I573="ILF",I573="EIF"),0,""),LEN(W573)-LEN(SUBSTITUTE(W573,"、",""))+1))</f>
        <v/>
      </c>
      <c r="N573" s="83">
        <f>IF(OR(X573="估算法",X573="算法类",X573="无法识别"),"",IF(X573="",IF(OR(I573="ILF",I573="EIF",I573="EI",I573="EO",I573="EQ"),0,""),LEN(X573)-LEN(SUBSTITUTE(SUBSTITUTE(SUBSTITUTE(SUBSTITUTE(SUBSTITUTE(X573,"|}","--"),"{|","--"),CHAR(10),""),"、",""),"|",""))+IF(AND(OR(I573="EI",I573="EO",I573="EQ"),$AD$1="NESMA"),2,1)))</f>
        <v/>
      </c>
      <c r="O573" s="84">
        <f>IF(I573="EI",IF(OR(X573="估算法",X573="算法类"),"中",IF(X573="无法识别","低",IF(L573&lt;2,IF(N573&lt;16,"低","中"),IF(L573&lt;3,IF(N573&lt;5,"低",IF(N573&lt;16,"中","高")),IF(N573&lt;5,"中","高"))))),IF(OR(I573="EO",I573="EQ"),IF(OR(X573="估算法",X573="算法类"),"中",IF(X573="无法识别","低",IF(L573&lt;2,IF(N573&lt;20,"低","中"),IF(L573&lt;4,IF(N573&lt;6,"低",IF(N573&lt;20,"中","高")),IF(N573&lt;6,"中","高"))))),IF(OR(I573="ILF",I573="EIF"),IF(OR(X573="估算法",X573="算法类",X573="无法识别"),"低",IF(M573&lt;2,IF(N573&lt;51,"低","中"),IF(M573&lt;6,IF(N573&lt;20,"低",IF(N573&lt;51,"中","高")),IF(N573&lt;20,"中","高")))),"不计算")))</f>
        <v/>
      </c>
      <c r="P573" s="142">
        <f>IFERROR(IF(I573="EI",IF(O573="低",3,IF(O573="中",4,6)),IF(I573="EO",IF(O573="低",4,IF(O573="中",5,7)),IF(I573="EQ",IF(O573="低",3,IF(O573="中",4,6)),IF(I573="ILF",IF(O573="低",7,IF(O573="中",10,15)),IF(I573="EIF",IF(O573="低",5,IF(O573="中",7,10)),"不计算")))))*Q573,"不计算")</f>
        <v/>
      </c>
      <c r="Q573" s="142" t="n">
        <v>0</v>
      </c>
      <c r="R573" s="143">
        <f>调整因子!$F$13</f>
        <v/>
      </c>
      <c r="S573" s="70" t="n">
        <v>1</v>
      </c>
      <c r="T573" s="144">
        <f>IFERROR(P573*R573,0)</f>
        <v/>
      </c>
      <c r="U573" s="144">
        <f>T573*S573</f>
        <v/>
      </c>
      <c r="V573" s="89" t="n"/>
      <c r="W573" s="76" t="inlineStr">
        <is>
          <t>弱口令扫描进度获取响应数据表</t>
        </is>
      </c>
      <c r="X573" s="76" t="inlineStr">
        <is>
          <t>弱口令扫描进度获取响应数据表{记录ID、记录时间、扫描任务ID、请求时间、响应耗时、进度信息、响应状态|}</t>
        </is>
      </c>
      <c r="Y573" s="88">
        <f>IF(COUNTIFS(V:V,"*"&amp;H573&amp;"*")&gt;0,"存在","不存在")</f>
        <v/>
      </c>
      <c r="Z573" s="88">
        <f>IF(COUNTIFS(AA:AA,"*"&amp;H573&amp;"*")&gt;0,"存在","不存在")</f>
        <v/>
      </c>
      <c r="AA573" s="101" t="n"/>
    </row>
    <row r="574" hidden="1" ht="21.6" customHeight="1">
      <c r="A574" s="69">
        <f>ROW()-1</f>
        <v/>
      </c>
      <c r="B574" s="53" t="n"/>
      <c r="C574" s="78" t="n">
        <v>2025</v>
      </c>
      <c r="D574" s="78" t="inlineStr">
        <is>
          <t>汤凤欣</t>
        </is>
      </c>
      <c r="E574" s="53" t="n"/>
      <c r="F574" s="53" t="n"/>
      <c r="G574" s="53" t="n"/>
      <c r="H574" s="81" t="inlineStr">
        <is>
          <t>漏洞扫描任务下发响应数据表</t>
        </is>
      </c>
      <c r="I574" s="76" t="inlineStr">
        <is>
          <t>ILF</t>
        </is>
      </c>
      <c r="J574" s="108" t="n"/>
      <c r="K574" s="108" t="inlineStr">
        <is>
          <t>数据库表未被本系统所维护</t>
        </is>
      </c>
      <c r="L574" s="83">
        <f>IF(OR(X574="估算法",X574="算法类",X574="无法识别"),"",IF(V574="",IF(OR(I574="EI",I574="EO",I574="EQ"),0,""),LEN(V574)-LEN(SUBSTITUTE(V574,"、",""))+1))</f>
        <v/>
      </c>
      <c r="M574" s="83">
        <f>IF(OR(X574="估算法",X574="算法类",X574="无法识别"),"",IF(W574="",IF(OR(I574="ILF",I574="EIF"),0,""),LEN(W574)-LEN(SUBSTITUTE(W574,"、",""))+1))</f>
        <v/>
      </c>
      <c r="N574" s="83">
        <f>IF(OR(X574="估算法",X574="算法类",X574="无法识别"),"",IF(X574="",IF(OR(I574="ILF",I574="EIF",I574="EI",I574="EO",I574="EQ"),0,""),LEN(X574)-LEN(SUBSTITUTE(SUBSTITUTE(SUBSTITUTE(SUBSTITUTE(SUBSTITUTE(X574,"|}","--"),"{|","--"),CHAR(10),""),"、",""),"|",""))+IF(AND(OR(I574="EI",I574="EO",I574="EQ"),$AD$1="NESMA"),2,1)))</f>
        <v/>
      </c>
      <c r="O574" s="84">
        <f>IF(I574="EI",IF(OR(X574="估算法",X574="算法类"),"中",IF(X574="无法识别","低",IF(L574&lt;2,IF(N574&lt;16,"低","中"),IF(L574&lt;3,IF(N574&lt;5,"低",IF(N574&lt;16,"中","高")),IF(N574&lt;5,"中","高"))))),IF(OR(I574="EO",I574="EQ"),IF(OR(X574="估算法",X574="算法类"),"中",IF(X574="无法识别","低",IF(L574&lt;2,IF(N574&lt;20,"低","中"),IF(L574&lt;4,IF(N574&lt;6,"低",IF(N574&lt;20,"中","高")),IF(N574&lt;6,"中","高"))))),IF(OR(I574="ILF",I574="EIF"),IF(OR(X574="估算法",X574="算法类",X574="无法识别"),"低",IF(M574&lt;2,IF(N574&lt;51,"低","中"),IF(M574&lt;6,IF(N574&lt;20,"低",IF(N574&lt;51,"中","高")),IF(N574&lt;20,"中","高")))),"不计算")))</f>
        <v/>
      </c>
      <c r="P574" s="142">
        <f>IFERROR(IF(I574="EI",IF(O574="低",3,IF(O574="中",4,6)),IF(I574="EO",IF(O574="低",4,IF(O574="中",5,7)),IF(I574="EQ",IF(O574="低",3,IF(O574="中",4,6)),IF(I574="ILF",IF(O574="低",7,IF(O574="中",10,15)),IF(I574="EIF",IF(O574="低",5,IF(O574="中",7,10)),"不计算")))))*Q574,"不计算")</f>
        <v/>
      </c>
      <c r="Q574" s="142" t="n">
        <v>0</v>
      </c>
      <c r="R574" s="143">
        <f>调整因子!$F$13</f>
        <v/>
      </c>
      <c r="S574" s="70" t="n">
        <v>1</v>
      </c>
      <c r="T574" s="144">
        <f>IFERROR(P574*R574,0)</f>
        <v/>
      </c>
      <c r="U574" s="144">
        <f>T574*S574</f>
        <v/>
      </c>
      <c r="V574" s="89" t="n"/>
      <c r="W574" s="76" t="inlineStr">
        <is>
          <t>漏洞扫描任务下发响应数据表</t>
        </is>
      </c>
      <c r="X574" s="76" t="inlineStr">
        <is>
          <t>漏洞扫描任务下发响应数据表{记录ID、记录时间、漏洞扫描任务ID、下发时间、响应耗时、响应状态|}</t>
        </is>
      </c>
      <c r="Y574" s="88">
        <f>IF(COUNTIFS(V:V,"*"&amp;H574&amp;"*")&gt;0,"存在","不存在")</f>
        <v/>
      </c>
      <c r="Z574" s="88">
        <f>IF(COUNTIFS(AA:AA,"*"&amp;H574&amp;"*")&gt;0,"存在","不存在")</f>
        <v/>
      </c>
      <c r="AA574" s="70" t="n"/>
    </row>
    <row r="575" hidden="1" ht="21.6" customHeight="1">
      <c r="A575" s="69">
        <f>ROW()-1</f>
        <v/>
      </c>
      <c r="B575" s="53" t="n"/>
      <c r="C575" s="78" t="n">
        <v>2025</v>
      </c>
      <c r="D575" s="78" t="inlineStr">
        <is>
          <t>汤凤欣</t>
        </is>
      </c>
      <c r="E575" s="53" t="n"/>
      <c r="F575" s="53" t="n"/>
      <c r="G575" s="53" t="n"/>
      <c r="H575" s="81" t="inlineStr">
        <is>
          <t>漏洞扫描结果获取响应数据表</t>
        </is>
      </c>
      <c r="I575" s="76" t="inlineStr">
        <is>
          <t>ILF</t>
        </is>
      </c>
      <c r="J575" s="108" t="n"/>
      <c r="K575" s="108" t="inlineStr">
        <is>
          <t>数据库表未被本系统所维护</t>
        </is>
      </c>
      <c r="L575" s="83">
        <f>IF(OR(X575="估算法",X575="算法类",X575="无法识别"),"",IF(V575="",IF(OR(I575="EI",I575="EO",I575="EQ"),0,""),LEN(V575)-LEN(SUBSTITUTE(V575,"、",""))+1))</f>
        <v/>
      </c>
      <c r="M575" s="83">
        <f>IF(OR(X575="估算法",X575="算法类",X575="无法识别"),"",IF(W575="",IF(OR(I575="ILF",I575="EIF"),0,""),LEN(W575)-LEN(SUBSTITUTE(W575,"、",""))+1))</f>
        <v/>
      </c>
      <c r="N575" s="83">
        <f>IF(OR(X575="估算法",X575="算法类",X575="无法识别"),"",IF(X575="",IF(OR(I575="ILF",I575="EIF",I575="EI",I575="EO",I575="EQ"),0,""),LEN(X575)-LEN(SUBSTITUTE(SUBSTITUTE(SUBSTITUTE(SUBSTITUTE(SUBSTITUTE(X575,"|}","--"),"{|","--"),CHAR(10),""),"、",""),"|",""))+IF(AND(OR(I575="EI",I575="EO",I575="EQ"),$AD$1="NESMA"),2,1)))</f>
        <v/>
      </c>
      <c r="O575" s="84">
        <f>IF(I575="EI",IF(OR(X575="估算法",X575="算法类"),"中",IF(X575="无法识别","低",IF(L575&lt;2,IF(N575&lt;16,"低","中"),IF(L575&lt;3,IF(N575&lt;5,"低",IF(N575&lt;16,"中","高")),IF(N575&lt;5,"中","高"))))),IF(OR(I575="EO",I575="EQ"),IF(OR(X575="估算法",X575="算法类"),"中",IF(X575="无法识别","低",IF(L575&lt;2,IF(N575&lt;20,"低","中"),IF(L575&lt;4,IF(N575&lt;6,"低",IF(N575&lt;20,"中","高")),IF(N575&lt;6,"中","高"))))),IF(OR(I575="ILF",I575="EIF"),IF(OR(X575="估算法",X575="算法类",X575="无法识别"),"低",IF(M575&lt;2,IF(N575&lt;51,"低","中"),IF(M575&lt;6,IF(N575&lt;20,"低",IF(N575&lt;51,"中","高")),IF(N575&lt;20,"中","高")))),"不计算")))</f>
        <v/>
      </c>
      <c r="P575" s="142">
        <f>IFERROR(IF(I575="EI",IF(O575="低",3,IF(O575="中",4,6)),IF(I575="EO",IF(O575="低",4,IF(O575="中",5,7)),IF(I575="EQ",IF(O575="低",3,IF(O575="中",4,6)),IF(I575="ILF",IF(O575="低",7,IF(O575="中",10,15)),IF(I575="EIF",IF(O575="低",5,IF(O575="中",7,10)),"不计算")))))*Q575,"不计算")</f>
        <v/>
      </c>
      <c r="Q575" s="142" t="n">
        <v>0</v>
      </c>
      <c r="R575" s="143">
        <f>调整因子!$F$13</f>
        <v/>
      </c>
      <c r="S575" s="76" t="n">
        <v>1</v>
      </c>
      <c r="T575" s="144">
        <f>IFERROR(P575*R575,0)</f>
        <v/>
      </c>
      <c r="U575" s="144">
        <f>T575*S575</f>
        <v/>
      </c>
      <c r="V575" s="89" t="n"/>
      <c r="W575" s="76" t="inlineStr">
        <is>
          <t>漏洞扫描结果获取响应数据表</t>
        </is>
      </c>
      <c r="X575" s="76" t="inlineStr">
        <is>
          <t>漏洞扫描结果获取响应数据表{记录ID、记录时间、漏洞扫描任务ID、下发时间、任务耗时、请求时间、响应耗时、响应状态、结果数量|}</t>
        </is>
      </c>
      <c r="Y575" s="88">
        <f>IF(COUNTIFS(V:V,"*"&amp;H575&amp;"*")&gt;0,"存在","不存在")</f>
        <v/>
      </c>
      <c r="Z575" s="88">
        <f>IF(COUNTIFS(AA:AA,"*"&amp;H575&amp;"*")&gt;0,"存在","不存在")</f>
        <v/>
      </c>
      <c r="AA575" s="101" t="n"/>
    </row>
    <row r="576" hidden="1" ht="21.6" customHeight="1">
      <c r="A576" s="69">
        <f>ROW()-1</f>
        <v/>
      </c>
      <c r="B576" s="53" t="n"/>
      <c r="C576" s="78" t="n">
        <v>2025</v>
      </c>
      <c r="D576" s="78" t="inlineStr">
        <is>
          <t>汤凤欣</t>
        </is>
      </c>
      <c r="E576" s="53" t="n"/>
      <c r="F576" s="53" t="n"/>
      <c r="G576" s="53" t="n"/>
      <c r="H576" s="81" t="inlineStr">
        <is>
          <t>漏洞扫描进度获取响应数据表</t>
        </is>
      </c>
      <c r="I576" s="76" t="inlineStr">
        <is>
          <t>ILF</t>
        </is>
      </c>
      <c r="J576" s="108" t="n"/>
      <c r="K576" s="108" t="inlineStr">
        <is>
          <t>数据库表未被本系统所维护</t>
        </is>
      </c>
      <c r="L576" s="83">
        <f>IF(OR(X576="估算法",X576="算法类",X576="无法识别"),"",IF(V576="",IF(OR(I576="EI",I576="EO",I576="EQ"),0,""),LEN(V576)-LEN(SUBSTITUTE(V576,"、",""))+1))</f>
        <v/>
      </c>
      <c r="M576" s="83">
        <f>IF(OR(X576="估算法",X576="算法类",X576="无法识别"),"",IF(W576="",IF(OR(I576="ILF",I576="EIF"),0,""),LEN(W576)-LEN(SUBSTITUTE(W576,"、",""))+1))</f>
        <v/>
      </c>
      <c r="N576" s="83">
        <f>IF(OR(X576="估算法",X576="算法类",X576="无法识别"),"",IF(X576="",IF(OR(I576="ILF",I576="EIF",I576="EI",I576="EO",I576="EQ"),0,""),LEN(X576)-LEN(SUBSTITUTE(SUBSTITUTE(SUBSTITUTE(SUBSTITUTE(SUBSTITUTE(X576,"|}","--"),"{|","--"),CHAR(10),""),"、",""),"|",""))+IF(AND(OR(I576="EI",I576="EO",I576="EQ"),$AD$1="NESMA"),2,1)))</f>
        <v/>
      </c>
      <c r="O576" s="84">
        <f>IF(I576="EI",IF(OR(X576="估算法",X576="算法类"),"中",IF(X576="无法识别","低",IF(L576&lt;2,IF(N576&lt;16,"低","中"),IF(L576&lt;3,IF(N576&lt;5,"低",IF(N576&lt;16,"中","高")),IF(N576&lt;5,"中","高"))))),IF(OR(I576="EO",I576="EQ"),IF(OR(X576="估算法",X576="算法类"),"中",IF(X576="无法识别","低",IF(L576&lt;2,IF(N576&lt;20,"低","中"),IF(L576&lt;4,IF(N576&lt;6,"低",IF(N576&lt;20,"中","高")),IF(N576&lt;6,"中","高"))))),IF(OR(I576="ILF",I576="EIF"),IF(OR(X576="估算法",X576="算法类",X576="无法识别"),"低",IF(M576&lt;2,IF(N576&lt;51,"低","中"),IF(M576&lt;6,IF(N576&lt;20,"低",IF(N576&lt;51,"中","高")),IF(N576&lt;20,"中","高")))),"不计算")))</f>
        <v/>
      </c>
      <c r="P576" s="142">
        <f>IFERROR(IF(I576="EI",IF(O576="低",3,IF(O576="中",4,6)),IF(I576="EO",IF(O576="低",4,IF(O576="中",5,7)),IF(I576="EQ",IF(O576="低",3,IF(O576="中",4,6)),IF(I576="ILF",IF(O576="低",7,IF(O576="中",10,15)),IF(I576="EIF",IF(O576="低",5,IF(O576="中",7,10)),"不计算")))))*Q576,"不计算")</f>
        <v/>
      </c>
      <c r="Q576" s="142" t="n">
        <v>0</v>
      </c>
      <c r="R576" s="143">
        <f>调整因子!$F$13</f>
        <v/>
      </c>
      <c r="S576" s="70" t="n">
        <v>1</v>
      </c>
      <c r="T576" s="144">
        <f>IFERROR(P576*R576,0)</f>
        <v/>
      </c>
      <c r="U576" s="144">
        <f>T576*S576</f>
        <v/>
      </c>
      <c r="V576" s="89" t="n"/>
      <c r="W576" s="76" t="inlineStr">
        <is>
          <t>漏洞扫描进度获取响应数据表</t>
        </is>
      </c>
      <c r="X576" s="76" t="inlineStr">
        <is>
          <t>漏洞扫描进度获取响应数据表{记录ID、记录时间、漏洞扫描任务ID、请求时间、响应耗时、响应装填、进度信息、任务下发时间、扫描目标数量|}</t>
        </is>
      </c>
      <c r="Y576" s="88">
        <f>IF(COUNTIFS(V:V,"*"&amp;H576&amp;"*")&gt;0,"存在","不存在")</f>
        <v/>
      </c>
      <c r="Z576" s="88">
        <f>IF(COUNTIFS(AA:AA,"*"&amp;H576&amp;"*")&gt;0,"存在","不存在")</f>
        <v/>
      </c>
      <c r="AA576" s="70" t="n"/>
    </row>
    <row r="577" hidden="1" ht="21.6" customHeight="1">
      <c r="A577" s="69">
        <f>ROW()-1</f>
        <v/>
      </c>
      <c r="B577" s="53" t="n"/>
      <c r="C577" s="78" t="n">
        <v>2025</v>
      </c>
      <c r="D577" s="78" t="inlineStr">
        <is>
          <t>汤凤欣</t>
        </is>
      </c>
      <c r="E577" s="53" t="n"/>
      <c r="F577" s="53" t="n"/>
      <c r="G577" s="53" t="n"/>
      <c r="H577" s="81" t="inlineStr">
        <is>
          <t>漏洞预警任务下发响应数据表</t>
        </is>
      </c>
      <c r="I577" s="76" t="inlineStr">
        <is>
          <t>ILF</t>
        </is>
      </c>
      <c r="J577" s="108" t="n"/>
      <c r="K577" s="108" t="inlineStr">
        <is>
          <t>数据库表未被本系统所维护</t>
        </is>
      </c>
      <c r="L577" s="83">
        <f>IF(OR(X577="估算法",X577="算法类",X577="无法识别"),"",IF(V577="",IF(OR(I577="EI",I577="EO",I577="EQ"),0,""),LEN(V577)-LEN(SUBSTITUTE(V577,"、",""))+1))</f>
        <v/>
      </c>
      <c r="M577" s="83">
        <f>IF(OR(X577="估算法",X577="算法类",X577="无法识别"),"",IF(W577="",IF(OR(I577="ILF",I577="EIF"),0,""),LEN(W577)-LEN(SUBSTITUTE(W577,"、",""))+1))</f>
        <v/>
      </c>
      <c r="N577" s="83">
        <f>IF(OR(X577="估算法",X577="算法类",X577="无法识别"),"",IF(X577="",IF(OR(I577="ILF",I577="EIF",I577="EI",I577="EO",I577="EQ"),0,""),LEN(X577)-LEN(SUBSTITUTE(SUBSTITUTE(SUBSTITUTE(SUBSTITUTE(SUBSTITUTE(X577,"|}","--"),"{|","--"),CHAR(10),""),"、",""),"|",""))+IF(AND(OR(I577="EI",I577="EO",I577="EQ"),$AD$1="NESMA"),2,1)))</f>
        <v/>
      </c>
      <c r="O577" s="84">
        <f>IF(I577="EI",IF(OR(X577="估算法",X577="算法类"),"中",IF(X577="无法识别","低",IF(L577&lt;2,IF(N577&lt;16,"低","中"),IF(L577&lt;3,IF(N577&lt;5,"低",IF(N577&lt;16,"中","高")),IF(N577&lt;5,"中","高"))))),IF(OR(I577="EO",I577="EQ"),IF(OR(X577="估算法",X577="算法类"),"中",IF(X577="无法识别","低",IF(L577&lt;2,IF(N577&lt;20,"低","中"),IF(L577&lt;4,IF(N577&lt;6,"低",IF(N577&lt;20,"中","高")),IF(N577&lt;6,"中","高"))))),IF(OR(I577="ILF",I577="EIF"),IF(OR(X577="估算法",X577="算法类",X577="无法识别"),"低",IF(M577&lt;2,IF(N577&lt;51,"低","中"),IF(M577&lt;6,IF(N577&lt;20,"低",IF(N577&lt;51,"中","高")),IF(N577&lt;20,"中","高")))),"不计算")))</f>
        <v/>
      </c>
      <c r="P577" s="142">
        <f>IFERROR(IF(I577="EI",IF(O577="低",3,IF(O577="中",4,6)),IF(I577="EO",IF(O577="低",4,IF(O577="中",5,7)),IF(I577="EQ",IF(O577="低",3,IF(O577="中",4,6)),IF(I577="ILF",IF(O577="低",7,IF(O577="中",10,15)),IF(I577="EIF",IF(O577="低",5,IF(O577="中",7,10)),"不计算")))))*Q577,"不计算")</f>
        <v/>
      </c>
      <c r="Q577" s="142" t="n">
        <v>0</v>
      </c>
      <c r="R577" s="143">
        <f>调整因子!$F$13</f>
        <v/>
      </c>
      <c r="S577" s="70" t="n">
        <v>1</v>
      </c>
      <c r="T577" s="144">
        <f>IFERROR(P577*R577,0)</f>
        <v/>
      </c>
      <c r="U577" s="144">
        <f>T577*S577</f>
        <v/>
      </c>
      <c r="V577" s="89" t="n"/>
      <c r="W577" s="76" t="inlineStr">
        <is>
          <t>漏洞预警任务下发响应数据表</t>
        </is>
      </c>
      <c r="X577" s="76" t="inlineStr">
        <is>
          <t>漏洞预警任务下发响应数据表{记录ID、记录时间、预警任务ID、请求时间、响应耗时、响应状态|}</t>
        </is>
      </c>
      <c r="Y577" s="88">
        <f>IF(COUNTIFS(V:V,"*"&amp;H577&amp;"*")&gt;0,"存在","不存在")</f>
        <v/>
      </c>
      <c r="Z577" s="88">
        <f>IF(COUNTIFS(AA:AA,"*"&amp;H577&amp;"*")&gt;0,"存在","不存在")</f>
        <v/>
      </c>
      <c r="AA577" s="101" t="n"/>
    </row>
    <row r="578" hidden="1" ht="21.6" customHeight="1">
      <c r="A578" s="69">
        <f>ROW()-1</f>
        <v/>
      </c>
      <c r="B578" s="53" t="n"/>
      <c r="C578" s="78" t="n">
        <v>2025</v>
      </c>
      <c r="D578" s="78" t="inlineStr">
        <is>
          <t>汤凤欣</t>
        </is>
      </c>
      <c r="E578" s="53" t="n"/>
      <c r="F578" s="53" t="n"/>
      <c r="G578" s="53" t="n"/>
      <c r="H578" s="81" t="inlineStr">
        <is>
          <t>漏洞预警任务结果获取响应数据表</t>
        </is>
      </c>
      <c r="I578" s="76" t="inlineStr">
        <is>
          <t>ILF</t>
        </is>
      </c>
      <c r="J578" s="108" t="n"/>
      <c r="K578" s="108" t="inlineStr">
        <is>
          <t>数据库表未被本系统所维护</t>
        </is>
      </c>
      <c r="L578" s="83">
        <f>IF(OR(X578="估算法",X578="算法类",X578="无法识别"),"",IF(V578="",IF(OR(I578="EI",I578="EO",I578="EQ"),0,""),LEN(V578)-LEN(SUBSTITUTE(V578,"、",""))+1))</f>
        <v/>
      </c>
      <c r="M578" s="83">
        <f>IF(OR(X578="估算法",X578="算法类",X578="无法识别"),"",IF(W578="",IF(OR(I578="ILF",I578="EIF"),0,""),LEN(W578)-LEN(SUBSTITUTE(W578,"、",""))+1))</f>
        <v/>
      </c>
      <c r="N578" s="83">
        <f>IF(OR(X578="估算法",X578="算法类",X578="无法识别"),"",IF(X578="",IF(OR(I578="ILF",I578="EIF",I578="EI",I578="EO",I578="EQ"),0,""),LEN(X578)-LEN(SUBSTITUTE(SUBSTITUTE(SUBSTITUTE(SUBSTITUTE(SUBSTITUTE(X578,"|}","--"),"{|","--"),CHAR(10),""),"、",""),"|",""))+IF(AND(OR(I578="EI",I578="EO",I578="EQ"),$AD$1="NESMA"),2,1)))</f>
        <v/>
      </c>
      <c r="O578" s="84">
        <f>IF(I578="EI",IF(OR(X578="估算法",X578="算法类"),"中",IF(X578="无法识别","低",IF(L578&lt;2,IF(N578&lt;16,"低","中"),IF(L578&lt;3,IF(N578&lt;5,"低",IF(N578&lt;16,"中","高")),IF(N578&lt;5,"中","高"))))),IF(OR(I578="EO",I578="EQ"),IF(OR(X578="估算法",X578="算法类"),"中",IF(X578="无法识别","低",IF(L578&lt;2,IF(N578&lt;20,"低","中"),IF(L578&lt;4,IF(N578&lt;6,"低",IF(N578&lt;20,"中","高")),IF(N578&lt;6,"中","高"))))),IF(OR(I578="ILF",I578="EIF"),IF(OR(X578="估算法",X578="算法类",X578="无法识别"),"低",IF(M578&lt;2,IF(N578&lt;51,"低","中"),IF(M578&lt;6,IF(N578&lt;20,"低",IF(N578&lt;51,"中","高")),IF(N578&lt;20,"中","高")))),"不计算")))</f>
        <v/>
      </c>
      <c r="P578" s="142">
        <f>IFERROR(IF(I578="EI",IF(O578="低",3,IF(O578="中",4,6)),IF(I578="EO",IF(O578="低",4,IF(O578="中",5,7)),IF(I578="EQ",IF(O578="低",3,IF(O578="中",4,6)),IF(I578="ILF",IF(O578="低",7,IF(O578="中",10,15)),IF(I578="EIF",IF(O578="低",5,IF(O578="中",7,10)),"不计算")))))*Q578,"不计算")</f>
        <v/>
      </c>
      <c r="Q578" s="142" t="n">
        <v>0</v>
      </c>
      <c r="R578" s="143">
        <f>调整因子!$F$13</f>
        <v/>
      </c>
      <c r="S578" s="76" t="n">
        <v>1</v>
      </c>
      <c r="T578" s="144">
        <f>IFERROR(P578*R578,0)</f>
        <v/>
      </c>
      <c r="U578" s="144">
        <f>T578*S578</f>
        <v/>
      </c>
      <c r="V578" s="89" t="n"/>
      <c r="W578" s="76" t="inlineStr">
        <is>
          <t>漏洞预警任务结果获取响应数据表</t>
        </is>
      </c>
      <c r="X578" s="76" t="inlineStr">
        <is>
          <t>漏洞预警任务结果获取响应数据表{记录ID、记录时间、预警任务ID、请求时间、响应耗时、结果数量、下发时间|}</t>
        </is>
      </c>
      <c r="Y578" s="88">
        <f>IF(COUNTIFS(V:V,"*"&amp;H578&amp;"*")&gt;0,"存在","不存在")</f>
        <v/>
      </c>
      <c r="Z578" s="88">
        <f>IF(COUNTIFS(AA:AA,"*"&amp;H578&amp;"*")&gt;0,"存在","不存在")</f>
        <v/>
      </c>
      <c r="AA578" s="70" t="n"/>
    </row>
    <row r="579" hidden="1" ht="21.6" customHeight="1">
      <c r="A579" s="69">
        <f>ROW()-1</f>
        <v/>
      </c>
      <c r="B579" s="53" t="n"/>
      <c r="C579" s="78" t="n">
        <v>2025</v>
      </c>
      <c r="D579" s="78" t="inlineStr">
        <is>
          <t>汤凤欣</t>
        </is>
      </c>
      <c r="E579" s="53" t="n"/>
      <c r="F579" s="53" t="n"/>
      <c r="G579" s="53" t="n"/>
      <c r="H579" s="81" t="inlineStr">
        <is>
          <t>漏洞预警任务进度获取响应数据表</t>
        </is>
      </c>
      <c r="I579" s="76" t="inlineStr">
        <is>
          <t>ILF</t>
        </is>
      </c>
      <c r="J579" s="108" t="n"/>
      <c r="K579" s="108" t="inlineStr">
        <is>
          <t>数据库表未被本系统所维护</t>
        </is>
      </c>
      <c r="L579" s="83">
        <f>IF(OR(X579="估算法",X579="算法类",X579="无法识别"),"",IF(V579="",IF(OR(I579="EI",I579="EO",I579="EQ"),0,""),LEN(V579)-LEN(SUBSTITUTE(V579,"、",""))+1))</f>
        <v/>
      </c>
      <c r="M579" s="83">
        <f>IF(OR(X579="估算法",X579="算法类",X579="无法识别"),"",IF(W579="",IF(OR(I579="ILF",I579="EIF"),0,""),LEN(W579)-LEN(SUBSTITUTE(W579,"、",""))+1))</f>
        <v/>
      </c>
      <c r="N579" s="83">
        <f>IF(OR(X579="估算法",X579="算法类",X579="无法识别"),"",IF(X579="",IF(OR(I579="ILF",I579="EIF",I579="EI",I579="EO",I579="EQ"),0,""),LEN(X579)-LEN(SUBSTITUTE(SUBSTITUTE(SUBSTITUTE(SUBSTITUTE(SUBSTITUTE(X579,"|}","--"),"{|","--"),CHAR(10),""),"、",""),"|",""))+IF(AND(OR(I579="EI",I579="EO",I579="EQ"),$AD$1="NESMA"),2,1)))</f>
        <v/>
      </c>
      <c r="O579" s="84">
        <f>IF(I579="EI",IF(OR(X579="估算法",X579="算法类"),"中",IF(X579="无法识别","低",IF(L579&lt;2,IF(N579&lt;16,"低","中"),IF(L579&lt;3,IF(N579&lt;5,"低",IF(N579&lt;16,"中","高")),IF(N579&lt;5,"中","高"))))),IF(OR(I579="EO",I579="EQ"),IF(OR(X579="估算法",X579="算法类"),"中",IF(X579="无法识别","低",IF(L579&lt;2,IF(N579&lt;20,"低","中"),IF(L579&lt;4,IF(N579&lt;6,"低",IF(N579&lt;20,"中","高")),IF(N579&lt;6,"中","高"))))),IF(OR(I579="ILF",I579="EIF"),IF(OR(X579="估算法",X579="算法类",X579="无法识别"),"低",IF(M579&lt;2,IF(N579&lt;51,"低","中"),IF(M579&lt;6,IF(N579&lt;20,"低",IF(N579&lt;51,"中","高")),IF(N579&lt;20,"中","高")))),"不计算")))</f>
        <v/>
      </c>
      <c r="P579" s="142">
        <f>IFERROR(IF(I579="EI",IF(O579="低",3,IF(O579="中",4,6)),IF(I579="EO",IF(O579="低",4,IF(O579="中",5,7)),IF(I579="EQ",IF(O579="低",3,IF(O579="中",4,6)),IF(I579="ILF",IF(O579="低",7,IF(O579="中",10,15)),IF(I579="EIF",IF(O579="低",5,IF(O579="中",7,10)),"不计算")))))*Q579,"不计算")</f>
        <v/>
      </c>
      <c r="Q579" s="142" t="n">
        <v>0</v>
      </c>
      <c r="R579" s="143">
        <f>调整因子!$F$13</f>
        <v/>
      </c>
      <c r="S579" s="70" t="n">
        <v>1</v>
      </c>
      <c r="T579" s="144">
        <f>IFERROR(P579*R579,0)</f>
        <v/>
      </c>
      <c r="U579" s="144">
        <f>T579*S579</f>
        <v/>
      </c>
      <c r="V579" s="89" t="n"/>
      <c r="W579" s="76" t="inlineStr">
        <is>
          <t>漏洞预警任务进度获取响应数据表</t>
        </is>
      </c>
      <c r="X579" s="76" t="inlineStr">
        <is>
          <t>漏洞预警任务进度获取响应数据表{记录ID、记录时间、预警任务ID、进度获取请求时间、响应耗时、进度信息、响应状态|}</t>
        </is>
      </c>
      <c r="Y579" s="88">
        <f>IF(COUNTIFS(V:V,"*"&amp;H579&amp;"*")&gt;0,"存在","不存在")</f>
        <v/>
      </c>
      <c r="Z579" s="88">
        <f>IF(COUNTIFS(AA:AA,"*"&amp;H579&amp;"*")&gt;0,"存在","不存在")</f>
        <v/>
      </c>
      <c r="AA579" s="101" t="n"/>
    </row>
    <row r="580" hidden="1" ht="21.6" customHeight="1">
      <c r="A580" s="69">
        <f>ROW()-1</f>
        <v/>
      </c>
      <c r="B580" s="53" t="n"/>
      <c r="C580" s="78" t="n">
        <v>2025</v>
      </c>
      <c r="D580" s="78" t="inlineStr">
        <is>
          <t>汤凤欣</t>
        </is>
      </c>
      <c r="E580" s="53" t="n"/>
      <c r="F580" s="53" t="n"/>
      <c r="G580" s="54" t="n"/>
      <c r="H580" s="81" t="inlineStr">
        <is>
          <t>防护策略下发响应数据表</t>
        </is>
      </c>
      <c r="I580" s="76" t="inlineStr">
        <is>
          <t>ILF</t>
        </is>
      </c>
      <c r="J580" s="108" t="n"/>
      <c r="K580" s="108" t="inlineStr">
        <is>
          <t>数据库表未被本系统所维护</t>
        </is>
      </c>
      <c r="L580" s="83">
        <f>IF(OR(X580="估算法",X580="算法类",X580="无法识别"),"",IF(V580="",IF(OR(I580="EI",I580="EO",I580="EQ"),0,""),LEN(V580)-LEN(SUBSTITUTE(V580,"、",""))+1))</f>
        <v/>
      </c>
      <c r="M580" s="83">
        <f>IF(OR(X580="估算法",X580="算法类",X580="无法识别"),"",IF(W580="",IF(OR(I580="ILF",I580="EIF"),0,""),LEN(W580)-LEN(SUBSTITUTE(W580,"、",""))+1))</f>
        <v/>
      </c>
      <c r="N580" s="83">
        <f>IF(OR(X580="估算法",X580="算法类",X580="无法识别"),"",IF(X580="",IF(OR(I580="ILF",I580="EIF",I580="EI",I580="EO",I580="EQ"),0,""),LEN(X580)-LEN(SUBSTITUTE(SUBSTITUTE(SUBSTITUTE(SUBSTITUTE(SUBSTITUTE(X580,"|}","--"),"{|","--"),CHAR(10),""),"、",""),"|",""))+IF(AND(OR(I580="EI",I580="EO",I580="EQ"),$AD$1="NESMA"),2,1)))</f>
        <v/>
      </c>
      <c r="O580" s="84">
        <f>IF(I580="EI",IF(OR(X580="估算法",X580="算法类"),"中",IF(X580="无法识别","低",IF(L580&lt;2,IF(N580&lt;16,"低","中"),IF(L580&lt;3,IF(N580&lt;5,"低",IF(N580&lt;16,"中","高")),IF(N580&lt;5,"中","高"))))),IF(OR(I580="EO",I580="EQ"),IF(OR(X580="估算法",X580="算法类"),"中",IF(X580="无法识别","低",IF(L580&lt;2,IF(N580&lt;20,"低","中"),IF(L580&lt;4,IF(N580&lt;6,"低",IF(N580&lt;20,"中","高")),IF(N580&lt;6,"中","高"))))),IF(OR(I580="ILF",I580="EIF"),IF(OR(X580="估算法",X580="算法类",X580="无法识别"),"低",IF(M580&lt;2,IF(N580&lt;51,"低","中"),IF(M580&lt;6,IF(N580&lt;20,"低",IF(N580&lt;51,"中","高")),IF(N580&lt;20,"中","高")))),"不计算")))</f>
        <v/>
      </c>
      <c r="P580" s="142">
        <f>IFERROR(IF(I580="EI",IF(O580="低",3,IF(O580="中",4,6)),IF(I580="EO",IF(O580="低",4,IF(O580="中",5,7)),IF(I580="EQ",IF(O580="低",3,IF(O580="中",4,6)),IF(I580="ILF",IF(O580="低",7,IF(O580="中",10,15)),IF(I580="EIF",IF(O580="低",5,IF(O580="中",7,10)),"不计算")))))*Q580,"不计算")</f>
        <v/>
      </c>
      <c r="Q580" s="142" t="n">
        <v>0</v>
      </c>
      <c r="R580" s="143">
        <f>调整因子!$F$13</f>
        <v/>
      </c>
      <c r="S580" s="70" t="n">
        <v>1</v>
      </c>
      <c r="T580" s="144">
        <f>IFERROR(P580*R580,0)</f>
        <v/>
      </c>
      <c r="U580" s="144">
        <f>T580*S580</f>
        <v/>
      </c>
      <c r="V580" s="89" t="n"/>
      <c r="W580" s="76" t="inlineStr">
        <is>
          <t>防护策略下发响应数据表</t>
        </is>
      </c>
      <c r="X580" s="76" t="inlineStr">
        <is>
          <t>防护策略下发响应数据表{记录ID、记录时间、相应状态、下发时间、响应耗时、响应状态|}</t>
        </is>
      </c>
      <c r="Y580" s="88">
        <f>IF(COUNTIFS(V:V,"*"&amp;H580&amp;"*")&gt;0,"存在","不存在")</f>
        <v/>
      </c>
      <c r="Z580" s="88">
        <f>IF(COUNTIFS(AA:AA,"*"&amp;H580&amp;"*")&gt;0,"存在","不存在")</f>
        <v/>
      </c>
      <c r="AA580" s="70" t="n"/>
    </row>
    <row r="581" hidden="1" ht="324" customHeight="1">
      <c r="A581" s="69">
        <f>ROW()-1</f>
        <v/>
      </c>
      <c r="B581" s="53" t="n"/>
      <c r="C581" s="78" t="n">
        <v>2025</v>
      </c>
      <c r="D581" s="78" t="inlineStr">
        <is>
          <t>汤凤欣</t>
        </is>
      </c>
      <c r="E581" s="53" t="n"/>
      <c r="F581" s="53" t="n"/>
      <c r="G581" s="79" t="inlineStr">
        <is>
          <t>响应过程合规性审计</t>
        </is>
      </c>
      <c r="H581" s="80" t="inlineStr">
        <is>
          <t>审计响应合规性</t>
        </is>
      </c>
      <c r="I581" s="76" t="n"/>
      <c r="J581" s="108" t="n"/>
      <c r="K581" s="108" t="inlineStr">
        <is>
          <t>和下行合并，非事务功能</t>
        </is>
      </c>
      <c r="L581" s="83">
        <f>IF(OR(X581="估算法",X581="算法类",X581="无法识别"),"",IF(V581="",IF(OR(I581="EI",I581="EO",I581="EQ"),0,""),LEN(V581)-LEN(SUBSTITUTE(V581,"、",""))+1))</f>
        <v/>
      </c>
      <c r="M581" s="83">
        <f>IF(OR(X581="估算法",X581="算法类",X581="无法识别"),"",IF(W581="",IF(OR(I581="ILF",I581="EIF"),0,""),LEN(W581)-LEN(SUBSTITUTE(W581,"、",""))+1))</f>
        <v/>
      </c>
      <c r="N581" s="83">
        <f>IF(OR(X581="估算法",X581="算法类",X581="无法识别"),"",IF(X581="",IF(OR(I581="ILF",I581="EIF",I581="EI",I581="EO",I581="EQ"),0,""),LEN(X581)-LEN(SUBSTITUTE(SUBSTITUTE(SUBSTITUTE(SUBSTITUTE(SUBSTITUTE(X581,"|}","--"),"{|","--"),CHAR(10),""),"、",""),"|",""))+IF(AND(OR(I581="EI",I581="EO",I581="EQ"),$AD$1="NESMA"),2,1)))</f>
        <v/>
      </c>
      <c r="O581" s="84">
        <f>IF(I581="EI",IF(OR(X581="估算法",X581="算法类"),"中",IF(X581="无法识别","低",IF(L581&lt;2,IF(N581&lt;16,"低","中"),IF(L581&lt;3,IF(N581&lt;5,"低",IF(N581&lt;16,"中","高")),IF(N581&lt;5,"中","高"))))),IF(OR(I581="EO",I581="EQ"),IF(OR(X581="估算法",X581="算法类"),"中",IF(X581="无法识别","低",IF(L581&lt;2,IF(N581&lt;20,"低","中"),IF(L581&lt;4,IF(N581&lt;6,"低",IF(N581&lt;20,"中","高")),IF(N581&lt;6,"中","高"))))),IF(OR(I581="ILF",I581="EIF"),IF(OR(X581="估算法",X581="算法类",X581="无法识别"),"低",IF(M581&lt;2,IF(N581&lt;51,"低","中"),IF(M581&lt;6,IF(N581&lt;20,"低",IF(N581&lt;51,"中","高")),IF(N581&lt;20,"中","高")))),"不计算")))</f>
        <v/>
      </c>
      <c r="P581" s="142">
        <f>IFERROR(IF(I581="EI",IF(O581="低",3,IF(O581="中",4,6)),IF(I581="EO",IF(O581="低",4,IF(O581="中",5,7)),IF(I581="EQ",IF(O581="低",3,IF(O581="中",4,6)),IF(I581="ILF",IF(O581="低",7,IF(O581="中",10,15)),IF(I581="EIF",IF(O581="低",5,IF(O581="中",7,10)),"不计算")))))*Q581,"不计算")</f>
        <v/>
      </c>
      <c r="Q581" s="142" t="n">
        <v>1</v>
      </c>
      <c r="R581" s="143">
        <f>调整因子!$F$13</f>
        <v/>
      </c>
      <c r="S581" s="76" t="n">
        <v>1</v>
      </c>
      <c r="T581" s="144">
        <f>IFERROR(P581*R581,0)</f>
        <v/>
      </c>
      <c r="U581" s="144">
        <f>T581*S581</f>
        <v/>
      </c>
      <c r="V581" s="88" t="inlineStr">
        <is>
          <t>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W581" s="89" t="n"/>
      <c r="X581" s="88" t="inlineStr">
        <is>
          <t>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Y581" s="88" t="n"/>
      <c r="Z581" s="88" t="n"/>
      <c r="AA581" s="101" t="n"/>
    </row>
    <row r="582" hidden="1" ht="21.6" customHeight="1">
      <c r="A582" s="69">
        <f>ROW()-1</f>
        <v/>
      </c>
      <c r="B582" s="53" t="n"/>
      <c r="C582" s="78" t="n">
        <v>2025</v>
      </c>
      <c r="D582" s="78" t="inlineStr">
        <is>
          <t>汤凤欣</t>
        </is>
      </c>
      <c r="E582" s="53" t="n"/>
      <c r="F582" s="53" t="n"/>
      <c r="G582" s="53" t="n"/>
      <c r="H582" s="80" t="inlineStr">
        <is>
          <t>配置响应审计策略</t>
        </is>
      </c>
      <c r="I582" s="76" t="inlineStr">
        <is>
          <t>EI</t>
        </is>
      </c>
      <c r="J582" s="108" t="n"/>
      <c r="K582" s="108" t="n"/>
      <c r="L582" s="83">
        <f>IF(OR(X582="估算法",X582="算法类",X582="无法识别"),"",IF(V582="",IF(OR(I582="EI",I582="EO",I582="EQ"),0,""),LEN(V582)-LEN(SUBSTITUTE(V582,"、",""))+1))</f>
        <v/>
      </c>
      <c r="M582" s="83">
        <f>IF(OR(X582="估算法",X582="算法类",X582="无法识别"),"",IF(W582="",IF(OR(I582="ILF",I582="EIF"),0,""),LEN(W582)-LEN(SUBSTITUTE(W582,"、",""))+1))</f>
        <v/>
      </c>
      <c r="N582" s="83">
        <f>IF(OR(X582="估算法",X582="算法类",X582="无法识别"),"",IF(X582="",IF(OR(I582="ILF",I582="EIF",I582="EI",I582="EO",I582="EQ"),0,""),LEN(X582)-LEN(SUBSTITUTE(SUBSTITUTE(SUBSTITUTE(SUBSTITUTE(SUBSTITUTE(X582,"|}","--"),"{|","--"),CHAR(10),""),"、",""),"|",""))+IF(AND(OR(I582="EI",I582="EO",I582="EQ"),$AD$1="NESMA"),2,1)))</f>
        <v/>
      </c>
      <c r="O582" s="84">
        <f>IF(I582="EI",IF(OR(X582="估算法",X582="算法类"),"中",IF(X582="无法识别","低",IF(L582&lt;2,IF(N582&lt;16,"低","中"),IF(L582&lt;3,IF(N582&lt;5,"低",IF(N582&lt;16,"中","高")),IF(N582&lt;5,"中","高"))))),IF(OR(I582="EO",I582="EQ"),IF(OR(X582="估算法",X582="算法类"),"中",IF(X582="无法识别","低",IF(L582&lt;2,IF(N582&lt;20,"低","中"),IF(L582&lt;4,IF(N582&lt;6,"低",IF(N582&lt;20,"中","高")),IF(N582&lt;6,"中","高"))))),IF(OR(I582="ILF",I582="EIF"),IF(OR(X582="估算法",X582="算法类",X582="无法识别"),"低",IF(M582&lt;2,IF(N582&lt;51,"低","中"),IF(M582&lt;6,IF(N582&lt;20,"低",IF(N582&lt;51,"中","高")),IF(N582&lt;20,"中","高")))),"不计算")))</f>
        <v/>
      </c>
      <c r="P582" s="142">
        <f>IFERROR(IF(I582="EI",IF(O582="低",3,IF(O582="中",4,6)),IF(I582="EO",IF(O582="低",4,IF(O582="中",5,7)),IF(I582="EQ",IF(O582="低",3,IF(O582="中",4,6)),IF(I582="ILF",IF(O582="低",7,IF(O582="中",10,15)),IF(I582="EIF",IF(O582="低",5,IF(O582="中",7,10)),"不计算")))))*Q582,"不计算")</f>
        <v/>
      </c>
      <c r="Q582" s="142" t="n">
        <v>1</v>
      </c>
      <c r="R582" s="143">
        <f>调整因子!$F$13</f>
        <v/>
      </c>
      <c r="S582" s="70" t="n">
        <v>1</v>
      </c>
      <c r="T582" s="144">
        <f>IFERROR(P582*R582,0)</f>
        <v/>
      </c>
      <c r="U582" s="144">
        <f>T582*S582</f>
        <v/>
      </c>
      <c r="V582" s="88" t="inlineStr">
        <is>
          <t>响应审计合规结果数据表</t>
        </is>
      </c>
      <c r="W582" s="89" t="n"/>
      <c r="X582" s="88" t="inlineStr">
        <is>
          <t>响应审计合规结果数据表{记录ID、记录时间、接口类型、响应记录ID、是否合规、问题说明|}</t>
        </is>
      </c>
      <c r="Y582" s="88" t="n"/>
      <c r="Z582" s="88" t="n"/>
      <c r="AA582" s="70" t="n"/>
    </row>
    <row r="583" hidden="1" ht="21.6" customHeight="1">
      <c r="A583" s="69">
        <f>ROW()-1</f>
        <v/>
      </c>
      <c r="B583" s="53" t="n"/>
      <c r="C583" s="78" t="n">
        <v>2025</v>
      </c>
      <c r="D583" s="78" t="inlineStr">
        <is>
          <t>汤凤欣</t>
        </is>
      </c>
      <c r="E583" s="53" t="n"/>
      <c r="F583" s="53" t="n"/>
      <c r="G583" s="53" t="n"/>
      <c r="H583" s="81" t="inlineStr">
        <is>
          <t>响应审计策略数据表</t>
        </is>
      </c>
      <c r="I583" s="76" t="inlineStr">
        <is>
          <t>ILF</t>
        </is>
      </c>
      <c r="J583" s="108" t="n"/>
      <c r="K583" s="108" t="inlineStr">
        <is>
          <t>数据库表未被本系统所维护</t>
        </is>
      </c>
      <c r="L583" s="83">
        <f>IF(OR(X583="估算法",X583="算法类",X583="无法识别"),"",IF(V583="",IF(OR(I583="EI",I583="EO",I583="EQ"),0,""),LEN(V583)-LEN(SUBSTITUTE(V583,"、",""))+1))</f>
        <v/>
      </c>
      <c r="M583" s="83">
        <f>IF(OR(X583="估算法",X583="算法类",X583="无法识别"),"",IF(W583="",IF(OR(I583="ILF",I583="EIF"),0,""),LEN(W583)-LEN(SUBSTITUTE(W583,"、",""))+1))</f>
        <v/>
      </c>
      <c r="N583" s="83">
        <f>IF(OR(X583="估算法",X583="算法类",X583="无法识别"),"",IF(X583="",IF(OR(I583="ILF",I583="EIF",I583="EI",I583="EO",I583="EQ"),0,""),LEN(X583)-LEN(SUBSTITUTE(SUBSTITUTE(SUBSTITUTE(SUBSTITUTE(SUBSTITUTE(X583,"|}","--"),"{|","--"),CHAR(10),""),"、",""),"|",""))+IF(AND(OR(I583="EI",I583="EO",I583="EQ"),$AD$1="NESMA"),2,1)))</f>
        <v/>
      </c>
      <c r="O583" s="84">
        <f>IF(I583="EI",IF(OR(X583="估算法",X583="算法类"),"中",IF(X583="无法识别","低",IF(L583&lt;2,IF(N583&lt;16,"低","中"),IF(L583&lt;3,IF(N583&lt;5,"低",IF(N583&lt;16,"中","高")),IF(N583&lt;5,"中","高"))))),IF(OR(I583="EO",I583="EQ"),IF(OR(X583="估算法",X583="算法类"),"中",IF(X583="无法识别","低",IF(L583&lt;2,IF(N583&lt;20,"低","中"),IF(L583&lt;4,IF(N583&lt;6,"低",IF(N583&lt;20,"中","高")),IF(N583&lt;6,"中","高"))))),IF(OR(I583="ILF",I583="EIF"),IF(OR(X583="估算法",X583="算法类",X583="无法识别"),"低",IF(M583&lt;2,IF(N583&lt;51,"低","中"),IF(M583&lt;6,IF(N583&lt;20,"低",IF(N583&lt;51,"中","高")),IF(N583&lt;20,"中","高")))),"不计算")))</f>
        <v/>
      </c>
      <c r="P583" s="142">
        <f>IFERROR(IF(I583="EI",IF(O583="低",3,IF(O583="中",4,6)),IF(I583="EO",IF(O583="低",4,IF(O583="中",5,7)),IF(I583="EQ",IF(O583="低",3,IF(O583="中",4,6)),IF(I583="ILF",IF(O583="低",7,IF(O583="中",10,15)),IF(I583="EIF",IF(O583="低",5,IF(O583="中",7,10)),"不计算")))))*Q583,"不计算")</f>
        <v/>
      </c>
      <c r="Q583" s="142" t="n">
        <v>0</v>
      </c>
      <c r="R583" s="143">
        <f>调整因子!$F$13</f>
        <v/>
      </c>
      <c r="S583" s="70" t="n">
        <v>1</v>
      </c>
      <c r="T583" s="144">
        <f>IFERROR(P583*R583,0)</f>
        <v/>
      </c>
      <c r="U583" s="144">
        <f>T583*S583</f>
        <v/>
      </c>
      <c r="V583" s="89" t="n"/>
      <c r="W583" s="88" t="inlineStr">
        <is>
          <t>响应审计策略数据表</t>
        </is>
      </c>
      <c r="X583" s="88" t="inlineStr">
        <is>
          <t>响应审计策略数据表{记录ID、记录时间、接口类型、响应耗时阈值、响应报文规则、参数名、参数值规则|}</t>
        </is>
      </c>
      <c r="Y583" s="88">
        <f>IF(COUNTIFS(V:V,"*"&amp;H583&amp;"*")&gt;0,"存在","不存在")</f>
        <v/>
      </c>
      <c r="Z583" s="88">
        <f>IF(COUNTIFS(AA:AA,"*"&amp;H583&amp;"*")&gt;0,"存在","不存在")</f>
        <v/>
      </c>
      <c r="AA583" s="101" t="n"/>
    </row>
    <row r="584" hidden="1" ht="21.6" customHeight="1">
      <c r="A584" s="69">
        <f>ROW()-1</f>
        <v/>
      </c>
      <c r="B584" s="53" t="n"/>
      <c r="C584" s="78" t="n">
        <v>2025</v>
      </c>
      <c r="D584" s="78" t="inlineStr">
        <is>
          <t>汤凤欣</t>
        </is>
      </c>
      <c r="E584" s="53" t="n"/>
      <c r="F584" s="53" t="n"/>
      <c r="G584" s="54" t="n"/>
      <c r="H584" s="81" t="inlineStr">
        <is>
          <t>响应审计合规结果数据表</t>
        </is>
      </c>
      <c r="I584" s="76" t="inlineStr">
        <is>
          <t>ILF</t>
        </is>
      </c>
      <c r="J584" s="108" t="n"/>
      <c r="K584" s="108" t="n"/>
      <c r="L584" s="83">
        <f>IF(OR(X584="估算法",X584="算法类",X584="无法识别"),"",IF(V584="",IF(OR(I584="EI",I584="EO",I584="EQ"),0,""),LEN(V584)-LEN(SUBSTITUTE(V584,"、",""))+1))</f>
        <v/>
      </c>
      <c r="M584" s="83">
        <f>IF(OR(X584="估算法",X584="算法类",X584="无法识别"),"",IF(W584="",IF(OR(I584="ILF",I584="EIF"),0,""),LEN(W584)-LEN(SUBSTITUTE(W584,"、",""))+1))</f>
        <v/>
      </c>
      <c r="N584" s="83">
        <f>IF(OR(X584="估算法",X584="算法类",X584="无法识别"),"",IF(X584="",IF(OR(I584="ILF",I584="EIF",I584="EI",I584="EO",I584="EQ"),0,""),LEN(X584)-LEN(SUBSTITUTE(SUBSTITUTE(SUBSTITUTE(SUBSTITUTE(SUBSTITUTE(X584,"|}","--"),"{|","--"),CHAR(10),""),"、",""),"|",""))+IF(AND(OR(I584="EI",I584="EO",I584="EQ"),$AD$1="NESMA"),2,1)))</f>
        <v/>
      </c>
      <c r="O584" s="84">
        <f>IF(I584="EI",IF(OR(X584="估算法",X584="算法类"),"中",IF(X584="无法识别","低",IF(L584&lt;2,IF(N584&lt;16,"低","中"),IF(L584&lt;3,IF(N584&lt;5,"低",IF(N584&lt;16,"中","高")),IF(N584&lt;5,"中","高"))))),IF(OR(I584="EO",I584="EQ"),IF(OR(X584="估算法",X584="算法类"),"中",IF(X584="无法识别","低",IF(L584&lt;2,IF(N584&lt;20,"低","中"),IF(L584&lt;4,IF(N584&lt;6,"低",IF(N584&lt;20,"中","高")),IF(N584&lt;6,"中","高"))))),IF(OR(I584="ILF",I584="EIF"),IF(OR(X584="估算法",X584="算法类",X584="无法识别"),"低",IF(M584&lt;2,IF(N584&lt;51,"低","中"),IF(M584&lt;6,IF(N584&lt;20,"低",IF(N584&lt;51,"中","高")),IF(N584&lt;20,"中","高")))),"不计算")))</f>
        <v/>
      </c>
      <c r="P584" s="142">
        <f>IFERROR(IF(I584="EI",IF(O584="低",3,IF(O584="中",4,6)),IF(I584="EO",IF(O584="低",4,IF(O584="中",5,7)),IF(I584="EQ",IF(O584="低",3,IF(O584="中",4,6)),IF(I584="ILF",IF(O584="低",7,IF(O584="中",10,15)),IF(I584="EIF",IF(O584="低",5,IF(O584="中",7,10)),"不计算")))))*Q584,"不计算")</f>
        <v/>
      </c>
      <c r="Q584" s="142" t="n">
        <v>1</v>
      </c>
      <c r="R584" s="143">
        <f>调整因子!$F$13</f>
        <v/>
      </c>
      <c r="S584" s="76" t="n">
        <v>1</v>
      </c>
      <c r="T584" s="144">
        <f>IFERROR(P584*R584,0)</f>
        <v/>
      </c>
      <c r="U584" s="144">
        <f>T584*S584</f>
        <v/>
      </c>
      <c r="V584" s="89" t="n"/>
      <c r="W584" s="88" t="inlineStr">
        <is>
          <t>响应审计合规结果数据表</t>
        </is>
      </c>
      <c r="X584" s="88" t="inlineStr">
        <is>
          <t>响应审计合规结果数据表{记录ID、记录时间、接口类型、响应记录ID、是否合规、问题说明|}</t>
        </is>
      </c>
      <c r="Y584" s="88">
        <f>IF(COUNTIFS(V:V,"*"&amp;H584&amp;"*")&gt;0,"存在","不存在")</f>
        <v/>
      </c>
      <c r="Z584" s="88">
        <f>IF(COUNTIFS(AA:AA,"*"&amp;H584&amp;"*")&gt;0,"存在","不存在")</f>
        <v/>
      </c>
      <c r="AA584" s="70" t="n"/>
    </row>
    <row r="585" hidden="1" ht="345.6" customHeight="1">
      <c r="A585" s="69">
        <f>ROW()-1</f>
        <v/>
      </c>
      <c r="B585" s="53" t="n"/>
      <c r="C585" s="78" t="n">
        <v>2025</v>
      </c>
      <c r="D585" s="78" t="inlineStr">
        <is>
          <t>汤凤欣</t>
        </is>
      </c>
      <c r="E585" s="53" t="n"/>
      <c r="F585" s="53" t="n"/>
      <c r="G585" s="76" t="inlineStr">
        <is>
          <t>响应过程审计报告生成</t>
        </is>
      </c>
      <c r="H585" s="81" t="inlineStr">
        <is>
          <t>下载响应审计报告</t>
        </is>
      </c>
      <c r="I585" s="76" t="inlineStr">
        <is>
          <t>EO</t>
        </is>
      </c>
      <c r="J585" s="108" t="n"/>
      <c r="K585" s="108" t="n"/>
      <c r="L585" s="83">
        <f>IF(OR(X585="估算法",X585="算法类",X585="无法识别"),"",IF(V585="",IF(OR(I585="EI",I585="EO",I585="EQ"),0,""),LEN(V585)-LEN(SUBSTITUTE(V585,"、",""))+1))</f>
        <v/>
      </c>
      <c r="M585" s="83">
        <f>IF(OR(X585="估算法",X585="算法类",X585="无法识别"),"",IF(W585="",IF(OR(I585="ILF",I585="EIF"),0,""),LEN(W585)-LEN(SUBSTITUTE(W585,"、",""))+1))</f>
        <v/>
      </c>
      <c r="N585" s="83">
        <f>IF(OR(X585="估算法",X585="算法类",X585="无法识别"),"",IF(X585="",IF(OR(I585="ILF",I585="EIF",I585="EI",I585="EO",I585="EQ"),0,""),LEN(X585)-LEN(SUBSTITUTE(SUBSTITUTE(SUBSTITUTE(SUBSTITUTE(SUBSTITUTE(X585,"|}","--"),"{|","--"),CHAR(10),""),"、",""),"|",""))+IF(AND(OR(I585="EI",I585="EO",I585="EQ"),$AD$1="NESMA"),2,1)))</f>
        <v/>
      </c>
      <c r="O585" s="84">
        <f>IF(I585="EI",IF(OR(X585="估算法",X585="算法类"),"中",IF(X585="无法识别","低",IF(L585&lt;2,IF(N585&lt;16,"低","中"),IF(L585&lt;3,IF(N585&lt;5,"低",IF(N585&lt;16,"中","高")),IF(N585&lt;5,"中","高"))))),IF(OR(I585="EO",I585="EQ"),IF(OR(X585="估算法",X585="算法类"),"中",IF(X585="无法识别","低",IF(L585&lt;2,IF(N585&lt;20,"低","中"),IF(L585&lt;4,IF(N585&lt;6,"低",IF(N585&lt;20,"中","高")),IF(N585&lt;6,"中","高"))))),IF(OR(I585="ILF",I585="EIF"),IF(OR(X585="估算法",X585="算法类",X585="无法识别"),"低",IF(M585&lt;2,IF(N585&lt;51,"低","中"),IF(M585&lt;6,IF(N585&lt;20,"低",IF(N585&lt;51,"中","高")),IF(N585&lt;20,"中","高")))),"不计算")))</f>
        <v/>
      </c>
      <c r="P585" s="142">
        <f>IFERROR(IF(I585="EI",IF(O585="低",3,IF(O585="中",4,6)),IF(I585="EO",IF(O585="低",4,IF(O585="中",5,7)),IF(I585="EQ",IF(O585="低",3,IF(O585="中",4,6)),IF(I585="ILF",IF(O585="低",7,IF(O585="中",10,15)),IF(I585="EIF",IF(O585="低",5,IF(O585="中",7,10)),"不计算")))))*Q585,"不计算")</f>
        <v/>
      </c>
      <c r="Q585" s="142" t="n">
        <v>1</v>
      </c>
      <c r="R585" s="143">
        <f>调整因子!$F$13</f>
        <v/>
      </c>
      <c r="S585" s="70" t="n">
        <v>1</v>
      </c>
      <c r="T585" s="144">
        <f>IFERROR(P585*R585,0)</f>
        <v/>
      </c>
      <c r="U585" s="144">
        <f>T585*S585</f>
        <v/>
      </c>
      <c r="V585" s="88" t="inlineStr">
        <is>
          <t>响应审计报告文件、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W585" s="89" t="n"/>
      <c r="X585" s="88" t="inlineStr">
        <is>
          <t>响应审计报告文件{报告时间、报告名称、接口类型、接口合规比例、不合规问题、排查建议|}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Y585" s="88" t="n"/>
      <c r="Z585" s="88" t="n"/>
      <c r="AA585" s="101" t="n"/>
    </row>
    <row r="586" hidden="1" ht="21.6" customHeight="1">
      <c r="A586" s="69">
        <f>ROW()-1</f>
        <v/>
      </c>
      <c r="B586" s="53" t="n"/>
      <c r="C586" s="78" t="n">
        <v>2025</v>
      </c>
      <c r="D586" s="78" t="inlineStr">
        <is>
          <t>汤凤欣</t>
        </is>
      </c>
      <c r="E586" s="53" t="n"/>
      <c r="F586" s="53" t="n"/>
      <c r="G586" s="53" t="n"/>
      <c r="H586" s="81" t="inlineStr">
        <is>
          <t>查询响应审计报告记录</t>
        </is>
      </c>
      <c r="I586" s="76" t="inlineStr">
        <is>
          <t>EQ</t>
        </is>
      </c>
      <c r="J586" s="108" t="n"/>
      <c r="K586" s="108" t="n"/>
      <c r="L586" s="83">
        <f>IF(OR(X586="估算法",X586="算法类",X586="无法识别"),"",IF(V586="",IF(OR(I586="EI",I586="EO",I586="EQ"),0,""),LEN(V586)-LEN(SUBSTITUTE(V586,"、",""))+1))</f>
        <v/>
      </c>
      <c r="M586" s="83">
        <f>IF(OR(X586="估算法",X586="算法类",X586="无法识别"),"",IF(W586="",IF(OR(I586="ILF",I586="EIF"),0,""),LEN(W586)-LEN(SUBSTITUTE(W586,"、",""))+1))</f>
        <v/>
      </c>
      <c r="N586" s="83">
        <f>IF(OR(X586="估算法",X586="算法类",X586="无法识别"),"",IF(X586="",IF(OR(I586="ILF",I586="EIF",I586="EI",I586="EO",I586="EQ"),0,""),LEN(X586)-LEN(SUBSTITUTE(SUBSTITUTE(SUBSTITUTE(SUBSTITUTE(SUBSTITUTE(X586,"|}","--"),"{|","--"),CHAR(10),""),"、",""),"|",""))+IF(AND(OR(I586="EI",I586="EO",I586="EQ"),$AD$1="NESMA"),2,1)))</f>
        <v/>
      </c>
      <c r="O586" s="84">
        <f>IF(I586="EI",IF(OR(X586="估算法",X586="算法类"),"中",IF(X586="无法识别","低",IF(L586&lt;2,IF(N586&lt;16,"低","中"),IF(L586&lt;3,IF(N586&lt;5,"低",IF(N586&lt;16,"中","高")),IF(N586&lt;5,"中","高"))))),IF(OR(I586="EO",I586="EQ"),IF(OR(X586="估算法",X586="算法类"),"中",IF(X586="无法识别","低",IF(L586&lt;2,IF(N586&lt;20,"低","中"),IF(L586&lt;4,IF(N586&lt;6,"低",IF(N586&lt;20,"中","高")),IF(N586&lt;6,"中","高"))))),IF(OR(I586="ILF",I586="EIF"),IF(OR(X586="估算法",X586="算法类",X586="无法识别"),"低",IF(M586&lt;2,IF(N586&lt;51,"低","中"),IF(M586&lt;6,IF(N586&lt;20,"低",IF(N586&lt;51,"中","高")),IF(N586&lt;20,"中","高")))),"不计算")))</f>
        <v/>
      </c>
      <c r="P586" s="142">
        <f>IFERROR(IF(I586="EI",IF(O586="低",3,IF(O586="中",4,6)),IF(I586="EO",IF(O586="低",4,IF(O586="中",5,7)),IF(I586="EQ",IF(O586="低",3,IF(O586="中",4,6)),IF(I586="ILF",IF(O586="低",7,IF(O586="中",10,15)),IF(I586="EIF",IF(O586="低",5,IF(O586="中",7,10)),"不计算")))))*Q586,"不计算")</f>
        <v/>
      </c>
      <c r="Q586" s="142" t="n">
        <v>1</v>
      </c>
      <c r="R586" s="143">
        <f>调整因子!$F$13</f>
        <v/>
      </c>
      <c r="S586" s="70" t="n">
        <v>1</v>
      </c>
      <c r="T586" s="144">
        <f>IFERROR(P586*R586,0)</f>
        <v/>
      </c>
      <c r="U586" s="144">
        <f>T586*S586</f>
        <v/>
      </c>
      <c r="V586" s="88" t="inlineStr">
        <is>
          <t>响应审计报告生成历史数据表</t>
        </is>
      </c>
      <c r="W586" s="89" t="n"/>
      <c r="X586" s="88" t="inlineStr">
        <is>
          <t>响应审计报告生成历史数据表{记录ID、记录时间、生成时间、生成进度、生成结果、报告名称、报告路径|}</t>
        </is>
      </c>
      <c r="Y586" s="88" t="n"/>
      <c r="Z586" s="88" t="n"/>
      <c r="AA586" s="70" t="n"/>
    </row>
    <row r="587" hidden="1" ht="367.2" customHeight="1">
      <c r="A587" s="69">
        <f>ROW()-1</f>
        <v/>
      </c>
      <c r="B587" s="53" t="n"/>
      <c r="C587" s="78" t="n">
        <v>2025</v>
      </c>
      <c r="D587" s="78" t="inlineStr">
        <is>
          <t>汤凤欣</t>
        </is>
      </c>
      <c r="E587" s="53" t="n"/>
      <c r="F587" s="53" t="n"/>
      <c r="G587" s="53" t="n"/>
      <c r="H587" s="81" t="inlineStr">
        <is>
          <t>生成响应审计报告</t>
        </is>
      </c>
      <c r="I587" s="76" t="inlineStr">
        <is>
          <t>EO</t>
        </is>
      </c>
      <c r="J587" s="108" t="n"/>
      <c r="K587" s="108" t="n"/>
      <c r="L587" s="83">
        <f>IF(OR(X587="估算法",X587="算法类",X587="无法识别"),"",IF(V587="",IF(OR(I587="EI",I587="EO",I587="EQ"),0,""),LEN(V587)-LEN(SUBSTITUTE(V587,"、",""))+1))</f>
        <v/>
      </c>
      <c r="M587" s="83">
        <f>IF(OR(X587="估算法",X587="算法类",X587="无法识别"),"",IF(W587="",IF(OR(I587="ILF",I587="EIF"),0,""),LEN(W587)-LEN(SUBSTITUTE(W587,"、",""))+1))</f>
        <v/>
      </c>
      <c r="N587" s="83">
        <f>IF(OR(X587="估算法",X587="算法类",X587="无法识别"),"",IF(X587="",IF(OR(I587="ILF",I587="EIF",I587="EI",I587="EO",I587="EQ"),0,""),LEN(X587)-LEN(SUBSTITUTE(SUBSTITUTE(SUBSTITUTE(SUBSTITUTE(SUBSTITUTE(X587,"|}","--"),"{|","--"),CHAR(10),""),"、",""),"|",""))+IF(AND(OR(I587="EI",I587="EO",I587="EQ"),$AD$1="NESMA"),2,1)))</f>
        <v/>
      </c>
      <c r="O587" s="84">
        <f>IF(I587="EI",IF(OR(X587="估算法",X587="算法类"),"中",IF(X587="无法识别","低",IF(L587&lt;2,IF(N587&lt;16,"低","中"),IF(L587&lt;3,IF(N587&lt;5,"低",IF(N587&lt;16,"中","高")),IF(N587&lt;5,"中","高"))))),IF(OR(I587="EO",I587="EQ"),IF(OR(X587="估算法",X587="算法类"),"中",IF(X587="无法识别","低",IF(L587&lt;2,IF(N587&lt;20,"低","中"),IF(L587&lt;4,IF(N587&lt;6,"低",IF(N587&lt;20,"中","高")),IF(N587&lt;6,"中","高"))))),IF(OR(I587="ILF",I587="EIF"),IF(OR(X587="估算法",X587="算法类",X587="无法识别"),"低",IF(M587&lt;2,IF(N587&lt;51,"低","中"),IF(M587&lt;6,IF(N587&lt;20,"低",IF(N587&lt;51,"中","高")),IF(N587&lt;20,"中","高")))),"不计算")))</f>
        <v/>
      </c>
      <c r="P587" s="142">
        <f>IFERROR(IF(I587="EI",IF(O587="低",3,IF(O587="中",4,6)),IF(I587="EO",IF(O587="低",4,IF(O587="中",5,7)),IF(I587="EQ",IF(O587="低",3,IF(O587="中",4,6)),IF(I587="ILF",IF(O587="低",7,IF(O587="中",10,15)),IF(I587="EIF",IF(O587="低",5,IF(O587="中",7,10)),"不计算")))))*Q587,"不计算")</f>
        <v/>
      </c>
      <c r="Q587" s="142" t="n">
        <v>1</v>
      </c>
      <c r="R587" s="143">
        <f>调整因子!$F$13</f>
        <v/>
      </c>
      <c r="S587" s="76" t="n">
        <v>1</v>
      </c>
      <c r="T587" s="144">
        <f>IFERROR(P587*R587,0)</f>
        <v/>
      </c>
      <c r="U587" s="144">
        <f>T587*S587</f>
        <v/>
      </c>
      <c r="V587" s="88" t="inlineStr">
        <is>
          <t>响应审计报告文件、响应审计报告生成历史数据表、、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W587" s="89" t="n"/>
      <c r="X587" s="88" t="inlineStr">
        <is>
          <t>响应审计报告文件{报告时间、报告名称、接口类型、接口合规比例、不合规问题、排查建议|}
响应审计报告生成历史数据表{记录ID、记录时间、生成时间、生成进度、生成结果、报告名称、报告路径|}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Y587" s="88" t="n"/>
      <c r="Z587" s="88" t="n"/>
      <c r="AA587" s="101" t="n"/>
    </row>
    <row r="588" hidden="1" ht="21.6" customHeight="1">
      <c r="A588" s="69">
        <f>ROW()-1</f>
        <v/>
      </c>
      <c r="B588" s="53" t="n"/>
      <c r="C588" s="78" t="n">
        <v>2025</v>
      </c>
      <c r="D588" s="78" t="inlineStr">
        <is>
          <t>汤凤欣</t>
        </is>
      </c>
      <c r="E588" s="53" t="n"/>
      <c r="F588" s="53" t="n"/>
      <c r="G588" s="53" t="n"/>
      <c r="H588" s="81" t="inlineStr">
        <is>
          <t>响应审计报告文件</t>
        </is>
      </c>
      <c r="I588" s="76" t="inlineStr">
        <is>
          <t>ILF</t>
        </is>
      </c>
      <c r="J588" s="108" t="n"/>
      <c r="K588" s="108" t="inlineStr">
        <is>
          <t>数据库表未被本系统所维护</t>
        </is>
      </c>
      <c r="L588" s="83">
        <f>IF(OR(X588="估算法",X588="算法类",X588="无法识别"),"",IF(V588="",IF(OR(I588="EI",I588="EO",I588="EQ"),0,""),LEN(V588)-LEN(SUBSTITUTE(V588,"、",""))+1))</f>
        <v/>
      </c>
      <c r="M588" s="83">
        <f>IF(OR(X588="估算法",X588="算法类",X588="无法识别"),"",IF(W588="",IF(OR(I588="ILF",I588="EIF"),0,""),LEN(W588)-LEN(SUBSTITUTE(W588,"、",""))+1))</f>
        <v/>
      </c>
      <c r="N588" s="83">
        <f>IF(OR(X588="估算法",X588="算法类",X588="无法识别"),"",IF(X588="",IF(OR(I588="ILF",I588="EIF",I588="EI",I588="EO",I588="EQ"),0,""),LEN(X588)-LEN(SUBSTITUTE(SUBSTITUTE(SUBSTITUTE(SUBSTITUTE(SUBSTITUTE(X588,"|}","--"),"{|","--"),CHAR(10),""),"、",""),"|",""))+IF(AND(OR(I588="EI",I588="EO",I588="EQ"),$AD$1="NESMA"),2,1)))</f>
        <v/>
      </c>
      <c r="O588" s="84">
        <f>IF(I588="EI",IF(OR(X588="估算法",X588="算法类"),"中",IF(X588="无法识别","低",IF(L588&lt;2,IF(N588&lt;16,"低","中"),IF(L588&lt;3,IF(N588&lt;5,"低",IF(N588&lt;16,"中","高")),IF(N588&lt;5,"中","高"))))),IF(OR(I588="EO",I588="EQ"),IF(OR(X588="估算法",X588="算法类"),"中",IF(X588="无法识别","低",IF(L588&lt;2,IF(N588&lt;20,"低","中"),IF(L588&lt;4,IF(N588&lt;6,"低",IF(N588&lt;20,"中","高")),IF(N588&lt;6,"中","高"))))),IF(OR(I588="ILF",I588="EIF"),IF(OR(X588="估算法",X588="算法类",X588="无法识别"),"低",IF(M588&lt;2,IF(N588&lt;51,"低","中"),IF(M588&lt;6,IF(N588&lt;20,"低",IF(N588&lt;51,"中","高")),IF(N588&lt;20,"中","高")))),"不计算")))</f>
        <v/>
      </c>
      <c r="P588" s="142">
        <f>IFERROR(IF(I588="EI",IF(O588="低",3,IF(O588="中",4,6)),IF(I588="EO",IF(O588="低",4,IF(O588="中",5,7)),IF(I588="EQ",IF(O588="低",3,IF(O588="中",4,6)),IF(I588="ILF",IF(O588="低",7,IF(O588="中",10,15)),IF(I588="EIF",IF(O588="低",5,IF(O588="中",7,10)),"不计算")))))*Q588,"不计算")</f>
        <v/>
      </c>
      <c r="Q588" s="142" t="n">
        <v>0</v>
      </c>
      <c r="R588" s="143">
        <f>调整因子!$F$13</f>
        <v/>
      </c>
      <c r="S588" s="70" t="n">
        <v>1</v>
      </c>
      <c r="T588" s="144">
        <f>IFERROR(P588*R588,0)</f>
        <v/>
      </c>
      <c r="U588" s="144">
        <f>T588*S588</f>
        <v/>
      </c>
      <c r="V588" s="89" t="n"/>
      <c r="W588" s="88" t="inlineStr">
        <is>
          <t>响应审计报告文件</t>
        </is>
      </c>
      <c r="X588" s="88" t="inlineStr">
        <is>
          <t>响应审计报告文件{报告时间、报告名称、接口类型、接口合规比例、不合规问题、排查建议|}</t>
        </is>
      </c>
      <c r="Y588" s="88">
        <f>IF(COUNTIFS(V:V,"*"&amp;H588&amp;"*")&gt;0,"存在","不存在")</f>
        <v/>
      </c>
      <c r="Z588" s="88">
        <f>IF(COUNTIFS(AA:AA,"*"&amp;H588&amp;"*")&gt;0,"存在","不存在")</f>
        <v/>
      </c>
      <c r="AA588" s="70" t="n"/>
    </row>
    <row r="589" hidden="1" ht="21.6" customHeight="1">
      <c r="A589" s="69">
        <f>ROW()-1</f>
        <v/>
      </c>
      <c r="B589" s="53" t="n"/>
      <c r="C589" s="78" t="n">
        <v>2025</v>
      </c>
      <c r="D589" s="78" t="inlineStr">
        <is>
          <t>汤凤欣</t>
        </is>
      </c>
      <c r="E589" s="53" t="n"/>
      <c r="F589" s="53" t="n"/>
      <c r="G589" s="54" t="n"/>
      <c r="H589" s="81" t="inlineStr">
        <is>
          <t>响应审计报告生成历史数据表</t>
        </is>
      </c>
      <c r="I589" s="76" t="inlineStr">
        <is>
          <t>ILF</t>
        </is>
      </c>
      <c r="J589" s="108" t="n"/>
      <c r="K589" s="108" t="inlineStr">
        <is>
          <t>数据库表未被本系统所维护</t>
        </is>
      </c>
      <c r="L589" s="83">
        <f>IF(OR(X589="估算法",X589="算法类",X589="无法识别"),"",IF(V589="",IF(OR(I589="EI",I589="EO",I589="EQ"),0,""),LEN(V589)-LEN(SUBSTITUTE(V589,"、",""))+1))</f>
        <v/>
      </c>
      <c r="M589" s="83">
        <f>IF(OR(X589="估算法",X589="算法类",X589="无法识别"),"",IF(W589="",IF(OR(I589="ILF",I589="EIF"),0,""),LEN(W589)-LEN(SUBSTITUTE(W589,"、",""))+1))</f>
        <v/>
      </c>
      <c r="N589" s="83">
        <f>IF(OR(X589="估算法",X589="算法类",X589="无法识别"),"",IF(X589="",IF(OR(I589="ILF",I589="EIF",I589="EI",I589="EO",I589="EQ"),0,""),LEN(X589)-LEN(SUBSTITUTE(SUBSTITUTE(SUBSTITUTE(SUBSTITUTE(SUBSTITUTE(X589,"|}","--"),"{|","--"),CHAR(10),""),"、",""),"|",""))+IF(AND(OR(I589="EI",I589="EO",I589="EQ"),$AD$1="NESMA"),2,1)))</f>
        <v/>
      </c>
      <c r="O589" s="84">
        <f>IF(I589="EI",IF(OR(X589="估算法",X589="算法类"),"中",IF(X589="无法识别","低",IF(L589&lt;2,IF(N589&lt;16,"低","中"),IF(L589&lt;3,IF(N589&lt;5,"低",IF(N589&lt;16,"中","高")),IF(N589&lt;5,"中","高"))))),IF(OR(I589="EO",I589="EQ"),IF(OR(X589="估算法",X589="算法类"),"中",IF(X589="无法识别","低",IF(L589&lt;2,IF(N589&lt;20,"低","中"),IF(L589&lt;4,IF(N589&lt;6,"低",IF(N589&lt;20,"中","高")),IF(N589&lt;6,"中","高"))))),IF(OR(I589="ILF",I589="EIF"),IF(OR(X589="估算法",X589="算法类",X589="无法识别"),"低",IF(M589&lt;2,IF(N589&lt;51,"低","中"),IF(M589&lt;6,IF(N589&lt;20,"低",IF(N589&lt;51,"中","高")),IF(N589&lt;20,"中","高")))),"不计算")))</f>
        <v/>
      </c>
      <c r="P589" s="142">
        <f>IFERROR(IF(I589="EI",IF(O589="低",3,IF(O589="中",4,6)),IF(I589="EO",IF(O589="低",4,IF(O589="中",5,7)),IF(I589="EQ",IF(O589="低",3,IF(O589="中",4,6)),IF(I589="ILF",IF(O589="低",7,IF(O589="中",10,15)),IF(I589="EIF",IF(O589="低",5,IF(O589="中",7,10)),"不计算")))))*Q589,"不计算")</f>
        <v/>
      </c>
      <c r="Q589" s="142" t="n">
        <v>0</v>
      </c>
      <c r="R589" s="143">
        <f>调整因子!$F$13</f>
        <v/>
      </c>
      <c r="S589" s="70" t="n">
        <v>1</v>
      </c>
      <c r="T589" s="144">
        <f>IFERROR(P589*R589,0)</f>
        <v/>
      </c>
      <c r="U589" s="144">
        <f>T589*S589</f>
        <v/>
      </c>
      <c r="V589" s="89" t="n"/>
      <c r="W589" s="88" t="inlineStr">
        <is>
          <t>响应审计报告生成历史数据表</t>
        </is>
      </c>
      <c r="X589" s="88" t="inlineStr">
        <is>
          <t>响应审计报告生成历史数据表{记录ID、记录时间、生成时间、生成进度、生成结果、报告名称、报告路径|}</t>
        </is>
      </c>
      <c r="Y589" s="88">
        <f>IF(COUNTIFS(V:V,"*"&amp;H589&amp;"*")&gt;0,"存在","不存在")</f>
        <v/>
      </c>
      <c r="Z589" s="88">
        <f>IF(COUNTIFS(AA:AA,"*"&amp;H589&amp;"*")&gt;0,"存在","不存在")</f>
        <v/>
      </c>
      <c r="AA589" s="101" t="n"/>
    </row>
    <row r="590" hidden="1" ht="302.4" customHeight="1">
      <c r="A590" s="69">
        <f>ROW()-1</f>
        <v/>
      </c>
      <c r="B590" s="53" t="n"/>
      <c r="C590" s="78" t="n">
        <v>2025</v>
      </c>
      <c r="D590" s="78" t="inlineStr">
        <is>
          <t>汤凤欣</t>
        </is>
      </c>
      <c r="E590" s="53" t="n"/>
      <c r="F590" s="53" t="n"/>
      <c r="G590" s="79" t="inlineStr">
        <is>
          <t>响应过程历史审计追溯</t>
        </is>
      </c>
      <c r="H590" s="80" t="inlineStr">
        <is>
          <t>查看关联上下文</t>
        </is>
      </c>
      <c r="I590" s="76" t="inlineStr">
        <is>
          <t>EQ</t>
        </is>
      </c>
      <c r="J590" s="108" t="n"/>
      <c r="K590" s="108" t="n"/>
      <c r="L590" s="83">
        <f>IF(OR(X590="估算法",X590="算法类",X590="无法识别"),"",IF(V590="",IF(OR(I590="EI",I590="EO",I590="EQ"),0,""),LEN(V590)-LEN(SUBSTITUTE(V590,"、",""))+1))</f>
        <v/>
      </c>
      <c r="M590" s="83">
        <f>IF(OR(X590="估算法",X590="算法类",X590="无法识别"),"",IF(W590="",IF(OR(I590="ILF",I590="EIF"),0,""),LEN(W590)-LEN(SUBSTITUTE(W590,"、",""))+1))</f>
        <v/>
      </c>
      <c r="N590" s="83">
        <f>IF(OR(X590="估算法",X590="算法类",X590="无法识别"),"",IF(X590="",IF(OR(I590="ILF",I590="EIF",I590="EI",I590="EO",I590="EQ"),0,""),LEN(X590)-LEN(SUBSTITUTE(SUBSTITUTE(SUBSTITUTE(SUBSTITUTE(SUBSTITUTE(X590,"|}","--"),"{|","--"),CHAR(10),""),"、",""),"|",""))+IF(AND(OR(I590="EI",I590="EO",I590="EQ"),$AD$1="NESMA"),2,1)))</f>
        <v/>
      </c>
      <c r="O590" s="84">
        <f>IF(I590="EI",IF(OR(X590="估算法",X590="算法类"),"中",IF(X590="无法识别","低",IF(L590&lt;2,IF(N590&lt;16,"低","中"),IF(L590&lt;3,IF(N590&lt;5,"低",IF(N590&lt;16,"中","高")),IF(N590&lt;5,"中","高"))))),IF(OR(I590="EO",I590="EQ"),IF(OR(X590="估算法",X590="算法类"),"中",IF(X590="无法识别","低",IF(L590&lt;2,IF(N590&lt;20,"低","中"),IF(L590&lt;4,IF(N590&lt;6,"低",IF(N590&lt;20,"中","高")),IF(N590&lt;6,"中","高"))))),IF(OR(I590="ILF",I590="EIF"),IF(OR(X590="估算法",X590="算法类",X590="无法识别"),"低",IF(M590&lt;2,IF(N590&lt;51,"低","中"),IF(M590&lt;6,IF(N590&lt;20,"低",IF(N590&lt;51,"中","高")),IF(N590&lt;20,"中","高")))),"不计算")))</f>
        <v/>
      </c>
      <c r="P590" s="142">
        <f>IFERROR(IF(I590="EI",IF(O590="低",3,IF(O590="中",4,6)),IF(I590="EO",IF(O590="低",4,IF(O590="中",5,7)),IF(I590="EQ",IF(O590="低",3,IF(O590="中",4,6)),IF(I590="ILF",IF(O590="低",7,IF(O590="中",10,15)),IF(I590="EIF",IF(O590="低",5,IF(O590="中",7,10)),"不计算")))))*Q590,"不计算")</f>
        <v/>
      </c>
      <c r="Q590" s="142" t="n">
        <v>1</v>
      </c>
      <c r="R590" s="143">
        <f>调整因子!$F$13</f>
        <v/>
      </c>
      <c r="S590" s="76" t="n">
        <v>1</v>
      </c>
      <c r="T590" s="144">
        <f>IFERROR(P590*R590,0)</f>
        <v/>
      </c>
      <c r="U590" s="144">
        <f>T590*S590</f>
        <v/>
      </c>
      <c r="V590" s="88"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W590" s="89" t="n"/>
      <c r="X590" s="88" t="inlineStr">
        <is>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Y590" s="88" t="n"/>
      <c r="Z590" s="88" t="n"/>
      <c r="AA590" s="70" t="n"/>
    </row>
    <row r="591" hidden="1" ht="302.4" customHeight="1">
      <c r="A591" s="69">
        <f>ROW()-1</f>
        <v/>
      </c>
      <c r="B591" s="53" t="n"/>
      <c r="C591" s="78" t="n">
        <v>2025</v>
      </c>
      <c r="D591" s="78" t="inlineStr">
        <is>
          <t>汤凤欣</t>
        </is>
      </c>
      <c r="E591" s="53" t="n"/>
      <c r="F591" s="54" t="n"/>
      <c r="G591" s="54" t="n"/>
      <c r="H591" s="81" t="inlineStr">
        <is>
          <t>查询响应数据列表</t>
        </is>
      </c>
      <c r="I591" s="76" t="inlineStr">
        <is>
          <t>EQ</t>
        </is>
      </c>
      <c r="J591" s="108" t="n"/>
      <c r="K591" s="108" t="n"/>
      <c r="L591" s="83">
        <f>IF(OR(X591="估算法",X591="算法类",X591="无法识别"),"",IF(V591="",IF(OR(I591="EI",I591="EO",I591="EQ"),0,""),LEN(V591)-LEN(SUBSTITUTE(V591,"、",""))+1))</f>
        <v/>
      </c>
      <c r="M591" s="83">
        <f>IF(OR(X591="估算法",X591="算法类",X591="无法识别"),"",IF(W591="",IF(OR(I591="ILF",I591="EIF"),0,""),LEN(W591)-LEN(SUBSTITUTE(W591,"、",""))+1))</f>
        <v/>
      </c>
      <c r="N591" s="83">
        <f>IF(OR(X591="估算法",X591="算法类",X591="无法识别"),"",IF(X591="",IF(OR(I591="ILF",I591="EIF",I591="EI",I591="EO",I591="EQ"),0,""),LEN(X591)-LEN(SUBSTITUTE(SUBSTITUTE(SUBSTITUTE(SUBSTITUTE(SUBSTITUTE(X591,"|}","--"),"{|","--"),CHAR(10),""),"、",""),"|",""))+IF(AND(OR(I591="EI",I591="EO",I591="EQ"),$AD$1="NESMA"),2,1)))</f>
        <v/>
      </c>
      <c r="O591" s="84">
        <f>IF(I591="EI",IF(OR(X591="估算法",X591="算法类"),"中",IF(X591="无法识别","低",IF(L591&lt;2,IF(N591&lt;16,"低","中"),IF(L591&lt;3,IF(N591&lt;5,"低",IF(N591&lt;16,"中","高")),IF(N591&lt;5,"中","高"))))),IF(OR(I591="EO",I591="EQ"),IF(OR(X591="估算法",X591="算法类"),"中",IF(X591="无法识别","低",IF(L591&lt;2,IF(N591&lt;20,"低","中"),IF(L591&lt;4,IF(N591&lt;6,"低",IF(N591&lt;20,"中","高")),IF(N591&lt;6,"中","高"))))),IF(OR(I591="ILF",I591="EIF"),IF(OR(X591="估算法",X591="算法类",X591="无法识别"),"低",IF(M591&lt;2,IF(N591&lt;51,"低","中"),IF(M591&lt;6,IF(N591&lt;20,"低",IF(N591&lt;51,"中","高")),IF(N591&lt;20,"中","高")))),"不计算")))</f>
        <v/>
      </c>
      <c r="P591" s="142">
        <f>IFERROR(IF(I591="EI",IF(O591="低",3,IF(O591="中",4,6)),IF(I591="EO",IF(O591="低",4,IF(O591="中",5,7)),IF(I591="EQ",IF(O591="低",3,IF(O591="中",4,6)),IF(I591="ILF",IF(O591="低",7,IF(O591="中",10,15)),IF(I591="EIF",IF(O591="低",5,IF(O591="中",7,10)),"不计算")))))*Q591,"不计算")</f>
        <v/>
      </c>
      <c r="Q591" s="142" t="n">
        <v>1</v>
      </c>
      <c r="R591" s="143">
        <f>调整因子!$F$13</f>
        <v/>
      </c>
      <c r="S591" s="70" t="n">
        <v>1</v>
      </c>
      <c r="T591" s="144">
        <f>IFERROR(P591*R591,0)</f>
        <v/>
      </c>
      <c r="U591" s="144">
        <f>T591*S591</f>
        <v/>
      </c>
      <c r="V591" s="88"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W591" s="89" t="n"/>
      <c r="X591" s="88" t="inlineStr">
        <is>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Y591" s="88" t="n"/>
      <c r="Z591" s="88" t="n"/>
      <c r="AA591" s="101" t="n"/>
    </row>
    <row r="592" hidden="1" ht="21.6" customHeight="1">
      <c r="A592" s="69">
        <f>ROW()-1</f>
        <v/>
      </c>
      <c r="B592" s="53" t="n"/>
      <c r="C592" s="78" t="n">
        <v>2025</v>
      </c>
      <c r="D592" s="78" t="inlineStr">
        <is>
          <t>汤凤欣</t>
        </is>
      </c>
      <c r="E592" s="53" t="n"/>
      <c r="F592" s="79" t="inlineStr">
        <is>
          <t>系统漏洞修复核验任务</t>
        </is>
      </c>
      <c r="G592" s="79" t="inlineStr">
        <is>
          <t>系统漏洞修复核验任务管理</t>
        </is>
      </c>
      <c r="H592" s="102" t="inlineStr">
        <is>
          <t>下发漏洞修复工单</t>
        </is>
      </c>
      <c r="I592" s="76" t="inlineStr">
        <is>
          <t>EI</t>
        </is>
      </c>
      <c r="J592" s="108" t="n"/>
      <c r="K592" s="108" t="n"/>
      <c r="L592" s="83">
        <f>IF(OR(X592="估算法",X592="算法类",X592="无法识别"),"",IF(V592="",IF(OR(I592="EI",I592="EO",I592="EQ"),0,""),LEN(V592)-LEN(SUBSTITUTE(V592,"、",""))+1))</f>
        <v/>
      </c>
      <c r="M592" s="83">
        <f>IF(OR(X592="估算法",X592="算法类",X592="无法识别"),"",IF(W592="",IF(OR(I592="ILF",I592="EIF"),0,""),LEN(W592)-LEN(SUBSTITUTE(W592,"、",""))+1))</f>
        <v/>
      </c>
      <c r="N592" s="83">
        <f>IF(OR(X592="估算法",X592="算法类",X592="无法识别"),"",IF(X592="",IF(OR(I592="ILF",I592="EIF",I592="EI",I592="EO",I592="EQ"),0,""),LEN(X592)-LEN(SUBSTITUTE(SUBSTITUTE(SUBSTITUTE(SUBSTITUTE(SUBSTITUTE(X592,"|}","--"),"{|","--"),CHAR(10),""),"、",""),"|",""))+IF(AND(OR(I592="EI",I592="EO",I592="EQ"),$AD$1="NESMA"),2,1)))</f>
        <v/>
      </c>
      <c r="O592" s="84">
        <f>IF(I592="EI",IF(OR(X592="估算法",X592="算法类"),"中",IF(X592="无法识别","低",IF(L592&lt;2,IF(N592&lt;16,"低","中"),IF(L592&lt;3,IF(N592&lt;5,"低",IF(N592&lt;16,"中","高")),IF(N592&lt;5,"中","高"))))),IF(OR(I592="EO",I592="EQ"),IF(OR(X592="估算法",X592="算法类"),"中",IF(X592="无法识别","低",IF(L592&lt;2,IF(N592&lt;20,"低","中"),IF(L592&lt;4,IF(N592&lt;6,"低",IF(N592&lt;20,"中","高")),IF(N592&lt;6,"中","高"))))),IF(OR(I592="ILF",I592="EIF"),IF(OR(X592="估算法",X592="算法类",X592="无法识别"),"低",IF(M592&lt;2,IF(N592&lt;51,"低","中"),IF(M592&lt;6,IF(N592&lt;20,"低",IF(N592&lt;51,"中","高")),IF(N592&lt;20,"中","高")))),"不计算")))</f>
        <v/>
      </c>
      <c r="P592" s="142">
        <f>IFERROR(IF(I592="EI",IF(O592="低",3,IF(O592="中",4,6)),IF(I592="EO",IF(O592="低",4,IF(O592="中",5,7)),IF(I592="EQ",IF(O592="低",3,IF(O592="中",4,6)),IF(I592="ILF",IF(O592="低",7,IF(O592="中",10,15)),IF(I592="EIF",IF(O592="低",5,IF(O592="中",7,10)),"不计算")))))*Q592,"不计算")</f>
        <v/>
      </c>
      <c r="Q592" s="142" t="n">
        <v>1</v>
      </c>
      <c r="R592" s="143">
        <f>调整因子!$F$13</f>
        <v/>
      </c>
      <c r="S592" s="70" t="n">
        <v>1</v>
      </c>
      <c r="T592" s="144">
        <f>IFERROR(P592*R592,0)</f>
        <v/>
      </c>
      <c r="U592" s="144">
        <f>T592*S592</f>
        <v/>
      </c>
      <c r="V592" s="88" t="inlineStr">
        <is>
          <t>漏洞修复核验工单数据表</t>
        </is>
      </c>
      <c r="W592" s="89" t="n"/>
      <c r="X592" s="88" t="inlineStr">
        <is>
          <t>漏洞修复核验工单数据表{工单ID、工单编号、时间戳、处置时间、产品漏洞范围、资产范围、系统漏洞范围、责任人范围、处置人角色编码、处置比例、工单说明|}</t>
        </is>
      </c>
      <c r="Y592" s="88" t="n"/>
      <c r="Z592" s="88" t="n"/>
      <c r="AA592" s="70" t="n"/>
    </row>
    <row r="593" hidden="1" ht="21.6" customHeight="1">
      <c r="A593" s="69">
        <f>ROW()-1</f>
        <v/>
      </c>
      <c r="B593" s="53" t="n"/>
      <c r="C593" s="78" t="n">
        <v>2025</v>
      </c>
      <c r="D593" s="78" t="inlineStr">
        <is>
          <t>汤凤欣</t>
        </is>
      </c>
      <c r="E593" s="53" t="n"/>
      <c r="F593" s="53" t="n"/>
      <c r="G593" s="53" t="n"/>
      <c r="H593" s="102" t="inlineStr">
        <is>
          <t>修改漏洞修复工单</t>
        </is>
      </c>
      <c r="I593" s="76" t="inlineStr">
        <is>
          <t>EI</t>
        </is>
      </c>
      <c r="J593" s="108" t="n"/>
      <c r="K593" s="108" t="n"/>
      <c r="L593" s="83">
        <f>IF(OR(X593="估算法",X593="算法类",X593="无法识别"),"",IF(V593="",IF(OR(I593="EI",I593="EO",I593="EQ"),0,""),LEN(V593)-LEN(SUBSTITUTE(V593,"、",""))+1))</f>
        <v/>
      </c>
      <c r="M593" s="83">
        <f>IF(OR(X593="估算法",X593="算法类",X593="无法识别"),"",IF(W593="",IF(OR(I593="ILF",I593="EIF"),0,""),LEN(W593)-LEN(SUBSTITUTE(W593,"、",""))+1))</f>
        <v/>
      </c>
      <c r="N593" s="83">
        <f>IF(OR(X593="估算法",X593="算法类",X593="无法识别"),"",IF(X593="",IF(OR(I593="ILF",I593="EIF",I593="EI",I593="EO",I593="EQ"),0,""),LEN(X593)-LEN(SUBSTITUTE(SUBSTITUTE(SUBSTITUTE(SUBSTITUTE(SUBSTITUTE(X593,"|}","--"),"{|","--"),CHAR(10),""),"、",""),"|",""))+IF(AND(OR(I593="EI",I593="EO",I593="EQ"),$AD$1="NESMA"),2,1)))</f>
        <v/>
      </c>
      <c r="O593" s="84">
        <f>IF(I593="EI",IF(OR(X593="估算法",X593="算法类"),"中",IF(X593="无法识别","低",IF(L593&lt;2,IF(N593&lt;16,"低","中"),IF(L593&lt;3,IF(N593&lt;5,"低",IF(N593&lt;16,"中","高")),IF(N593&lt;5,"中","高"))))),IF(OR(I593="EO",I593="EQ"),IF(OR(X593="估算法",X593="算法类"),"中",IF(X593="无法识别","低",IF(L593&lt;2,IF(N593&lt;20,"低","中"),IF(L593&lt;4,IF(N593&lt;6,"低",IF(N593&lt;20,"中","高")),IF(N593&lt;6,"中","高"))))),IF(OR(I593="ILF",I593="EIF"),IF(OR(X593="估算法",X593="算法类",X593="无法识别"),"低",IF(M593&lt;2,IF(N593&lt;51,"低","中"),IF(M593&lt;6,IF(N593&lt;20,"低",IF(N593&lt;51,"中","高")),IF(N593&lt;20,"中","高")))),"不计算")))</f>
        <v/>
      </c>
      <c r="P593" s="142">
        <f>IFERROR(IF(I593="EI",IF(O593="低",3,IF(O593="中",4,6)),IF(I593="EO",IF(O593="低",4,IF(O593="中",5,7)),IF(I593="EQ",IF(O593="低",3,IF(O593="中",4,6)),IF(I593="ILF",IF(O593="低",7,IF(O593="中",10,15)),IF(I593="EIF",IF(O593="低",5,IF(O593="中",7,10)),"不计算")))))*Q593,"不计算")</f>
        <v/>
      </c>
      <c r="Q593" s="142" t="n">
        <v>0.333333333333333</v>
      </c>
      <c r="R593" s="143">
        <f>调整因子!$F$13</f>
        <v/>
      </c>
      <c r="S593" s="76" t="n">
        <v>1</v>
      </c>
      <c r="T593" s="144">
        <f>IFERROR(P593*R593,0)</f>
        <v/>
      </c>
      <c r="U593" s="144">
        <f>T593*S593</f>
        <v/>
      </c>
      <c r="V593" s="88" t="inlineStr">
        <is>
          <t>漏洞修复核验工单数据表</t>
        </is>
      </c>
      <c r="W593" s="89" t="n"/>
      <c r="X593" s="88" t="inlineStr">
        <is>
          <t>漏洞修复核验工单数据表{工单ID、工单编号、时间戳、处置时间、产品漏洞范围、资产范围、系统漏洞范围、责任人范围、处置人角色编码、处置比例、工单说明|}</t>
        </is>
      </c>
      <c r="Y593" s="88" t="n"/>
      <c r="Z593" s="88" t="n"/>
      <c r="AA593" s="101" t="n"/>
    </row>
    <row r="594" hidden="1" ht="21.6" customHeight="1">
      <c r="A594" s="69">
        <f>ROW()-1</f>
        <v/>
      </c>
      <c r="B594" s="53" t="n"/>
      <c r="C594" s="78" t="n">
        <v>2025</v>
      </c>
      <c r="D594" s="78" t="inlineStr">
        <is>
          <t>汤凤欣</t>
        </is>
      </c>
      <c r="E594" s="53" t="n"/>
      <c r="F594" s="53" t="n"/>
      <c r="G594" s="53" t="n"/>
      <c r="H594" s="102" t="inlineStr">
        <is>
          <t>创建漏洞修复工单</t>
        </is>
      </c>
      <c r="I594" s="76" t="inlineStr">
        <is>
          <t>EI</t>
        </is>
      </c>
      <c r="J594" s="108" t="n"/>
      <c r="K594" s="108" t="n"/>
      <c r="L594" s="83">
        <f>IF(OR(X594="估算法",X594="算法类",X594="无法识别"),"",IF(V594="",IF(OR(I594="EI",I594="EO",I594="EQ"),0,""),LEN(V594)-LEN(SUBSTITUTE(V594,"、",""))+1))</f>
        <v/>
      </c>
      <c r="M594" s="83">
        <f>IF(OR(X594="估算法",X594="算法类",X594="无法识别"),"",IF(W594="",IF(OR(I594="ILF",I594="EIF"),0,""),LEN(W594)-LEN(SUBSTITUTE(W594,"、",""))+1))</f>
        <v/>
      </c>
      <c r="N594" s="83">
        <f>IF(OR(X594="估算法",X594="算法类",X594="无法识别"),"",IF(X594="",IF(OR(I594="ILF",I594="EIF",I594="EI",I594="EO",I594="EQ"),0,""),LEN(X594)-LEN(SUBSTITUTE(SUBSTITUTE(SUBSTITUTE(SUBSTITUTE(SUBSTITUTE(X594,"|}","--"),"{|","--"),CHAR(10),""),"、",""),"|",""))+IF(AND(OR(I594="EI",I594="EO",I594="EQ"),$AD$1="NESMA"),2,1)))</f>
        <v/>
      </c>
      <c r="O594" s="84">
        <f>IF(I594="EI",IF(OR(X594="估算法",X594="算法类"),"中",IF(X594="无法识别","低",IF(L594&lt;2,IF(N594&lt;16,"低","中"),IF(L594&lt;3,IF(N594&lt;5,"低",IF(N594&lt;16,"中","高")),IF(N594&lt;5,"中","高"))))),IF(OR(I594="EO",I594="EQ"),IF(OR(X594="估算法",X594="算法类"),"中",IF(X594="无法识别","低",IF(L594&lt;2,IF(N594&lt;20,"低","中"),IF(L594&lt;4,IF(N594&lt;6,"低",IF(N594&lt;20,"中","高")),IF(N594&lt;6,"中","高"))))),IF(OR(I594="ILF",I594="EIF"),IF(OR(X594="估算法",X594="算法类",X594="无法识别"),"低",IF(M594&lt;2,IF(N594&lt;51,"低","中"),IF(M594&lt;6,IF(N594&lt;20,"低",IF(N594&lt;51,"中","高")),IF(N594&lt;20,"中","高")))),"不计算")))</f>
        <v/>
      </c>
      <c r="P594" s="142">
        <f>IFERROR(IF(I594="EI",IF(O594="低",3,IF(O594="中",4,6)),IF(I594="EO",IF(O594="低",4,IF(O594="中",5,7)),IF(I594="EQ",IF(O594="低",3,IF(O594="中",4,6)),IF(I594="ILF",IF(O594="低",7,IF(O594="中",10,15)),IF(I594="EIF",IF(O594="低",5,IF(O594="中",7,10)),"不计算")))))*Q594,"不计算")</f>
        <v/>
      </c>
      <c r="Q594" s="142" t="n">
        <v>1</v>
      </c>
      <c r="R594" s="143">
        <f>调整因子!$F$13</f>
        <v/>
      </c>
      <c r="S594" s="70" t="n">
        <v>1</v>
      </c>
      <c r="T594" s="144">
        <f>IFERROR(P594*R594,0)</f>
        <v/>
      </c>
      <c r="U594" s="144">
        <f>T594*S594</f>
        <v/>
      </c>
      <c r="V594" s="88" t="inlineStr">
        <is>
          <t>漏洞修复核验工单数据表</t>
        </is>
      </c>
      <c r="W594" s="89" t="n"/>
      <c r="X594" s="88" t="inlineStr">
        <is>
          <t>漏洞修复核验工单数据表{工单ID、工单编号、时间戳、处置时间、产品漏洞范围、资产范围、系统漏洞范围、责任人范围、处置人角色编码、处置比例、工单说明|}</t>
        </is>
      </c>
      <c r="Y594" s="88" t="n"/>
      <c r="Z594" s="88" t="n"/>
      <c r="AA594" s="70" t="n"/>
    </row>
    <row r="595" hidden="1" ht="21.6" customHeight="1">
      <c r="A595" s="69">
        <f>ROW()-1</f>
        <v/>
      </c>
      <c r="B595" s="53" t="n"/>
      <c r="C595" s="78" t="n">
        <v>2025</v>
      </c>
      <c r="D595" s="78" t="inlineStr">
        <is>
          <t>汤凤欣</t>
        </is>
      </c>
      <c r="E595" s="53" t="n"/>
      <c r="F595" s="53" t="n"/>
      <c r="G595" s="53" t="n"/>
      <c r="H595" s="102" t="inlineStr">
        <is>
          <t>查询漏洞修复工单</t>
        </is>
      </c>
      <c r="I595" s="76" t="inlineStr">
        <is>
          <t>EQ</t>
        </is>
      </c>
      <c r="J595" s="108" t="n"/>
      <c r="K595" s="108" t="n"/>
      <c r="L595" s="83">
        <f>IF(OR(X595="估算法",X595="算法类",X595="无法识别"),"",IF(V595="",IF(OR(I595="EI",I595="EO",I595="EQ"),0,""),LEN(V595)-LEN(SUBSTITUTE(V595,"、",""))+1))</f>
        <v/>
      </c>
      <c r="M595" s="83">
        <f>IF(OR(X595="估算法",X595="算法类",X595="无法识别"),"",IF(W595="",IF(OR(I595="ILF",I595="EIF"),0,""),LEN(W595)-LEN(SUBSTITUTE(W595,"、",""))+1))</f>
        <v/>
      </c>
      <c r="N595" s="83">
        <f>IF(OR(X595="估算法",X595="算法类",X595="无法识别"),"",IF(X595="",IF(OR(I595="ILF",I595="EIF",I595="EI",I595="EO",I595="EQ"),0,""),LEN(X595)-LEN(SUBSTITUTE(SUBSTITUTE(SUBSTITUTE(SUBSTITUTE(SUBSTITUTE(X595,"|}","--"),"{|","--"),CHAR(10),""),"、",""),"|",""))+IF(AND(OR(I595="EI",I595="EO",I595="EQ"),$AD$1="NESMA"),2,1)))</f>
        <v/>
      </c>
      <c r="O595" s="84">
        <f>IF(I595="EI",IF(OR(X595="估算法",X595="算法类"),"中",IF(X595="无法识别","低",IF(L595&lt;2,IF(N595&lt;16,"低","中"),IF(L595&lt;3,IF(N595&lt;5,"低",IF(N595&lt;16,"中","高")),IF(N595&lt;5,"中","高"))))),IF(OR(I595="EO",I595="EQ"),IF(OR(X595="估算法",X595="算法类"),"中",IF(X595="无法识别","低",IF(L595&lt;2,IF(N595&lt;20,"低","中"),IF(L595&lt;4,IF(N595&lt;6,"低",IF(N595&lt;20,"中","高")),IF(N595&lt;6,"中","高"))))),IF(OR(I595="ILF",I595="EIF"),IF(OR(X595="估算法",X595="算法类",X595="无法识别"),"低",IF(M595&lt;2,IF(N595&lt;51,"低","中"),IF(M595&lt;6,IF(N595&lt;20,"低",IF(N595&lt;51,"中","高")),IF(N595&lt;20,"中","高")))),"不计算")))</f>
        <v/>
      </c>
      <c r="P595" s="142">
        <f>IFERROR(IF(I595="EI",IF(O595="低",3,IF(O595="中",4,6)),IF(I595="EO",IF(O595="低",4,IF(O595="中",5,7)),IF(I595="EQ",IF(O595="低",3,IF(O595="中",4,6)),IF(I595="ILF",IF(O595="低",7,IF(O595="中",10,15)),IF(I595="EIF",IF(O595="低",5,IF(O595="中",7,10)),"不计算")))))*Q595,"不计算")</f>
        <v/>
      </c>
      <c r="Q595" s="142" t="n">
        <v>1</v>
      </c>
      <c r="R595" s="143">
        <f>调整因子!$F$13</f>
        <v/>
      </c>
      <c r="S595" s="70" t="n">
        <v>1</v>
      </c>
      <c r="T595" s="144">
        <f>IFERROR(P595*R595,0)</f>
        <v/>
      </c>
      <c r="U595" s="144">
        <f>T595*S595</f>
        <v/>
      </c>
      <c r="V595" s="88" t="inlineStr">
        <is>
          <t>漏洞修复核验工单数据表</t>
        </is>
      </c>
      <c r="W595" s="89" t="n"/>
      <c r="X595" s="88" t="inlineStr">
        <is>
          <t>漏洞修复核验工单数据表{工单ID、工单编号、时间戳、处置时间、产品漏洞范围、资产范围、系统漏洞范围、责任人范围、处置人角色编码、处置比例、工单说明|}</t>
        </is>
      </c>
      <c r="Y595" s="88" t="n"/>
      <c r="Z595" s="88" t="n"/>
      <c r="AA595" s="101" t="n"/>
    </row>
    <row r="596" hidden="1" ht="21.6" customHeight="1">
      <c r="A596" s="69">
        <f>ROW()-1</f>
        <v/>
      </c>
      <c r="B596" s="53" t="n"/>
      <c r="C596" s="78" t="n">
        <v>2025</v>
      </c>
      <c r="D596" s="78" t="inlineStr">
        <is>
          <t>汤凤欣</t>
        </is>
      </c>
      <c r="E596" s="53" t="n"/>
      <c r="F596" s="53" t="n"/>
      <c r="G596" s="53" t="n"/>
      <c r="H596" s="80" t="inlineStr">
        <is>
          <t>编辑漏洞修复工单</t>
        </is>
      </c>
      <c r="I596" s="76" t="inlineStr">
        <is>
          <t>EI</t>
        </is>
      </c>
      <c r="J596" s="108" t="n"/>
      <c r="K596" s="108" t="n"/>
      <c r="L596" s="83">
        <f>IF(OR(X596="估算法",X596="算法类",X596="无法识别"),"",IF(V596="",IF(OR(I596="EI",I596="EO",I596="EQ"),0,""),LEN(V596)-LEN(SUBSTITUTE(V596,"、",""))+1))</f>
        <v/>
      </c>
      <c r="M596" s="83">
        <f>IF(OR(X596="估算法",X596="算法类",X596="无法识别"),"",IF(W596="",IF(OR(I596="ILF",I596="EIF"),0,""),LEN(W596)-LEN(SUBSTITUTE(W596,"、",""))+1))</f>
        <v/>
      </c>
      <c r="N596" s="83">
        <f>IF(OR(X596="估算法",X596="算法类",X596="无法识别"),"",IF(X596="",IF(OR(I596="ILF",I596="EIF",I596="EI",I596="EO",I596="EQ"),0,""),LEN(X596)-LEN(SUBSTITUTE(SUBSTITUTE(SUBSTITUTE(SUBSTITUTE(SUBSTITUTE(X596,"|}","--"),"{|","--"),CHAR(10),""),"、",""),"|",""))+IF(AND(OR(I596="EI",I596="EO",I596="EQ"),$AD$1="NESMA"),2,1)))</f>
        <v/>
      </c>
      <c r="O596" s="84">
        <f>IF(I596="EI",IF(OR(X596="估算法",X596="算法类"),"中",IF(X596="无法识别","低",IF(L596&lt;2,IF(N596&lt;16,"低","中"),IF(L596&lt;3,IF(N596&lt;5,"低",IF(N596&lt;16,"中","高")),IF(N596&lt;5,"中","高"))))),IF(OR(I596="EO",I596="EQ"),IF(OR(X596="估算法",X596="算法类"),"中",IF(X596="无法识别","低",IF(L596&lt;2,IF(N596&lt;20,"低","中"),IF(L596&lt;4,IF(N596&lt;6,"低",IF(N596&lt;20,"中","高")),IF(N596&lt;6,"中","高"))))),IF(OR(I596="ILF",I596="EIF"),IF(OR(X596="估算法",X596="算法类",X596="无法识别"),"低",IF(M596&lt;2,IF(N596&lt;51,"低","中"),IF(M596&lt;6,IF(N596&lt;20,"低",IF(N596&lt;51,"中","高")),IF(N596&lt;20,"中","高")))),"不计算")))</f>
        <v/>
      </c>
      <c r="P596" s="142">
        <f>IFERROR(IF(I596="EI",IF(O596="低",3,IF(O596="中",4,6)),IF(I596="EO",IF(O596="低",4,IF(O596="中",5,7)),IF(I596="EQ",IF(O596="低",3,IF(O596="中",4,6)),IF(I596="ILF",IF(O596="低",7,IF(O596="中",10,15)),IF(I596="EIF",IF(O596="低",5,IF(O596="中",7,10)),"不计算")))))*Q596,"不计算")</f>
        <v/>
      </c>
      <c r="Q596" s="142" t="n">
        <v>1</v>
      </c>
      <c r="R596" s="143">
        <f>调整因子!$F$13</f>
        <v/>
      </c>
      <c r="S596" s="76" t="n">
        <v>1</v>
      </c>
      <c r="T596" s="144">
        <f>IFERROR(P596*R596,0)</f>
        <v/>
      </c>
      <c r="U596" s="144">
        <f>T596*S596</f>
        <v/>
      </c>
      <c r="V596" s="88" t="inlineStr">
        <is>
          <t>漏洞修复核验工单数据表</t>
        </is>
      </c>
      <c r="W596" s="89" t="n"/>
      <c r="X596" s="88" t="inlineStr">
        <is>
          <t>漏洞修复核验工单数据表{工单ID、工单编号、时间戳、处置时间、产品漏洞范围、资产范围、系统漏洞范围、责任人范围、处置人角色编码、处置比例、工单说明|}</t>
        </is>
      </c>
      <c r="Y596" s="88" t="n"/>
      <c r="Z596" s="88" t="n"/>
      <c r="AA596" s="70" t="n"/>
    </row>
    <row r="597" hidden="1" ht="21.6" customHeight="1">
      <c r="A597" s="69">
        <f>ROW()-1</f>
        <v/>
      </c>
      <c r="B597" s="53" t="n"/>
      <c r="C597" s="78" t="n">
        <v>2025</v>
      </c>
      <c r="D597" s="78" t="inlineStr">
        <is>
          <t>汤凤欣</t>
        </is>
      </c>
      <c r="E597" s="53" t="n"/>
      <c r="F597" s="53" t="n"/>
      <c r="G597" s="54" t="n"/>
      <c r="H597" s="81" t="inlineStr">
        <is>
          <t>漏洞修复核验工单数据表</t>
        </is>
      </c>
      <c r="I597" s="76" t="inlineStr">
        <is>
          <t>ILF</t>
        </is>
      </c>
      <c r="J597" s="108" t="n"/>
      <c r="K597" s="108" t="n"/>
      <c r="L597" s="83">
        <f>IF(OR(X597="估算法",X597="算法类",X597="无法识别"),"",IF(V597="",IF(OR(I597="EI",I597="EO",I597="EQ"),0,""),LEN(V597)-LEN(SUBSTITUTE(V597,"、",""))+1))</f>
        <v/>
      </c>
      <c r="M597" s="83">
        <f>IF(OR(X597="估算法",X597="算法类",X597="无法识别"),"",IF(W597="",IF(OR(I597="ILF",I597="EIF"),0,""),LEN(W597)-LEN(SUBSTITUTE(W597,"、",""))+1))</f>
        <v/>
      </c>
      <c r="N597" s="83">
        <f>IF(OR(X597="估算法",X597="算法类",X597="无法识别"),"",IF(X597="",IF(OR(I597="ILF",I597="EIF",I597="EI",I597="EO",I597="EQ"),0,""),LEN(X597)-LEN(SUBSTITUTE(SUBSTITUTE(SUBSTITUTE(SUBSTITUTE(SUBSTITUTE(X597,"|}","--"),"{|","--"),CHAR(10),""),"、",""),"|",""))+IF(AND(OR(I597="EI",I597="EO",I597="EQ"),$AD$1="NESMA"),2,1)))</f>
        <v/>
      </c>
      <c r="O597" s="84">
        <f>IF(I597="EI",IF(OR(X597="估算法",X597="算法类"),"中",IF(X597="无法识别","低",IF(L597&lt;2,IF(N597&lt;16,"低","中"),IF(L597&lt;3,IF(N597&lt;5,"低",IF(N597&lt;16,"中","高")),IF(N597&lt;5,"中","高"))))),IF(OR(I597="EO",I597="EQ"),IF(OR(X597="估算法",X597="算法类"),"中",IF(X597="无法识别","低",IF(L597&lt;2,IF(N597&lt;20,"低","中"),IF(L597&lt;4,IF(N597&lt;6,"低",IF(N597&lt;20,"中","高")),IF(N597&lt;6,"中","高"))))),IF(OR(I597="ILF",I597="EIF"),IF(OR(X597="估算法",X597="算法类",X597="无法识别"),"低",IF(M597&lt;2,IF(N597&lt;51,"低","中"),IF(M597&lt;6,IF(N597&lt;20,"低",IF(N597&lt;51,"中","高")),IF(N597&lt;20,"中","高")))),"不计算")))</f>
        <v/>
      </c>
      <c r="P597" s="142">
        <f>IFERROR(IF(I597="EI",IF(O597="低",3,IF(O597="中",4,6)),IF(I597="EO",IF(O597="低",4,IF(O597="中",5,7)),IF(I597="EQ",IF(O597="低",3,IF(O597="中",4,6)),IF(I597="ILF",IF(O597="低",7,IF(O597="中",10,15)),IF(I597="EIF",IF(O597="低",5,IF(O597="中",7,10)),"不计算")))))*Q597,"不计算")</f>
        <v/>
      </c>
      <c r="Q597" s="142" t="n">
        <v>1</v>
      </c>
      <c r="R597" s="143">
        <f>调整因子!$F$13</f>
        <v/>
      </c>
      <c r="S597" s="70" t="n">
        <v>1</v>
      </c>
      <c r="T597" s="144">
        <f>IFERROR(P597*R597,0)</f>
        <v/>
      </c>
      <c r="U597" s="144">
        <f>T597*S597</f>
        <v/>
      </c>
      <c r="V597" s="89" t="n"/>
      <c r="W597" s="88" t="inlineStr">
        <is>
          <t>漏洞修复核验工单数据表</t>
        </is>
      </c>
      <c r="X597" s="88" t="inlineStr">
        <is>
          <t>漏洞修复核验工单数据表{工单ID、工单编号、时间戳、处置时间、产品漏洞范围、资产范围、系统漏洞范围、责任人范围、处置人角色编码、处置比例、工单说明|}</t>
        </is>
      </c>
      <c r="Y597" s="88">
        <f>IF(COUNTIFS(V:V,"*"&amp;H597&amp;"*")&gt;0,"存在","不存在")</f>
        <v/>
      </c>
      <c r="Z597" s="88">
        <f>IF(COUNTIFS(AA:AA,"*"&amp;H597&amp;"*")&gt;0,"存在","不存在")</f>
        <v/>
      </c>
      <c r="AA597" s="101" t="n"/>
    </row>
    <row r="598" hidden="1" ht="21.6" customHeight="1">
      <c r="A598" s="69">
        <f>ROW()-1</f>
        <v/>
      </c>
      <c r="B598" s="53" t="n"/>
      <c r="C598" s="78" t="n">
        <v>2025</v>
      </c>
      <c r="D598" s="78" t="inlineStr">
        <is>
          <t>汤凤欣</t>
        </is>
      </c>
      <c r="E598" s="53" t="n"/>
      <c r="F598" s="53" t="n"/>
      <c r="G598" s="76" t="inlineStr">
        <is>
          <t>系统漏洞修复核验策略配置</t>
        </is>
      </c>
      <c r="H598" s="102" t="inlineStr">
        <is>
          <t>配置漏洞修复核验方式</t>
        </is>
      </c>
      <c r="I598" s="76" t="inlineStr">
        <is>
          <t>EI</t>
        </is>
      </c>
      <c r="J598" s="108" t="n"/>
      <c r="K598" s="108" t="n"/>
      <c r="L598" s="83">
        <f>IF(OR(X598="估算法",X598="算法类",X598="无法识别"),"",IF(V598="",IF(OR(I598="EI",I598="EO",I598="EQ"),0,""),LEN(V598)-LEN(SUBSTITUTE(V598,"、",""))+1))</f>
        <v/>
      </c>
      <c r="M598" s="83">
        <f>IF(OR(X598="估算法",X598="算法类",X598="无法识别"),"",IF(W598="",IF(OR(I598="ILF",I598="EIF"),0,""),LEN(W598)-LEN(SUBSTITUTE(W598,"、",""))+1))</f>
        <v/>
      </c>
      <c r="N598" s="83">
        <f>IF(OR(X598="估算法",X598="算法类",X598="无法识别"),"",IF(X598="",IF(OR(I598="ILF",I598="EIF",I598="EI",I598="EO",I598="EQ"),0,""),LEN(X598)-LEN(SUBSTITUTE(SUBSTITUTE(SUBSTITUTE(SUBSTITUTE(SUBSTITUTE(X598,"|}","--"),"{|","--"),CHAR(10),""),"、",""),"|",""))+IF(AND(OR(I598="EI",I598="EO",I598="EQ"),$AD$1="NESMA"),2,1)))</f>
        <v/>
      </c>
      <c r="O598" s="84">
        <f>IF(I598="EI",IF(OR(X598="估算法",X598="算法类"),"中",IF(X598="无法识别","低",IF(L598&lt;2,IF(N598&lt;16,"低","中"),IF(L598&lt;3,IF(N598&lt;5,"低",IF(N598&lt;16,"中","高")),IF(N598&lt;5,"中","高"))))),IF(OR(I598="EO",I598="EQ"),IF(OR(X598="估算法",X598="算法类"),"中",IF(X598="无法识别","低",IF(L598&lt;2,IF(N598&lt;20,"低","中"),IF(L598&lt;4,IF(N598&lt;6,"低",IF(N598&lt;20,"中","高")),IF(N598&lt;6,"中","高"))))),IF(OR(I598="ILF",I598="EIF"),IF(OR(X598="估算法",X598="算法类",X598="无法识别"),"低",IF(M598&lt;2,IF(N598&lt;51,"低","中"),IF(M598&lt;6,IF(N598&lt;20,"低",IF(N598&lt;51,"中","高")),IF(N598&lt;20,"中","高")))),"不计算")))</f>
        <v/>
      </c>
      <c r="P598" s="142">
        <f>IFERROR(IF(I598="EI",IF(O598="低",3,IF(O598="中",4,6)),IF(I598="EO",IF(O598="低",4,IF(O598="中",5,7)),IF(I598="EQ",IF(O598="低",3,IF(O598="中",4,6)),IF(I598="ILF",IF(O598="低",7,IF(O598="中",10,15)),IF(I598="EIF",IF(O598="低",5,IF(O598="中",7,10)),"不计算")))))*Q598,"不计算")</f>
        <v/>
      </c>
      <c r="Q598" s="142" t="n">
        <v>1</v>
      </c>
      <c r="R598" s="143">
        <f>调整因子!$F$13</f>
        <v/>
      </c>
      <c r="S598" s="70" t="n">
        <v>1</v>
      </c>
      <c r="T598" s="144">
        <f>IFERROR(P598*R598,0)</f>
        <v/>
      </c>
      <c r="U598" s="144">
        <f>T598*S598</f>
        <v/>
      </c>
      <c r="V598" s="88" t="inlineStr">
        <is>
          <t>修复核验策略配置数据表</t>
        </is>
      </c>
      <c r="W598" s="89" t="n"/>
      <c r="X598" s="88" t="inlineStr">
        <is>
          <t>修复核验策略配置数据表{策略ID、策略名称、修复方式、核验方式、安全设备范围、触发方式、启用状态|}</t>
        </is>
      </c>
      <c r="Y598" s="88" t="n"/>
      <c r="Z598" s="88" t="n"/>
      <c r="AA598" s="70" t="n"/>
    </row>
    <row r="599" hidden="1" ht="21.6" customHeight="1">
      <c r="A599" s="69">
        <f>ROW()-1</f>
        <v/>
      </c>
      <c r="B599" s="53" t="n"/>
      <c r="C599" s="78" t="n">
        <v>2025</v>
      </c>
      <c r="D599" s="78" t="inlineStr">
        <is>
          <t>汤凤欣</t>
        </is>
      </c>
      <c r="E599" s="53" t="n"/>
      <c r="F599" s="53" t="n"/>
      <c r="G599" s="54" t="n"/>
      <c r="H599" s="81" t="inlineStr">
        <is>
          <t>修复核验策略配置数据表</t>
        </is>
      </c>
      <c r="I599" s="76" t="inlineStr">
        <is>
          <t>ILF</t>
        </is>
      </c>
      <c r="J599" s="108" t="n"/>
      <c r="K599" s="108" t="n"/>
      <c r="L599" s="83">
        <f>IF(OR(X599="估算法",X599="算法类",X599="无法识别"),"",IF(V599="",IF(OR(I599="EI",I599="EO",I599="EQ"),0,""),LEN(V599)-LEN(SUBSTITUTE(V599,"、",""))+1))</f>
        <v/>
      </c>
      <c r="M599" s="83">
        <f>IF(OR(X599="估算法",X599="算法类",X599="无法识别"),"",IF(W599="",IF(OR(I599="ILF",I599="EIF"),0,""),LEN(W599)-LEN(SUBSTITUTE(W599,"、",""))+1))</f>
        <v/>
      </c>
      <c r="N599" s="83">
        <f>IF(OR(X599="估算法",X599="算法类",X599="无法识别"),"",IF(X599="",IF(OR(I599="ILF",I599="EIF",I599="EI",I599="EO",I599="EQ"),0,""),LEN(X599)-LEN(SUBSTITUTE(SUBSTITUTE(SUBSTITUTE(SUBSTITUTE(SUBSTITUTE(X599,"|}","--"),"{|","--"),CHAR(10),""),"、",""),"|",""))+IF(AND(OR(I599="EI",I599="EO",I599="EQ"),$AD$1="NESMA"),2,1)))</f>
        <v/>
      </c>
      <c r="O599" s="84">
        <f>IF(I599="EI",IF(OR(X599="估算法",X599="算法类"),"中",IF(X599="无法识别","低",IF(L599&lt;2,IF(N599&lt;16,"低","中"),IF(L599&lt;3,IF(N599&lt;5,"低",IF(N599&lt;16,"中","高")),IF(N599&lt;5,"中","高"))))),IF(OR(I599="EO",I599="EQ"),IF(OR(X599="估算法",X599="算法类"),"中",IF(X599="无法识别","低",IF(L599&lt;2,IF(N599&lt;20,"低","中"),IF(L599&lt;4,IF(N599&lt;6,"低",IF(N599&lt;20,"中","高")),IF(N599&lt;6,"中","高"))))),IF(OR(I599="ILF",I599="EIF"),IF(OR(X599="估算法",X599="算法类",X599="无法识别"),"低",IF(M599&lt;2,IF(N599&lt;51,"低","中"),IF(M599&lt;6,IF(N599&lt;20,"低",IF(N599&lt;51,"中","高")),IF(N599&lt;20,"中","高")))),"不计算")))</f>
        <v/>
      </c>
      <c r="P599" s="142">
        <f>IFERROR(IF(I599="EI",IF(O599="低",3,IF(O599="中",4,6)),IF(I599="EO",IF(O599="低",4,IF(O599="中",5,7)),IF(I599="EQ",IF(O599="低",3,IF(O599="中",4,6)),IF(I599="ILF",IF(O599="低",7,IF(O599="中",10,15)),IF(I599="EIF",IF(O599="低",5,IF(O599="中",7,10)),"不计算")))))*Q599,"不计算")</f>
        <v/>
      </c>
      <c r="Q599" s="142" t="n">
        <v>1</v>
      </c>
      <c r="R599" s="143">
        <f>调整因子!$F$13</f>
        <v/>
      </c>
      <c r="S599" s="76" t="n">
        <v>1</v>
      </c>
      <c r="T599" s="144">
        <f>IFERROR(P599*R599,0)</f>
        <v/>
      </c>
      <c r="U599" s="144">
        <f>T599*S599</f>
        <v/>
      </c>
      <c r="V599" s="89" t="n"/>
      <c r="W599" s="88" t="inlineStr">
        <is>
          <t>修复核验策略配置数据表</t>
        </is>
      </c>
      <c r="X599" s="88" t="inlineStr">
        <is>
          <t>修复核验策略配置数据表{策略ID、策略名称、修复方式、核验方式、安全设备范围、触发方式、启用状态|}</t>
        </is>
      </c>
      <c r="Y599" s="88">
        <f>IF(COUNTIFS(V:V,"*"&amp;H599&amp;"*")&gt;0,"存在","不存在")</f>
        <v/>
      </c>
      <c r="Z599" s="88">
        <f>IF(COUNTIFS(AA:AA,"*"&amp;H599&amp;"*")&gt;0,"存在","不存在")</f>
        <v/>
      </c>
      <c r="AA599" s="101" t="n"/>
    </row>
    <row r="600" hidden="1" ht="21.6" customHeight="1">
      <c r="A600" s="69">
        <f>ROW()-1</f>
        <v/>
      </c>
      <c r="B600" s="53" t="n"/>
      <c r="C600" s="78" t="n">
        <v>2025</v>
      </c>
      <c r="D600" s="78" t="inlineStr">
        <is>
          <t>汤凤欣</t>
        </is>
      </c>
      <c r="E600" s="53" t="n"/>
      <c r="F600" s="53" t="n"/>
      <c r="G600" s="79" t="inlineStr">
        <is>
          <t>系统漏洞修复核验调用配置</t>
        </is>
      </c>
      <c r="H600" s="102" t="inlineStr">
        <is>
          <t>BAS平台接口调用配置</t>
        </is>
      </c>
      <c r="I600" s="76" t="inlineStr">
        <is>
          <t>EI</t>
        </is>
      </c>
      <c r="J600" s="108" t="n"/>
      <c r="K600" s="108" t="n"/>
      <c r="L600" s="83">
        <f>IF(OR(X600="估算法",X600="算法类",X600="无法识别"),"",IF(V600="",IF(OR(I600="EI",I600="EO",I600="EQ"),0,""),LEN(V600)-LEN(SUBSTITUTE(V600,"、",""))+1))</f>
        <v/>
      </c>
      <c r="M600" s="83">
        <f>IF(OR(X600="估算法",X600="算法类",X600="无法识别"),"",IF(W600="",IF(OR(I600="ILF",I600="EIF"),0,""),LEN(W600)-LEN(SUBSTITUTE(W600,"、",""))+1))</f>
        <v/>
      </c>
      <c r="N600" s="83">
        <f>IF(OR(X600="估算法",X600="算法类",X600="无法识别"),"",IF(X600="",IF(OR(I600="ILF",I600="EIF",I600="EI",I600="EO",I600="EQ"),0,""),LEN(X600)-LEN(SUBSTITUTE(SUBSTITUTE(SUBSTITUTE(SUBSTITUTE(SUBSTITUTE(X600,"|}","--"),"{|","--"),CHAR(10),""),"、",""),"|",""))+IF(AND(OR(I600="EI",I600="EO",I600="EQ"),$AD$1="NESMA"),2,1)))</f>
        <v/>
      </c>
      <c r="O600" s="84">
        <f>IF(I600="EI",IF(OR(X600="估算法",X600="算法类"),"中",IF(X600="无法识别","低",IF(L600&lt;2,IF(N600&lt;16,"低","中"),IF(L600&lt;3,IF(N600&lt;5,"低",IF(N600&lt;16,"中","高")),IF(N600&lt;5,"中","高"))))),IF(OR(I600="EO",I600="EQ"),IF(OR(X600="估算法",X600="算法类"),"中",IF(X600="无法识别","低",IF(L600&lt;2,IF(N600&lt;20,"低","中"),IF(L600&lt;4,IF(N600&lt;6,"低",IF(N600&lt;20,"中","高")),IF(N600&lt;6,"中","高"))))),IF(OR(I600="ILF",I600="EIF"),IF(OR(X600="估算法",X600="算法类",X600="无法识别"),"低",IF(M600&lt;2,IF(N600&lt;51,"低","中"),IF(M600&lt;6,IF(N600&lt;20,"低",IF(N600&lt;51,"中","高")),IF(N600&lt;20,"中","高")))),"不计算")))</f>
        <v/>
      </c>
      <c r="P600" s="142">
        <f>IFERROR(IF(I600="EI",IF(O600="低",3,IF(O600="中",4,6)),IF(I600="EO",IF(O600="低",4,IF(O600="中",5,7)),IF(I600="EQ",IF(O600="低",3,IF(O600="中",4,6)),IF(I600="ILF",IF(O600="低",7,IF(O600="中",10,15)),IF(I600="EIF",IF(O600="低",5,IF(O600="中",7,10)),"不计算")))))*Q600,"不计算")</f>
        <v/>
      </c>
      <c r="Q600" s="142" t="n">
        <v>1</v>
      </c>
      <c r="R600" s="143">
        <f>调整因子!$F$13</f>
        <v/>
      </c>
      <c r="S600" s="70" t="n">
        <v>1</v>
      </c>
      <c r="T600" s="144">
        <f>IFERROR(P600*R600,0)</f>
        <v/>
      </c>
      <c r="U600" s="144">
        <f>T600*S600</f>
        <v/>
      </c>
      <c r="V600" s="88" t="inlineStr">
        <is>
          <t>BAS平台接口调用配置数据表</t>
        </is>
      </c>
      <c r="W600" s="89" t="n"/>
      <c r="X600" s="88" t="inlineStr">
        <is>
          <t>BAS平台接口调用配置数据表{记录ID、记录时间、接口URL、接口名称、接口参数名、接口参数说明、接口参数类型、接口参数值、参数是否必填|}</t>
        </is>
      </c>
      <c r="Y600" s="88" t="n"/>
      <c r="Z600" s="88" t="n"/>
      <c r="AA600" s="70" t="n"/>
    </row>
    <row r="601" hidden="1" ht="21.6" customHeight="1">
      <c r="A601" s="69">
        <f>ROW()-1</f>
        <v/>
      </c>
      <c r="B601" s="53" t="n"/>
      <c r="C601" s="78" t="n">
        <v>2025</v>
      </c>
      <c r="D601" s="78" t="inlineStr">
        <is>
          <t>汤凤欣</t>
        </is>
      </c>
      <c r="E601" s="53" t="n"/>
      <c r="F601" s="53" t="n"/>
      <c r="G601" s="53" t="n"/>
      <c r="H601" s="102" t="inlineStr">
        <is>
          <t>验证指令配置</t>
        </is>
      </c>
      <c r="I601" s="76" t="n"/>
      <c r="J601" s="108" t="n"/>
      <c r="K601" s="108" t="inlineStr">
        <is>
          <t>和上行合并，相同配置，且字段相同</t>
        </is>
      </c>
      <c r="L601" s="83">
        <f>IF(OR(X601="估算法",X601="算法类",X601="无法识别"),"",IF(V601="",IF(OR(I601="EI",I601="EO",I601="EQ"),0,""),LEN(V601)-LEN(SUBSTITUTE(V601,"、",""))+1))</f>
        <v/>
      </c>
      <c r="M601" s="83">
        <f>IF(OR(X601="估算法",X601="算法类",X601="无法识别"),"",IF(W601="",IF(OR(I601="ILF",I601="EIF"),0,""),LEN(W601)-LEN(SUBSTITUTE(W601,"、",""))+1))</f>
        <v/>
      </c>
      <c r="N601" s="83">
        <f>IF(OR(X601="估算法",X601="算法类",X601="无法识别"),"",IF(X601="",IF(OR(I601="ILF",I601="EIF",I601="EI",I601="EO",I601="EQ"),0,""),LEN(X601)-LEN(SUBSTITUTE(SUBSTITUTE(SUBSTITUTE(SUBSTITUTE(SUBSTITUTE(X601,"|}","--"),"{|","--"),CHAR(10),""),"、",""),"|",""))+IF(AND(OR(I601="EI",I601="EO",I601="EQ"),$AD$1="NESMA"),2,1)))</f>
        <v/>
      </c>
      <c r="O601" s="84">
        <f>IF(I601="EI",IF(OR(X601="估算法",X601="算法类"),"中",IF(X601="无法识别","低",IF(L601&lt;2,IF(N601&lt;16,"低","中"),IF(L601&lt;3,IF(N601&lt;5,"低",IF(N601&lt;16,"中","高")),IF(N601&lt;5,"中","高"))))),IF(OR(I601="EO",I601="EQ"),IF(OR(X601="估算法",X601="算法类"),"中",IF(X601="无法识别","低",IF(L601&lt;2,IF(N601&lt;20,"低","中"),IF(L601&lt;4,IF(N601&lt;6,"低",IF(N601&lt;20,"中","高")),IF(N601&lt;6,"中","高"))))),IF(OR(I601="ILF",I601="EIF"),IF(OR(X601="估算法",X601="算法类",X601="无法识别"),"低",IF(M601&lt;2,IF(N601&lt;51,"低","中"),IF(M601&lt;6,IF(N601&lt;20,"低",IF(N601&lt;51,"中","高")),IF(N601&lt;20,"中","高")))),"不计算")))</f>
        <v/>
      </c>
      <c r="P601" s="142">
        <f>IFERROR(IF(I601="EI",IF(O601="低",3,IF(O601="中",4,6)),IF(I601="EO",IF(O601="低",4,IF(O601="中",5,7)),IF(I601="EQ",IF(O601="低",3,IF(O601="中",4,6)),IF(I601="ILF",IF(O601="低",7,IF(O601="中",10,15)),IF(I601="EIF",IF(O601="低",5,IF(O601="中",7,10)),"不计算")))))*Q601,"不计算")</f>
        <v/>
      </c>
      <c r="Q601" s="142" t="n">
        <v>1</v>
      </c>
      <c r="R601" s="143">
        <f>调整因子!$F$13</f>
        <v/>
      </c>
      <c r="S601" s="70" t="n">
        <v>1</v>
      </c>
      <c r="T601" s="144">
        <f>IFERROR(P601*R601,0)</f>
        <v/>
      </c>
      <c r="U601" s="144">
        <f>T601*S601</f>
        <v/>
      </c>
      <c r="V601" s="88" t="inlineStr">
        <is>
          <t>BAS平台接口调用配置数据表</t>
        </is>
      </c>
      <c r="W601" s="89" t="n"/>
      <c r="X601" s="88" t="inlineStr">
        <is>
          <t>BAS平台接口调用配置数据表{记录ID、记录时间、接口URL、接口名称、接口参数名、接口参数说明、接口参数类型、接口参数值、参数是否必填|}</t>
        </is>
      </c>
      <c r="Y601" s="88" t="n"/>
      <c r="Z601" s="88" t="n"/>
      <c r="AA601" s="101" t="n"/>
    </row>
    <row r="602" hidden="1" ht="21.6" customHeight="1">
      <c r="A602" s="69">
        <f>ROW()-1</f>
        <v/>
      </c>
      <c r="B602" s="53" t="n"/>
      <c r="C602" s="78" t="n">
        <v>2025</v>
      </c>
      <c r="D602" s="78" t="inlineStr">
        <is>
          <t>汤凤欣</t>
        </is>
      </c>
      <c r="E602" s="53" t="n"/>
      <c r="F602" s="54" t="n"/>
      <c r="G602" s="54" t="n"/>
      <c r="H602" s="81" t="inlineStr">
        <is>
          <t>BAS平台接口调用配置数据表</t>
        </is>
      </c>
      <c r="I602" s="76" t="inlineStr">
        <is>
          <t>ILF</t>
        </is>
      </c>
      <c r="J602" s="108" t="n"/>
      <c r="K602" s="108" t="n"/>
      <c r="L602" s="83">
        <f>IF(OR(X602="估算法",X602="算法类",X602="无法识别"),"",IF(V602="",IF(OR(I602="EI",I602="EO",I602="EQ"),0,""),LEN(V602)-LEN(SUBSTITUTE(V602,"、",""))+1))</f>
        <v/>
      </c>
      <c r="M602" s="83">
        <f>IF(OR(X602="估算法",X602="算法类",X602="无法识别"),"",IF(W602="",IF(OR(I602="ILF",I602="EIF"),0,""),LEN(W602)-LEN(SUBSTITUTE(W602,"、",""))+1))</f>
        <v/>
      </c>
      <c r="N602" s="83">
        <f>IF(OR(X602="估算法",X602="算法类",X602="无法识别"),"",IF(X602="",IF(OR(I602="ILF",I602="EIF",I602="EI",I602="EO",I602="EQ"),0,""),LEN(X602)-LEN(SUBSTITUTE(SUBSTITUTE(SUBSTITUTE(SUBSTITUTE(SUBSTITUTE(X602,"|}","--"),"{|","--"),CHAR(10),""),"、",""),"|",""))+IF(AND(OR(I602="EI",I602="EO",I602="EQ"),$AD$1="NESMA"),2,1)))</f>
        <v/>
      </c>
      <c r="O602" s="84">
        <f>IF(I602="EI",IF(OR(X602="估算法",X602="算法类"),"中",IF(X602="无法识别","低",IF(L602&lt;2,IF(N602&lt;16,"低","中"),IF(L602&lt;3,IF(N602&lt;5,"低",IF(N602&lt;16,"中","高")),IF(N602&lt;5,"中","高"))))),IF(OR(I602="EO",I602="EQ"),IF(OR(X602="估算法",X602="算法类"),"中",IF(X602="无法识别","低",IF(L602&lt;2,IF(N602&lt;20,"低","中"),IF(L602&lt;4,IF(N602&lt;6,"低",IF(N602&lt;20,"中","高")),IF(N602&lt;6,"中","高"))))),IF(OR(I602="ILF",I602="EIF"),IF(OR(X602="估算法",X602="算法类",X602="无法识别"),"低",IF(M602&lt;2,IF(N602&lt;51,"低","中"),IF(M602&lt;6,IF(N602&lt;20,"低",IF(N602&lt;51,"中","高")),IF(N602&lt;20,"中","高")))),"不计算")))</f>
        <v/>
      </c>
      <c r="P602" s="142">
        <f>IFERROR(IF(I602="EI",IF(O602="低",3,IF(O602="中",4,6)),IF(I602="EO",IF(O602="低",4,IF(O602="中",5,7)),IF(I602="EQ",IF(O602="低",3,IF(O602="中",4,6)),IF(I602="ILF",IF(O602="低",7,IF(O602="中",10,15)),IF(I602="EIF",IF(O602="低",5,IF(O602="中",7,10)),"不计算")))))*Q602,"不计算")</f>
        <v/>
      </c>
      <c r="Q602" s="142" t="n">
        <v>1</v>
      </c>
      <c r="R602" s="143">
        <f>调整因子!$F$13</f>
        <v/>
      </c>
      <c r="S602" s="76" t="n">
        <v>1</v>
      </c>
      <c r="T602" s="144">
        <f>IFERROR(P602*R602,0)</f>
        <v/>
      </c>
      <c r="U602" s="144">
        <f>T602*S602</f>
        <v/>
      </c>
      <c r="V602" s="89" t="n"/>
      <c r="W602" s="88" t="inlineStr">
        <is>
          <t>BAS平台接口调用配置数据表</t>
        </is>
      </c>
      <c r="X602" s="88" t="inlineStr">
        <is>
          <t>BAS平台接口调用配置数据表{记录ID、记录时间、接口URL、接口名称、接口参数名、接口参数说明、接口参数类型、接口参数值、参数是否必填|}</t>
        </is>
      </c>
      <c r="Y602" s="88">
        <f>IF(COUNTIFS(V:V,"*"&amp;H602&amp;"*")&gt;0,"存在","不存在")</f>
        <v/>
      </c>
      <c r="Z602" s="88">
        <f>IF(COUNTIFS(AA:AA,"*"&amp;H602&amp;"*")&gt;0,"存在","不存在")</f>
        <v/>
      </c>
      <c r="AA602" s="70" t="n"/>
    </row>
    <row r="603" hidden="1" ht="43.2" customHeight="1">
      <c r="A603" s="69">
        <f>ROW()-1</f>
        <v/>
      </c>
      <c r="B603" s="53" t="n"/>
      <c r="C603" s="78" t="n">
        <v>2025</v>
      </c>
      <c r="D603" s="78" t="inlineStr">
        <is>
          <t>汤凤欣</t>
        </is>
      </c>
      <c r="E603" s="53" t="n"/>
      <c r="F603" s="79" t="inlineStr">
        <is>
          <t>系统漏洞修复核验报告</t>
        </is>
      </c>
      <c r="G603" s="76" t="inlineStr">
        <is>
          <t>系统漏洞修复核验报告自动生成</t>
        </is>
      </c>
      <c r="H603" s="81" t="inlineStr">
        <is>
          <t>系统漏洞修复核验报告下载</t>
        </is>
      </c>
      <c r="I603" s="76" t="inlineStr">
        <is>
          <t>EO</t>
        </is>
      </c>
      <c r="J603" s="108" t="n"/>
      <c r="K603" s="108" t="n"/>
      <c r="L603" s="83">
        <f>IF(OR(X603="估算法",X603="算法类",X603="无法识别"),"",IF(V603="",IF(OR(I603="EI",I603="EO",I603="EQ"),0,""),LEN(V603)-LEN(SUBSTITUTE(V603,"、",""))+1))</f>
        <v/>
      </c>
      <c r="M603" s="83">
        <f>IF(OR(X603="估算法",X603="算法类",X603="无法识别"),"",IF(W603="",IF(OR(I603="ILF",I603="EIF"),0,""),LEN(W603)-LEN(SUBSTITUTE(W603,"、",""))+1))</f>
        <v/>
      </c>
      <c r="N603" s="83">
        <f>IF(OR(X603="估算法",X603="算法类",X603="无法识别"),"",IF(X603="",IF(OR(I603="ILF",I603="EIF",I603="EI",I603="EO",I603="EQ"),0,""),LEN(X603)-LEN(SUBSTITUTE(SUBSTITUTE(SUBSTITUTE(SUBSTITUTE(SUBSTITUTE(X603,"|}","--"),"{|","--"),CHAR(10),""),"、",""),"|",""))+IF(AND(OR(I603="EI",I603="EO",I603="EQ"),$AD$1="NESMA"),2,1)))</f>
        <v/>
      </c>
      <c r="O603" s="84">
        <f>IF(I603="EI",IF(OR(X603="估算法",X603="算法类"),"中",IF(X603="无法识别","低",IF(L603&lt;2,IF(N603&lt;16,"低","中"),IF(L603&lt;3,IF(N603&lt;5,"低",IF(N603&lt;16,"中","高")),IF(N603&lt;5,"中","高"))))),IF(OR(I603="EO",I603="EQ"),IF(OR(X603="估算法",X603="算法类"),"中",IF(X603="无法识别","低",IF(L603&lt;2,IF(N603&lt;20,"低","中"),IF(L603&lt;4,IF(N603&lt;6,"低",IF(N603&lt;20,"中","高")),IF(N603&lt;6,"中","高"))))),IF(OR(I603="ILF",I603="EIF"),IF(OR(X603="估算法",X603="算法类",X603="无法识别"),"低",IF(M603&lt;2,IF(N603&lt;51,"低","中"),IF(M603&lt;6,IF(N603&lt;20,"低",IF(N603&lt;51,"中","高")),IF(N603&lt;20,"中","高")))),"不计算")))</f>
        <v/>
      </c>
      <c r="P603" s="142">
        <f>IFERROR(IF(I603="EI",IF(O603="低",3,IF(O603="中",4,6)),IF(I603="EO",IF(O603="低",4,IF(O603="中",5,7)),IF(I603="EQ",IF(O603="低",3,IF(O603="中",4,6)),IF(I603="ILF",IF(O603="低",7,IF(O603="中",10,15)),IF(I603="EIF",IF(O603="低",5,IF(O603="中",7,10)),"不计算")))))*Q603,"不计算")</f>
        <v/>
      </c>
      <c r="Q603" s="142" t="n">
        <v>1</v>
      </c>
      <c r="R603" s="143">
        <f>调整因子!$F$13</f>
        <v/>
      </c>
      <c r="S603" s="70" t="n">
        <v>1</v>
      </c>
      <c r="T603" s="144">
        <f>IFERROR(P603*R603,0)</f>
        <v/>
      </c>
      <c r="U603" s="144">
        <f>T603*S603</f>
        <v/>
      </c>
      <c r="V603" s="88" t="inlineStr">
        <is>
          <t>修复核验报告文件、修复核验报告数据表</t>
        </is>
      </c>
      <c r="W603" s="89" t="n"/>
      <c r="X603" s="88" t="inlineStr">
        <is>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Y603" s="88" t="n"/>
      <c r="Z603" s="88" t="n"/>
      <c r="AA603" s="101" t="n"/>
    </row>
    <row r="604" hidden="1" ht="21.6" customHeight="1">
      <c r="A604" s="69">
        <f>ROW()-1</f>
        <v/>
      </c>
      <c r="B604" s="53" t="n"/>
      <c r="C604" s="78" t="n">
        <v>2025</v>
      </c>
      <c r="D604" s="78" t="inlineStr">
        <is>
          <t>汤凤欣</t>
        </is>
      </c>
      <c r="E604" s="53" t="n"/>
      <c r="F604" s="53" t="n"/>
      <c r="G604" s="53" t="n"/>
      <c r="H604" s="81" t="inlineStr">
        <is>
          <t>修复核验报告列表查询</t>
        </is>
      </c>
      <c r="I604" s="76" t="inlineStr">
        <is>
          <t>EO</t>
        </is>
      </c>
      <c r="J604" s="108" t="n"/>
      <c r="K604" s="108" t="n"/>
      <c r="L604" s="83">
        <f>IF(OR(X604="估算法",X604="算法类",X604="无法识别"),"",IF(V604="",IF(OR(I604="EI",I604="EO",I604="EQ"),0,""),LEN(V604)-LEN(SUBSTITUTE(V604,"、",""))+1))</f>
        <v/>
      </c>
      <c r="M604" s="83">
        <f>IF(OR(X604="估算法",X604="算法类",X604="无法识别"),"",IF(W604="",IF(OR(I604="ILF",I604="EIF"),0,""),LEN(W604)-LEN(SUBSTITUTE(W604,"、",""))+1))</f>
        <v/>
      </c>
      <c r="N604" s="83">
        <f>IF(OR(X604="估算法",X604="算法类",X604="无法识别"),"",IF(X604="",IF(OR(I604="ILF",I604="EIF",I604="EI",I604="EO",I604="EQ"),0,""),LEN(X604)-LEN(SUBSTITUTE(SUBSTITUTE(SUBSTITUTE(SUBSTITUTE(SUBSTITUTE(X604,"|}","--"),"{|","--"),CHAR(10),""),"、",""),"|",""))+IF(AND(OR(I604="EI",I604="EO",I604="EQ"),$AD$1="NESMA"),2,1)))</f>
        <v/>
      </c>
      <c r="O604" s="84">
        <f>IF(I604="EI",IF(OR(X604="估算法",X604="算法类"),"中",IF(X604="无法识别","低",IF(L604&lt;2,IF(N604&lt;16,"低","中"),IF(L604&lt;3,IF(N604&lt;5,"低",IF(N604&lt;16,"中","高")),IF(N604&lt;5,"中","高"))))),IF(OR(I604="EO",I604="EQ"),IF(OR(X604="估算法",X604="算法类"),"中",IF(X604="无法识别","低",IF(L604&lt;2,IF(N604&lt;20,"低","中"),IF(L604&lt;4,IF(N604&lt;6,"低",IF(N604&lt;20,"中","高")),IF(N604&lt;6,"中","高"))))),IF(OR(I604="ILF",I604="EIF"),IF(OR(X604="估算法",X604="算法类",X604="无法识别"),"低",IF(M604&lt;2,IF(N604&lt;51,"低","中"),IF(M604&lt;6,IF(N604&lt;20,"低",IF(N604&lt;51,"中","高")),IF(N604&lt;20,"中","高")))),"不计算")))</f>
        <v/>
      </c>
      <c r="P604" s="142">
        <f>IFERROR(IF(I604="EI",IF(O604="低",3,IF(O604="中",4,6)),IF(I604="EO",IF(O604="低",4,IF(O604="中",5,7)),IF(I604="EQ",IF(O604="低",3,IF(O604="中",4,6)),IF(I604="ILF",IF(O604="低",7,IF(O604="中",10,15)),IF(I604="EIF",IF(O604="低",5,IF(O604="中",7,10)),"不计算")))))*Q604,"不计算")</f>
        <v/>
      </c>
      <c r="Q604" s="142" t="n">
        <v>1</v>
      </c>
      <c r="R604" s="143">
        <f>调整因子!$F$13</f>
        <v/>
      </c>
      <c r="S604" s="70" t="n">
        <v>1</v>
      </c>
      <c r="T604" s="144">
        <f>IFERROR(P604*R604,0)</f>
        <v/>
      </c>
      <c r="U604" s="144">
        <f>T604*S604</f>
        <v/>
      </c>
      <c r="V604" s="76" t="inlineStr">
        <is>
          <t>修复核验报告数据表</t>
        </is>
      </c>
      <c r="W604" s="89" t="n"/>
      <c r="X604" s="88" t="inlineStr">
        <is>
          <t>修复核验报告数据表{记录ID、记录时间、生成时间、生成进度、生成结果、报告名称、报告路径|}</t>
        </is>
      </c>
      <c r="Y604" s="88" t="n"/>
      <c r="Z604" s="88" t="n"/>
      <c r="AA604" s="70" t="n"/>
    </row>
    <row r="605" hidden="1" ht="43.2" customHeight="1">
      <c r="A605" s="69">
        <f>ROW()-1</f>
        <v/>
      </c>
      <c r="B605" s="53" t="n"/>
      <c r="C605" s="78" t="n">
        <v>2025</v>
      </c>
      <c r="D605" s="78" t="inlineStr">
        <is>
          <t>汤凤欣</t>
        </is>
      </c>
      <c r="E605" s="53" t="n"/>
      <c r="F605" s="53" t="n"/>
      <c r="G605" s="53" t="n"/>
      <c r="H605" s="103" t="inlineStr">
        <is>
          <t>生成修复核验报告</t>
        </is>
      </c>
      <c r="I605" s="76" t="n"/>
      <c r="J605" s="108" t="n"/>
      <c r="K605" s="108" t="inlineStr">
        <is>
          <t>和下载合并，输入输出字段完全一致</t>
        </is>
      </c>
      <c r="L605" s="83">
        <f>IF(OR(X605="估算法",X605="算法类",X605="无法识别"),"",IF(V605="",IF(OR(I605="EI",I605="EO",I605="EQ"),0,""),LEN(V605)-LEN(SUBSTITUTE(V605,"、",""))+1))</f>
        <v/>
      </c>
      <c r="M605" s="83">
        <f>IF(OR(X605="估算法",X605="算法类",X605="无法识别"),"",IF(W605="",IF(OR(I605="ILF",I605="EIF"),0,""),LEN(W605)-LEN(SUBSTITUTE(W605,"、",""))+1))</f>
        <v/>
      </c>
      <c r="N605" s="83">
        <f>IF(OR(X605="估算法",X605="算法类",X605="无法识别"),"",IF(X605="",IF(OR(I605="ILF",I605="EIF",I605="EI",I605="EO",I605="EQ"),0,""),LEN(X605)-LEN(SUBSTITUTE(SUBSTITUTE(SUBSTITUTE(SUBSTITUTE(SUBSTITUTE(X605,"|}","--"),"{|","--"),CHAR(10),""),"、",""),"|",""))+IF(AND(OR(I605="EI",I605="EO",I605="EQ"),$AD$1="NESMA"),2,1)))</f>
        <v/>
      </c>
      <c r="O605" s="84">
        <f>IF(I605="EI",IF(OR(X605="估算法",X605="算法类"),"中",IF(X605="无法识别","低",IF(L605&lt;2,IF(N605&lt;16,"低","中"),IF(L605&lt;3,IF(N605&lt;5,"低",IF(N605&lt;16,"中","高")),IF(N605&lt;5,"中","高"))))),IF(OR(I605="EO",I605="EQ"),IF(OR(X605="估算法",X605="算法类"),"中",IF(X605="无法识别","低",IF(L605&lt;2,IF(N605&lt;20,"低","中"),IF(L605&lt;4,IF(N605&lt;6,"低",IF(N605&lt;20,"中","高")),IF(N605&lt;6,"中","高"))))),IF(OR(I605="ILF",I605="EIF"),IF(OR(X605="估算法",X605="算法类",X605="无法识别"),"低",IF(M605&lt;2,IF(N605&lt;51,"低","中"),IF(M605&lt;6,IF(N605&lt;20,"低",IF(N605&lt;51,"中","高")),IF(N605&lt;20,"中","高")))),"不计算")))</f>
        <v/>
      </c>
      <c r="P605" s="142">
        <f>IFERROR(IF(I605="EI",IF(O605="低",3,IF(O605="中",4,6)),IF(I605="EO",IF(O605="低",4,IF(O605="中",5,7)),IF(I605="EQ",IF(O605="低",3,IF(O605="中",4,6)),IF(I605="ILF",IF(O605="低",7,IF(O605="中",10,15)),IF(I605="EIF",IF(O605="低",5,IF(O605="中",7,10)),"不计算")))))*Q605,"不计算")</f>
        <v/>
      </c>
      <c r="Q605" s="142" t="n">
        <v>1</v>
      </c>
      <c r="R605" s="143">
        <f>调整因子!$F$13</f>
        <v/>
      </c>
      <c r="S605" s="76" t="n">
        <v>1</v>
      </c>
      <c r="T605" s="144">
        <f>IFERROR(P605*R605,0)</f>
        <v/>
      </c>
      <c r="U605" s="144">
        <f>T605*S605</f>
        <v/>
      </c>
      <c r="V605" s="88" t="inlineStr">
        <is>
          <t>修复核验报告文件、修复核验报告数据表</t>
        </is>
      </c>
      <c r="W605" s="89" t="n"/>
      <c r="X605" s="88" t="inlineStr">
        <is>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Y605" s="88" t="n"/>
      <c r="Z605" s="88" t="n"/>
      <c r="AA605" s="101" t="n"/>
    </row>
    <row r="606" hidden="1" ht="21.6" customHeight="1">
      <c r="A606" s="69">
        <f>ROW()-1</f>
        <v/>
      </c>
      <c r="B606" s="53" t="n"/>
      <c r="C606" s="78" t="n">
        <v>2025</v>
      </c>
      <c r="D606" s="78" t="inlineStr">
        <is>
          <t>汤凤欣</t>
        </is>
      </c>
      <c r="E606" s="53" t="n"/>
      <c r="F606" s="53" t="n"/>
      <c r="G606" s="53" t="n"/>
      <c r="H606" s="81" t="inlineStr">
        <is>
          <t>修复核验报告文件</t>
        </is>
      </c>
      <c r="I606" s="76" t="inlineStr">
        <is>
          <t>ILF</t>
        </is>
      </c>
      <c r="J606" s="108" t="n"/>
      <c r="K606" s="108" t="inlineStr">
        <is>
          <t>数据库表未被本系统所维护</t>
        </is>
      </c>
      <c r="L606" s="83">
        <f>IF(OR(X606="估算法",X606="算法类",X606="无法识别"),"",IF(V606="",IF(OR(I606="EI",I606="EO",I606="EQ"),0,""),LEN(V606)-LEN(SUBSTITUTE(V606,"、",""))+1))</f>
        <v/>
      </c>
      <c r="M606" s="83">
        <f>IF(OR(X606="估算法",X606="算法类",X606="无法识别"),"",IF(W606="",IF(OR(I606="ILF",I606="EIF"),0,""),LEN(W606)-LEN(SUBSTITUTE(W606,"、",""))+1))</f>
        <v/>
      </c>
      <c r="N606" s="83">
        <f>IF(OR(X606="估算法",X606="算法类",X606="无法识别"),"",IF(X606="",IF(OR(I606="ILF",I606="EIF",I606="EI",I606="EO",I606="EQ"),0,""),LEN(X606)-LEN(SUBSTITUTE(SUBSTITUTE(SUBSTITUTE(SUBSTITUTE(SUBSTITUTE(X606,"|}","--"),"{|","--"),CHAR(10),""),"、",""),"|",""))+IF(AND(OR(I606="EI",I606="EO",I606="EQ"),$AD$1="NESMA"),2,1)))</f>
        <v/>
      </c>
      <c r="O606" s="84">
        <f>IF(I606="EI",IF(OR(X606="估算法",X606="算法类"),"中",IF(X606="无法识别","低",IF(L606&lt;2,IF(N606&lt;16,"低","中"),IF(L606&lt;3,IF(N606&lt;5,"低",IF(N606&lt;16,"中","高")),IF(N606&lt;5,"中","高"))))),IF(OR(I606="EO",I606="EQ"),IF(OR(X606="估算法",X606="算法类"),"中",IF(X606="无法识别","低",IF(L606&lt;2,IF(N606&lt;20,"低","中"),IF(L606&lt;4,IF(N606&lt;6,"低",IF(N606&lt;20,"中","高")),IF(N606&lt;6,"中","高"))))),IF(OR(I606="ILF",I606="EIF"),IF(OR(X606="估算法",X606="算法类",X606="无法识别"),"低",IF(M606&lt;2,IF(N606&lt;51,"低","中"),IF(M606&lt;6,IF(N606&lt;20,"低",IF(N606&lt;51,"中","高")),IF(N606&lt;20,"中","高")))),"不计算")))</f>
        <v/>
      </c>
      <c r="P606" s="142">
        <f>IFERROR(IF(I606="EI",IF(O606="低",3,IF(O606="中",4,6)),IF(I606="EO",IF(O606="低",4,IF(O606="中",5,7)),IF(I606="EQ",IF(O606="低",3,IF(O606="中",4,6)),IF(I606="ILF",IF(O606="低",7,IF(O606="中",10,15)),IF(I606="EIF",IF(O606="低",5,IF(O606="中",7,10)),"不计算")))))*Q606,"不计算")</f>
        <v/>
      </c>
      <c r="Q606" s="142" t="n">
        <v>0</v>
      </c>
      <c r="R606" s="143">
        <f>调整因子!$F$13</f>
        <v/>
      </c>
      <c r="S606" s="70" t="n">
        <v>1</v>
      </c>
      <c r="T606" s="144">
        <f>IFERROR(P606*R606,0)</f>
        <v/>
      </c>
      <c r="U606" s="144">
        <f>T606*S606</f>
        <v/>
      </c>
      <c r="V606" s="89" t="n"/>
      <c r="W606" s="88" t="inlineStr">
        <is>
          <t>修复核验报告文件</t>
        </is>
      </c>
      <c r="X606" s="88" t="inlineStr">
        <is>
          <t>修复核验报告文件{工单ID、工单名称、处置人、修复核验操作人、修复方式、核验方式、核验时间、核验结果、资产IP、产品漏洞名称、产品漏洞编号、修复建议|}</t>
        </is>
      </c>
      <c r="Y606" s="88">
        <f>IF(COUNTIFS(V:V,"*"&amp;H606&amp;"*")&gt;0,"存在","不存在")</f>
        <v/>
      </c>
      <c r="Z606" s="88">
        <f>IF(COUNTIFS(AA:AA,"*"&amp;H606&amp;"*")&gt;0,"存在","不存在")</f>
        <v/>
      </c>
      <c r="AA606" s="70" t="n"/>
    </row>
    <row r="607" hidden="1" ht="21.6" customHeight="1">
      <c r="A607" s="69">
        <f>ROW()-1</f>
        <v/>
      </c>
      <c r="B607" s="53" t="n"/>
      <c r="C607" s="78" t="n">
        <v>2025</v>
      </c>
      <c r="D607" s="78" t="inlineStr">
        <is>
          <t>汤凤欣</t>
        </is>
      </c>
      <c r="E607" s="53" t="n"/>
      <c r="F607" s="53" t="n"/>
      <c r="G607" s="54" t="n"/>
      <c r="H607" s="81" t="inlineStr">
        <is>
          <t>修复核验报告数据表</t>
        </is>
      </c>
      <c r="I607" s="76" t="inlineStr">
        <is>
          <t>ILF</t>
        </is>
      </c>
      <c r="J607" s="108" t="n"/>
      <c r="K607" s="108" t="inlineStr">
        <is>
          <t>数据库表未被本系统所维护</t>
        </is>
      </c>
      <c r="L607" s="83">
        <f>IF(OR(X607="估算法",X607="算法类",X607="无法识别"),"",IF(V607="",IF(OR(I607="EI",I607="EO",I607="EQ"),0,""),LEN(V607)-LEN(SUBSTITUTE(V607,"、",""))+1))</f>
        <v/>
      </c>
      <c r="M607" s="83">
        <f>IF(OR(X607="估算法",X607="算法类",X607="无法识别"),"",IF(W607="",IF(OR(I607="ILF",I607="EIF"),0,""),LEN(W607)-LEN(SUBSTITUTE(W607,"、",""))+1))</f>
        <v/>
      </c>
      <c r="N607" s="83">
        <f>IF(OR(X607="估算法",X607="算法类",X607="无法识别"),"",IF(X607="",IF(OR(I607="ILF",I607="EIF",I607="EI",I607="EO",I607="EQ"),0,""),LEN(X607)-LEN(SUBSTITUTE(SUBSTITUTE(SUBSTITUTE(SUBSTITUTE(SUBSTITUTE(X607,"|}","--"),"{|","--"),CHAR(10),""),"、",""),"|",""))+IF(AND(OR(I607="EI",I607="EO",I607="EQ"),$AD$1="NESMA"),2,1)))</f>
        <v/>
      </c>
      <c r="O607" s="84">
        <f>IF(I607="EI",IF(OR(X607="估算法",X607="算法类"),"中",IF(X607="无法识别","低",IF(L607&lt;2,IF(N607&lt;16,"低","中"),IF(L607&lt;3,IF(N607&lt;5,"低",IF(N607&lt;16,"中","高")),IF(N607&lt;5,"中","高"))))),IF(OR(I607="EO",I607="EQ"),IF(OR(X607="估算法",X607="算法类"),"中",IF(X607="无法识别","低",IF(L607&lt;2,IF(N607&lt;20,"低","中"),IF(L607&lt;4,IF(N607&lt;6,"低",IF(N607&lt;20,"中","高")),IF(N607&lt;6,"中","高"))))),IF(OR(I607="ILF",I607="EIF"),IF(OR(X607="估算法",X607="算法类",X607="无法识别"),"低",IF(M607&lt;2,IF(N607&lt;51,"低","中"),IF(M607&lt;6,IF(N607&lt;20,"低",IF(N607&lt;51,"中","高")),IF(N607&lt;20,"中","高")))),"不计算")))</f>
        <v/>
      </c>
      <c r="P607" s="142">
        <f>IFERROR(IF(I607="EI",IF(O607="低",3,IF(O607="中",4,6)),IF(I607="EO",IF(O607="低",4,IF(O607="中",5,7)),IF(I607="EQ",IF(O607="低",3,IF(O607="中",4,6)),IF(I607="ILF",IF(O607="低",7,IF(O607="中",10,15)),IF(I607="EIF",IF(O607="低",5,IF(O607="中",7,10)),"不计算")))))*Q607,"不计算")</f>
        <v/>
      </c>
      <c r="Q607" s="142" t="n">
        <v>0</v>
      </c>
      <c r="R607" s="143">
        <f>调整因子!$F$13</f>
        <v/>
      </c>
      <c r="S607" s="70" t="n">
        <v>1</v>
      </c>
      <c r="T607" s="144">
        <f>IFERROR(P607*R607,0)</f>
        <v/>
      </c>
      <c r="U607" s="144">
        <f>T607*S607</f>
        <v/>
      </c>
      <c r="V607" s="89" t="n"/>
      <c r="W607" s="76" t="inlineStr">
        <is>
          <t>修复核验报告数据表</t>
        </is>
      </c>
      <c r="X607" s="88" t="inlineStr">
        <is>
          <t>修复核验报告数据表{记录ID、记录时间、生成时间、生成进度、生成结果、报告名称、报告路径|}</t>
        </is>
      </c>
      <c r="Y607" s="88">
        <f>IF(COUNTIFS(V:V,"*"&amp;H607&amp;"*")&gt;0,"存在","不存在")</f>
        <v/>
      </c>
      <c r="Z607" s="88">
        <f>IF(COUNTIFS(AA:AA,"*"&amp;H607&amp;"*")&gt;0,"存在","不存在")</f>
        <v/>
      </c>
      <c r="AA607" s="101" t="n"/>
    </row>
    <row r="608" hidden="1" ht="21.6" customHeight="1">
      <c r="A608" s="69">
        <f>ROW()-1</f>
        <v/>
      </c>
      <c r="B608" s="53" t="n"/>
      <c r="C608" s="78" t="n">
        <v>2025</v>
      </c>
      <c r="D608" s="78" t="inlineStr">
        <is>
          <t>汤凤欣</t>
        </is>
      </c>
      <c r="E608" s="53" t="n"/>
      <c r="F608" s="53" t="n"/>
      <c r="G608" s="79" t="inlineStr">
        <is>
          <t>系统漏洞修复核验报告模板管理</t>
        </is>
      </c>
      <c r="H608" s="103" t="inlineStr">
        <is>
          <t>配置漏洞修复核验报告模板</t>
        </is>
      </c>
      <c r="I608" s="76" t="inlineStr">
        <is>
          <t>EI</t>
        </is>
      </c>
      <c r="J608" s="108" t="n"/>
      <c r="K608" s="108" t="n"/>
      <c r="L608" s="83">
        <f>IF(OR(X608="估算法",X608="算法类",X608="无法识别"),"",IF(V608="",IF(OR(I608="EI",I608="EO",I608="EQ"),0,""),LEN(V608)-LEN(SUBSTITUTE(V608,"、",""))+1))</f>
        <v/>
      </c>
      <c r="M608" s="83">
        <f>IF(OR(X608="估算法",X608="算法类",X608="无法识别"),"",IF(W608="",IF(OR(I608="ILF",I608="EIF"),0,""),LEN(W608)-LEN(SUBSTITUTE(W608,"、",""))+1))</f>
        <v/>
      </c>
      <c r="N608" s="83">
        <f>IF(OR(X608="估算法",X608="算法类",X608="无法识别"),"",IF(X608="",IF(OR(I608="ILF",I608="EIF",I608="EI",I608="EO",I608="EQ"),0,""),LEN(X608)-LEN(SUBSTITUTE(SUBSTITUTE(SUBSTITUTE(SUBSTITUTE(SUBSTITUTE(X608,"|}","--"),"{|","--"),CHAR(10),""),"、",""),"|",""))+IF(AND(OR(I608="EI",I608="EO",I608="EQ"),$AD$1="NESMA"),2,1)))</f>
        <v/>
      </c>
      <c r="O608" s="84">
        <f>IF(I608="EI",IF(OR(X608="估算法",X608="算法类"),"中",IF(X608="无法识别","低",IF(L608&lt;2,IF(N608&lt;16,"低","中"),IF(L608&lt;3,IF(N608&lt;5,"低",IF(N608&lt;16,"中","高")),IF(N608&lt;5,"中","高"))))),IF(OR(I608="EO",I608="EQ"),IF(OR(X608="估算法",X608="算法类"),"中",IF(X608="无法识别","低",IF(L608&lt;2,IF(N608&lt;20,"低","中"),IF(L608&lt;4,IF(N608&lt;6,"低",IF(N608&lt;20,"中","高")),IF(N608&lt;6,"中","高"))))),IF(OR(I608="ILF",I608="EIF"),IF(OR(X608="估算法",X608="算法类",X608="无法识别"),"低",IF(M608&lt;2,IF(N608&lt;51,"低","中"),IF(M608&lt;6,IF(N608&lt;20,"低",IF(N608&lt;51,"中","高")),IF(N608&lt;20,"中","高")))),"不计算")))</f>
        <v/>
      </c>
      <c r="P608" s="142">
        <f>IFERROR(IF(I608="EI",IF(O608="低",3,IF(O608="中",4,6)),IF(I608="EO",IF(O608="低",4,IF(O608="中",5,7)),IF(I608="EQ",IF(O608="低",3,IF(O608="中",4,6)),IF(I608="ILF",IF(O608="低",7,IF(O608="中",10,15)),IF(I608="EIF",IF(O608="低",5,IF(O608="中",7,10)),"不计算")))))*Q608,"不计算")</f>
        <v/>
      </c>
      <c r="Q608" s="142" t="n">
        <v>1</v>
      </c>
      <c r="R608" s="143">
        <f>调整因子!$F$13</f>
        <v/>
      </c>
      <c r="S608" s="76" t="n">
        <v>1</v>
      </c>
      <c r="T608" s="144">
        <f>IFERROR(P608*R608,0)</f>
        <v/>
      </c>
      <c r="U608" s="144">
        <f>T608*S608</f>
        <v/>
      </c>
      <c r="V608" s="88" t="inlineStr">
        <is>
          <t>漏洞修复核验报告模板配置项数据表</t>
        </is>
      </c>
      <c r="W608" s="89" t="n"/>
      <c r="X608" s="88" t="inlineStr">
        <is>
          <t>漏洞修复核验报告模板配置项数据表{配置项ID、配置分类、配置名称、角色名称}</t>
        </is>
      </c>
      <c r="Y608" s="88" t="n"/>
      <c r="Z608" s="88" t="n"/>
      <c r="AA608" s="70" t="n"/>
    </row>
    <row r="609" hidden="1" ht="21.6" customHeight="1">
      <c r="A609" s="69">
        <f>ROW()-1</f>
        <v/>
      </c>
      <c r="B609" s="53" t="n"/>
      <c r="C609" s="78" t="n">
        <v>2025</v>
      </c>
      <c r="D609" s="78" t="inlineStr">
        <is>
          <t>汤凤欣</t>
        </is>
      </c>
      <c r="E609" s="53" t="n"/>
      <c r="F609" s="53" t="n"/>
      <c r="G609" s="54" t="n"/>
      <c r="H609" s="81" t="inlineStr">
        <is>
          <t>漏洞修复核验报告模板配置项数据表</t>
        </is>
      </c>
      <c r="I609" s="76" t="inlineStr">
        <is>
          <t>ILF</t>
        </is>
      </c>
      <c r="J609" s="108" t="n"/>
      <c r="K609" s="108" t="n"/>
      <c r="L609" s="83">
        <f>IF(OR(X609="估算法",X609="算法类",X609="无法识别"),"",IF(V609="",IF(OR(I609="EI",I609="EO",I609="EQ"),0,""),LEN(V609)-LEN(SUBSTITUTE(V609,"、",""))+1))</f>
        <v/>
      </c>
      <c r="M609" s="83">
        <f>IF(OR(X609="估算法",X609="算法类",X609="无法识别"),"",IF(W609="",IF(OR(I609="ILF",I609="EIF"),0,""),LEN(W609)-LEN(SUBSTITUTE(W609,"、",""))+1))</f>
        <v/>
      </c>
      <c r="N609" s="83">
        <f>IF(OR(X609="估算法",X609="算法类",X609="无法识别"),"",IF(X609="",IF(OR(I609="ILF",I609="EIF",I609="EI",I609="EO",I609="EQ"),0,""),LEN(X609)-LEN(SUBSTITUTE(SUBSTITUTE(SUBSTITUTE(SUBSTITUTE(SUBSTITUTE(X609,"|}","--"),"{|","--"),CHAR(10),""),"、",""),"|",""))+IF(AND(OR(I609="EI",I609="EO",I609="EQ"),$AD$1="NESMA"),2,1)))</f>
        <v/>
      </c>
      <c r="O609" s="84">
        <f>IF(I609="EI",IF(OR(X609="估算法",X609="算法类"),"中",IF(X609="无法识别","低",IF(L609&lt;2,IF(N609&lt;16,"低","中"),IF(L609&lt;3,IF(N609&lt;5,"低",IF(N609&lt;16,"中","高")),IF(N609&lt;5,"中","高"))))),IF(OR(I609="EO",I609="EQ"),IF(OR(X609="估算法",X609="算法类"),"中",IF(X609="无法识别","低",IF(L609&lt;2,IF(N609&lt;20,"低","中"),IF(L609&lt;4,IF(N609&lt;6,"低",IF(N609&lt;20,"中","高")),IF(N609&lt;6,"中","高"))))),IF(OR(I609="ILF",I609="EIF"),IF(OR(X609="估算法",X609="算法类",X609="无法识别"),"低",IF(M609&lt;2,IF(N609&lt;51,"低","中"),IF(M609&lt;6,IF(N609&lt;20,"低",IF(N609&lt;51,"中","高")),IF(N609&lt;20,"中","高")))),"不计算")))</f>
        <v/>
      </c>
      <c r="P609" s="142">
        <f>IFERROR(IF(I609="EI",IF(O609="低",3,IF(O609="中",4,6)),IF(I609="EO",IF(O609="低",4,IF(O609="中",5,7)),IF(I609="EQ",IF(O609="低",3,IF(O609="中",4,6)),IF(I609="ILF",IF(O609="低",7,IF(O609="中",10,15)),IF(I609="EIF",IF(O609="低",5,IF(O609="中",7,10)),"不计算")))))*Q609,"不计算")</f>
        <v/>
      </c>
      <c r="Q609" s="142" t="n">
        <v>1</v>
      </c>
      <c r="R609" s="143">
        <f>调整因子!$F$13</f>
        <v/>
      </c>
      <c r="S609" s="70" t="n">
        <v>1</v>
      </c>
      <c r="T609" s="144">
        <f>IFERROR(P609*R609,0)</f>
        <v/>
      </c>
      <c r="U609" s="144">
        <f>T609*S609</f>
        <v/>
      </c>
      <c r="V609" s="89" t="n"/>
      <c r="W609" s="88" t="inlineStr">
        <is>
          <t>漏洞修复核验报告模板配置项数据表</t>
        </is>
      </c>
      <c r="X609" s="88" t="inlineStr">
        <is>
          <t>漏洞修复核验报告模板配置项数据表{配置项ID、配置分类、配置名称、角色名称}</t>
        </is>
      </c>
      <c r="Y609" s="88">
        <f>IF(COUNTIFS(V:V,"*"&amp;H609&amp;"*")&gt;0,"存在","不存在")</f>
        <v/>
      </c>
      <c r="Z609" s="88">
        <f>IF(COUNTIFS(AA:AA,"*"&amp;H609&amp;"*")&gt;0,"存在","不存在")</f>
        <v/>
      </c>
      <c r="AA609" s="101" t="n"/>
    </row>
    <row r="610" hidden="1" ht="54" customHeight="1">
      <c r="A610" s="69">
        <f>ROW()-1</f>
        <v/>
      </c>
      <c r="B610" s="53" t="n"/>
      <c r="C610" s="78" t="n">
        <v>2025</v>
      </c>
      <c r="D610" s="78" t="inlineStr">
        <is>
          <t>汤凤欣</t>
        </is>
      </c>
      <c r="E610" s="53" t="n"/>
      <c r="F610" s="53" t="n"/>
      <c r="G610" s="79" t="inlineStr">
        <is>
          <t>系统漏洞修复核验报告分发共享</t>
        </is>
      </c>
      <c r="H610" s="80" t="inlineStr">
        <is>
          <t>推送系统核验报告</t>
        </is>
      </c>
      <c r="I610" s="76" t="inlineStr">
        <is>
          <t>EO</t>
        </is>
      </c>
      <c r="J610" s="108" t="n"/>
      <c r="K610" s="108" t="n"/>
      <c r="L610" s="83">
        <f>IF(OR(X610="估算法",X610="算法类",X610="无法识别"),"",IF(V610="",IF(OR(I610="EI",I610="EO",I610="EQ"),0,""),LEN(V610)-LEN(SUBSTITUTE(V610,"、",""))+1))</f>
        <v/>
      </c>
      <c r="M610" s="83">
        <f>IF(OR(X610="估算法",X610="算法类",X610="无法识别"),"",IF(W610="",IF(OR(I610="ILF",I610="EIF"),0,""),LEN(W610)-LEN(SUBSTITUTE(W610,"、",""))+1))</f>
        <v/>
      </c>
      <c r="N610" s="83">
        <f>IF(OR(X610="估算法",X610="算法类",X610="无法识别"),"",IF(X610="",IF(OR(I610="ILF",I610="EIF",I610="EI",I610="EO",I610="EQ"),0,""),LEN(X610)-LEN(SUBSTITUTE(SUBSTITUTE(SUBSTITUTE(SUBSTITUTE(SUBSTITUTE(X610,"|}","--"),"{|","--"),CHAR(10),""),"、",""),"|",""))+IF(AND(OR(I610="EI",I610="EO",I610="EQ"),$AD$1="NESMA"),2,1)))</f>
        <v/>
      </c>
      <c r="O610" s="84">
        <f>IF(I610="EI",IF(OR(X610="估算法",X610="算法类"),"中",IF(X610="无法识别","低",IF(L610&lt;2,IF(N610&lt;16,"低","中"),IF(L610&lt;3,IF(N610&lt;5,"低",IF(N610&lt;16,"中","高")),IF(N610&lt;5,"中","高"))))),IF(OR(I610="EO",I610="EQ"),IF(OR(X610="估算法",X610="算法类"),"中",IF(X610="无法识别","低",IF(L610&lt;2,IF(N610&lt;20,"低","中"),IF(L610&lt;4,IF(N610&lt;6,"低",IF(N610&lt;20,"中","高")),IF(N610&lt;6,"中","高"))))),IF(OR(I610="ILF",I610="EIF"),IF(OR(X610="估算法",X610="算法类",X610="无法识别"),"低",IF(M610&lt;2,IF(N610&lt;51,"低","中"),IF(M610&lt;6,IF(N610&lt;20,"低",IF(N610&lt;51,"中","高")),IF(N610&lt;20,"中","高")))),"不计算")))</f>
        <v/>
      </c>
      <c r="P610" s="142">
        <f>IFERROR(IF(I610="EI",IF(O610="低",3,IF(O610="中",4,6)),IF(I610="EO",IF(O610="低",4,IF(O610="中",5,7)),IF(I610="EQ",IF(O610="低",3,IF(O610="中",4,6)),IF(I610="ILF",IF(O610="低",7,IF(O610="中",10,15)),IF(I610="EIF",IF(O610="低",5,IF(O610="中",7,10)),"不计算")))))*Q610,"不计算")</f>
        <v/>
      </c>
      <c r="Q610" s="142" t="n">
        <v>1</v>
      </c>
      <c r="R610" s="143">
        <f>调整因子!$F$13</f>
        <v/>
      </c>
      <c r="S610" s="70" t="n">
        <v>1</v>
      </c>
      <c r="T610" s="144">
        <f>IFERROR(P610*R610,0)</f>
        <v/>
      </c>
      <c r="U610" s="144">
        <f>T610*S610</f>
        <v/>
      </c>
      <c r="V610" s="88" t="inlineStr">
        <is>
          <t>修复核验报告推送规则数据表、修复核验报告文件、修复核验报告数据表</t>
        </is>
      </c>
      <c r="W610" s="89" t="n"/>
      <c r="X610" s="88" t="inlineStr">
        <is>
          <t>修复核验报告推送规则数据表{推送规则ID、推送范围、推送方式、启用状态|}
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Y610" s="88" t="n"/>
      <c r="Z610" s="88" t="n"/>
      <c r="AA610" s="70" t="n"/>
    </row>
    <row r="611" hidden="1">
      <c r="A611" s="69">
        <f>ROW()-1</f>
        <v/>
      </c>
      <c r="B611" s="53" t="n"/>
      <c r="C611" s="78" t="n">
        <v>2025</v>
      </c>
      <c r="D611" s="78" t="inlineStr">
        <is>
          <t>汤凤欣</t>
        </is>
      </c>
      <c r="E611" s="53" t="n"/>
      <c r="F611" s="53" t="n"/>
      <c r="G611" s="53" t="n"/>
      <c r="H611" s="103" t="inlineStr">
        <is>
          <t>配置报告推送规则</t>
        </is>
      </c>
      <c r="I611" s="76" t="inlineStr">
        <is>
          <t>EI</t>
        </is>
      </c>
      <c r="J611" s="108" t="n"/>
      <c r="K611" s="108" t="n"/>
      <c r="L611" s="83">
        <f>IF(OR(X611="估算法",X611="算法类",X611="无法识别"),"",IF(V611="",IF(OR(I611="EI",I611="EO",I611="EQ"),0,""),LEN(V611)-LEN(SUBSTITUTE(V611,"、",""))+1))</f>
        <v/>
      </c>
      <c r="M611" s="83">
        <f>IF(OR(X611="估算法",X611="算法类",X611="无法识别"),"",IF(W611="",IF(OR(I611="ILF",I611="EIF"),0,""),LEN(W611)-LEN(SUBSTITUTE(W611,"、",""))+1))</f>
        <v/>
      </c>
      <c r="N611" s="83">
        <f>IF(OR(X611="估算法",X611="算法类",X611="无法识别"),"",IF(X611="",IF(OR(I611="ILF",I611="EIF",I611="EI",I611="EO",I611="EQ"),0,""),LEN(X611)-LEN(SUBSTITUTE(SUBSTITUTE(SUBSTITUTE(SUBSTITUTE(SUBSTITUTE(X611,"|}","--"),"{|","--"),CHAR(10),""),"、",""),"|",""))+IF(AND(OR(I611="EI",I611="EO",I611="EQ"),$AD$1="NESMA"),2,1)))</f>
        <v/>
      </c>
      <c r="O611" s="84">
        <f>IF(I611="EI",IF(OR(X611="估算法",X611="算法类"),"中",IF(X611="无法识别","低",IF(L611&lt;2,IF(N611&lt;16,"低","中"),IF(L611&lt;3,IF(N611&lt;5,"低",IF(N611&lt;16,"中","高")),IF(N611&lt;5,"中","高"))))),IF(OR(I611="EO",I611="EQ"),IF(OR(X611="估算法",X611="算法类"),"中",IF(X611="无法识别","低",IF(L611&lt;2,IF(N611&lt;20,"低","中"),IF(L611&lt;4,IF(N611&lt;6,"低",IF(N611&lt;20,"中","高")),IF(N611&lt;6,"中","高"))))),IF(OR(I611="ILF",I611="EIF"),IF(OR(X611="估算法",X611="算法类",X611="无法识别"),"低",IF(M611&lt;2,IF(N611&lt;51,"低","中"),IF(M611&lt;6,IF(N611&lt;20,"低",IF(N611&lt;51,"中","高")),IF(N611&lt;20,"中","高")))),"不计算")))</f>
        <v/>
      </c>
      <c r="P611" s="142">
        <f>IFERROR(IF(I611="EI",IF(O611="低",3,IF(O611="中",4,6)),IF(I611="EO",IF(O611="低",4,IF(O611="中",5,7)),IF(I611="EQ",IF(O611="低",3,IF(O611="中",4,6)),IF(I611="ILF",IF(O611="低",7,IF(O611="中",10,15)),IF(I611="EIF",IF(O611="低",5,IF(O611="中",7,10)),"不计算")))))*Q611,"不计算")</f>
        <v/>
      </c>
      <c r="Q611" s="142" t="n">
        <v>1</v>
      </c>
      <c r="R611" s="143">
        <f>调整因子!$F$13</f>
        <v/>
      </c>
      <c r="S611" s="76" t="n">
        <v>1</v>
      </c>
      <c r="T611" s="144">
        <f>IFERROR(P611*R611,0)</f>
        <v/>
      </c>
      <c r="U611" s="144">
        <f>T611*S611</f>
        <v/>
      </c>
      <c r="V611" s="88" t="inlineStr">
        <is>
          <t>修复核验报告推送规则数据表</t>
        </is>
      </c>
      <c r="W611" s="89" t="n"/>
      <c r="X611" s="88" t="inlineStr">
        <is>
          <t>修复核验报告推送规则数据表{推送规则ID、推送范围、推送方式、启用状态|}</t>
        </is>
      </c>
      <c r="Y611" s="88" t="n"/>
      <c r="Z611" s="88" t="n"/>
      <c r="AA611" s="101" t="n"/>
    </row>
    <row r="612" hidden="1">
      <c r="A612" s="69">
        <f>ROW()-1</f>
        <v/>
      </c>
      <c r="B612" s="53" t="n"/>
      <c r="C612" s="78" t="n">
        <v>2025</v>
      </c>
      <c r="D612" s="78" t="inlineStr">
        <is>
          <t>汤凤欣</t>
        </is>
      </c>
      <c r="E612" s="53" t="n"/>
      <c r="F612" s="54" t="n"/>
      <c r="G612" s="54" t="n"/>
      <c r="H612" s="81" t="inlineStr">
        <is>
          <t>修复核验报告推送规则数据表</t>
        </is>
      </c>
      <c r="I612" s="76" t="inlineStr">
        <is>
          <t>ILF</t>
        </is>
      </c>
      <c r="J612" s="108" t="n"/>
      <c r="K612" s="108" t="n"/>
      <c r="L612" s="83">
        <f>IF(OR(X612="估算法",X612="算法类",X612="无法识别"),"",IF(V612="",IF(OR(I612="EI",I612="EO",I612="EQ"),0,""),LEN(V612)-LEN(SUBSTITUTE(V612,"、",""))+1))</f>
        <v/>
      </c>
      <c r="M612" s="83">
        <f>IF(OR(X612="估算法",X612="算法类",X612="无法识别"),"",IF(W612="",IF(OR(I612="ILF",I612="EIF"),0,""),LEN(W612)-LEN(SUBSTITUTE(W612,"、",""))+1))</f>
        <v/>
      </c>
      <c r="N612" s="83">
        <f>IF(OR(X612="估算法",X612="算法类",X612="无法识别"),"",IF(X612="",IF(OR(I612="ILF",I612="EIF",I612="EI",I612="EO",I612="EQ"),0,""),LEN(X612)-LEN(SUBSTITUTE(SUBSTITUTE(SUBSTITUTE(SUBSTITUTE(SUBSTITUTE(X612,"|}","--"),"{|","--"),CHAR(10),""),"、",""),"|",""))+IF(AND(OR(I612="EI",I612="EO",I612="EQ"),$AD$1="NESMA"),2,1)))</f>
        <v/>
      </c>
      <c r="O612" s="84">
        <f>IF(I612="EI",IF(OR(X612="估算法",X612="算法类"),"中",IF(X612="无法识别","低",IF(L612&lt;2,IF(N612&lt;16,"低","中"),IF(L612&lt;3,IF(N612&lt;5,"低",IF(N612&lt;16,"中","高")),IF(N612&lt;5,"中","高"))))),IF(OR(I612="EO",I612="EQ"),IF(OR(X612="估算法",X612="算法类"),"中",IF(X612="无法识别","低",IF(L612&lt;2,IF(N612&lt;20,"低","中"),IF(L612&lt;4,IF(N612&lt;6,"低",IF(N612&lt;20,"中","高")),IF(N612&lt;6,"中","高"))))),IF(OR(I612="ILF",I612="EIF"),IF(OR(X612="估算法",X612="算法类",X612="无法识别"),"低",IF(M612&lt;2,IF(N612&lt;51,"低","中"),IF(M612&lt;6,IF(N612&lt;20,"低",IF(N612&lt;51,"中","高")),IF(N612&lt;20,"中","高")))),"不计算")))</f>
        <v/>
      </c>
      <c r="P612" s="142">
        <f>IFERROR(IF(I612="EI",IF(O612="低",3,IF(O612="中",4,6)),IF(I612="EO",IF(O612="低",4,IF(O612="中",5,7)),IF(I612="EQ",IF(O612="低",3,IF(O612="中",4,6)),IF(I612="ILF",IF(O612="低",7,IF(O612="中",10,15)),IF(I612="EIF",IF(O612="低",5,IF(O612="中",7,10)),"不计算")))))*Q612,"不计算")</f>
        <v/>
      </c>
      <c r="Q612" s="142" t="n">
        <v>1</v>
      </c>
      <c r="R612" s="143">
        <f>调整因子!$F$13</f>
        <v/>
      </c>
      <c r="S612" s="70" t="n">
        <v>1</v>
      </c>
      <c r="T612" s="144">
        <f>IFERROR(P612*R612,0)</f>
        <v/>
      </c>
      <c r="U612" s="144">
        <f>T612*S612</f>
        <v/>
      </c>
      <c r="V612" s="89" t="n"/>
      <c r="W612" s="88" t="inlineStr">
        <is>
          <t>修复核验报告推送规则数据表</t>
        </is>
      </c>
      <c r="X612" s="88" t="inlineStr">
        <is>
          <t>修复核验报告推送规则数据表{推送规则ID、推送范围、推送方式、启用状态|}</t>
        </is>
      </c>
      <c r="Y612" s="88">
        <f>IF(COUNTIFS(V:V,"*"&amp;H612&amp;"*")&gt;0,"存在","不存在")</f>
        <v/>
      </c>
      <c r="Z612" s="88">
        <f>IF(COUNTIFS(AA:AA,"*"&amp;H612&amp;"*")&gt;0,"存在","不存在")</f>
        <v/>
      </c>
      <c r="AA612" s="70" t="n"/>
    </row>
    <row r="613" hidden="1" ht="54" customHeight="1">
      <c r="A613" s="69">
        <f>ROW()-1</f>
        <v/>
      </c>
      <c r="B613" s="53" t="n"/>
      <c r="C613" s="78" t="n">
        <v>2025</v>
      </c>
      <c r="D613" s="78" t="inlineStr">
        <is>
          <t>汤凤欣</t>
        </is>
      </c>
      <c r="E613" s="53" t="n"/>
      <c r="F613" s="79" t="inlineStr">
        <is>
          <t>漏洞修复核验跨级联动对接</t>
        </is>
      </c>
      <c r="G613" s="79" t="inlineStr">
        <is>
          <t>漏洞修复核验跨级联动接口</t>
        </is>
      </c>
      <c r="H613" s="103" t="inlineStr">
        <is>
          <t>跨级联动扫描排查</t>
        </is>
      </c>
      <c r="I613" s="76" t="n"/>
      <c r="J613" s="108" t="n"/>
      <c r="K613" s="108" t="inlineStr">
        <is>
          <t>非事务功能，未对数据维护且无系统输出</t>
        </is>
      </c>
      <c r="L613" s="83">
        <f>IF(OR(X613="估算法",X613="算法类",X613="无法识别"),"",IF(V613="",IF(OR(I613="EI",I613="EO",I613="EQ"),0,""),LEN(V613)-LEN(SUBSTITUTE(V613,"、",""))+1))</f>
        <v/>
      </c>
      <c r="M613" s="83">
        <f>IF(OR(X613="估算法",X613="算法类",X613="无法识别"),"",IF(W613="",IF(OR(I613="ILF",I613="EIF"),0,""),LEN(W613)-LEN(SUBSTITUTE(W613,"、",""))+1))</f>
        <v/>
      </c>
      <c r="N613" s="83">
        <f>IF(OR(X613="估算法",X613="算法类",X613="无法识别"),"",IF(X613="",IF(OR(I613="ILF",I613="EIF",I613="EI",I613="EO",I613="EQ"),0,""),LEN(X613)-LEN(SUBSTITUTE(SUBSTITUTE(SUBSTITUTE(SUBSTITUTE(SUBSTITUTE(X613,"|}","--"),"{|","--"),CHAR(10),""),"、",""),"|",""))+IF(AND(OR(I613="EI",I613="EO",I613="EQ"),$AD$1="NESMA"),2,1)))</f>
        <v/>
      </c>
      <c r="O613" s="84">
        <f>IF(I613="EI",IF(OR(X613="估算法",X613="算法类"),"中",IF(X613="无法识别","低",IF(L613&lt;2,IF(N613&lt;16,"低","中"),IF(L613&lt;3,IF(N613&lt;5,"低",IF(N613&lt;16,"中","高")),IF(N613&lt;5,"中","高"))))),IF(OR(I613="EO",I613="EQ"),IF(OR(X613="估算法",X613="算法类"),"中",IF(X613="无法识别","低",IF(L613&lt;2,IF(N613&lt;20,"低","中"),IF(L613&lt;4,IF(N613&lt;6,"低",IF(N613&lt;20,"中","高")),IF(N613&lt;6,"中","高"))))),IF(OR(I613="ILF",I613="EIF"),IF(OR(X613="估算法",X613="算法类",X613="无法识别"),"低",IF(M613&lt;2,IF(N613&lt;51,"低","中"),IF(M613&lt;6,IF(N613&lt;20,"低",IF(N613&lt;51,"中","高")),IF(N613&lt;20,"中","高")))),"不计算")))</f>
        <v/>
      </c>
      <c r="P613" s="142">
        <f>IFERROR(IF(I613="EI",IF(O613="低",3,IF(O613="中",4,6)),IF(I613="EO",IF(O613="低",4,IF(O613="中",5,7)),IF(I613="EQ",IF(O613="低",3,IF(O613="中",4,6)),IF(I613="ILF",IF(O613="低",7,IF(O613="中",10,15)),IF(I613="EIF",IF(O613="低",5,IF(O613="中",7,10)),"不计算")))))*Q613,"不计算")</f>
        <v/>
      </c>
      <c r="Q613" s="142" t="n">
        <v>1</v>
      </c>
      <c r="R613" s="143">
        <f>调整因子!$F$13</f>
        <v/>
      </c>
      <c r="S613" s="70" t="n">
        <v>1</v>
      </c>
      <c r="T613" s="144">
        <f>IFERROR(P613*R613,0)</f>
        <v/>
      </c>
      <c r="U613" s="144">
        <f>T613*S613</f>
        <v/>
      </c>
      <c r="V613" s="76" t="inlineStr">
        <is>
          <t>跨级联动扫描排查任务数据表</t>
        </is>
      </c>
      <c r="W613" s="89" t="n"/>
      <c r="X613" s="76" t="inlineStr">
        <is>
          <t>跨级联动扫描排查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Y613" s="88" t="n"/>
      <c r="Z613" s="88" t="n"/>
      <c r="AA613" s="101" t="n"/>
    </row>
    <row r="614" hidden="1" ht="54" customHeight="1">
      <c r="A614" s="69">
        <f>ROW()-1</f>
        <v/>
      </c>
      <c r="B614" s="53" t="n"/>
      <c r="C614" s="78" t="n">
        <v>2025</v>
      </c>
      <c r="D614" s="78" t="inlineStr">
        <is>
          <t>汤凤欣</t>
        </is>
      </c>
      <c r="E614" s="53" t="n"/>
      <c r="F614" s="53" t="n"/>
      <c r="G614" s="53" t="n"/>
      <c r="H614" s="103" t="inlineStr">
        <is>
          <t>跨级联动漏洞核验</t>
        </is>
      </c>
      <c r="I614" s="76" t="n"/>
      <c r="J614" s="108" t="n"/>
      <c r="K614" s="108" t="inlineStr">
        <is>
          <t>非事务功能，未对数据维护且无系统输出</t>
        </is>
      </c>
      <c r="L614" s="83">
        <f>IF(OR(X614="估算法",X614="算法类",X614="无法识别"),"",IF(V614="",IF(OR(I614="EI",I614="EO",I614="EQ"),0,""),LEN(V614)-LEN(SUBSTITUTE(V614,"、",""))+1))</f>
        <v/>
      </c>
      <c r="M614" s="83">
        <f>IF(OR(X614="估算法",X614="算法类",X614="无法识别"),"",IF(W614="",IF(OR(I614="ILF",I614="EIF"),0,""),LEN(W614)-LEN(SUBSTITUTE(W614,"、",""))+1))</f>
        <v/>
      </c>
      <c r="N614" s="83">
        <f>IF(OR(X614="估算法",X614="算法类",X614="无法识别"),"",IF(X614="",IF(OR(I614="ILF",I614="EIF",I614="EI",I614="EO",I614="EQ"),0,""),LEN(X614)-LEN(SUBSTITUTE(SUBSTITUTE(SUBSTITUTE(SUBSTITUTE(SUBSTITUTE(X614,"|}","--"),"{|","--"),CHAR(10),""),"、",""),"|",""))+IF(AND(OR(I614="EI",I614="EO",I614="EQ"),$AD$1="NESMA"),2,1)))</f>
        <v/>
      </c>
      <c r="O614" s="84">
        <f>IF(I614="EI",IF(OR(X614="估算法",X614="算法类"),"中",IF(X614="无法识别","低",IF(L614&lt;2,IF(N614&lt;16,"低","中"),IF(L614&lt;3,IF(N614&lt;5,"低",IF(N614&lt;16,"中","高")),IF(N614&lt;5,"中","高"))))),IF(OR(I614="EO",I614="EQ"),IF(OR(X614="估算法",X614="算法类"),"中",IF(X614="无法识别","低",IF(L614&lt;2,IF(N614&lt;20,"低","中"),IF(L614&lt;4,IF(N614&lt;6,"低",IF(N614&lt;20,"中","高")),IF(N614&lt;6,"中","高"))))),IF(OR(I614="ILF",I614="EIF"),IF(OR(X614="估算法",X614="算法类",X614="无法识别"),"低",IF(M614&lt;2,IF(N614&lt;51,"低","中"),IF(M614&lt;6,IF(N614&lt;20,"低",IF(N614&lt;51,"中","高")),IF(N614&lt;20,"中","高")))),"不计算")))</f>
        <v/>
      </c>
      <c r="P614" s="142">
        <f>IFERROR(IF(I614="EI",IF(O614="低",3,IF(O614="中",4,6)),IF(I614="EO",IF(O614="低",4,IF(O614="中",5,7)),IF(I614="EQ",IF(O614="低",3,IF(O614="中",4,6)),IF(I614="ILF",IF(O614="低",7,IF(O614="中",10,15)),IF(I614="EIF",IF(O614="低",5,IF(O614="中",7,10)),"不计算")))))*Q614,"不计算")</f>
        <v/>
      </c>
      <c r="Q614" s="142" t="n">
        <v>1</v>
      </c>
      <c r="R614" s="143">
        <f>调整因子!$F$13</f>
        <v/>
      </c>
      <c r="S614" s="76" t="n">
        <v>1</v>
      </c>
      <c r="T614" s="144">
        <f>IFERROR(P614*R614,0)</f>
        <v/>
      </c>
      <c r="U614" s="144">
        <f>T614*S614</f>
        <v/>
      </c>
      <c r="V614" s="76" t="inlineStr">
        <is>
          <t>跨级联动漏洞核验任务数据表</t>
        </is>
      </c>
      <c r="W614" s="89" t="n"/>
      <c r="X614" s="76" t="inlineStr">
        <is>
          <t>跨级联动漏洞核验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Y614" s="88" t="n"/>
      <c r="Z614" s="88" t="n"/>
      <c r="AA614" s="70" t="n"/>
    </row>
    <row r="615" hidden="1" ht="54" customHeight="1">
      <c r="A615" s="69">
        <f>ROW()-1</f>
        <v/>
      </c>
      <c r="B615" s="53" t="n"/>
      <c r="C615" s="78" t="n">
        <v>2025</v>
      </c>
      <c r="D615" s="78" t="inlineStr">
        <is>
          <t>汤凤欣</t>
        </is>
      </c>
      <c r="E615" s="53" t="n"/>
      <c r="F615" s="53" t="n"/>
      <c r="G615" s="53" t="n"/>
      <c r="H615" s="103" t="inlineStr">
        <is>
          <t>跨级联动漏洞验证</t>
        </is>
      </c>
      <c r="I615" s="76" t="n"/>
      <c r="J615" s="108" t="n"/>
      <c r="K615" s="108" t="inlineStr">
        <is>
          <t>非事务功能，未对数据维护且无系统输出</t>
        </is>
      </c>
      <c r="L615" s="83">
        <f>IF(OR(X615="估算法",X615="算法类",X615="无法识别"),"",IF(V615="",IF(OR(I615="EI",I615="EO",I615="EQ"),0,""),LEN(V615)-LEN(SUBSTITUTE(V615,"、",""))+1))</f>
        <v/>
      </c>
      <c r="M615" s="83">
        <f>IF(OR(X615="估算法",X615="算法类",X615="无法识别"),"",IF(W615="",IF(OR(I615="ILF",I615="EIF"),0,""),LEN(W615)-LEN(SUBSTITUTE(W615,"、",""))+1))</f>
        <v/>
      </c>
      <c r="N615" s="83">
        <f>IF(OR(X615="估算法",X615="算法类",X615="无法识别"),"",IF(X615="",IF(OR(I615="ILF",I615="EIF",I615="EI",I615="EO",I615="EQ"),0,""),LEN(X615)-LEN(SUBSTITUTE(SUBSTITUTE(SUBSTITUTE(SUBSTITUTE(SUBSTITUTE(X615,"|}","--"),"{|","--"),CHAR(10),""),"、",""),"|",""))+IF(AND(OR(I615="EI",I615="EO",I615="EQ"),$AD$1="NESMA"),2,1)))</f>
        <v/>
      </c>
      <c r="O615" s="84">
        <f>IF(I615="EI",IF(OR(X615="估算法",X615="算法类"),"中",IF(X615="无法识别","低",IF(L615&lt;2,IF(N615&lt;16,"低","中"),IF(L615&lt;3,IF(N615&lt;5,"低",IF(N615&lt;16,"中","高")),IF(N615&lt;5,"中","高"))))),IF(OR(I615="EO",I615="EQ"),IF(OR(X615="估算法",X615="算法类"),"中",IF(X615="无法识别","低",IF(L615&lt;2,IF(N615&lt;20,"低","中"),IF(L615&lt;4,IF(N615&lt;6,"低",IF(N615&lt;20,"中","高")),IF(N615&lt;6,"中","高"))))),IF(OR(I615="ILF",I615="EIF"),IF(OR(X615="估算法",X615="算法类",X615="无法识别"),"低",IF(M615&lt;2,IF(N615&lt;51,"低","中"),IF(M615&lt;6,IF(N615&lt;20,"低",IF(N615&lt;51,"中","高")),IF(N615&lt;20,"中","高")))),"不计算")))</f>
        <v/>
      </c>
      <c r="P615" s="142">
        <f>IFERROR(IF(I615="EI",IF(O615="低",3,IF(O615="中",4,6)),IF(I615="EO",IF(O615="低",4,IF(O615="中",5,7)),IF(I615="EQ",IF(O615="低",3,IF(O615="中",4,6)),IF(I615="ILF",IF(O615="低",7,IF(O615="中",10,15)),IF(I615="EIF",IF(O615="低",5,IF(O615="中",7,10)),"不计算")))))*Q615,"不计算")</f>
        <v/>
      </c>
      <c r="Q615" s="142" t="n">
        <v>1</v>
      </c>
      <c r="R615" s="143">
        <f>调整因子!$F$13</f>
        <v/>
      </c>
      <c r="S615" s="70" t="n">
        <v>1</v>
      </c>
      <c r="T615" s="144">
        <f>IFERROR(P615*R615,0)</f>
        <v/>
      </c>
      <c r="U615" s="144">
        <f>T615*S615</f>
        <v/>
      </c>
      <c r="V615" s="76" t="inlineStr">
        <is>
          <t>跨级联动漏洞验证任务数据表</t>
        </is>
      </c>
      <c r="W615" s="89" t="n"/>
      <c r="X615" s="76" t="inlineStr">
        <is>
          <t>跨级联动漏洞验证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Y615" s="88" t="n"/>
      <c r="Z615" s="88" t="n"/>
      <c r="AA615" s="101" t="n"/>
    </row>
    <row r="616" hidden="1" ht="32.4" customHeight="1">
      <c r="A616" s="69">
        <f>ROW()-1</f>
        <v/>
      </c>
      <c r="B616" s="53" t="n"/>
      <c r="C616" s="78" t="n">
        <v>2025</v>
      </c>
      <c r="D616" s="78" t="inlineStr">
        <is>
          <t>汤凤欣</t>
        </is>
      </c>
      <c r="E616" s="53" t="n"/>
      <c r="F616" s="53" t="n"/>
      <c r="G616" s="53" t="n"/>
      <c r="H616" s="81" t="inlineStr">
        <is>
          <t>跨级联动扫描排查任务数据表</t>
        </is>
      </c>
      <c r="I616" s="76" t="inlineStr">
        <is>
          <t>ILF</t>
        </is>
      </c>
      <c r="J616" s="108" t="n"/>
      <c r="K616" s="108" t="inlineStr">
        <is>
          <t>数据库表未被本系统所维护</t>
        </is>
      </c>
      <c r="L616" s="83">
        <f>IF(OR(X616="估算法",X616="算法类",X616="无法识别"),"",IF(V616="",IF(OR(I616="EI",I616="EO",I616="EQ"),0,""),LEN(V616)-LEN(SUBSTITUTE(V616,"、",""))+1))</f>
        <v/>
      </c>
      <c r="M616" s="83">
        <f>IF(OR(X616="估算法",X616="算法类",X616="无法识别"),"",IF(W616="",IF(OR(I616="ILF",I616="EIF"),0,""),LEN(W616)-LEN(SUBSTITUTE(W616,"、",""))+1))</f>
        <v/>
      </c>
      <c r="N616" s="83">
        <f>IF(OR(X616="估算法",X616="算法类",X616="无法识别"),"",IF(X616="",IF(OR(I616="ILF",I616="EIF",I616="EI",I616="EO",I616="EQ"),0,""),LEN(X616)-LEN(SUBSTITUTE(SUBSTITUTE(SUBSTITUTE(SUBSTITUTE(SUBSTITUTE(X616,"|}","--"),"{|","--"),CHAR(10),""),"、",""),"|",""))+IF(AND(OR(I616="EI",I616="EO",I616="EQ"),$AD$1="NESMA"),2,1)))</f>
        <v/>
      </c>
      <c r="O616" s="84">
        <f>IF(I616="EI",IF(OR(X616="估算法",X616="算法类"),"中",IF(X616="无法识别","低",IF(L616&lt;2,IF(N616&lt;16,"低","中"),IF(L616&lt;3,IF(N616&lt;5,"低",IF(N616&lt;16,"中","高")),IF(N616&lt;5,"中","高"))))),IF(OR(I616="EO",I616="EQ"),IF(OR(X616="估算法",X616="算法类"),"中",IF(X616="无法识别","低",IF(L616&lt;2,IF(N616&lt;20,"低","中"),IF(L616&lt;4,IF(N616&lt;6,"低",IF(N616&lt;20,"中","高")),IF(N616&lt;6,"中","高"))))),IF(OR(I616="ILF",I616="EIF"),IF(OR(X616="估算法",X616="算法类",X616="无法识别"),"低",IF(M616&lt;2,IF(N616&lt;51,"低","中"),IF(M616&lt;6,IF(N616&lt;20,"低",IF(N616&lt;51,"中","高")),IF(N616&lt;20,"中","高")))),"不计算")))</f>
        <v/>
      </c>
      <c r="P616" s="142">
        <f>IFERROR(IF(I616="EI",IF(O616="低",3,IF(O616="中",4,6)),IF(I616="EO",IF(O616="低",4,IF(O616="中",5,7)),IF(I616="EQ",IF(O616="低",3,IF(O616="中",4,6)),IF(I616="ILF",IF(O616="低",7,IF(O616="中",10,15)),IF(I616="EIF",IF(O616="低",5,IF(O616="中",7,10)),"不计算")))))*Q616,"不计算")</f>
        <v/>
      </c>
      <c r="Q616" s="142" t="n">
        <v>0</v>
      </c>
      <c r="R616" s="143">
        <f>调整因子!$F$13</f>
        <v/>
      </c>
      <c r="S616" s="70" t="n">
        <v>1</v>
      </c>
      <c r="T616" s="144">
        <f>IFERROR(P616*R616,0)</f>
        <v/>
      </c>
      <c r="U616" s="144">
        <f>T616*S616</f>
        <v/>
      </c>
      <c r="V616" s="89" t="n"/>
      <c r="W616" s="76" t="inlineStr">
        <is>
          <t>跨级联动扫描排查任务数据表</t>
        </is>
      </c>
      <c r="X616" s="76" t="inlineStr">
        <is>
          <t>跨级联动扫描排查任务数据表{任务id、任务编号、业务场景、任务场景、任务优先级、资产范围、漏洞范围、安全设备范围、时间戳、处置时间、处置方式、安全资源设备数量、产品漏洞范围数量、资产范围数量、资产责任人范围|}</t>
        </is>
      </c>
      <c r="Y616" s="88">
        <f>IF(COUNTIFS(V:V,"*"&amp;H616&amp;"*")&gt;0,"存在","不存在")</f>
        <v/>
      </c>
      <c r="Z616" s="88">
        <f>IF(COUNTIFS(AA:AA,"*"&amp;H616&amp;"*")&gt;0,"存在","不存在")</f>
        <v/>
      </c>
      <c r="AA616" s="70" t="n"/>
    </row>
    <row r="617" hidden="1" ht="32.4" customHeight="1">
      <c r="A617" s="69">
        <f>ROW()-1</f>
        <v/>
      </c>
      <c r="B617" s="53" t="n"/>
      <c r="C617" s="78" t="n">
        <v>2025</v>
      </c>
      <c r="D617" s="78" t="inlineStr">
        <is>
          <t>汤凤欣</t>
        </is>
      </c>
      <c r="E617" s="53" t="n"/>
      <c r="F617" s="53" t="n"/>
      <c r="G617" s="53" t="n"/>
      <c r="H617" s="81" t="inlineStr">
        <is>
          <t>跨级联动漏洞核验任务数据表</t>
        </is>
      </c>
      <c r="I617" s="76" t="inlineStr">
        <is>
          <t>ILF</t>
        </is>
      </c>
      <c r="J617" s="108" t="n"/>
      <c r="K617" s="108" t="inlineStr">
        <is>
          <t>数据库表未被本系统所维护</t>
        </is>
      </c>
      <c r="L617" s="83">
        <f>IF(OR(X617="估算法",X617="算法类",X617="无法识别"),"",IF(V617="",IF(OR(I617="EI",I617="EO",I617="EQ"),0,""),LEN(V617)-LEN(SUBSTITUTE(V617,"、",""))+1))</f>
        <v/>
      </c>
      <c r="M617" s="83">
        <f>IF(OR(X617="估算法",X617="算法类",X617="无法识别"),"",IF(W617="",IF(OR(I617="ILF",I617="EIF"),0,""),LEN(W617)-LEN(SUBSTITUTE(W617,"、",""))+1))</f>
        <v/>
      </c>
      <c r="N617" s="83">
        <f>IF(OR(X617="估算法",X617="算法类",X617="无法识别"),"",IF(X617="",IF(OR(I617="ILF",I617="EIF",I617="EI",I617="EO",I617="EQ"),0,""),LEN(X617)-LEN(SUBSTITUTE(SUBSTITUTE(SUBSTITUTE(SUBSTITUTE(SUBSTITUTE(X617,"|}","--"),"{|","--"),CHAR(10),""),"、",""),"|",""))+IF(AND(OR(I617="EI",I617="EO",I617="EQ"),$AD$1="NESMA"),2,1)))</f>
        <v/>
      </c>
      <c r="O617" s="84">
        <f>IF(I617="EI",IF(OR(X617="估算法",X617="算法类"),"中",IF(X617="无法识别","低",IF(L617&lt;2,IF(N617&lt;16,"低","中"),IF(L617&lt;3,IF(N617&lt;5,"低",IF(N617&lt;16,"中","高")),IF(N617&lt;5,"中","高"))))),IF(OR(I617="EO",I617="EQ"),IF(OR(X617="估算法",X617="算法类"),"中",IF(X617="无法识别","低",IF(L617&lt;2,IF(N617&lt;20,"低","中"),IF(L617&lt;4,IF(N617&lt;6,"低",IF(N617&lt;20,"中","高")),IF(N617&lt;6,"中","高"))))),IF(OR(I617="ILF",I617="EIF"),IF(OR(X617="估算法",X617="算法类",X617="无法识别"),"低",IF(M617&lt;2,IF(N617&lt;51,"低","中"),IF(M617&lt;6,IF(N617&lt;20,"低",IF(N617&lt;51,"中","高")),IF(N617&lt;20,"中","高")))),"不计算")))</f>
        <v/>
      </c>
      <c r="P617" s="142">
        <f>IFERROR(IF(I617="EI",IF(O617="低",3,IF(O617="中",4,6)),IF(I617="EO",IF(O617="低",4,IF(O617="中",5,7)),IF(I617="EQ",IF(O617="低",3,IF(O617="中",4,6)),IF(I617="ILF",IF(O617="低",7,IF(O617="中",10,15)),IF(I617="EIF",IF(O617="低",5,IF(O617="中",7,10)),"不计算")))))*Q617,"不计算")</f>
        <v/>
      </c>
      <c r="Q617" s="142" t="n">
        <v>0</v>
      </c>
      <c r="R617" s="143">
        <f>调整因子!$F$13</f>
        <v/>
      </c>
      <c r="S617" s="76" t="n">
        <v>1</v>
      </c>
      <c r="T617" s="144">
        <f>IFERROR(P617*R617,0)</f>
        <v/>
      </c>
      <c r="U617" s="144">
        <f>T617*S617</f>
        <v/>
      </c>
      <c r="V617" s="89" t="n"/>
      <c r="W617" s="76" t="inlineStr">
        <is>
          <t>跨级联动漏洞核验任务数据表</t>
        </is>
      </c>
      <c r="X617" s="76" t="inlineStr">
        <is>
          <t>跨级联动漏洞核验任务数据表{任务id、任务编号、业务场景、任务场景、任务优先级、资产范围、漏洞范围、安全设备范围、时间戳、处置时间、处置方式、安全资源设备数量、产品漏洞范围数量、资产范围数量、资产责任人范围|}</t>
        </is>
      </c>
      <c r="Y617" s="88">
        <f>IF(COUNTIFS(V:V,"*"&amp;H617&amp;"*")&gt;0,"存在","不存在")</f>
        <v/>
      </c>
      <c r="Z617" s="88">
        <f>IF(COUNTIFS(AA:AA,"*"&amp;H617&amp;"*")&gt;0,"存在","不存在")</f>
        <v/>
      </c>
      <c r="AA617" s="101" t="n"/>
    </row>
    <row r="618" hidden="1" ht="32.4" customHeight="1">
      <c r="A618" s="69">
        <f>ROW()-1</f>
        <v/>
      </c>
      <c r="B618" s="53" t="n"/>
      <c r="C618" s="78" t="n">
        <v>2025</v>
      </c>
      <c r="D618" s="78" t="inlineStr">
        <is>
          <t>汤凤欣</t>
        </is>
      </c>
      <c r="E618" s="54" t="n"/>
      <c r="F618" s="54" t="n"/>
      <c r="G618" s="54" t="n"/>
      <c r="H618" s="81" t="inlineStr">
        <is>
          <t>跨级联动漏洞验证任务数据表</t>
        </is>
      </c>
      <c r="I618" s="76" t="inlineStr">
        <is>
          <t>ILF</t>
        </is>
      </c>
      <c r="J618" s="108" t="n"/>
      <c r="K618" s="108" t="inlineStr">
        <is>
          <t>数据库表未被本系统所维护</t>
        </is>
      </c>
      <c r="L618" s="83">
        <f>IF(OR(X618="估算法",X618="算法类",X618="无法识别"),"",IF(V618="",IF(OR(I618="EI",I618="EO",I618="EQ"),0,""),LEN(V618)-LEN(SUBSTITUTE(V618,"、",""))+1))</f>
        <v/>
      </c>
      <c r="M618" s="83">
        <f>IF(OR(X618="估算法",X618="算法类",X618="无法识别"),"",IF(W618="",IF(OR(I618="ILF",I618="EIF"),0,""),LEN(W618)-LEN(SUBSTITUTE(W618,"、",""))+1))</f>
        <v/>
      </c>
      <c r="N618" s="83">
        <f>IF(OR(X618="估算法",X618="算法类",X618="无法识别"),"",IF(X618="",IF(OR(I618="ILF",I618="EIF",I618="EI",I618="EO",I618="EQ"),0,""),LEN(X618)-LEN(SUBSTITUTE(SUBSTITUTE(SUBSTITUTE(SUBSTITUTE(SUBSTITUTE(X618,"|}","--"),"{|","--"),CHAR(10),""),"、",""),"|",""))+IF(AND(OR(I618="EI",I618="EO",I618="EQ"),$AD$1="NESMA"),2,1)))</f>
        <v/>
      </c>
      <c r="O618" s="84">
        <f>IF(I618="EI",IF(OR(X618="估算法",X618="算法类"),"中",IF(X618="无法识别","低",IF(L618&lt;2,IF(N618&lt;16,"低","中"),IF(L618&lt;3,IF(N618&lt;5,"低",IF(N618&lt;16,"中","高")),IF(N618&lt;5,"中","高"))))),IF(OR(I618="EO",I618="EQ"),IF(OR(X618="估算法",X618="算法类"),"中",IF(X618="无法识别","低",IF(L618&lt;2,IF(N618&lt;20,"低","中"),IF(L618&lt;4,IF(N618&lt;6,"低",IF(N618&lt;20,"中","高")),IF(N618&lt;6,"中","高"))))),IF(OR(I618="ILF",I618="EIF"),IF(OR(X618="估算法",X618="算法类",X618="无法识别"),"低",IF(M618&lt;2,IF(N618&lt;51,"低","中"),IF(M618&lt;6,IF(N618&lt;20,"低",IF(N618&lt;51,"中","高")),IF(N618&lt;20,"中","高")))),"不计算")))</f>
        <v/>
      </c>
      <c r="P618" s="142">
        <f>IFERROR(IF(I618="EI",IF(O618="低",3,IF(O618="中",4,6)),IF(I618="EO",IF(O618="低",4,IF(O618="中",5,7)),IF(I618="EQ",IF(O618="低",3,IF(O618="中",4,6)),IF(I618="ILF",IF(O618="低",7,IF(O618="中",10,15)),IF(I618="EIF",IF(O618="低",5,IF(O618="中",7,10)),"不计算")))))*Q618,"不计算")</f>
        <v/>
      </c>
      <c r="Q618" s="142" t="n">
        <v>0</v>
      </c>
      <c r="R618" s="143">
        <f>调整因子!$F$13</f>
        <v/>
      </c>
      <c r="S618" s="70" t="n">
        <v>1</v>
      </c>
      <c r="T618" s="144">
        <f>IFERROR(P618*R618,0)</f>
        <v/>
      </c>
      <c r="U618" s="144">
        <f>T618*S618</f>
        <v/>
      </c>
      <c r="V618" s="89" t="n"/>
      <c r="W618" s="76" t="inlineStr">
        <is>
          <t>跨级联动漏洞验证任务数据表</t>
        </is>
      </c>
      <c r="X618" s="76" t="inlineStr">
        <is>
          <t>跨级联动漏洞验证任务数据表{任务id、任务编号、业务场景、任务场景、任务优先级、资产范围、漏洞范围、安全设备范围、时间戳、处置时间、处置方式、安全资源设备数量、产品漏洞范围数量、资产范围数量、资产责任人范围|}</t>
        </is>
      </c>
      <c r="Y618" s="88">
        <f>IF(COUNTIFS(V:V,"*"&amp;H618&amp;"*")&gt;0,"存在","不存在")</f>
        <v/>
      </c>
      <c r="Z618" s="88">
        <f>IF(COUNTIFS(AA:AA,"*"&amp;H618&amp;"*")&gt;0,"存在","不存在")</f>
        <v/>
      </c>
      <c r="AA618" s="70" t="n"/>
    </row>
    <row r="619" hidden="1">
      <c r="A619" s="69">
        <f>ROW()-1</f>
        <v/>
      </c>
      <c r="B619" s="53" t="n"/>
      <c r="C619" s="78" t="n">
        <v>2025</v>
      </c>
      <c r="D619" s="78" t="inlineStr">
        <is>
          <t>汤凤欣</t>
        </is>
      </c>
      <c r="E619" s="76" t="inlineStr">
        <is>
          <t>漏洞场景事务管理及度量</t>
        </is>
      </c>
      <c r="F619" s="79" t="inlineStr">
        <is>
          <t>漏洞场景事务管理</t>
        </is>
      </c>
      <c r="G619" s="79" t="inlineStr">
        <is>
          <t>漏洞业务场景管理</t>
        </is>
      </c>
      <c r="H619" s="102" t="inlineStr">
        <is>
          <t>查询自定义业务场景</t>
        </is>
      </c>
      <c r="I619" s="76" t="inlineStr">
        <is>
          <t>EQ</t>
        </is>
      </c>
      <c r="J619" s="108" t="n"/>
      <c r="K619" s="108" t="n"/>
      <c r="L619" s="83">
        <f>IF(OR(X619="估算法",X619="算法类",X619="无法识别"),"",IF(V619="",IF(OR(I619="EI",I619="EO",I619="EQ"),0,""),LEN(V619)-LEN(SUBSTITUTE(V619,"、",""))+1))</f>
        <v/>
      </c>
      <c r="M619" s="83">
        <f>IF(OR(X619="估算法",X619="算法类",X619="无法识别"),"",IF(W619="",IF(OR(I619="ILF",I619="EIF"),0,""),LEN(W619)-LEN(SUBSTITUTE(W619,"、",""))+1))</f>
        <v/>
      </c>
      <c r="N619" s="83">
        <f>IF(OR(X619="估算法",X619="算法类",X619="无法识别"),"",IF(X619="",IF(OR(I619="ILF",I619="EIF",I619="EI",I619="EO",I619="EQ"),0,""),LEN(X619)-LEN(SUBSTITUTE(SUBSTITUTE(SUBSTITUTE(SUBSTITUTE(SUBSTITUTE(X619,"|}","--"),"{|","--"),CHAR(10),""),"、",""),"|",""))+IF(AND(OR(I619="EI",I619="EO",I619="EQ"),$AD$1="NESMA"),2,1)))</f>
        <v/>
      </c>
      <c r="O619" s="84">
        <f>IF(I619="EI",IF(OR(X619="估算法",X619="算法类"),"中",IF(X619="无法识别","低",IF(L619&lt;2,IF(N619&lt;16,"低","中"),IF(L619&lt;3,IF(N619&lt;5,"低",IF(N619&lt;16,"中","高")),IF(N619&lt;5,"中","高"))))),IF(OR(I619="EO",I619="EQ"),IF(OR(X619="估算法",X619="算法类"),"中",IF(X619="无法识别","低",IF(L619&lt;2,IF(N619&lt;20,"低","中"),IF(L619&lt;4,IF(N619&lt;6,"低",IF(N619&lt;20,"中","高")),IF(N619&lt;6,"中","高"))))),IF(OR(I619="ILF",I619="EIF"),IF(OR(X619="估算法",X619="算法类",X619="无法识别"),"低",IF(M619&lt;2,IF(N619&lt;51,"低","中"),IF(M619&lt;6,IF(N619&lt;20,"低",IF(N619&lt;51,"中","高")),IF(N619&lt;20,"中","高")))),"不计算")))</f>
        <v/>
      </c>
      <c r="P619" s="142">
        <f>IFERROR(IF(I619="EI",IF(O619="低",3,IF(O619="中",4,6)),IF(I619="EO",IF(O619="低",4,IF(O619="中",5,7)),IF(I619="EQ",IF(O619="低",3,IF(O619="中",4,6)),IF(I619="ILF",IF(O619="低",7,IF(O619="中",10,15)),IF(I619="EIF",IF(O619="低",5,IF(O619="中",7,10)),"不计算")))))*Q619,"不计算")</f>
        <v/>
      </c>
      <c r="Q619" s="142" t="n">
        <v>1</v>
      </c>
      <c r="R619" s="143">
        <f>调整因子!$F$13</f>
        <v/>
      </c>
      <c r="S619" s="70" t="n">
        <v>1</v>
      </c>
      <c r="T619" s="144">
        <f>IFERROR(P619*R619,0)</f>
        <v/>
      </c>
      <c r="U619" s="144">
        <f>T619*S619</f>
        <v/>
      </c>
      <c r="V619" s="88" t="inlineStr">
        <is>
          <t>业务场景数据表</t>
        </is>
      </c>
      <c r="W619" s="89" t="n"/>
      <c r="X619" s="88" t="inlineStr">
        <is>
          <t>业务场景数据表{业务场景ID、场景编码、场景名称、场景等级|}</t>
        </is>
      </c>
      <c r="Y619" s="88" t="n"/>
      <c r="Z619" s="88" t="n"/>
      <c r="AA619" s="101" t="n"/>
    </row>
    <row r="620" hidden="1">
      <c r="A620" s="69">
        <f>ROW()-1</f>
        <v/>
      </c>
      <c r="B620" s="53" t="n"/>
      <c r="C620" s="78" t="n">
        <v>2025</v>
      </c>
      <c r="D620" s="78" t="inlineStr">
        <is>
          <t>汤凤欣</t>
        </is>
      </c>
      <c r="E620" s="53" t="n"/>
      <c r="F620" s="53" t="n"/>
      <c r="G620" s="53" t="n"/>
      <c r="H620" s="102" t="inlineStr">
        <is>
          <t>添加自定义业务场景</t>
        </is>
      </c>
      <c r="I620" s="76" t="inlineStr">
        <is>
          <t>EI</t>
        </is>
      </c>
      <c r="J620" s="108" t="n"/>
      <c r="K620" s="108" t="n"/>
      <c r="L620" s="83">
        <f>IF(OR(X620="估算法",X620="算法类",X620="无法识别"),"",IF(V620="",IF(OR(I620="EI",I620="EO",I620="EQ"),0,""),LEN(V620)-LEN(SUBSTITUTE(V620,"、",""))+1))</f>
        <v/>
      </c>
      <c r="M620" s="83">
        <f>IF(OR(X620="估算法",X620="算法类",X620="无法识别"),"",IF(W620="",IF(OR(I620="ILF",I620="EIF"),0,""),LEN(W620)-LEN(SUBSTITUTE(W620,"、",""))+1))</f>
        <v/>
      </c>
      <c r="N620" s="83">
        <f>IF(OR(X620="估算法",X620="算法类",X620="无法识别"),"",IF(X620="",IF(OR(I620="ILF",I620="EIF",I620="EI",I620="EO",I620="EQ"),0,""),LEN(X620)-LEN(SUBSTITUTE(SUBSTITUTE(SUBSTITUTE(SUBSTITUTE(SUBSTITUTE(X620,"|}","--"),"{|","--"),CHAR(10),""),"、",""),"|",""))+IF(AND(OR(I620="EI",I620="EO",I620="EQ"),$AD$1="NESMA"),2,1)))</f>
        <v/>
      </c>
      <c r="O620" s="84">
        <f>IF(I620="EI",IF(OR(X620="估算法",X620="算法类"),"中",IF(X620="无法识别","低",IF(L620&lt;2,IF(N620&lt;16,"低","中"),IF(L620&lt;3,IF(N620&lt;5,"低",IF(N620&lt;16,"中","高")),IF(N620&lt;5,"中","高"))))),IF(OR(I620="EO",I620="EQ"),IF(OR(X620="估算法",X620="算法类"),"中",IF(X620="无法识别","低",IF(L620&lt;2,IF(N620&lt;20,"低","中"),IF(L620&lt;4,IF(N620&lt;6,"低",IF(N620&lt;20,"中","高")),IF(N620&lt;6,"中","高"))))),IF(OR(I620="ILF",I620="EIF"),IF(OR(X620="估算法",X620="算法类",X620="无法识别"),"低",IF(M620&lt;2,IF(N620&lt;51,"低","中"),IF(M620&lt;6,IF(N620&lt;20,"低",IF(N620&lt;51,"中","高")),IF(N620&lt;20,"中","高")))),"不计算")))</f>
        <v/>
      </c>
      <c r="P620" s="142">
        <f>IFERROR(IF(I620="EI",IF(O620="低",3,IF(O620="中",4,6)),IF(I620="EO",IF(O620="低",4,IF(O620="中",5,7)),IF(I620="EQ",IF(O620="低",3,IF(O620="中",4,6)),IF(I620="ILF",IF(O620="低",7,IF(O620="中",10,15)),IF(I620="EIF",IF(O620="低",5,IF(O620="中",7,10)),"不计算")))))*Q620,"不计算")</f>
        <v/>
      </c>
      <c r="Q620" s="142" t="n">
        <v>1</v>
      </c>
      <c r="R620" s="143">
        <f>调整因子!$F$13</f>
        <v/>
      </c>
      <c r="S620" s="76" t="n">
        <v>1</v>
      </c>
      <c r="T620" s="144">
        <f>IFERROR(P620*R620,0)</f>
        <v/>
      </c>
      <c r="U620" s="144">
        <f>T620*S620</f>
        <v/>
      </c>
      <c r="V620" s="88" t="inlineStr">
        <is>
          <t>业务场景数据表</t>
        </is>
      </c>
      <c r="W620" s="89" t="n"/>
      <c r="X620" s="88" t="inlineStr">
        <is>
          <t>业务场景数据表{业务场景ID、场景编码、场景名称、场景等级|}</t>
        </is>
      </c>
      <c r="Y620" s="88" t="n"/>
      <c r="Z620" s="88" t="n"/>
      <c r="AA620" s="70" t="n"/>
    </row>
    <row r="621" hidden="1">
      <c r="A621" s="69">
        <f>ROW()-1</f>
        <v/>
      </c>
      <c r="B621" s="53" t="n"/>
      <c r="C621" s="78" t="n">
        <v>2025</v>
      </c>
      <c r="D621" s="78" t="inlineStr">
        <is>
          <t>汤凤欣</t>
        </is>
      </c>
      <c r="E621" s="53" t="n"/>
      <c r="F621" s="53" t="n"/>
      <c r="G621" s="53" t="n"/>
      <c r="H621" s="103" t="inlineStr">
        <is>
          <t>编辑自定义业务场景</t>
        </is>
      </c>
      <c r="I621" s="76" t="inlineStr">
        <is>
          <t>EI</t>
        </is>
      </c>
      <c r="J621" s="108" t="n"/>
      <c r="K621" s="108" t="n"/>
      <c r="L621" s="83">
        <f>IF(OR(X621="估算法",X621="算法类",X621="无法识别"),"",IF(V621="",IF(OR(I621="EI",I621="EO",I621="EQ"),0,""),LEN(V621)-LEN(SUBSTITUTE(V621,"、",""))+1))</f>
        <v/>
      </c>
      <c r="M621" s="83">
        <f>IF(OR(X621="估算法",X621="算法类",X621="无法识别"),"",IF(W621="",IF(OR(I621="ILF",I621="EIF"),0,""),LEN(W621)-LEN(SUBSTITUTE(W621,"、",""))+1))</f>
        <v/>
      </c>
      <c r="N621" s="83">
        <f>IF(OR(X621="估算法",X621="算法类",X621="无法识别"),"",IF(X621="",IF(OR(I621="ILF",I621="EIF",I621="EI",I621="EO",I621="EQ"),0,""),LEN(X621)-LEN(SUBSTITUTE(SUBSTITUTE(SUBSTITUTE(SUBSTITUTE(SUBSTITUTE(X621,"|}","--"),"{|","--"),CHAR(10),""),"、",""),"|",""))+IF(AND(OR(I621="EI",I621="EO",I621="EQ"),$AD$1="NESMA"),2,1)))</f>
        <v/>
      </c>
      <c r="O621" s="84">
        <f>IF(I621="EI",IF(OR(X621="估算法",X621="算法类"),"中",IF(X621="无法识别","低",IF(L621&lt;2,IF(N621&lt;16,"低","中"),IF(L621&lt;3,IF(N621&lt;5,"低",IF(N621&lt;16,"中","高")),IF(N621&lt;5,"中","高"))))),IF(OR(I621="EO",I621="EQ"),IF(OR(X621="估算法",X621="算法类"),"中",IF(X621="无法识别","低",IF(L621&lt;2,IF(N621&lt;20,"低","中"),IF(L621&lt;4,IF(N621&lt;6,"低",IF(N621&lt;20,"中","高")),IF(N621&lt;6,"中","高"))))),IF(OR(I621="ILF",I621="EIF"),IF(OR(X621="估算法",X621="算法类",X621="无法识别"),"低",IF(M621&lt;2,IF(N621&lt;51,"低","中"),IF(M621&lt;6,IF(N621&lt;20,"低",IF(N621&lt;51,"中","高")),IF(N621&lt;20,"中","高")))),"不计算")))</f>
        <v/>
      </c>
      <c r="P621" s="142">
        <f>IFERROR(IF(I621="EI",IF(O621="低",3,IF(O621="中",4,6)),IF(I621="EO",IF(O621="低",4,IF(O621="中",5,7)),IF(I621="EQ",IF(O621="低",3,IF(O621="中",4,6)),IF(I621="ILF",IF(O621="低",7,IF(O621="中",10,15)),IF(I621="EIF",IF(O621="低",5,IF(O621="中",7,10)),"不计算")))))*Q621,"不计算")</f>
        <v/>
      </c>
      <c r="Q621" s="142" t="n">
        <v>1</v>
      </c>
      <c r="R621" s="143">
        <f>调整因子!$F$13</f>
        <v/>
      </c>
      <c r="S621" s="70" t="n">
        <v>1</v>
      </c>
      <c r="T621" s="144">
        <f>IFERROR(P621*R621,0)</f>
        <v/>
      </c>
      <c r="U621" s="144">
        <f>T621*S621</f>
        <v/>
      </c>
      <c r="V621" s="88" t="inlineStr">
        <is>
          <t>业务场景数据表</t>
        </is>
      </c>
      <c r="W621" s="89" t="n"/>
      <c r="X621" s="88" t="inlineStr">
        <is>
          <t>业务场景数据表{业务场景ID、场景编码、场景名称、场景等级|}</t>
        </is>
      </c>
      <c r="Y621" s="88" t="n"/>
      <c r="Z621" s="88" t="n"/>
      <c r="AA621" s="101" t="n"/>
    </row>
    <row r="622" hidden="1">
      <c r="A622" s="69">
        <f>ROW()-1</f>
        <v/>
      </c>
      <c r="B622" s="53" t="n"/>
      <c r="C622" s="78" t="n">
        <v>2025</v>
      </c>
      <c r="D622" s="78" t="inlineStr">
        <is>
          <t>汤凤欣</t>
        </is>
      </c>
      <c r="E622" s="53" t="n"/>
      <c r="F622" s="53" t="n"/>
      <c r="G622" s="53" t="n"/>
      <c r="H622" s="102" t="inlineStr">
        <is>
          <t>删除自定义业务场景</t>
        </is>
      </c>
      <c r="I622" s="76" t="inlineStr">
        <is>
          <t>EI</t>
        </is>
      </c>
      <c r="J622" s="108" t="n"/>
      <c r="K622" s="108" t="n"/>
      <c r="L622" s="83">
        <f>IF(OR(X622="估算法",X622="算法类",X622="无法识别"),"",IF(V622="",IF(OR(I622="EI",I622="EO",I622="EQ"),0,""),LEN(V622)-LEN(SUBSTITUTE(V622,"、",""))+1))</f>
        <v/>
      </c>
      <c r="M622" s="83">
        <f>IF(OR(X622="估算法",X622="算法类",X622="无法识别"),"",IF(W622="",IF(OR(I622="ILF",I622="EIF"),0,""),LEN(W622)-LEN(SUBSTITUTE(W622,"、",""))+1))</f>
        <v/>
      </c>
      <c r="N622" s="83">
        <f>IF(OR(X622="估算法",X622="算法类",X622="无法识别"),"",IF(X622="",IF(OR(I622="ILF",I622="EIF",I622="EI",I622="EO",I622="EQ"),0,""),LEN(X622)-LEN(SUBSTITUTE(SUBSTITUTE(SUBSTITUTE(SUBSTITUTE(SUBSTITUTE(X622,"|}","--"),"{|","--"),CHAR(10),""),"、",""),"|",""))+IF(AND(OR(I622="EI",I622="EO",I622="EQ"),$AD$1="NESMA"),2,1)))</f>
        <v/>
      </c>
      <c r="O622" s="84">
        <f>IF(I622="EI",IF(OR(X622="估算法",X622="算法类"),"中",IF(X622="无法识别","低",IF(L622&lt;2,IF(N622&lt;16,"低","中"),IF(L622&lt;3,IF(N622&lt;5,"低",IF(N622&lt;16,"中","高")),IF(N622&lt;5,"中","高"))))),IF(OR(I622="EO",I622="EQ"),IF(OR(X622="估算法",X622="算法类"),"中",IF(X622="无法识别","低",IF(L622&lt;2,IF(N622&lt;20,"低","中"),IF(L622&lt;4,IF(N622&lt;6,"低",IF(N622&lt;20,"中","高")),IF(N622&lt;6,"中","高"))))),IF(OR(I622="ILF",I622="EIF"),IF(OR(X622="估算法",X622="算法类",X622="无法识别"),"低",IF(M622&lt;2,IF(N622&lt;51,"低","中"),IF(M622&lt;6,IF(N622&lt;20,"低",IF(N622&lt;51,"中","高")),IF(N622&lt;20,"中","高")))),"不计算")))</f>
        <v/>
      </c>
      <c r="P622" s="142">
        <f>IFERROR(IF(I622="EI",IF(O622="低",3,IF(O622="中",4,6)),IF(I622="EO",IF(O622="低",4,IF(O622="中",5,7)),IF(I622="EQ",IF(O622="低",3,IF(O622="中",4,6)),IF(I622="ILF",IF(O622="低",7,IF(O622="中",10,15)),IF(I622="EIF",IF(O622="低",5,IF(O622="中",7,10)),"不计算")))))*Q622,"不计算")</f>
        <v/>
      </c>
      <c r="Q622" s="142" t="n">
        <v>0.333333333333333</v>
      </c>
      <c r="R622" s="143">
        <f>调整因子!$F$13</f>
        <v/>
      </c>
      <c r="S622" s="70" t="n">
        <v>1</v>
      </c>
      <c r="T622" s="144">
        <f>IFERROR(P622*R622,0)</f>
        <v/>
      </c>
      <c r="U622" s="144">
        <f>T622*S622</f>
        <v/>
      </c>
      <c r="V622" s="88" t="inlineStr">
        <is>
          <t>业务场景数据表</t>
        </is>
      </c>
      <c r="W622" s="89" t="n"/>
      <c r="X622" s="88" t="inlineStr">
        <is>
          <t>业务场景数据表{业务场景ID、场景编码、场景名称、场景等级|}</t>
        </is>
      </c>
      <c r="Y622" s="88" t="n"/>
      <c r="Z622" s="88" t="n"/>
      <c r="AA622" s="70" t="n"/>
    </row>
    <row r="623" hidden="1">
      <c r="A623" s="69">
        <f>ROW()-1</f>
        <v/>
      </c>
      <c r="B623" s="53" t="n"/>
      <c r="C623" s="78" t="n">
        <v>2025</v>
      </c>
      <c r="D623" s="78" t="inlineStr">
        <is>
          <t>汤凤欣</t>
        </is>
      </c>
      <c r="E623" s="53" t="n"/>
      <c r="F623" s="53" t="n"/>
      <c r="G623" s="53" t="n"/>
      <c r="H623" s="102" t="inlineStr">
        <is>
          <t>启用自定义业务场景</t>
        </is>
      </c>
      <c r="I623" s="76" t="inlineStr">
        <is>
          <t>EI</t>
        </is>
      </c>
      <c r="J623" s="108" t="n"/>
      <c r="K623" s="108" t="n"/>
      <c r="L623" s="83">
        <f>IF(OR(X623="估算法",X623="算法类",X623="无法识别"),"",IF(V623="",IF(OR(I623="EI",I623="EO",I623="EQ"),0,""),LEN(V623)-LEN(SUBSTITUTE(V623,"、",""))+1))</f>
        <v/>
      </c>
      <c r="M623" s="83">
        <f>IF(OR(X623="估算法",X623="算法类",X623="无法识别"),"",IF(W623="",IF(OR(I623="ILF",I623="EIF"),0,""),LEN(W623)-LEN(SUBSTITUTE(W623,"、",""))+1))</f>
        <v/>
      </c>
      <c r="N623" s="83">
        <f>IF(OR(X623="估算法",X623="算法类",X623="无法识别"),"",IF(X623="",IF(OR(I623="ILF",I623="EIF",I623="EI",I623="EO",I623="EQ"),0,""),LEN(X623)-LEN(SUBSTITUTE(SUBSTITUTE(SUBSTITUTE(SUBSTITUTE(SUBSTITUTE(X623,"|}","--"),"{|","--"),CHAR(10),""),"、",""),"|",""))+IF(AND(OR(I623="EI",I623="EO",I623="EQ"),$AD$1="NESMA"),2,1)))</f>
        <v/>
      </c>
      <c r="O623" s="84">
        <f>IF(I623="EI",IF(OR(X623="估算法",X623="算法类"),"中",IF(X623="无法识别","低",IF(L623&lt;2,IF(N623&lt;16,"低","中"),IF(L623&lt;3,IF(N623&lt;5,"低",IF(N623&lt;16,"中","高")),IF(N623&lt;5,"中","高"))))),IF(OR(I623="EO",I623="EQ"),IF(OR(X623="估算法",X623="算法类"),"中",IF(X623="无法识别","低",IF(L623&lt;2,IF(N623&lt;20,"低","中"),IF(L623&lt;4,IF(N623&lt;6,"低",IF(N623&lt;20,"中","高")),IF(N623&lt;6,"中","高"))))),IF(OR(I623="ILF",I623="EIF"),IF(OR(X623="估算法",X623="算法类",X623="无法识别"),"低",IF(M623&lt;2,IF(N623&lt;51,"低","中"),IF(M623&lt;6,IF(N623&lt;20,"低",IF(N623&lt;51,"中","高")),IF(N623&lt;20,"中","高")))),"不计算")))</f>
        <v/>
      </c>
      <c r="P623" s="142">
        <f>IFERROR(IF(I623="EI",IF(O623="低",3,IF(O623="中",4,6)),IF(I623="EO",IF(O623="低",4,IF(O623="中",5,7)),IF(I623="EQ",IF(O623="低",3,IF(O623="中",4,6)),IF(I623="ILF",IF(O623="低",7,IF(O623="中",10,15)),IF(I623="EIF",IF(O623="低",5,IF(O623="中",7,10)),"不计算")))))*Q623,"不计算")</f>
        <v/>
      </c>
      <c r="Q623" s="142" t="n">
        <v>1</v>
      </c>
      <c r="R623" s="143">
        <f>调整因子!$F$13</f>
        <v/>
      </c>
      <c r="S623" s="76" t="n">
        <v>1</v>
      </c>
      <c r="T623" s="144">
        <f>IFERROR(P623*R623,0)</f>
        <v/>
      </c>
      <c r="U623" s="144">
        <f>T623*S623</f>
        <v/>
      </c>
      <c r="V623" s="88" t="inlineStr">
        <is>
          <t>业务场景数据表</t>
        </is>
      </c>
      <c r="W623" s="89" t="n"/>
      <c r="X623" s="88" t="inlineStr">
        <is>
          <t>业务场景数据表{业务场景ID、场景编码、场景名称、场景等级|}</t>
        </is>
      </c>
      <c r="Y623" s="88" t="n"/>
      <c r="Z623" s="88" t="n"/>
      <c r="AA623" s="101" t="n"/>
    </row>
    <row r="624" hidden="1">
      <c r="A624" s="69">
        <f>ROW()-1</f>
        <v/>
      </c>
      <c r="B624" s="53" t="n"/>
      <c r="C624" s="78" t="n">
        <v>2025</v>
      </c>
      <c r="D624" s="78" t="inlineStr">
        <is>
          <t>汤凤欣</t>
        </is>
      </c>
      <c r="E624" s="53" t="n"/>
      <c r="F624" s="53" t="n"/>
      <c r="G624" s="53" t="n"/>
      <c r="H624" s="102" t="inlineStr">
        <is>
          <t>停用自定义业务场景</t>
        </is>
      </c>
      <c r="I624" s="76" t="n"/>
      <c r="J624" s="95" t="n"/>
      <c r="K624" s="95" t="inlineStr">
        <is>
          <t>和上行合并，启停为相同功能</t>
        </is>
      </c>
      <c r="L624" s="83">
        <f>IF(OR(X624="估算法",X624="算法类",X624="无法识别"),"",IF(V624="",IF(OR(I624="EI",I624="EO",I624="EQ"),0,""),LEN(V624)-LEN(SUBSTITUTE(V624,"、",""))+1))</f>
        <v/>
      </c>
      <c r="M624" s="83">
        <f>IF(OR(X624="估算法",X624="算法类",X624="无法识别"),"",IF(W624="",IF(OR(I624="ILF",I624="EIF"),0,""),LEN(W624)-LEN(SUBSTITUTE(W624,"、",""))+1))</f>
        <v/>
      </c>
      <c r="N624" s="83">
        <f>IF(OR(X624="估算法",X624="算法类",X624="无法识别"),"",IF(X624="",IF(OR(I624="ILF",I624="EIF",I624="EI",I624="EO",I624="EQ"),0,""),LEN(X624)-LEN(SUBSTITUTE(SUBSTITUTE(SUBSTITUTE(SUBSTITUTE(SUBSTITUTE(X624,"|}","--"),"{|","--"),CHAR(10),""),"、",""),"|",""))+IF(AND(OR(I624="EI",I624="EO",I624="EQ"),$AD$1="NESMA"),2,1)))</f>
        <v/>
      </c>
      <c r="O624" s="84">
        <f>IF(I624="EI",IF(OR(X624="估算法",X624="算法类"),"中",IF(X624="无法识别","低",IF(L624&lt;2,IF(N624&lt;16,"低","中"),IF(L624&lt;3,IF(N624&lt;5,"低",IF(N624&lt;16,"中","高")),IF(N624&lt;5,"中","高"))))),IF(OR(I624="EO",I624="EQ"),IF(OR(X624="估算法",X624="算法类"),"中",IF(X624="无法识别","低",IF(L624&lt;2,IF(N624&lt;20,"低","中"),IF(L624&lt;4,IF(N624&lt;6,"低",IF(N624&lt;20,"中","高")),IF(N624&lt;6,"中","高"))))),IF(OR(I624="ILF",I624="EIF"),IF(OR(X624="估算法",X624="算法类",X624="无法识别"),"低",IF(M624&lt;2,IF(N624&lt;51,"低","中"),IF(M624&lt;6,IF(N624&lt;20,"低",IF(N624&lt;51,"中","高")),IF(N624&lt;20,"中","高")))),"不计算")))</f>
        <v/>
      </c>
      <c r="P624" s="142">
        <f>IFERROR(IF(I624="EI",IF(O624="低",3,IF(O624="中",4,6)),IF(I624="EO",IF(O624="低",4,IF(O624="中",5,7)),IF(I624="EQ",IF(O624="低",3,IF(O624="中",4,6)),IF(I624="ILF",IF(O624="低",7,IF(O624="中",10,15)),IF(I624="EIF",IF(O624="低",5,IF(O624="中",7,10)),"不计算")))))*Q624,"不计算")</f>
        <v/>
      </c>
      <c r="Q624" s="142" t="n">
        <v>1</v>
      </c>
      <c r="R624" s="143">
        <f>调整因子!$F$13</f>
        <v/>
      </c>
      <c r="S624" s="70" t="n">
        <v>1</v>
      </c>
      <c r="T624" s="144">
        <f>IFERROR(P624*R624,0)</f>
        <v/>
      </c>
      <c r="U624" s="144">
        <f>T624*S624</f>
        <v/>
      </c>
      <c r="V624" s="88" t="inlineStr">
        <is>
          <t>业务场景数据表</t>
        </is>
      </c>
      <c r="W624" s="89" t="n"/>
      <c r="X624" s="88" t="inlineStr">
        <is>
          <t>业务场景数据表{业务场景ID、场景编码、场景名称、场景等级|}</t>
        </is>
      </c>
      <c r="Y624" s="88" t="n"/>
      <c r="Z624" s="88" t="n"/>
      <c r="AA624" s="70" t="n"/>
    </row>
    <row r="625" hidden="1" ht="32.4" customHeight="1">
      <c r="A625" s="69">
        <f>ROW()-1</f>
        <v/>
      </c>
      <c r="B625" s="53" t="n"/>
      <c r="C625" s="78" t="n">
        <v>2025</v>
      </c>
      <c r="D625" s="78" t="inlineStr">
        <is>
          <t>汤凤欣</t>
        </is>
      </c>
      <c r="E625" s="53" t="n"/>
      <c r="F625" s="53" t="n"/>
      <c r="G625" s="53" t="n"/>
      <c r="H625" s="102" t="inlineStr">
        <is>
          <t>配置执行流程策略</t>
        </is>
      </c>
      <c r="I625" s="76" t="inlineStr">
        <is>
          <t>EI</t>
        </is>
      </c>
      <c r="J625" s="108" t="n"/>
      <c r="K625" s="108" t="n"/>
      <c r="L625" s="83">
        <f>IF(OR(X625="估算法",X625="算法类",X625="无法识别"),"",IF(V625="",IF(OR(I625="EI",I625="EO",I625="EQ"),0,""),LEN(V625)-LEN(SUBSTITUTE(V625,"、",""))+1))</f>
        <v/>
      </c>
      <c r="M625" s="83">
        <f>IF(OR(X625="估算法",X625="算法类",X625="无法识别"),"",IF(W625="",IF(OR(I625="ILF",I625="EIF"),0,""),LEN(W625)-LEN(SUBSTITUTE(W625,"、",""))+1))</f>
        <v/>
      </c>
      <c r="N625" s="83">
        <f>IF(OR(X625="估算法",X625="算法类",X625="无法识别"),"",IF(X625="",IF(OR(I625="ILF",I625="EIF",I625="EI",I625="EO",I625="EQ"),0,""),LEN(X625)-LEN(SUBSTITUTE(SUBSTITUTE(SUBSTITUTE(SUBSTITUTE(SUBSTITUTE(X625,"|}","--"),"{|","--"),CHAR(10),""),"、",""),"|",""))+IF(AND(OR(I625="EI",I625="EO",I625="EQ"),$AD$1="NESMA"),2,1)))</f>
        <v/>
      </c>
      <c r="O625" s="84">
        <f>IF(I625="EI",IF(OR(X625="估算法",X625="算法类"),"中",IF(X625="无法识别","低",IF(L625&lt;2,IF(N625&lt;16,"低","中"),IF(L625&lt;3,IF(N625&lt;5,"低",IF(N625&lt;16,"中","高")),IF(N625&lt;5,"中","高"))))),IF(OR(I625="EO",I625="EQ"),IF(OR(X625="估算法",X625="算法类"),"中",IF(X625="无法识别","低",IF(L625&lt;2,IF(N625&lt;20,"低","中"),IF(L625&lt;4,IF(N625&lt;6,"低",IF(N625&lt;20,"中","高")),IF(N625&lt;6,"中","高"))))),IF(OR(I625="ILF",I625="EIF"),IF(OR(X625="估算法",X625="算法类",X625="无法识别"),"低",IF(M625&lt;2,IF(N625&lt;51,"低","中"),IF(M625&lt;6,IF(N625&lt;20,"低",IF(N625&lt;51,"中","高")),IF(N625&lt;20,"中","高")))),"不计算")))</f>
        <v/>
      </c>
      <c r="P625" s="142">
        <f>IFERROR(IF(I625="EI",IF(O625="低",3,IF(O625="中",4,6)),IF(I625="EO",IF(O625="低",4,IF(O625="中",5,7)),IF(I625="EQ",IF(O625="低",3,IF(O625="中",4,6)),IF(I625="ILF",IF(O625="低",7,IF(O625="中",10,15)),IF(I625="EIF",IF(O625="低",5,IF(O625="中",7,10)),"不计算")))))*Q625,"不计算")</f>
        <v/>
      </c>
      <c r="Q625" s="142" t="n">
        <v>1</v>
      </c>
      <c r="R625" s="143">
        <f>调整因子!$F$13</f>
        <v/>
      </c>
      <c r="S625" s="70" t="n">
        <v>1</v>
      </c>
      <c r="T625" s="144">
        <f>IFERROR(P625*R625,0)</f>
        <v/>
      </c>
      <c r="U625" s="144">
        <f>T625*S625</f>
        <v/>
      </c>
      <c r="V625" s="88" t="inlineStr">
        <is>
          <t>业务场景数据表、执行流程策略数据表</t>
        </is>
      </c>
      <c r="W625" s="89" t="n"/>
      <c r="X625" s="88" t="inlineStr">
        <is>
          <t>业务场景数据表{业务场景ID、场景编码、场景名称、场景等级|}
执行流程策略数据表{策略ID、策略名称、业务场景ID、系统漏洞状态、处置方式、安全设备范围、是否自动执行、人工审核策略|}</t>
        </is>
      </c>
      <c r="Y625" s="88" t="n"/>
      <c r="Z625" s="88" t="n"/>
      <c r="AA625" s="101" t="n"/>
    </row>
    <row r="626" hidden="1">
      <c r="A626" s="69">
        <f>ROW()-1</f>
        <v/>
      </c>
      <c r="B626" s="53" t="n"/>
      <c r="C626" s="78" t="n">
        <v>2025</v>
      </c>
      <c r="D626" s="78" t="inlineStr">
        <is>
          <t>汤凤欣</t>
        </is>
      </c>
      <c r="E626" s="53" t="n"/>
      <c r="F626" s="53" t="n"/>
      <c r="G626" s="53" t="n"/>
      <c r="H626" s="81" t="inlineStr">
        <is>
          <t>业务场景数据表</t>
        </is>
      </c>
      <c r="I626" s="76" t="inlineStr">
        <is>
          <t>ILF</t>
        </is>
      </c>
      <c r="J626" s="108" t="n"/>
      <c r="K626" s="108" t="n"/>
      <c r="L626" s="83">
        <f>IF(OR(X626="估算法",X626="算法类",X626="无法识别"),"",IF(V626="",IF(OR(I626="EI",I626="EO",I626="EQ"),0,""),LEN(V626)-LEN(SUBSTITUTE(V626,"、",""))+1))</f>
        <v/>
      </c>
      <c r="M626" s="83">
        <f>IF(OR(X626="估算法",X626="算法类",X626="无法识别"),"",IF(W626="",IF(OR(I626="ILF",I626="EIF"),0,""),LEN(W626)-LEN(SUBSTITUTE(W626,"、",""))+1))</f>
        <v/>
      </c>
      <c r="N626" s="83">
        <f>IF(OR(X626="估算法",X626="算法类",X626="无法识别"),"",IF(X626="",IF(OR(I626="ILF",I626="EIF",I626="EI",I626="EO",I626="EQ"),0,""),LEN(X626)-LEN(SUBSTITUTE(SUBSTITUTE(SUBSTITUTE(SUBSTITUTE(SUBSTITUTE(X626,"|}","--"),"{|","--"),CHAR(10),""),"、",""),"|",""))+IF(AND(OR(I626="EI",I626="EO",I626="EQ"),$AD$1="NESMA"),2,1)))</f>
        <v/>
      </c>
      <c r="O626" s="84">
        <f>IF(I626="EI",IF(OR(X626="估算法",X626="算法类"),"中",IF(X626="无法识别","低",IF(L626&lt;2,IF(N626&lt;16,"低","中"),IF(L626&lt;3,IF(N626&lt;5,"低",IF(N626&lt;16,"中","高")),IF(N626&lt;5,"中","高"))))),IF(OR(I626="EO",I626="EQ"),IF(OR(X626="估算法",X626="算法类"),"中",IF(X626="无法识别","低",IF(L626&lt;2,IF(N626&lt;20,"低","中"),IF(L626&lt;4,IF(N626&lt;6,"低",IF(N626&lt;20,"中","高")),IF(N626&lt;6,"中","高"))))),IF(OR(I626="ILF",I626="EIF"),IF(OR(X626="估算法",X626="算法类",X626="无法识别"),"低",IF(M626&lt;2,IF(N626&lt;51,"低","中"),IF(M626&lt;6,IF(N626&lt;20,"低",IF(N626&lt;51,"中","高")),IF(N626&lt;20,"中","高")))),"不计算")))</f>
        <v/>
      </c>
      <c r="P626" s="142">
        <f>IFERROR(IF(I626="EI",IF(O626="低",3,IF(O626="中",4,6)),IF(I626="EO",IF(O626="低",4,IF(O626="中",5,7)),IF(I626="EQ",IF(O626="低",3,IF(O626="中",4,6)),IF(I626="ILF",IF(O626="低",7,IF(O626="中",10,15)),IF(I626="EIF",IF(O626="低",5,IF(O626="中",7,10)),"不计算")))))*Q626,"不计算")</f>
        <v/>
      </c>
      <c r="Q626" s="142" t="n">
        <v>1</v>
      </c>
      <c r="R626" s="143">
        <f>调整因子!$F$13</f>
        <v/>
      </c>
      <c r="S626" s="76" t="n">
        <v>1</v>
      </c>
      <c r="T626" s="144">
        <f>IFERROR(P626*R626,0)</f>
        <v/>
      </c>
      <c r="U626" s="144">
        <f>T626*S626</f>
        <v/>
      </c>
      <c r="V626" s="89" t="n"/>
      <c r="W626" s="88" t="inlineStr">
        <is>
          <t>业务场景数据表</t>
        </is>
      </c>
      <c r="X626" s="88" t="inlineStr">
        <is>
          <t>业务场景数据表{业务场景ID、场景编码、场景名称、场景等级|}</t>
        </is>
      </c>
      <c r="Y626" s="88">
        <f>IF(COUNTIFS(V:V,"*"&amp;H626&amp;"*")&gt;0,"存在","不存在")</f>
        <v/>
      </c>
      <c r="Z626" s="88">
        <f>IF(COUNTIFS(AA:AA,"*"&amp;H626&amp;"*")&gt;0,"存在","不存在")</f>
        <v/>
      </c>
      <c r="AA626" s="70" t="n"/>
    </row>
    <row r="627" hidden="1" ht="21.6" customHeight="1">
      <c r="A627" s="69">
        <f>ROW()-1</f>
        <v/>
      </c>
      <c r="B627" s="53" t="n"/>
      <c r="C627" s="78" t="n">
        <v>2025</v>
      </c>
      <c r="D627" s="78" t="inlineStr">
        <is>
          <t>汤凤欣</t>
        </is>
      </c>
      <c r="E627" s="53" t="n"/>
      <c r="F627" s="53" t="n"/>
      <c r="G627" s="54" t="n"/>
      <c r="H627" s="81" t="inlineStr">
        <is>
          <t>执行流程策略数据表</t>
        </is>
      </c>
      <c r="I627" s="76" t="inlineStr">
        <is>
          <t>ILF</t>
        </is>
      </c>
      <c r="J627" s="108" t="n"/>
      <c r="K627" s="108" t="n"/>
      <c r="L627" s="83">
        <f>IF(OR(X627="估算法",X627="算法类",X627="无法识别"),"",IF(V627="",IF(OR(I627="EI",I627="EO",I627="EQ"),0,""),LEN(V627)-LEN(SUBSTITUTE(V627,"、",""))+1))</f>
        <v/>
      </c>
      <c r="M627" s="83">
        <f>IF(OR(X627="估算法",X627="算法类",X627="无法识别"),"",IF(W627="",IF(OR(I627="ILF",I627="EIF"),0,""),LEN(W627)-LEN(SUBSTITUTE(W627,"、",""))+1))</f>
        <v/>
      </c>
      <c r="N627" s="83">
        <f>IF(OR(X627="估算法",X627="算法类",X627="无法识别"),"",IF(X627="",IF(OR(I627="ILF",I627="EIF",I627="EI",I627="EO",I627="EQ"),0,""),LEN(X627)-LEN(SUBSTITUTE(SUBSTITUTE(SUBSTITUTE(SUBSTITUTE(SUBSTITUTE(X627,"|}","--"),"{|","--"),CHAR(10),""),"、",""),"|",""))+IF(AND(OR(I627="EI",I627="EO",I627="EQ"),$AD$1="NESMA"),2,1)))</f>
        <v/>
      </c>
      <c r="O627" s="84">
        <f>IF(I627="EI",IF(OR(X627="估算法",X627="算法类"),"中",IF(X627="无法识别","低",IF(L627&lt;2,IF(N627&lt;16,"低","中"),IF(L627&lt;3,IF(N627&lt;5,"低",IF(N627&lt;16,"中","高")),IF(N627&lt;5,"中","高"))))),IF(OR(I627="EO",I627="EQ"),IF(OR(X627="估算法",X627="算法类"),"中",IF(X627="无法识别","低",IF(L627&lt;2,IF(N627&lt;20,"低","中"),IF(L627&lt;4,IF(N627&lt;6,"低",IF(N627&lt;20,"中","高")),IF(N627&lt;6,"中","高"))))),IF(OR(I627="ILF",I627="EIF"),IF(OR(X627="估算法",X627="算法类",X627="无法识别"),"低",IF(M627&lt;2,IF(N627&lt;51,"低","中"),IF(M627&lt;6,IF(N627&lt;20,"低",IF(N627&lt;51,"中","高")),IF(N627&lt;20,"中","高")))),"不计算")))</f>
        <v/>
      </c>
      <c r="P627" s="142">
        <f>IFERROR(IF(I627="EI",IF(O627="低",3,IF(O627="中",4,6)),IF(I627="EO",IF(O627="低",4,IF(O627="中",5,7)),IF(I627="EQ",IF(O627="低",3,IF(O627="中",4,6)),IF(I627="ILF",IF(O627="低",7,IF(O627="中",10,15)),IF(I627="EIF",IF(O627="低",5,IF(O627="中",7,10)),"不计算")))))*Q627,"不计算")</f>
        <v/>
      </c>
      <c r="Q627" s="142" t="n">
        <v>1</v>
      </c>
      <c r="R627" s="143">
        <f>调整因子!$F$13</f>
        <v/>
      </c>
      <c r="S627" s="70" t="n">
        <v>1</v>
      </c>
      <c r="T627" s="144">
        <f>IFERROR(P627*R627,0)</f>
        <v/>
      </c>
      <c r="U627" s="144">
        <f>T627*S627</f>
        <v/>
      </c>
      <c r="V627" s="89" t="n"/>
      <c r="W627" s="88" t="inlineStr">
        <is>
          <t>执行流程策略数据表</t>
        </is>
      </c>
      <c r="X627" s="88" t="inlineStr">
        <is>
          <t>执行流程策略数据表{策略ID、策略名称、业务场景ID、系统漏洞状态、处置方式、安全设备范围、是否自动执行、人工审核策略|}</t>
        </is>
      </c>
      <c r="Y627" s="88">
        <f>IF(COUNTIFS(V:V,"*"&amp;H627&amp;"*")&gt;0,"存在","不存在")</f>
        <v/>
      </c>
      <c r="Z627" s="88">
        <f>IF(COUNTIFS(AA:AA,"*"&amp;H627&amp;"*")&gt;0,"存在","不存在")</f>
        <v/>
      </c>
      <c r="AA627" s="101" t="n"/>
    </row>
    <row r="628" hidden="1" ht="54" customHeight="1">
      <c r="A628" s="69">
        <f>ROW()-1</f>
        <v/>
      </c>
      <c r="B628" s="53" t="n"/>
      <c r="C628" s="78" t="n">
        <v>2025</v>
      </c>
      <c r="D628" s="78" t="inlineStr">
        <is>
          <t>汤凤欣</t>
        </is>
      </c>
      <c r="E628" s="53" t="n"/>
      <c r="F628" s="53" t="n"/>
      <c r="G628" s="79" t="inlineStr">
        <is>
          <t>场景事务关联分析</t>
        </is>
      </c>
      <c r="H628" s="102" t="inlineStr">
        <is>
          <t>分析漏洞场景影响</t>
        </is>
      </c>
      <c r="I628" s="76" t="n"/>
      <c r="J628" s="108" t="n"/>
      <c r="K628" s="108" t="inlineStr">
        <is>
          <t>和下行合并</t>
        </is>
      </c>
      <c r="L628" s="83">
        <f>IF(OR(X628="估算法",X628="算法类",X628="无法识别"),"",IF(V628="",IF(OR(I628="EI",I628="EO",I628="EQ"),0,""),LEN(V628)-LEN(SUBSTITUTE(V628,"、",""))+1))</f>
        <v/>
      </c>
      <c r="M628" s="83">
        <f>IF(OR(X628="估算法",X628="算法类",X628="无法识别"),"",IF(W628="",IF(OR(I628="ILF",I628="EIF"),0,""),LEN(W628)-LEN(SUBSTITUTE(W628,"、",""))+1))</f>
        <v/>
      </c>
      <c r="N628" s="83">
        <f>IF(OR(X628="估算法",X628="算法类",X628="无法识别"),"",IF(X628="",IF(OR(I628="ILF",I628="EIF",I628="EI",I628="EO",I628="EQ"),0,""),LEN(X628)-LEN(SUBSTITUTE(SUBSTITUTE(SUBSTITUTE(SUBSTITUTE(SUBSTITUTE(X628,"|}","--"),"{|","--"),CHAR(10),""),"、",""),"|",""))+IF(AND(OR(I628="EI",I628="EO",I628="EQ"),$AD$1="NESMA"),2,1)))</f>
        <v/>
      </c>
      <c r="O628" s="84">
        <f>IF(I628="EI",IF(OR(X628="估算法",X628="算法类"),"中",IF(X628="无法识别","低",IF(L628&lt;2,IF(N628&lt;16,"低","中"),IF(L628&lt;3,IF(N628&lt;5,"低",IF(N628&lt;16,"中","高")),IF(N628&lt;5,"中","高"))))),IF(OR(I628="EO",I628="EQ"),IF(OR(X628="估算法",X628="算法类"),"中",IF(X628="无法识别","低",IF(L628&lt;2,IF(N628&lt;20,"低","中"),IF(L628&lt;4,IF(N628&lt;6,"低",IF(N628&lt;20,"中","高")),IF(N628&lt;6,"中","高"))))),IF(OR(I628="ILF",I628="EIF"),IF(OR(X628="估算法",X628="算法类",X628="无法识别"),"低",IF(M628&lt;2,IF(N628&lt;51,"低","中"),IF(M628&lt;6,IF(N628&lt;20,"低",IF(N628&lt;51,"中","高")),IF(N628&lt;20,"中","高")))),"不计算")))</f>
        <v/>
      </c>
      <c r="P628" s="142">
        <f>IFERROR(IF(I628="EI",IF(O628="低",3,IF(O628="中",4,6)),IF(I628="EO",IF(O628="低",4,IF(O628="中",5,7)),IF(I628="EQ",IF(O628="低",3,IF(O628="中",4,6)),IF(I628="ILF",IF(O628="低",7,IF(O628="中",10,15)),IF(I628="EIF",IF(O628="低",5,IF(O628="中",7,10)),"不计算")))))*Q628,"不计算")</f>
        <v/>
      </c>
      <c r="Q628" s="142" t="n">
        <v>1</v>
      </c>
      <c r="R628" s="143">
        <f>调整因子!$F$13</f>
        <v/>
      </c>
      <c r="S628" s="70" t="n">
        <v>1</v>
      </c>
      <c r="T628" s="144">
        <f>IFERROR(P628*R628,0)</f>
        <v/>
      </c>
      <c r="U628" s="144">
        <f>T628*S628</f>
        <v/>
      </c>
      <c r="V628" s="88" t="inlineStr">
        <is>
          <t>业务场景数据表、系统漏洞数据表、资产信息数据表</t>
        </is>
      </c>
      <c r="W628" s="89" t="n"/>
      <c r="X628" s="88" t="inlineStr">
        <is>
          <t>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t>
        </is>
      </c>
      <c r="Y628" s="88" t="n"/>
      <c r="Z628" s="88" t="n"/>
      <c r="AA628" s="70" t="n"/>
    </row>
    <row r="629" hidden="1" ht="54" customHeight="1">
      <c r="A629" s="69">
        <f>ROW()-1</f>
        <v/>
      </c>
      <c r="B629" s="53" t="n"/>
      <c r="C629" s="78" t="n">
        <v>2025</v>
      </c>
      <c r="D629" s="78" t="inlineStr">
        <is>
          <t>汤凤欣</t>
        </is>
      </c>
      <c r="E629" s="53" t="n"/>
      <c r="F629" s="53" t="n"/>
      <c r="G629" s="79" t="inlineStr">
        <is>
          <t>场景风险预警</t>
        </is>
      </c>
      <c r="H629" s="102" t="inlineStr">
        <is>
          <t>生成漏洞风险防御建议</t>
        </is>
      </c>
      <c r="I629" s="76" t="inlineStr">
        <is>
          <t>EO</t>
        </is>
      </c>
      <c r="J629" s="108" t="n"/>
      <c r="K629" s="108" t="n"/>
      <c r="L629" s="83">
        <f>IF(OR(X629="估算法",X629="算法类",X629="无法识别"),"",IF(V629="",IF(OR(I629="EI",I629="EO",I629="EQ"),0,""),LEN(V629)-LEN(SUBSTITUTE(V629,"、",""))+1))</f>
        <v/>
      </c>
      <c r="M629" s="83">
        <f>IF(OR(X629="估算法",X629="算法类",X629="无法识别"),"",IF(W629="",IF(OR(I629="ILF",I629="EIF"),0,""),LEN(W629)-LEN(SUBSTITUTE(W629,"、",""))+1))</f>
        <v/>
      </c>
      <c r="N629" s="83">
        <f>IF(OR(X629="估算法",X629="算法类",X629="无法识别"),"",IF(X629="",IF(OR(I629="ILF",I629="EIF",I629="EI",I629="EO",I629="EQ"),0,""),LEN(X629)-LEN(SUBSTITUTE(SUBSTITUTE(SUBSTITUTE(SUBSTITUTE(SUBSTITUTE(X629,"|}","--"),"{|","--"),CHAR(10),""),"、",""),"|",""))+IF(AND(OR(I629="EI",I629="EO",I629="EQ"),$AD$1="NESMA"),2,1)))</f>
        <v/>
      </c>
      <c r="O629" s="84">
        <f>IF(I629="EI",IF(OR(X629="估算法",X629="算法类"),"中",IF(X629="无法识别","低",IF(L629&lt;2,IF(N629&lt;16,"低","中"),IF(L629&lt;3,IF(N629&lt;5,"低",IF(N629&lt;16,"中","高")),IF(N629&lt;5,"中","高"))))),IF(OR(I629="EO",I629="EQ"),IF(OR(X629="估算法",X629="算法类"),"中",IF(X629="无法识别","低",IF(L629&lt;2,IF(N629&lt;20,"低","中"),IF(L629&lt;4,IF(N629&lt;6,"低",IF(N629&lt;20,"中","高")),IF(N629&lt;6,"中","高"))))),IF(OR(I629="ILF",I629="EIF"),IF(OR(X629="估算法",X629="算法类",X629="无法识别"),"低",IF(M629&lt;2,IF(N629&lt;51,"低","中"),IF(M629&lt;6,IF(N629&lt;20,"低",IF(N629&lt;51,"中","高")),IF(N629&lt;20,"中","高")))),"不计算")))</f>
        <v/>
      </c>
      <c r="P629" s="142">
        <f>IFERROR(IF(I629="EI",IF(O629="低",3,IF(O629="中",4,6)),IF(I629="EO",IF(O629="低",4,IF(O629="中",5,7)),IF(I629="EQ",IF(O629="低",3,IF(O629="中",4,6)),IF(I629="ILF",IF(O629="低",7,IF(O629="中",10,15)),IF(I629="EIF",IF(O629="低",5,IF(O629="中",7,10)),"不计算")))))*Q629,"不计算")</f>
        <v/>
      </c>
      <c r="Q629" s="142" t="n">
        <v>1</v>
      </c>
      <c r="R629" s="143">
        <f>调整因子!$F$13</f>
        <v/>
      </c>
      <c r="S629" s="76" t="n">
        <v>1</v>
      </c>
      <c r="T629" s="144">
        <f>IFERROR(P629*R629,0)</f>
        <v/>
      </c>
      <c r="U629" s="144">
        <f>T629*S629</f>
        <v/>
      </c>
      <c r="V629" s="88" t="inlineStr">
        <is>
          <t>业务场景数据表、系统漏洞数据表、产品漏洞数据表</t>
        </is>
      </c>
      <c r="W629" s="89" t="n"/>
      <c r="X629" s="88" t="inlineStr">
        <is>
          <t>业务场景数据表{业务场景ID、场景编码、场景名称、场景等级|}
系统漏洞数据表{系统漏洞ID、产品漏洞ID、资产ID、系统漏洞状态ID、时间戳、弱口令字典ID|}
产品漏洞数据表{产品漏洞ID、漏洞编号、漏洞名称、漏洞等级、漏洞说明、修复建议、漏洞类型、发布日期|}</t>
        </is>
      </c>
      <c r="Y629" s="88" t="n"/>
      <c r="Z629" s="88" t="n"/>
      <c r="AA629" s="101" t="n"/>
    </row>
    <row r="630" hidden="1" ht="75.59999999999999" customHeight="1">
      <c r="A630" s="69">
        <f>ROW()-1</f>
        <v/>
      </c>
      <c r="B630" s="53" t="n"/>
      <c r="C630" s="78" t="n">
        <v>2025</v>
      </c>
      <c r="D630" s="78" t="inlineStr">
        <is>
          <t>汤凤欣</t>
        </is>
      </c>
      <c r="E630" s="53" t="n"/>
      <c r="F630" s="53" t="n"/>
      <c r="G630" s="79" t="inlineStr">
        <is>
          <t>场景事务看板</t>
        </is>
      </c>
      <c r="H630" s="102" t="inlineStr">
        <is>
          <t>修复失败原因漏洞统计</t>
        </is>
      </c>
      <c r="I630" s="76" t="inlineStr">
        <is>
          <t>EO</t>
        </is>
      </c>
      <c r="J630" s="108" t="n"/>
      <c r="K630" s="108" t="n"/>
      <c r="L630" s="83">
        <f>IF(OR(X630="估算法",X630="算法类",X630="无法识别"),"",IF(V630="",IF(OR(I630="EI",I630="EO",I630="EQ"),0,""),LEN(V630)-LEN(SUBSTITUTE(V630,"、",""))+1))</f>
        <v/>
      </c>
      <c r="M630" s="83">
        <f>IF(OR(X630="估算法",X630="算法类",X630="无法识别"),"",IF(W630="",IF(OR(I630="ILF",I630="EIF"),0,""),LEN(W630)-LEN(SUBSTITUTE(W630,"、",""))+1))</f>
        <v/>
      </c>
      <c r="N630" s="83">
        <f>IF(OR(X630="估算法",X630="算法类",X630="无法识别"),"",IF(X630="",IF(OR(I630="ILF",I630="EIF",I630="EI",I630="EO",I630="EQ"),0,""),LEN(X630)-LEN(SUBSTITUTE(SUBSTITUTE(SUBSTITUTE(SUBSTITUTE(SUBSTITUTE(X630,"|}","--"),"{|","--"),CHAR(10),""),"、",""),"|",""))+IF(AND(OR(I630="EI",I630="EO",I630="EQ"),$AD$1="NESMA"),2,1)))</f>
        <v/>
      </c>
      <c r="O630" s="84">
        <f>IF(I630="EI",IF(OR(X630="估算法",X630="算法类"),"中",IF(X630="无法识别","低",IF(L630&lt;2,IF(N630&lt;16,"低","中"),IF(L630&lt;3,IF(N630&lt;5,"低",IF(N630&lt;16,"中","高")),IF(N630&lt;5,"中","高"))))),IF(OR(I630="EO",I630="EQ"),IF(OR(X630="估算法",X630="算法类"),"中",IF(X630="无法识别","低",IF(L630&lt;2,IF(N630&lt;20,"低","中"),IF(L630&lt;4,IF(N630&lt;6,"低",IF(N630&lt;20,"中","高")),IF(N630&lt;6,"中","高"))))),IF(OR(I630="ILF",I630="EIF"),IF(OR(X630="估算法",X630="算法类",X630="无法识别"),"低",IF(M630&lt;2,IF(N630&lt;51,"低","中"),IF(M630&lt;6,IF(N630&lt;20,"低",IF(N630&lt;51,"中","高")),IF(N630&lt;20,"中","高")))),"不计算")))</f>
        <v/>
      </c>
      <c r="P630" s="142">
        <f>IFERROR(IF(I630="EI",IF(O630="低",3,IF(O630="中",4,6)),IF(I630="EO",IF(O630="低",4,IF(O630="中",5,7)),IF(I630="EQ",IF(O630="低",3,IF(O630="中",4,6)),IF(I630="ILF",IF(O630="低",7,IF(O630="中",10,15)),IF(I630="EIF",IF(O630="低",5,IF(O630="中",7,10)),"不计算")))))*Q630,"不计算")</f>
        <v/>
      </c>
      <c r="Q630" s="142" t="n">
        <v>1</v>
      </c>
      <c r="R630" s="143">
        <f>调整因子!$F$13</f>
        <v/>
      </c>
      <c r="S630" s="70" t="n">
        <v>1</v>
      </c>
      <c r="T630" s="144">
        <f>IFERROR(P630*R630,0)</f>
        <v/>
      </c>
      <c r="U630" s="144">
        <f>T630*S630</f>
        <v/>
      </c>
      <c r="V630" s="76" t="inlineStr">
        <is>
          <t>修复失败原因漏洞统计数据表、业务场景数据表、系统漏洞数据表、工单数据表</t>
        </is>
      </c>
      <c r="W630" s="89" t="n"/>
      <c r="X630" s="76" t="inlineStr">
        <is>
          <t>修复失败原因漏洞统计数据表{ID、日期、业务场景ID、修复失败系统漏洞ID、修复失败原因编码、修复工单ID|}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30" s="88" t="n"/>
      <c r="Z630" s="88" t="n"/>
      <c r="AA630" s="70" t="n"/>
    </row>
    <row r="631" hidden="1" ht="64.8" customHeight="1">
      <c r="A631" s="69">
        <f>ROW()-1</f>
        <v/>
      </c>
      <c r="B631" s="53" t="n"/>
      <c r="C631" s="78" t="n">
        <v>2025</v>
      </c>
      <c r="D631" s="78" t="inlineStr">
        <is>
          <t>汤凤欣</t>
        </is>
      </c>
      <c r="E631" s="53" t="n"/>
      <c r="F631" s="53" t="n"/>
      <c r="G631" s="53" t="n"/>
      <c r="H631" s="102" t="inlineStr">
        <is>
          <t>入口系统漏洞数统计</t>
        </is>
      </c>
      <c r="I631" s="76" t="inlineStr">
        <is>
          <t>EO</t>
        </is>
      </c>
      <c r="J631" s="108" t="n"/>
      <c r="K631" s="108" t="inlineStr">
        <is>
          <t>无法判断是否在相同界面展示统计结果</t>
        </is>
      </c>
      <c r="L631" s="83">
        <f>IF(OR(X631="估算法",X631="算法类",X631="无法识别"),"",IF(V631="",IF(OR(I631="EI",I631="EO",I631="EQ"),0,""),LEN(V631)-LEN(SUBSTITUTE(V631,"、",""))+1))</f>
        <v/>
      </c>
      <c r="M631" s="83">
        <f>IF(OR(X631="估算法",X631="算法类",X631="无法识别"),"",IF(W631="",IF(OR(I631="ILF",I631="EIF"),0,""),LEN(W631)-LEN(SUBSTITUTE(W631,"、",""))+1))</f>
        <v/>
      </c>
      <c r="N631" s="83">
        <f>IF(OR(X631="估算法",X631="算法类",X631="无法识别"),"",IF(X631="",IF(OR(I631="ILF",I631="EIF",I631="EI",I631="EO",I631="EQ"),0,""),LEN(X631)-LEN(SUBSTITUTE(SUBSTITUTE(SUBSTITUTE(SUBSTITUTE(SUBSTITUTE(X631,"|}","--"),"{|","--"),CHAR(10),""),"、",""),"|",""))+IF(AND(OR(I631="EI",I631="EO",I631="EQ"),$AD$1="NESMA"),2,1)))</f>
        <v/>
      </c>
      <c r="O631" s="84">
        <f>IF(I631="EI",IF(OR(X631="估算法",X631="算法类"),"中",IF(X631="无法识别","低",IF(L631&lt;2,IF(N631&lt;16,"低","中"),IF(L631&lt;3,IF(N631&lt;5,"低",IF(N631&lt;16,"中","高")),IF(N631&lt;5,"中","高"))))),IF(OR(I631="EO",I631="EQ"),IF(OR(X631="估算法",X631="算法类"),"中",IF(X631="无法识别","低",IF(L631&lt;2,IF(N631&lt;20,"低","中"),IF(L631&lt;4,IF(N631&lt;6,"低",IF(N631&lt;20,"中","高")),IF(N631&lt;6,"中","高"))))),IF(OR(I631="ILF",I631="EIF"),IF(OR(X631="估算法",X631="算法类",X631="无法识别"),"低",IF(M631&lt;2,IF(N631&lt;51,"低","中"),IF(M631&lt;6,IF(N631&lt;20,"低",IF(N631&lt;51,"中","高")),IF(N631&lt;20,"中","高")))),"不计算")))</f>
        <v/>
      </c>
      <c r="P631" s="142">
        <f>IFERROR(IF(I631="EI",IF(O631="低",3,IF(O631="中",4,6)),IF(I631="EO",IF(O631="低",4,IF(O631="中",5,7)),IF(I631="EQ",IF(O631="低",3,IF(O631="中",4,6)),IF(I631="ILF",IF(O631="低",7,IF(O631="中",10,15)),IF(I631="EIF",IF(O631="低",5,IF(O631="中",7,10)),"不计算")))))*Q631,"不计算")</f>
        <v/>
      </c>
      <c r="Q631" s="142" t="n">
        <v>0.333333333333333</v>
      </c>
      <c r="R631" s="143">
        <f>调整因子!$F$13</f>
        <v/>
      </c>
      <c r="S631" s="70" t="n">
        <v>1</v>
      </c>
      <c r="T631" s="144">
        <f>IFERROR(P631*R631,0)</f>
        <v/>
      </c>
      <c r="U631" s="144">
        <f>T631*S631</f>
        <v/>
      </c>
      <c r="V631" s="76" t="inlineStr">
        <is>
          <t>入口系统漏洞数统计数据表、业务场景数据表、系统漏洞数据表、工单数据表</t>
        </is>
      </c>
      <c r="W631" s="89" t="n"/>
      <c r="X631" s="76" t="inlineStr">
        <is>
          <t>入口系统漏洞数统计数据表{ID、日期、业务场景ID、系统漏洞ID、排查工单ID|}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31" s="88" t="n"/>
      <c r="Z631" s="88" t="n"/>
      <c r="AA631" s="101" t="n"/>
    </row>
    <row r="632" hidden="1" ht="75.59999999999999" customHeight="1">
      <c r="A632" s="69">
        <f>ROW()-1</f>
        <v/>
      </c>
      <c r="B632" s="53" t="n"/>
      <c r="C632" s="78" t="n">
        <v>2025</v>
      </c>
      <c r="D632" s="78" t="inlineStr">
        <is>
          <t>汤凤欣</t>
        </is>
      </c>
      <c r="E632" s="53" t="n"/>
      <c r="F632" s="53" t="n"/>
      <c r="G632" s="53" t="n"/>
      <c r="H632" s="103" t="inlineStr">
        <is>
          <t>关联分析覆盖统计</t>
        </is>
      </c>
      <c r="I632" s="76" t="inlineStr">
        <is>
          <t>EO</t>
        </is>
      </c>
      <c r="J632" s="108" t="n"/>
      <c r="K632" s="108" t="inlineStr">
        <is>
          <t>无法判断是否在相同界面展示统计结果</t>
        </is>
      </c>
      <c r="L632" s="83">
        <f>IF(OR(X632="估算法",X632="算法类",X632="无法识别"),"",IF(V632="",IF(OR(I632="EI",I632="EO",I632="EQ"),0,""),LEN(V632)-LEN(SUBSTITUTE(V632,"、",""))+1))</f>
        <v/>
      </c>
      <c r="M632" s="83">
        <f>IF(OR(X632="估算法",X632="算法类",X632="无法识别"),"",IF(W632="",IF(OR(I632="ILF",I632="EIF"),0,""),LEN(W632)-LEN(SUBSTITUTE(W632,"、",""))+1))</f>
        <v/>
      </c>
      <c r="N632" s="83">
        <f>IF(OR(X632="估算法",X632="算法类",X632="无法识别"),"",IF(X632="",IF(OR(I632="ILF",I632="EIF",I632="EI",I632="EO",I632="EQ"),0,""),LEN(X632)-LEN(SUBSTITUTE(SUBSTITUTE(SUBSTITUTE(SUBSTITUTE(SUBSTITUTE(X632,"|}","--"),"{|","--"),CHAR(10),""),"、",""),"|",""))+IF(AND(OR(I632="EI",I632="EO",I632="EQ"),$AD$1="NESMA"),2,1)))</f>
        <v/>
      </c>
      <c r="O632" s="84">
        <f>IF(I632="EI",IF(OR(X632="估算法",X632="算法类"),"中",IF(X632="无法识别","低",IF(L632&lt;2,IF(N632&lt;16,"低","中"),IF(L632&lt;3,IF(N632&lt;5,"低",IF(N632&lt;16,"中","高")),IF(N632&lt;5,"中","高"))))),IF(OR(I632="EO",I632="EQ"),IF(OR(X632="估算法",X632="算法类"),"中",IF(X632="无法识别","低",IF(L632&lt;2,IF(N632&lt;20,"低","中"),IF(L632&lt;4,IF(N632&lt;6,"低",IF(N632&lt;20,"中","高")),IF(N632&lt;6,"中","高"))))),IF(OR(I632="ILF",I632="EIF"),IF(OR(X632="估算法",X632="算法类",X632="无法识别"),"低",IF(M632&lt;2,IF(N632&lt;51,"低","中"),IF(M632&lt;6,IF(N632&lt;20,"低",IF(N632&lt;51,"中","高")),IF(N632&lt;20,"中","高")))),"不计算")))</f>
        <v/>
      </c>
      <c r="P632" s="142">
        <f>IFERROR(IF(I632="EI",IF(O632="低",3,IF(O632="中",4,6)),IF(I632="EO",IF(O632="低",4,IF(O632="中",5,7)),IF(I632="EQ",IF(O632="低",3,IF(O632="中",4,6)),IF(I632="ILF",IF(O632="低",7,IF(O632="中",10,15)),IF(I632="EIF",IF(O632="低",5,IF(O632="中",7,10)),"不计算")))))*Q632,"不计算")</f>
        <v/>
      </c>
      <c r="Q632" s="142" t="n">
        <v>0.333333333333333</v>
      </c>
      <c r="R632" s="143">
        <f>调整因子!$F$13</f>
        <v/>
      </c>
      <c r="S632" s="76" t="n">
        <v>1</v>
      </c>
      <c r="T632" s="144">
        <f>IFERROR(P632*R632,0)</f>
        <v/>
      </c>
      <c r="U632" s="144">
        <f>T632*S632</f>
        <v/>
      </c>
      <c r="V632" s="76" t="inlineStr">
        <is>
          <t>关联分析覆盖统计数据表、业务场景数据表、资产数据表、预警任务数据表</t>
        </is>
      </c>
      <c r="W632" s="89" t="n"/>
      <c r="X632" s="76" t="inlineStr">
        <is>
          <t>关联分析覆盖统计数据表{ID、日期、业务场景ID、资产ID、预警任务ID|}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预警任务数据表{任务ID、任务编号、处置时间、资产范围、漏洞范围|}</t>
        </is>
      </c>
      <c r="Y632" s="88" t="n"/>
      <c r="Z632" s="88" t="n"/>
      <c r="AA632" s="70" t="n"/>
    </row>
    <row r="633" hidden="1" ht="64.8" customHeight="1">
      <c r="A633" s="69">
        <f>ROW()-1</f>
        <v/>
      </c>
      <c r="B633" s="53" t="n"/>
      <c r="C633" s="78" t="n">
        <v>2025</v>
      </c>
      <c r="D633" s="78" t="inlineStr">
        <is>
          <t>汤凤欣</t>
        </is>
      </c>
      <c r="E633" s="53" t="n"/>
      <c r="F633" s="53" t="n"/>
      <c r="G633" s="53" t="n"/>
      <c r="H633" s="102" t="inlineStr">
        <is>
          <t>已扫描产品漏洞统计</t>
        </is>
      </c>
      <c r="I633" s="76" t="inlineStr">
        <is>
          <t>EO</t>
        </is>
      </c>
      <c r="J633" s="108" t="n"/>
      <c r="K633" s="108" t="inlineStr">
        <is>
          <t>无法判断是否在相同界面展示统计结果</t>
        </is>
      </c>
      <c r="L633" s="83">
        <f>IF(OR(X633="估算法",X633="算法类",X633="无法识别"),"",IF(V633="",IF(OR(I633="EI",I633="EO",I633="EQ"),0,""),LEN(V633)-LEN(SUBSTITUTE(V633,"、",""))+1))</f>
        <v/>
      </c>
      <c r="M633" s="83">
        <f>IF(OR(X633="估算法",X633="算法类",X633="无法识别"),"",IF(W633="",IF(OR(I633="ILF",I633="EIF"),0,""),LEN(W633)-LEN(SUBSTITUTE(W633,"、",""))+1))</f>
        <v/>
      </c>
      <c r="N633" s="83">
        <f>IF(OR(X633="估算法",X633="算法类",X633="无法识别"),"",IF(X633="",IF(OR(I633="ILF",I633="EIF",I633="EI",I633="EO",I633="EQ"),0,""),LEN(X633)-LEN(SUBSTITUTE(SUBSTITUTE(SUBSTITUTE(SUBSTITUTE(SUBSTITUTE(X633,"|}","--"),"{|","--"),CHAR(10),""),"、",""),"|",""))+IF(AND(OR(I633="EI",I633="EO",I633="EQ"),$AD$1="NESMA"),2,1)))</f>
        <v/>
      </c>
      <c r="O633" s="84">
        <f>IF(I633="EI",IF(OR(X633="估算法",X633="算法类"),"中",IF(X633="无法识别","低",IF(L633&lt;2,IF(N633&lt;16,"低","中"),IF(L633&lt;3,IF(N633&lt;5,"低",IF(N633&lt;16,"中","高")),IF(N633&lt;5,"中","高"))))),IF(OR(I633="EO",I633="EQ"),IF(OR(X633="估算法",X633="算法类"),"中",IF(X633="无法识别","低",IF(L633&lt;2,IF(N633&lt;20,"低","中"),IF(L633&lt;4,IF(N633&lt;6,"低",IF(N633&lt;20,"中","高")),IF(N633&lt;6,"中","高"))))),IF(OR(I633="ILF",I633="EIF"),IF(OR(X633="估算法",X633="算法类",X633="无法识别"),"低",IF(M633&lt;2,IF(N633&lt;51,"低","中"),IF(M633&lt;6,IF(N633&lt;20,"低",IF(N633&lt;51,"中","高")),IF(N633&lt;20,"中","高")))),"不计算")))</f>
        <v/>
      </c>
      <c r="P633" s="142">
        <f>IFERROR(IF(I633="EI",IF(O633="低",3,IF(O633="中",4,6)),IF(I633="EO",IF(O633="低",4,IF(O633="中",5,7)),IF(I633="EQ",IF(O633="低",3,IF(O633="中",4,6)),IF(I633="ILF",IF(O633="低",7,IF(O633="中",10,15)),IF(I633="EIF",IF(O633="低",5,IF(O633="中",7,10)),"不计算")))))*Q633,"不计算")</f>
        <v/>
      </c>
      <c r="Q633" s="142" t="n">
        <v>0.333333333333333</v>
      </c>
      <c r="R633" s="143">
        <f>调整因子!$F$13</f>
        <v/>
      </c>
      <c r="S633" s="70" t="n">
        <v>1</v>
      </c>
      <c r="T633" s="144">
        <f>IFERROR(P633*R633,0)</f>
        <v/>
      </c>
      <c r="U633" s="144">
        <f>T633*S633</f>
        <v/>
      </c>
      <c r="V633" s="76" t="inlineStr">
        <is>
          <t>已扫描产品漏洞统计数据表、业务场景数据表、资产数据表、产品漏洞数据表、漏洞扫描任务数据表</t>
        </is>
      </c>
      <c r="W633" s="89" t="n"/>
      <c r="X633" s="76" t="inlineStr">
        <is>
          <t xml:space="preserve">已扫描产品漏洞统计数据表{ID、日期、业务场景ID、产品漏洞ID、漏洞扫描任务ID|}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漏洞扫描任务{扫描任务ID、扫描产品漏洞范围、扫描资产范围、任务执行时间}
</t>
        </is>
      </c>
      <c r="Y633" s="88" t="n"/>
      <c r="Z633" s="88" t="n"/>
      <c r="AA633" s="101" t="n"/>
    </row>
    <row r="634" hidden="1" ht="54" customHeight="1">
      <c r="A634" s="69">
        <f>ROW()-1</f>
        <v/>
      </c>
      <c r="B634" s="53" t="n"/>
      <c r="C634" s="78" t="n">
        <v>2025</v>
      </c>
      <c r="D634" s="78" t="inlineStr">
        <is>
          <t>汤凤欣</t>
        </is>
      </c>
      <c r="E634" s="53" t="n"/>
      <c r="F634" s="53" t="n"/>
      <c r="G634" s="53" t="n"/>
      <c r="H634" s="102" t="inlineStr">
        <is>
          <t>已扫描口令字典统计</t>
        </is>
      </c>
      <c r="I634" s="76" t="inlineStr">
        <is>
          <t>EO</t>
        </is>
      </c>
      <c r="J634" s="108" t="n"/>
      <c r="K634" s="108" t="inlineStr">
        <is>
          <t>无法判断是否在相同界面展示统计结果</t>
        </is>
      </c>
      <c r="L634" s="83">
        <f>IF(OR(X634="估算法",X634="算法类",X634="无法识别"),"",IF(V634="",IF(OR(I634="EI",I634="EO",I634="EQ"),0,""),LEN(V634)-LEN(SUBSTITUTE(V634,"、",""))+1))</f>
        <v/>
      </c>
      <c r="M634" s="83">
        <f>IF(OR(X634="估算法",X634="算法类",X634="无法识别"),"",IF(W634="",IF(OR(I634="ILF",I634="EIF"),0,""),LEN(W634)-LEN(SUBSTITUTE(W634,"、",""))+1))</f>
        <v/>
      </c>
      <c r="N634" s="83">
        <f>IF(OR(X634="估算法",X634="算法类",X634="无法识别"),"",IF(X634="",IF(OR(I634="ILF",I634="EIF",I634="EI",I634="EO",I634="EQ"),0,""),LEN(X634)-LEN(SUBSTITUTE(SUBSTITUTE(SUBSTITUTE(SUBSTITUTE(SUBSTITUTE(X634,"|}","--"),"{|","--"),CHAR(10),""),"、",""),"|",""))+IF(AND(OR(I634="EI",I634="EO",I634="EQ"),$AD$1="NESMA"),2,1)))</f>
        <v/>
      </c>
      <c r="O634" s="84">
        <f>IF(I634="EI",IF(OR(X634="估算法",X634="算法类"),"中",IF(X634="无法识别","低",IF(L634&lt;2,IF(N634&lt;16,"低","中"),IF(L634&lt;3,IF(N634&lt;5,"低",IF(N634&lt;16,"中","高")),IF(N634&lt;5,"中","高"))))),IF(OR(I634="EO",I634="EQ"),IF(OR(X634="估算法",X634="算法类"),"中",IF(X634="无法识别","低",IF(L634&lt;2,IF(N634&lt;20,"低","中"),IF(L634&lt;4,IF(N634&lt;6,"低",IF(N634&lt;20,"中","高")),IF(N634&lt;6,"中","高"))))),IF(OR(I634="ILF",I634="EIF"),IF(OR(X634="估算法",X634="算法类",X634="无法识别"),"低",IF(M634&lt;2,IF(N634&lt;51,"低","中"),IF(M634&lt;6,IF(N634&lt;20,"低",IF(N634&lt;51,"中","高")),IF(N634&lt;20,"中","高")))),"不计算")))</f>
        <v/>
      </c>
      <c r="P634" s="142">
        <f>IFERROR(IF(I634="EI",IF(O634="低",3,IF(O634="中",4,6)),IF(I634="EO",IF(O634="低",4,IF(O634="中",5,7)),IF(I634="EQ",IF(O634="低",3,IF(O634="中",4,6)),IF(I634="ILF",IF(O634="低",7,IF(O634="中",10,15)),IF(I634="EIF",IF(O634="低",5,IF(O634="中",7,10)),"不计算")))))*Q634,"不计算")</f>
        <v/>
      </c>
      <c r="Q634" s="142" t="n">
        <v>0.333333333333333</v>
      </c>
      <c r="R634" s="143">
        <f>调整因子!$F$13</f>
        <v/>
      </c>
      <c r="S634" s="70" t="n">
        <v>1</v>
      </c>
      <c r="T634" s="144">
        <f>IFERROR(P634*R634,0)</f>
        <v/>
      </c>
      <c r="U634" s="144">
        <f>T634*S634</f>
        <v/>
      </c>
      <c r="V634" s="76" t="inlineStr">
        <is>
          <t>已扫描口令字典统计数据表、业务场景数据表、弱口令字典数据表、弱口令扫描任务数据表</t>
        </is>
      </c>
      <c r="W634" s="89" t="n"/>
      <c r="X634" s="76" t="inlineStr">
        <is>
          <t>已扫描口令字典统计数据表{ID、日期、业务场景ID、口令字典ID、弱口令扫描任务ID| 
业务场景数据表{业务场景ID、场景编码、场景名称、场景等级|}
弱口令字典数据表{口令字典ID、字典名称、字典类型、字典内容|}
弱口令扫描任务数据表{弱口令扫描任务ID、执行时间、弱口令范围、资产范围}</t>
        </is>
      </c>
      <c r="Y634" s="88" t="n"/>
      <c r="Z634" s="88" t="n"/>
      <c r="AA634" s="70" t="n"/>
    </row>
    <row r="635" hidden="1" ht="54" customHeight="1">
      <c r="A635" s="69">
        <f>ROW()-1</f>
        <v/>
      </c>
      <c r="B635" s="53" t="n"/>
      <c r="C635" s="78" t="n">
        <v>2025</v>
      </c>
      <c r="D635" s="78" t="inlineStr">
        <is>
          <t>汤凤欣</t>
        </is>
      </c>
      <c r="E635" s="53" t="n"/>
      <c r="F635" s="53" t="n"/>
      <c r="G635" s="53" t="n"/>
      <c r="H635" s="102" t="inlineStr">
        <is>
          <t>应扫描产品漏洞统计</t>
        </is>
      </c>
      <c r="I635" s="76" t="inlineStr">
        <is>
          <t>EO</t>
        </is>
      </c>
      <c r="J635" s="108" t="n"/>
      <c r="K635" s="108" t="inlineStr">
        <is>
          <t>无法判断是否在相同界面展示统计结果</t>
        </is>
      </c>
      <c r="L635" s="83">
        <f>IF(OR(X635="估算法",X635="算法类",X635="无法识别"),"",IF(V635="",IF(OR(I635="EI",I635="EO",I635="EQ"),0,""),LEN(V635)-LEN(SUBSTITUTE(V635,"、",""))+1))</f>
        <v/>
      </c>
      <c r="M635" s="83">
        <f>IF(OR(X635="估算法",X635="算法类",X635="无法识别"),"",IF(W635="",IF(OR(I635="ILF",I635="EIF"),0,""),LEN(W635)-LEN(SUBSTITUTE(W635,"、",""))+1))</f>
        <v/>
      </c>
      <c r="N635" s="83">
        <f>IF(OR(X635="估算法",X635="算法类",X635="无法识别"),"",IF(X635="",IF(OR(I635="ILF",I635="EIF",I635="EI",I635="EO",I635="EQ"),0,""),LEN(X635)-LEN(SUBSTITUTE(SUBSTITUTE(SUBSTITUTE(SUBSTITUTE(SUBSTITUTE(X635,"|}","--"),"{|","--"),CHAR(10),""),"、",""),"|",""))+IF(AND(OR(I635="EI",I635="EO",I635="EQ"),$AD$1="NESMA"),2,1)))</f>
        <v/>
      </c>
      <c r="O635" s="84">
        <f>IF(I635="EI",IF(OR(X635="估算法",X635="算法类"),"中",IF(X635="无法识别","低",IF(L635&lt;2,IF(N635&lt;16,"低","中"),IF(L635&lt;3,IF(N635&lt;5,"低",IF(N635&lt;16,"中","高")),IF(N635&lt;5,"中","高"))))),IF(OR(I635="EO",I635="EQ"),IF(OR(X635="估算法",X635="算法类"),"中",IF(X635="无法识别","低",IF(L635&lt;2,IF(N635&lt;20,"低","中"),IF(L635&lt;4,IF(N635&lt;6,"低",IF(N635&lt;20,"中","高")),IF(N635&lt;6,"中","高"))))),IF(OR(I635="ILF",I635="EIF"),IF(OR(X635="估算法",X635="算法类",X635="无法识别"),"低",IF(M635&lt;2,IF(N635&lt;51,"低","中"),IF(M635&lt;6,IF(N635&lt;20,"低",IF(N635&lt;51,"中","高")),IF(N635&lt;20,"中","高")))),"不计算")))</f>
        <v/>
      </c>
      <c r="P635" s="142">
        <f>IFERROR(IF(I635="EI",IF(O635="低",3,IF(O635="中",4,6)),IF(I635="EO",IF(O635="低",4,IF(O635="中",5,7)),IF(I635="EQ",IF(O635="低",3,IF(O635="中",4,6)),IF(I635="ILF",IF(O635="低",7,IF(O635="中",10,15)),IF(I635="EIF",IF(O635="低",5,IF(O635="中",7,10)),"不计算")))))*Q635,"不计算")</f>
        <v/>
      </c>
      <c r="Q635" s="142" t="n">
        <v>0.333333333333333</v>
      </c>
      <c r="R635" s="143">
        <f>调整因子!$F$13</f>
        <v/>
      </c>
      <c r="S635" s="76" t="n">
        <v>1</v>
      </c>
      <c r="T635" s="144">
        <f>IFERROR(P635*R635,0)</f>
        <v/>
      </c>
      <c r="U635" s="144">
        <f>T635*S635</f>
        <v/>
      </c>
      <c r="V635" s="76" t="inlineStr">
        <is>
          <t>应扫描产品漏洞统计数据表、业务场景数据表、产品漏洞数据表、漏洞扫描任务数据表</t>
        </is>
      </c>
      <c r="W635" s="89" t="n"/>
      <c r="X635" s="76" t="inlineStr">
        <is>
          <t>应扫描产品漏洞统计数据表{ID、日期、业务场景ID、产品漏洞ID、漏洞扫描任务ID|}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漏洞扫描任务数据表{扫描任务ID、扫描产品漏洞范围、扫描资产范围、任务执行时间}</t>
        </is>
      </c>
      <c r="Y635" s="88" t="n"/>
      <c r="Z635" s="88" t="n"/>
      <c r="AA635" s="101" t="n"/>
    </row>
    <row r="636" hidden="1" ht="75.59999999999999" customHeight="1">
      <c r="A636" s="69">
        <f>ROW()-1</f>
        <v/>
      </c>
      <c r="B636" s="53" t="n"/>
      <c r="C636" s="78" t="n">
        <v>2025</v>
      </c>
      <c r="D636" s="78" t="inlineStr">
        <is>
          <t>汤凤欣</t>
        </is>
      </c>
      <c r="E636" s="53" t="n"/>
      <c r="F636" s="53" t="n"/>
      <c r="G636" s="53" t="n"/>
      <c r="H636" s="103" t="inlineStr">
        <is>
          <t>应扫描口令字典统计</t>
        </is>
      </c>
      <c r="I636" s="76" t="inlineStr">
        <is>
          <t>EO</t>
        </is>
      </c>
      <c r="J636" s="108" t="n"/>
      <c r="K636" s="108" t="inlineStr">
        <is>
          <t>无法判断是否在相同界面展示统计结果</t>
        </is>
      </c>
      <c r="L636" s="83">
        <f>IF(OR(X636="估算法",X636="算法类",X636="无法识别"),"",IF(V636="",IF(OR(I636="EI",I636="EO",I636="EQ"),0,""),LEN(V636)-LEN(SUBSTITUTE(V636,"、",""))+1))</f>
        <v/>
      </c>
      <c r="M636" s="83">
        <f>IF(OR(X636="估算法",X636="算法类",X636="无法识别"),"",IF(W636="",IF(OR(I636="ILF",I636="EIF"),0,""),LEN(W636)-LEN(SUBSTITUTE(W636,"、",""))+1))</f>
        <v/>
      </c>
      <c r="N636" s="83">
        <f>IF(OR(X636="估算法",X636="算法类",X636="无法识别"),"",IF(X636="",IF(OR(I636="ILF",I636="EIF",I636="EI",I636="EO",I636="EQ"),0,""),LEN(X636)-LEN(SUBSTITUTE(SUBSTITUTE(SUBSTITUTE(SUBSTITUTE(SUBSTITUTE(X636,"|}","--"),"{|","--"),CHAR(10),""),"、",""),"|",""))+IF(AND(OR(I636="EI",I636="EO",I636="EQ"),$AD$1="NESMA"),2,1)))</f>
        <v/>
      </c>
      <c r="O636" s="84">
        <f>IF(I636="EI",IF(OR(X636="估算法",X636="算法类"),"中",IF(X636="无法识别","低",IF(L636&lt;2,IF(N636&lt;16,"低","中"),IF(L636&lt;3,IF(N636&lt;5,"低",IF(N636&lt;16,"中","高")),IF(N636&lt;5,"中","高"))))),IF(OR(I636="EO",I636="EQ"),IF(OR(X636="估算法",X636="算法类"),"中",IF(X636="无法识别","低",IF(L636&lt;2,IF(N636&lt;20,"低","中"),IF(L636&lt;4,IF(N636&lt;6,"低",IF(N636&lt;20,"中","高")),IF(N636&lt;6,"中","高"))))),IF(OR(I636="ILF",I636="EIF"),IF(OR(X636="估算法",X636="算法类",X636="无法识别"),"低",IF(M636&lt;2,IF(N636&lt;51,"低","中"),IF(M636&lt;6,IF(N636&lt;20,"低",IF(N636&lt;51,"中","高")),IF(N636&lt;20,"中","高")))),"不计算")))</f>
        <v/>
      </c>
      <c r="P636" s="142">
        <f>IFERROR(IF(I636="EI",IF(O636="低",3,IF(O636="中",4,6)),IF(I636="EO",IF(O636="低",4,IF(O636="中",5,7)),IF(I636="EQ",IF(O636="低",3,IF(O636="中",4,6)),IF(I636="ILF",IF(O636="低",7,IF(O636="中",10,15)),IF(I636="EIF",IF(O636="低",5,IF(O636="中",7,10)),"不计算")))))*Q636,"不计算")</f>
        <v/>
      </c>
      <c r="Q636" s="142" t="n">
        <v>0.2</v>
      </c>
      <c r="R636" s="143">
        <f>调整因子!$F$13</f>
        <v/>
      </c>
      <c r="S636" s="70" t="n">
        <v>1</v>
      </c>
      <c r="T636" s="144">
        <f>IFERROR(P636*R636,0)</f>
        <v/>
      </c>
      <c r="U636" s="144">
        <f>T636*S636</f>
        <v/>
      </c>
      <c r="V636" s="76" t="inlineStr">
        <is>
          <t>应扫描口令字典统计数据表、业务场景数据表、弱口令字典数据表、弱口令扫描任务数据表</t>
        </is>
      </c>
      <c r="W636" s="89" t="n"/>
      <c r="X636" s="76" t="inlineStr">
        <is>
          <t>应扫描口令字典统计数据表{ID、日期、业务场景ID、口令字典ID、弱口令扫描任务ID|}
业务场景数据表{业务场景ID、场景编码、场景名称、场景等级|}
系统漏洞数据表{系统漏洞ID、产品漏洞ID、资产ID、系统漏洞状态ID、时间戳、弱口令字典ID|}
弱口令字典数据表{口令字典ID、字典名称、字典类型、字典内容|}
弱口令扫描任务数据表{弱口令扫描任务ID、执行时间、弱口令范围、资产范围}</t>
        </is>
      </c>
      <c r="Y636" s="88" t="n"/>
      <c r="Z636" s="88" t="n"/>
      <c r="AA636" s="70" t="n"/>
    </row>
    <row r="637" hidden="1" ht="86.40000000000001" customHeight="1">
      <c r="A637" s="69">
        <f>ROW()-1</f>
        <v/>
      </c>
      <c r="B637" s="53" t="n"/>
      <c r="C637" s="78" t="n">
        <v>2025</v>
      </c>
      <c r="D637" s="78" t="inlineStr">
        <is>
          <t>汤凤欣</t>
        </is>
      </c>
      <c r="E637" s="53" t="n"/>
      <c r="F637" s="53" t="n"/>
      <c r="G637" s="53" t="n"/>
      <c r="H637" s="103" t="inlineStr">
        <is>
          <t>应覆盖资产总数统计</t>
        </is>
      </c>
      <c r="I637" s="76" t="inlineStr">
        <is>
          <t>EO</t>
        </is>
      </c>
      <c r="J637" s="108" t="n"/>
      <c r="K637" s="108" t="inlineStr">
        <is>
          <t>无法判断是否在相同界面展示统计结果</t>
        </is>
      </c>
      <c r="L637" s="83">
        <f>IF(OR(X637="估算法",X637="算法类",X637="无法识别"),"",IF(V637="",IF(OR(I637="EI",I637="EO",I637="EQ"),0,""),LEN(V637)-LEN(SUBSTITUTE(V637,"、",""))+1))</f>
        <v/>
      </c>
      <c r="M637" s="83">
        <f>IF(OR(X637="估算法",X637="算法类",X637="无法识别"),"",IF(W637="",IF(OR(I637="ILF",I637="EIF"),0,""),LEN(W637)-LEN(SUBSTITUTE(W637,"、",""))+1))</f>
        <v/>
      </c>
      <c r="N637" s="83">
        <f>IF(OR(X637="估算法",X637="算法类",X637="无法识别"),"",IF(X637="",IF(OR(I637="ILF",I637="EIF",I637="EI",I637="EO",I637="EQ"),0,""),LEN(X637)-LEN(SUBSTITUTE(SUBSTITUTE(SUBSTITUTE(SUBSTITUTE(SUBSTITUTE(X637,"|}","--"),"{|","--"),CHAR(10),""),"、",""),"|",""))+IF(AND(OR(I637="EI",I637="EO",I637="EQ"),$AD$1="NESMA"),2,1)))</f>
        <v/>
      </c>
      <c r="O637" s="84">
        <f>IF(I637="EI",IF(OR(X637="估算法",X637="算法类"),"中",IF(X637="无法识别","低",IF(L637&lt;2,IF(N637&lt;16,"低","中"),IF(L637&lt;3,IF(N637&lt;5,"低",IF(N637&lt;16,"中","高")),IF(N637&lt;5,"中","高"))))),IF(OR(I637="EO",I637="EQ"),IF(OR(X637="估算法",X637="算法类"),"中",IF(X637="无法识别","低",IF(L637&lt;2,IF(N637&lt;20,"低","中"),IF(L637&lt;4,IF(N637&lt;6,"低",IF(N637&lt;20,"中","高")),IF(N637&lt;6,"中","高"))))),IF(OR(I637="ILF",I637="EIF"),IF(OR(X637="估算法",X637="算法类",X637="无法识别"),"低",IF(M637&lt;2,IF(N637&lt;51,"低","中"),IF(M637&lt;6,IF(N637&lt;20,"低",IF(N637&lt;51,"中","高")),IF(N637&lt;20,"中","高")))),"不计算")))</f>
        <v/>
      </c>
      <c r="P637" s="142">
        <f>IFERROR(IF(I637="EI",IF(O637="低",3,IF(O637="中",4,6)),IF(I637="EO",IF(O637="低",4,IF(O637="中",5,7)),IF(I637="EQ",IF(O637="低",3,IF(O637="中",4,6)),IF(I637="ILF",IF(O637="低",7,IF(O637="中",10,15)),IF(I637="EIF",IF(O637="低",5,IF(O637="中",7,10)),"不计算")))))*Q637,"不计算")</f>
        <v/>
      </c>
      <c r="Q637" s="142" t="n">
        <v>0.2</v>
      </c>
      <c r="R637" s="143">
        <f>调整因子!$F$13</f>
        <v/>
      </c>
      <c r="S637" s="70" t="n">
        <v>1</v>
      </c>
      <c r="T637" s="144">
        <f>IFERROR(P637*R637,0)</f>
        <v/>
      </c>
      <c r="U637" s="144">
        <f>T637*S637</f>
        <v/>
      </c>
      <c r="V637" s="76" t="inlineStr">
        <is>
          <t>应覆盖资产总数统计数据表、业务场景数据表、资产数据表、漏洞扫描任务数据表</t>
        </is>
      </c>
      <c r="W637" s="89" t="n"/>
      <c r="X637" s="76" t="inlineStr">
        <is>
          <t>应覆盖资产总数统计数据表{ID、日期、业务场景ID、资产ID、漏洞扫描任务ID|}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漏洞扫描任务数据表{工单ID、工单编号、工单类型、处置时间、处置方式、资产范围、漏洞范围、口令字典范围、目标系统漏洞状态|}</t>
        </is>
      </c>
      <c r="Y637" s="88" t="n"/>
      <c r="Z637" s="88" t="n"/>
      <c r="AA637" s="101" t="n"/>
    </row>
    <row r="638" hidden="1" ht="64.8" customHeight="1">
      <c r="A638" s="69">
        <f>ROW()-1</f>
        <v/>
      </c>
      <c r="B638" s="53" t="n"/>
      <c r="C638" s="78" t="n">
        <v>2025</v>
      </c>
      <c r="D638" s="78" t="inlineStr">
        <is>
          <t>汤凤欣</t>
        </is>
      </c>
      <c r="E638" s="53" t="n"/>
      <c r="F638" s="53" t="n"/>
      <c r="G638" s="53" t="n"/>
      <c r="H638" s="103" t="inlineStr">
        <is>
          <t>弱口令扫描覆盖统计</t>
        </is>
      </c>
      <c r="I638" s="76" t="inlineStr">
        <is>
          <t>EO</t>
        </is>
      </c>
      <c r="J638" s="108" t="n"/>
      <c r="K638" s="108" t="inlineStr">
        <is>
          <t>无法判断是否在相同界面展示统计结果</t>
        </is>
      </c>
      <c r="L638" s="83">
        <f>IF(OR(X638="估算法",X638="算法类",X638="无法识别"),"",IF(V638="",IF(OR(I638="EI",I638="EO",I638="EQ"),0,""),LEN(V638)-LEN(SUBSTITUTE(V638,"、",""))+1))</f>
        <v/>
      </c>
      <c r="M638" s="83">
        <f>IF(OR(X638="估算法",X638="算法类",X638="无法识别"),"",IF(W638="",IF(OR(I638="ILF",I638="EIF"),0,""),LEN(W638)-LEN(SUBSTITUTE(W638,"、",""))+1))</f>
        <v/>
      </c>
      <c r="N638" s="83">
        <f>IF(OR(X638="估算法",X638="算法类",X638="无法识别"),"",IF(X638="",IF(OR(I638="ILF",I638="EIF",I638="EI",I638="EO",I638="EQ"),0,""),LEN(X638)-LEN(SUBSTITUTE(SUBSTITUTE(SUBSTITUTE(SUBSTITUTE(SUBSTITUTE(X638,"|}","--"),"{|","--"),CHAR(10),""),"、",""),"|",""))+IF(AND(OR(I638="EI",I638="EO",I638="EQ"),$AD$1="NESMA"),2,1)))</f>
        <v/>
      </c>
      <c r="O638" s="84">
        <f>IF(I638="EI",IF(OR(X638="估算法",X638="算法类"),"中",IF(X638="无法识别","低",IF(L638&lt;2,IF(N638&lt;16,"低","中"),IF(L638&lt;3,IF(N638&lt;5,"低",IF(N638&lt;16,"中","高")),IF(N638&lt;5,"中","高"))))),IF(OR(I638="EO",I638="EQ"),IF(OR(X638="估算法",X638="算法类"),"中",IF(X638="无法识别","低",IF(L638&lt;2,IF(N638&lt;20,"低","中"),IF(L638&lt;4,IF(N638&lt;6,"低",IF(N638&lt;20,"中","高")),IF(N638&lt;6,"中","高"))))),IF(OR(I638="ILF",I638="EIF"),IF(OR(X638="估算法",X638="算法类",X638="无法识别"),"低",IF(M638&lt;2,IF(N638&lt;51,"低","中"),IF(M638&lt;6,IF(N638&lt;20,"低",IF(N638&lt;51,"中","高")),IF(N638&lt;20,"中","高")))),"不计算")))</f>
        <v/>
      </c>
      <c r="P638" s="142">
        <f>IFERROR(IF(I638="EI",IF(O638="低",3,IF(O638="中",4,6)),IF(I638="EO",IF(O638="低",4,IF(O638="中",5,7)),IF(I638="EQ",IF(O638="低",3,IF(O638="中",4,6)),IF(I638="ILF",IF(O638="低",7,IF(O638="中",10,15)),IF(I638="EIF",IF(O638="低",5,IF(O638="中",7,10)),"不计算")))))*Q638,"不计算")</f>
        <v/>
      </c>
      <c r="Q638" s="142" t="n">
        <v>0.2</v>
      </c>
      <c r="R638" s="143">
        <f>调整因子!$F$13</f>
        <v/>
      </c>
      <c r="S638" s="76" t="n">
        <v>1</v>
      </c>
      <c r="T638" s="144">
        <f>IFERROR(P638*R638,0)</f>
        <v/>
      </c>
      <c r="U638" s="144">
        <f>T638*S638</f>
        <v/>
      </c>
      <c r="V638" s="76" t="inlineStr">
        <is>
          <t>弱口令扫描覆盖统计数据表、业务场景数据表、资产数据表、弱口令字典数据表、弱口令扫描任务数据表</t>
        </is>
      </c>
      <c r="W638" s="89" t="n"/>
      <c r="X638" s="76" t="inlineStr">
        <is>
          <t>弱口令扫描覆盖统计数据表{ID、日期、业务场景ID、弱口令排查资产ID、弱口令扫描任务ID|}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is>
      </c>
      <c r="Y638" s="88" t="n"/>
      <c r="Z638" s="88" t="n"/>
      <c r="AA638" s="70" t="n"/>
    </row>
    <row r="639" hidden="1" ht="64.8" customHeight="1">
      <c r="A639" s="69">
        <f>ROW()-1</f>
        <v/>
      </c>
      <c r="B639" s="53" t="n"/>
      <c r="C639" s="78" t="n">
        <v>2025</v>
      </c>
      <c r="D639" s="78" t="inlineStr">
        <is>
          <t>汤凤欣</t>
        </is>
      </c>
      <c r="E639" s="53" t="n"/>
      <c r="F639" s="53" t="n"/>
      <c r="G639" s="53" t="n"/>
      <c r="H639" s="103" t="inlineStr">
        <is>
          <t>待核实系统漏洞统计</t>
        </is>
      </c>
      <c r="I639" s="76" t="inlineStr">
        <is>
          <t>EO</t>
        </is>
      </c>
      <c r="J639" s="108" t="n"/>
      <c r="K639" s="108" t="inlineStr">
        <is>
          <t>无法判断是否在相同界面展示统计结果</t>
        </is>
      </c>
      <c r="L639" s="83">
        <f>IF(OR(X639="估算法",X639="算法类",X639="无法识别"),"",IF(V639="",IF(OR(I639="EI",I639="EO",I639="EQ"),0,""),LEN(V639)-LEN(SUBSTITUTE(V639,"、",""))+1))</f>
        <v/>
      </c>
      <c r="M639" s="83">
        <f>IF(OR(X639="估算法",X639="算法类",X639="无法识别"),"",IF(W639="",IF(OR(I639="ILF",I639="EIF"),0,""),LEN(W639)-LEN(SUBSTITUTE(W639,"、",""))+1))</f>
        <v/>
      </c>
      <c r="N639" s="83">
        <f>IF(OR(X639="估算法",X639="算法类",X639="无法识别"),"",IF(X639="",IF(OR(I639="ILF",I639="EIF",I639="EI",I639="EO",I639="EQ"),0,""),LEN(X639)-LEN(SUBSTITUTE(SUBSTITUTE(SUBSTITUTE(SUBSTITUTE(SUBSTITUTE(X639,"|}","--"),"{|","--"),CHAR(10),""),"、",""),"|",""))+IF(AND(OR(I639="EI",I639="EO",I639="EQ"),$AD$1="NESMA"),2,1)))</f>
        <v/>
      </c>
      <c r="O639" s="84">
        <f>IF(I639="EI",IF(OR(X639="估算法",X639="算法类"),"中",IF(X639="无法识别","低",IF(L639&lt;2,IF(N639&lt;16,"低","中"),IF(L639&lt;3,IF(N639&lt;5,"低",IF(N639&lt;16,"中","高")),IF(N639&lt;5,"中","高"))))),IF(OR(I639="EO",I639="EQ"),IF(OR(X639="估算法",X639="算法类"),"中",IF(X639="无法识别","低",IF(L639&lt;2,IF(N639&lt;20,"低","中"),IF(L639&lt;4,IF(N639&lt;6,"低",IF(N639&lt;20,"中","高")),IF(N639&lt;6,"中","高"))))),IF(OR(I639="ILF",I639="EIF"),IF(OR(X639="估算法",X639="算法类",X639="无法识别"),"低",IF(M639&lt;2,IF(N639&lt;51,"低","中"),IF(M639&lt;6,IF(N639&lt;20,"低",IF(N639&lt;51,"中","高")),IF(N639&lt;20,"中","高")))),"不计算")))</f>
        <v/>
      </c>
      <c r="P639" s="142">
        <f>IFERROR(IF(I639="EI",IF(O639="低",3,IF(O639="中",4,6)),IF(I639="EO",IF(O639="低",4,IF(O639="中",5,7)),IF(I639="EQ",IF(O639="低",3,IF(O639="中",4,6)),IF(I639="ILF",IF(O639="低",7,IF(O639="中",10,15)),IF(I639="EIF",IF(O639="低",5,IF(O639="中",7,10)),"不计算")))))*Q639,"不计算")</f>
        <v/>
      </c>
      <c r="Q639" s="142" t="n">
        <v>0.2</v>
      </c>
      <c r="R639" s="143">
        <f>调整因子!$F$13</f>
        <v/>
      </c>
      <c r="S639" s="70" t="n">
        <v>1</v>
      </c>
      <c r="T639" s="144">
        <f>IFERROR(P639*R639,0)</f>
        <v/>
      </c>
      <c r="U639" s="144">
        <f>T639*S639</f>
        <v/>
      </c>
      <c r="V639" s="76" t="inlineStr">
        <is>
          <t>待核实系统漏洞统计数据表、业务场景数据表、系统漏洞数据表、系统漏洞状态数据表</t>
        </is>
      </c>
      <c r="W639" s="89" t="n"/>
      <c r="X639" s="76" t="inlineStr">
        <is>
          <t>待核实系统漏洞统计数据表{ID、日期、业务场景ID、待核实系统漏洞ID、系统漏洞状态|}
业务场景数据表{业务场景ID、场景编码、场景名称、场景等级|}
系统漏洞数据表{系统漏洞ID、产品漏洞ID、资产ID、系统漏洞状态ID、时间戳、弱口令字典ID|}
系统漏洞状态数据表{系统漏洞状态ID、漏洞状态名称、漏洞状态说明|}</t>
        </is>
      </c>
      <c r="Y639" s="88" t="n"/>
      <c r="Z639" s="88" t="n"/>
      <c r="AA639" s="101" t="n"/>
    </row>
    <row r="640" hidden="1" ht="43.2" customHeight="1">
      <c r="A640" s="69">
        <f>ROW()-1</f>
        <v/>
      </c>
      <c r="B640" s="53" t="n"/>
      <c r="C640" s="78" t="n">
        <v>2025</v>
      </c>
      <c r="D640" s="78" t="inlineStr">
        <is>
          <t>汤凤欣</t>
        </is>
      </c>
      <c r="E640" s="53" t="n"/>
      <c r="F640" s="53" t="n"/>
      <c r="G640" s="53" t="n"/>
      <c r="H640" s="102" t="inlineStr">
        <is>
          <t>有效系统漏洞数统计</t>
        </is>
      </c>
      <c r="I640" s="76" t="inlineStr">
        <is>
          <t>EO</t>
        </is>
      </c>
      <c r="J640" s="108" t="n"/>
      <c r="K640" s="108" t="inlineStr">
        <is>
          <t>无法判断是否在相同界面展示统计结果</t>
        </is>
      </c>
      <c r="L640" s="83">
        <f>IF(OR(X640="估算法",X640="算法类",X640="无法识别"),"",IF(V640="",IF(OR(I640="EI",I640="EO",I640="EQ"),0,""),LEN(V640)-LEN(SUBSTITUTE(V640,"、",""))+1))</f>
        <v/>
      </c>
      <c r="M640" s="83">
        <f>IF(OR(X640="估算法",X640="算法类",X640="无法识别"),"",IF(W640="",IF(OR(I640="ILF",I640="EIF"),0,""),LEN(W640)-LEN(SUBSTITUTE(W640,"、",""))+1))</f>
        <v/>
      </c>
      <c r="N640" s="83">
        <f>IF(OR(X640="估算法",X640="算法类",X640="无法识别"),"",IF(X640="",IF(OR(I640="ILF",I640="EIF",I640="EI",I640="EO",I640="EQ"),0,""),LEN(X640)-LEN(SUBSTITUTE(SUBSTITUTE(SUBSTITUTE(SUBSTITUTE(SUBSTITUTE(X640,"|}","--"),"{|","--"),CHAR(10),""),"、",""),"|",""))+IF(AND(OR(I640="EI",I640="EO",I640="EQ"),$AD$1="NESMA"),2,1)))</f>
        <v/>
      </c>
      <c r="O640" s="84">
        <f>IF(I640="EI",IF(OR(X640="估算法",X640="算法类"),"中",IF(X640="无法识别","低",IF(L640&lt;2,IF(N640&lt;16,"低","中"),IF(L640&lt;3,IF(N640&lt;5,"低",IF(N640&lt;16,"中","高")),IF(N640&lt;5,"中","高"))))),IF(OR(I640="EO",I640="EQ"),IF(OR(X640="估算法",X640="算法类"),"中",IF(X640="无法识别","低",IF(L640&lt;2,IF(N640&lt;20,"低","中"),IF(L640&lt;4,IF(N640&lt;6,"低",IF(N640&lt;20,"中","高")),IF(N640&lt;6,"中","高"))))),IF(OR(I640="ILF",I640="EIF"),IF(OR(X640="估算法",X640="算法类",X640="无法识别"),"低",IF(M640&lt;2,IF(N640&lt;51,"低","中"),IF(M640&lt;6,IF(N640&lt;20,"低",IF(N640&lt;51,"中","高")),IF(N640&lt;20,"中","高")))),"不计算")))</f>
        <v/>
      </c>
      <c r="P640" s="142">
        <f>IFERROR(IF(I640="EI",IF(O640="低",3,IF(O640="中",4,6)),IF(I640="EO",IF(O640="低",4,IF(O640="中",5,7)),IF(I640="EQ",IF(O640="低",3,IF(O640="中",4,6)),IF(I640="ILF",IF(O640="低",7,IF(O640="中",10,15)),IF(I640="EIF",IF(O640="低",5,IF(O640="中",7,10)),"不计算")))))*Q640,"不计算")</f>
        <v/>
      </c>
      <c r="Q640" s="142" t="n">
        <v>0.2</v>
      </c>
      <c r="R640" s="143">
        <f>调整因子!$F$13</f>
        <v/>
      </c>
      <c r="S640" s="70" t="n">
        <v>1</v>
      </c>
      <c r="T640" s="144">
        <f>IFERROR(P640*R640,0)</f>
        <v/>
      </c>
      <c r="U640" s="144">
        <f>T640*S640</f>
        <v/>
      </c>
      <c r="V640" s="76" t="inlineStr">
        <is>
          <t>有效系统漏洞数统计数据表、业务场景数据表、系统漏洞数据表</t>
        </is>
      </c>
      <c r="W640" s="89" t="n"/>
      <c r="X640" s="76" t="inlineStr">
        <is>
          <t>有效系统漏洞数统计数据表{ID、日期、业务场景ID、有效系统漏洞ID|}
业务场景数据表{业务场景ID、场景编码、场景名称、场景等级|}
系统漏洞数据表{系统漏洞ID、产品漏洞ID、资产ID、系统漏洞状态ID、时间戳、弱口令字典ID|}</t>
        </is>
      </c>
      <c r="Y640" s="88" t="n"/>
      <c r="Z640" s="88" t="n"/>
      <c r="AA640" s="70" t="n"/>
    </row>
    <row r="641" hidden="1" ht="75.59999999999999" customHeight="1">
      <c r="A641" s="69">
        <f>ROW()-1</f>
        <v/>
      </c>
      <c r="B641" s="53" t="n"/>
      <c r="C641" s="78" t="n">
        <v>2025</v>
      </c>
      <c r="D641" s="78" t="inlineStr">
        <is>
          <t>汤凤欣</t>
        </is>
      </c>
      <c r="E641" s="53" t="n"/>
      <c r="F641" s="53" t="n"/>
      <c r="G641" s="53" t="n"/>
      <c r="H641" s="102" t="inlineStr">
        <is>
          <t>未排查资产数量统计</t>
        </is>
      </c>
      <c r="I641" s="76" t="inlineStr">
        <is>
          <t>EO</t>
        </is>
      </c>
      <c r="J641" s="108" t="n"/>
      <c r="K641" s="108" t="inlineStr">
        <is>
          <t>无法判断是否在相同界面展示统计结果</t>
        </is>
      </c>
      <c r="L641" s="83">
        <f>IF(OR(X641="估算法",X641="算法类",X641="无法识别"),"",IF(V641="",IF(OR(I641="EI",I641="EO",I641="EQ"),0,""),LEN(V641)-LEN(SUBSTITUTE(V641,"、",""))+1))</f>
        <v/>
      </c>
      <c r="M641" s="83">
        <f>IF(OR(X641="估算法",X641="算法类",X641="无法识别"),"",IF(W641="",IF(OR(I641="ILF",I641="EIF"),0,""),LEN(W641)-LEN(SUBSTITUTE(W641,"、",""))+1))</f>
        <v/>
      </c>
      <c r="N641" s="83">
        <f>IF(OR(X641="估算法",X641="算法类",X641="无法识别"),"",IF(X641="",IF(OR(I641="ILF",I641="EIF",I641="EI",I641="EO",I641="EQ"),0,""),LEN(X641)-LEN(SUBSTITUTE(SUBSTITUTE(SUBSTITUTE(SUBSTITUTE(SUBSTITUTE(X641,"|}","--"),"{|","--"),CHAR(10),""),"、",""),"|",""))+IF(AND(OR(I641="EI",I641="EO",I641="EQ"),$AD$1="NESMA"),2,1)))</f>
        <v/>
      </c>
      <c r="O641" s="84">
        <f>IF(I641="EI",IF(OR(X641="估算法",X641="算法类"),"中",IF(X641="无法识别","低",IF(L641&lt;2,IF(N641&lt;16,"低","中"),IF(L641&lt;3,IF(N641&lt;5,"低",IF(N641&lt;16,"中","高")),IF(N641&lt;5,"中","高"))))),IF(OR(I641="EO",I641="EQ"),IF(OR(X641="估算法",X641="算法类"),"中",IF(X641="无法识别","低",IF(L641&lt;2,IF(N641&lt;20,"低","中"),IF(L641&lt;4,IF(N641&lt;6,"低",IF(N641&lt;20,"中","高")),IF(N641&lt;6,"中","高"))))),IF(OR(I641="ILF",I641="EIF"),IF(OR(X641="估算法",X641="算法类",X641="无法识别"),"低",IF(M641&lt;2,IF(N641&lt;51,"低","中"),IF(M641&lt;6,IF(N641&lt;20,"低",IF(N641&lt;51,"中","高")),IF(N641&lt;20,"中","高")))),"不计算")))</f>
        <v/>
      </c>
      <c r="P641" s="142">
        <f>IFERROR(IF(I641="EI",IF(O641="低",3,IF(O641="中",4,6)),IF(I641="EO",IF(O641="低",4,IF(O641="中",5,7)),IF(I641="EQ",IF(O641="低",3,IF(O641="中",4,6)),IF(I641="ILF",IF(O641="低",7,IF(O641="中",10,15)),IF(I641="EIF",IF(O641="低",5,IF(O641="中",7,10)),"不计算")))))*Q641,"不计算")</f>
        <v/>
      </c>
      <c r="Q641" s="142" t="n">
        <v>0.1</v>
      </c>
      <c r="R641" s="143">
        <f>调整因子!$F$13</f>
        <v/>
      </c>
      <c r="S641" s="76" t="n">
        <v>1</v>
      </c>
      <c r="T641" s="144">
        <f>IFERROR(P641*R641,0)</f>
        <v/>
      </c>
      <c r="U641" s="144">
        <f>T641*S641</f>
        <v/>
      </c>
      <c r="V641" s="76" t="inlineStr">
        <is>
          <t>未排查资产数量统计数据表、业务场景数据表、工单数据表、资产数据表</t>
        </is>
      </c>
      <c r="W641" s="89" t="n"/>
      <c r="X641" s="76" t="inlineStr">
        <is>
          <t>未排查资产数量统计数据表{ID、日期、业务场景ID、未排查资产ID、未排查原因、排查工单ID|}
业务场景数据表{业务场景ID、场景编码、场景名称、场景等级|}
工单数据表{工单ID、工单编号、工单类型、处置时间、处置方式、资产范围、漏洞范围、口令字典范围、目标系统漏洞状态|}
资产数据表{资产ID、资产名称、IP、端口、服务、资产状态、责任人、定级备案系统名称、网络位置、网络单元、厂商、版本、型号|}</t>
        </is>
      </c>
      <c r="Y641" s="88" t="n"/>
      <c r="Z641" s="88" t="n"/>
      <c r="AA641" s="101" t="n"/>
    </row>
    <row r="642" hidden="1" ht="108" customHeight="1">
      <c r="A642" s="69">
        <f>ROW()-1</f>
        <v/>
      </c>
      <c r="B642" s="53" t="n"/>
      <c r="C642" s="78" t="n">
        <v>2025</v>
      </c>
      <c r="D642" s="78" t="inlineStr">
        <is>
          <t>汤凤欣</t>
        </is>
      </c>
      <c r="E642" s="53" t="n"/>
      <c r="F642" s="53" t="n"/>
      <c r="G642" s="53" t="n"/>
      <c r="H642" s="103" t="inlineStr">
        <is>
          <t>未闭环系统漏洞统计</t>
        </is>
      </c>
      <c r="I642" s="76" t="inlineStr">
        <is>
          <t>EO</t>
        </is>
      </c>
      <c r="J642" s="108" t="n"/>
      <c r="K642" s="108" t="inlineStr">
        <is>
          <t>无法判断是否在相同界面展示统计结果</t>
        </is>
      </c>
      <c r="L642" s="83">
        <f>IF(OR(X642="估算法",X642="算法类",X642="无法识别"),"",IF(V642="",IF(OR(I642="EI",I642="EO",I642="EQ"),0,""),LEN(V642)-LEN(SUBSTITUTE(V642,"、",""))+1))</f>
        <v/>
      </c>
      <c r="M642" s="83">
        <f>IF(OR(X642="估算法",X642="算法类",X642="无法识别"),"",IF(W642="",IF(OR(I642="ILF",I642="EIF"),0,""),LEN(W642)-LEN(SUBSTITUTE(W642,"、",""))+1))</f>
        <v/>
      </c>
      <c r="N642" s="83">
        <f>IF(OR(X642="估算法",X642="算法类",X642="无法识别"),"",IF(X642="",IF(OR(I642="ILF",I642="EIF",I642="EI",I642="EO",I642="EQ"),0,""),LEN(X642)-LEN(SUBSTITUTE(SUBSTITUTE(SUBSTITUTE(SUBSTITUTE(SUBSTITUTE(X642,"|}","--"),"{|","--"),CHAR(10),""),"、",""),"|",""))+IF(AND(OR(I642="EI",I642="EO",I642="EQ"),$AD$1="NESMA"),2,1)))</f>
        <v/>
      </c>
      <c r="O642" s="84">
        <f>IF(I642="EI",IF(OR(X642="估算法",X642="算法类"),"中",IF(X642="无法识别","低",IF(L642&lt;2,IF(N642&lt;16,"低","中"),IF(L642&lt;3,IF(N642&lt;5,"低",IF(N642&lt;16,"中","高")),IF(N642&lt;5,"中","高"))))),IF(OR(I642="EO",I642="EQ"),IF(OR(X642="估算法",X642="算法类"),"中",IF(X642="无法识别","低",IF(L642&lt;2,IF(N642&lt;20,"低","中"),IF(L642&lt;4,IF(N642&lt;6,"低",IF(N642&lt;20,"中","高")),IF(N642&lt;6,"中","高"))))),IF(OR(I642="ILF",I642="EIF"),IF(OR(X642="估算法",X642="算法类",X642="无法识别"),"低",IF(M642&lt;2,IF(N642&lt;51,"低","中"),IF(M642&lt;6,IF(N642&lt;20,"低",IF(N642&lt;51,"中","高")),IF(N642&lt;20,"中","高")))),"不计算")))</f>
        <v/>
      </c>
      <c r="P642" s="142">
        <f>IFERROR(IF(I642="EI",IF(O642="低",3,IF(O642="中",4,6)),IF(I642="EO",IF(O642="低",4,IF(O642="中",5,7)),IF(I642="EQ",IF(O642="低",3,IF(O642="中",4,6)),IF(I642="ILF",IF(O642="低",7,IF(O642="中",10,15)),IF(I642="EIF",IF(O642="低",5,IF(O642="中",7,10)),"不计算")))))*Q642,"不计算")</f>
        <v/>
      </c>
      <c r="Q642" s="142" t="n">
        <v>0.1</v>
      </c>
      <c r="R642" s="143">
        <f>调整因子!$F$13</f>
        <v/>
      </c>
      <c r="S642" s="70" t="n">
        <v>1</v>
      </c>
      <c r="T642" s="144">
        <f>IFERROR(P642*R642,0)</f>
        <v/>
      </c>
      <c r="U642" s="144">
        <f>T642*S642</f>
        <v/>
      </c>
      <c r="V642" s="76" t="inlineStr">
        <is>
          <t>未闭环系统漏洞统计数据表、业务场景数据表、系统漏洞数据表、工单数据表、系统漏洞状态数据表</t>
        </is>
      </c>
      <c r="W642" s="89" t="n"/>
      <c r="X642" s="76" t="inlineStr">
        <is>
          <t>未闭环系统漏洞统计数据表{ID、日期、业务场景ID、未闭环系统漏洞ID、系统漏洞状态、工单ID|}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
资产数据表{资产ID、资产名称、IP、端口、服务、资产状态、责任人、定级备案系统名称、网络位置、网络单元、厂商、版本、型号|}
系统漏洞状态数据表{系统漏洞状态ID、漏洞状态名称、漏洞状态说明|}</t>
        </is>
      </c>
      <c r="Y642" s="88" t="n"/>
      <c r="Z642" s="88" t="n"/>
      <c r="AA642" s="70" t="n"/>
    </row>
    <row r="643" hidden="1" ht="97.2" customHeight="1">
      <c r="A643" s="69">
        <f>ROW()-1</f>
        <v/>
      </c>
      <c r="B643" s="53" t="n"/>
      <c r="C643" s="78" t="n">
        <v>2025</v>
      </c>
      <c r="D643" s="78" t="inlineStr">
        <is>
          <t>汤凤欣</t>
        </is>
      </c>
      <c r="E643" s="53" t="n"/>
      <c r="F643" s="53" t="n"/>
      <c r="G643" s="53" t="n"/>
      <c r="H643" s="103" t="inlineStr">
        <is>
          <t>漏洞扫描覆盖资产统计</t>
        </is>
      </c>
      <c r="I643" s="76" t="inlineStr">
        <is>
          <t>EO</t>
        </is>
      </c>
      <c r="J643" s="108" t="n"/>
      <c r="K643" s="108" t="inlineStr">
        <is>
          <t>无法判断是否在相同界面展示统计结果</t>
        </is>
      </c>
      <c r="L643" s="83">
        <f>IF(OR(X643="估算法",X643="算法类",X643="无法识别"),"",IF(V643="",IF(OR(I643="EI",I643="EO",I643="EQ"),0,""),LEN(V643)-LEN(SUBSTITUTE(V643,"、",""))+1))</f>
        <v/>
      </c>
      <c r="M643" s="83">
        <f>IF(OR(X643="估算法",X643="算法类",X643="无法识别"),"",IF(W643="",IF(OR(I643="ILF",I643="EIF"),0,""),LEN(W643)-LEN(SUBSTITUTE(W643,"、",""))+1))</f>
        <v/>
      </c>
      <c r="N643" s="83">
        <f>IF(OR(X643="估算法",X643="算法类",X643="无法识别"),"",IF(X643="",IF(OR(I643="ILF",I643="EIF",I643="EI",I643="EO",I643="EQ"),0,""),LEN(X643)-LEN(SUBSTITUTE(SUBSTITUTE(SUBSTITUTE(SUBSTITUTE(SUBSTITUTE(X643,"|}","--"),"{|","--"),CHAR(10),""),"、",""),"|",""))+IF(AND(OR(I643="EI",I643="EO",I643="EQ"),$AD$1="NESMA"),2,1)))</f>
        <v/>
      </c>
      <c r="O643" s="84">
        <f>IF(I643="EI",IF(OR(X643="估算法",X643="算法类"),"中",IF(X643="无法识别","低",IF(L643&lt;2,IF(N643&lt;16,"低","中"),IF(L643&lt;3,IF(N643&lt;5,"低",IF(N643&lt;16,"中","高")),IF(N643&lt;5,"中","高"))))),IF(OR(I643="EO",I643="EQ"),IF(OR(X643="估算法",X643="算法类"),"中",IF(X643="无法识别","低",IF(L643&lt;2,IF(N643&lt;20,"低","中"),IF(L643&lt;4,IF(N643&lt;6,"低",IF(N643&lt;20,"中","高")),IF(N643&lt;6,"中","高"))))),IF(OR(I643="ILF",I643="EIF"),IF(OR(X643="估算法",X643="算法类",X643="无法识别"),"低",IF(M643&lt;2,IF(N643&lt;51,"低","中"),IF(M643&lt;6,IF(N643&lt;20,"低",IF(N643&lt;51,"中","高")),IF(N643&lt;20,"中","高")))),"不计算")))</f>
        <v/>
      </c>
      <c r="P643" s="142">
        <f>IFERROR(IF(I643="EI",IF(O643="低",3,IF(O643="中",4,6)),IF(I643="EO",IF(O643="低",4,IF(O643="中",5,7)),IF(I643="EQ",IF(O643="低",3,IF(O643="中",4,6)),IF(I643="ILF",IF(O643="低",7,IF(O643="中",10,15)),IF(I643="EIF",IF(O643="低",5,IF(O643="中",7,10)),"不计算")))))*Q643,"不计算")</f>
        <v/>
      </c>
      <c r="Q643" s="142" t="n">
        <v>0.1</v>
      </c>
      <c r="R643" s="143">
        <f>调整因子!$F$13</f>
        <v/>
      </c>
      <c r="S643" s="70" t="n">
        <v>1</v>
      </c>
      <c r="T643" s="144">
        <f>IFERROR(P643*R643,0)</f>
        <v/>
      </c>
      <c r="U643" s="144">
        <f>T643*S643</f>
        <v/>
      </c>
      <c r="V643" s="76" t="inlineStr">
        <is>
          <t>漏洞扫描覆盖资产统计数据表、业务场景数据表、系统漏洞数据表、扫描任务数据表</t>
        </is>
      </c>
      <c r="W643" s="89" t="n"/>
      <c r="X643" s="76" t="inlineStr">
        <is>
          <t>漏洞扫描覆盖资产统计数据表{ID、日期、业务场景ID、漏洞扫描资产ID、扫描任务ID|}
业务场景数据表{业务场景ID、场景编码、场景名称、场景等级|}
系统漏洞数据表{系统漏洞ID、产品漏洞ID、资产ID、系统漏洞状态ID、时间戳、弱口令字典ID|}
扫描任务数据表{工单ID、工单编号、工单类型、处置时间、处置方式、资产范围、漏洞范围、口令字典范围、目标系统漏洞状态|}
资产数据表{资产ID、资产名称、IP、端口、服务、资产状态、责任人、定级备案系统名称、网络位置、网络单元、厂商、版本、型号|}</t>
        </is>
      </c>
      <c r="Y643" s="88" t="n"/>
      <c r="Z643" s="88" t="n"/>
      <c r="AA643" s="101" t="n"/>
    </row>
    <row r="644" hidden="1" ht="75.59999999999999" customHeight="1">
      <c r="A644" s="69">
        <f>ROW()-1</f>
        <v/>
      </c>
      <c r="B644" s="53" t="n"/>
      <c r="C644" s="78" t="n">
        <v>2025</v>
      </c>
      <c r="D644" s="78" t="inlineStr">
        <is>
          <t>汤凤欣</t>
        </is>
      </c>
      <c r="E644" s="53" t="n"/>
      <c r="F644" s="53" t="n"/>
      <c r="G644" s="53" t="n"/>
      <c r="H644" s="102" t="inlineStr">
        <is>
          <t>系统漏洞修复成功统计</t>
        </is>
      </c>
      <c r="I644" s="76" t="inlineStr">
        <is>
          <t>EO</t>
        </is>
      </c>
      <c r="J644" s="108" t="n"/>
      <c r="K644" s="108" t="inlineStr">
        <is>
          <t>无法判断是否在相同界面展示统计结果</t>
        </is>
      </c>
      <c r="L644" s="83">
        <f>IF(OR(X644="估算法",X644="算法类",X644="无法识别"),"",IF(V644="",IF(OR(I644="EI",I644="EO",I644="EQ"),0,""),LEN(V644)-LEN(SUBSTITUTE(V644,"、",""))+1))</f>
        <v/>
      </c>
      <c r="M644" s="83">
        <f>IF(OR(X644="估算法",X644="算法类",X644="无法识别"),"",IF(W644="",IF(OR(I644="ILF",I644="EIF"),0,""),LEN(W644)-LEN(SUBSTITUTE(W644,"、",""))+1))</f>
        <v/>
      </c>
      <c r="N644" s="83">
        <f>IF(OR(X644="估算法",X644="算法类",X644="无法识别"),"",IF(X644="",IF(OR(I644="ILF",I644="EIF",I644="EI",I644="EO",I644="EQ"),0,""),LEN(X644)-LEN(SUBSTITUTE(SUBSTITUTE(SUBSTITUTE(SUBSTITUTE(SUBSTITUTE(X644,"|}","--"),"{|","--"),CHAR(10),""),"、",""),"|",""))+IF(AND(OR(I644="EI",I644="EO",I644="EQ"),$AD$1="NESMA"),2,1)))</f>
        <v/>
      </c>
      <c r="O644" s="84">
        <f>IF(I644="EI",IF(OR(X644="估算法",X644="算法类"),"中",IF(X644="无法识别","低",IF(L644&lt;2,IF(N644&lt;16,"低","中"),IF(L644&lt;3,IF(N644&lt;5,"低",IF(N644&lt;16,"中","高")),IF(N644&lt;5,"中","高"))))),IF(OR(I644="EO",I644="EQ"),IF(OR(X644="估算法",X644="算法类"),"中",IF(X644="无法识别","低",IF(L644&lt;2,IF(N644&lt;20,"低","中"),IF(L644&lt;4,IF(N644&lt;6,"低",IF(N644&lt;20,"中","高")),IF(N644&lt;6,"中","高"))))),IF(OR(I644="ILF",I644="EIF"),IF(OR(X644="估算法",X644="算法类",X644="无法识别"),"低",IF(M644&lt;2,IF(N644&lt;51,"低","中"),IF(M644&lt;6,IF(N644&lt;20,"低",IF(N644&lt;51,"中","高")),IF(N644&lt;20,"中","高")))),"不计算")))</f>
        <v/>
      </c>
      <c r="P644" s="142">
        <f>IFERROR(IF(I644="EI",IF(O644="低",3,IF(O644="中",4,6)),IF(I644="EO",IF(O644="低",4,IF(O644="中",5,7)),IF(I644="EQ",IF(O644="低",3,IF(O644="中",4,6)),IF(I644="ILF",IF(O644="低",7,IF(O644="中",10,15)),IF(I644="EIF",IF(O644="低",5,IF(O644="中",7,10)),"不计算")))))*Q644,"不计算")</f>
        <v/>
      </c>
      <c r="Q644" s="142" t="n">
        <v>0.1</v>
      </c>
      <c r="R644" s="143">
        <f>调整因子!$F$13</f>
        <v/>
      </c>
      <c r="S644" s="76" t="n">
        <v>1</v>
      </c>
      <c r="T644" s="144">
        <f>IFERROR(P644*R644,0)</f>
        <v/>
      </c>
      <c r="U644" s="144">
        <f>T644*S644</f>
        <v/>
      </c>
      <c r="V644" s="76" t="inlineStr">
        <is>
          <t>系统漏洞修复成功统计数据表、业务场景数据表、系统漏洞数据表、工单数据表</t>
        </is>
      </c>
      <c r="W644" s="89" t="n"/>
      <c r="X644" s="76" t="inlineStr">
        <is>
          <t>系统漏洞修复成功统计数据表{ID、日期、业务场景ID、修复成功系统漏洞ID、修复工单ID|}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44" s="88" t="n"/>
      <c r="Z644" s="88" t="n"/>
      <c r="AA644" s="70" t="n"/>
    </row>
    <row r="645" hidden="1" ht="64.8" customHeight="1">
      <c r="A645" s="69">
        <f>ROW()-1</f>
        <v/>
      </c>
      <c r="B645" s="53" t="n"/>
      <c r="C645" s="78" t="n">
        <v>2025</v>
      </c>
      <c r="D645" s="78" t="inlineStr">
        <is>
          <t>汤凤欣</t>
        </is>
      </c>
      <c r="E645" s="53" t="n"/>
      <c r="F645" s="53" t="n"/>
      <c r="G645" s="53" t="n"/>
      <c r="H645" s="103" t="inlineStr">
        <is>
          <t>系统漏洞初始修复统计</t>
        </is>
      </c>
      <c r="I645" s="76" t="inlineStr">
        <is>
          <t>EO</t>
        </is>
      </c>
      <c r="J645" s="108" t="n"/>
      <c r="K645" s="108" t="inlineStr">
        <is>
          <t>无法判断是否在相同界面展示统计结果</t>
        </is>
      </c>
      <c r="L645" s="83">
        <f>IF(OR(X645="估算法",X645="算法类",X645="无法识别"),"",IF(V645="",IF(OR(I645="EI",I645="EO",I645="EQ"),0,""),LEN(V645)-LEN(SUBSTITUTE(V645,"、",""))+1))</f>
        <v/>
      </c>
      <c r="M645" s="83">
        <f>IF(OR(X645="估算法",X645="算法类",X645="无法识别"),"",IF(W645="",IF(OR(I645="ILF",I645="EIF"),0,""),LEN(W645)-LEN(SUBSTITUTE(W645,"、",""))+1))</f>
        <v/>
      </c>
      <c r="N645" s="83">
        <f>IF(OR(X645="估算法",X645="算法类",X645="无法识别"),"",IF(X645="",IF(OR(I645="ILF",I645="EIF",I645="EI",I645="EO",I645="EQ"),0,""),LEN(X645)-LEN(SUBSTITUTE(SUBSTITUTE(SUBSTITUTE(SUBSTITUTE(SUBSTITUTE(X645,"|}","--"),"{|","--"),CHAR(10),""),"、",""),"|",""))+IF(AND(OR(I645="EI",I645="EO",I645="EQ"),$AD$1="NESMA"),2,1)))</f>
        <v/>
      </c>
      <c r="O645" s="84">
        <f>IF(I645="EI",IF(OR(X645="估算法",X645="算法类"),"中",IF(X645="无法识别","低",IF(L645&lt;2,IF(N645&lt;16,"低","中"),IF(L645&lt;3,IF(N645&lt;5,"低",IF(N645&lt;16,"中","高")),IF(N645&lt;5,"中","高"))))),IF(OR(I645="EO",I645="EQ"),IF(OR(X645="估算法",X645="算法类"),"中",IF(X645="无法识别","低",IF(L645&lt;2,IF(N645&lt;20,"低","中"),IF(L645&lt;4,IF(N645&lt;6,"低",IF(N645&lt;20,"中","高")),IF(N645&lt;6,"中","高"))))),IF(OR(I645="ILF",I645="EIF"),IF(OR(X645="估算法",X645="算法类",X645="无法识别"),"低",IF(M645&lt;2,IF(N645&lt;51,"低","中"),IF(M645&lt;6,IF(N645&lt;20,"低",IF(N645&lt;51,"中","高")),IF(N645&lt;20,"中","高")))),"不计算")))</f>
        <v/>
      </c>
      <c r="P645" s="142">
        <f>IFERROR(IF(I645="EI",IF(O645="低",3,IF(O645="中",4,6)),IF(I645="EO",IF(O645="低",4,IF(O645="中",5,7)),IF(I645="EQ",IF(O645="低",3,IF(O645="中",4,6)),IF(I645="ILF",IF(O645="低",7,IF(O645="中",10,15)),IF(I645="EIF",IF(O645="低",5,IF(O645="中",7,10)),"不计算")))))*Q645,"不计算")</f>
        <v/>
      </c>
      <c r="Q645" s="142" t="n">
        <v>0.1</v>
      </c>
      <c r="R645" s="143">
        <f>调整因子!$F$13</f>
        <v/>
      </c>
      <c r="S645" s="70" t="n">
        <v>1</v>
      </c>
      <c r="T645" s="144">
        <f>IFERROR(P645*R645,0)</f>
        <v/>
      </c>
      <c r="U645" s="144">
        <f>T645*S645</f>
        <v/>
      </c>
      <c r="V645" s="76" t="inlineStr">
        <is>
          <t>系统漏洞初始修复统计数据表、业务场景数据表、系统漏洞数据表、工单数据表</t>
        </is>
      </c>
      <c r="W645" s="89" t="n"/>
      <c r="X645" s="76" t="inlineStr">
        <is>
          <t>系统漏洞初始修复统计数据表{ID、日期、业务场景ID、系统漏洞ID、修复工单ID|}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45" s="88" t="n"/>
      <c r="Z645" s="88" t="n"/>
      <c r="AA645" s="101" t="n"/>
    </row>
    <row r="646" hidden="1" ht="64.8" customHeight="1">
      <c r="A646" s="69">
        <f>ROW()-1</f>
        <v/>
      </c>
      <c r="B646" s="53" t="n"/>
      <c r="C646" s="78" t="n">
        <v>2025</v>
      </c>
      <c r="D646" s="78" t="inlineStr">
        <is>
          <t>汤凤欣</t>
        </is>
      </c>
      <c r="E646" s="53" t="n"/>
      <c r="F646" s="53" t="n"/>
      <c r="G646" s="53" t="n"/>
      <c r="H646" s="103" t="inlineStr">
        <is>
          <t>误报系统漏洞数统计</t>
        </is>
      </c>
      <c r="I646" s="76" t="inlineStr">
        <is>
          <t>EO</t>
        </is>
      </c>
      <c r="J646" s="108" t="n"/>
      <c r="K646" s="108" t="inlineStr">
        <is>
          <t>无法判断是否在相同界面展示统计结果</t>
        </is>
      </c>
      <c r="L646" s="83">
        <f>IF(OR(X646="估算法",X646="算法类",X646="无法识别"),"",IF(V646="",IF(OR(I646="EI",I646="EO",I646="EQ"),0,""),LEN(V646)-LEN(SUBSTITUTE(V646,"、",""))+1))</f>
        <v/>
      </c>
      <c r="M646" s="83">
        <f>IF(OR(X646="估算法",X646="算法类",X646="无法识别"),"",IF(W646="",IF(OR(I646="ILF",I646="EIF"),0,""),LEN(W646)-LEN(SUBSTITUTE(W646,"、",""))+1))</f>
        <v/>
      </c>
      <c r="N646" s="83">
        <f>IF(OR(X646="估算法",X646="算法类",X646="无法识别"),"",IF(X646="",IF(OR(I646="ILF",I646="EIF",I646="EI",I646="EO",I646="EQ"),0,""),LEN(X646)-LEN(SUBSTITUTE(SUBSTITUTE(SUBSTITUTE(SUBSTITUTE(SUBSTITUTE(X646,"|}","--"),"{|","--"),CHAR(10),""),"、",""),"|",""))+IF(AND(OR(I646="EI",I646="EO",I646="EQ"),$AD$1="NESMA"),2,1)))</f>
        <v/>
      </c>
      <c r="O646" s="84">
        <f>IF(I646="EI",IF(OR(X646="估算法",X646="算法类"),"中",IF(X646="无法识别","低",IF(L646&lt;2,IF(N646&lt;16,"低","中"),IF(L646&lt;3,IF(N646&lt;5,"低",IF(N646&lt;16,"中","高")),IF(N646&lt;5,"中","高"))))),IF(OR(I646="EO",I646="EQ"),IF(OR(X646="估算法",X646="算法类"),"中",IF(X646="无法识别","低",IF(L646&lt;2,IF(N646&lt;20,"低","中"),IF(L646&lt;4,IF(N646&lt;6,"低",IF(N646&lt;20,"中","高")),IF(N646&lt;6,"中","高"))))),IF(OR(I646="ILF",I646="EIF"),IF(OR(X646="估算法",X646="算法类",X646="无法识别"),"低",IF(M646&lt;2,IF(N646&lt;51,"低","中"),IF(M646&lt;6,IF(N646&lt;20,"低",IF(N646&lt;51,"中","高")),IF(N646&lt;20,"中","高")))),"不计算")))</f>
        <v/>
      </c>
      <c r="P646" s="142">
        <f>IFERROR(IF(I646="EI",IF(O646="低",3,IF(O646="中",4,6)),IF(I646="EO",IF(O646="低",4,IF(O646="中",5,7)),IF(I646="EQ",IF(O646="低",3,IF(O646="中",4,6)),IF(I646="ILF",IF(O646="低",7,IF(O646="中",10,15)),IF(I646="EIF",IF(O646="低",5,IF(O646="中",7,10)),"不计算")))))*Q646,"不计算")</f>
        <v/>
      </c>
      <c r="Q646" s="142" t="n">
        <v>0.1</v>
      </c>
      <c r="R646" s="143">
        <f>调整因子!$F$13</f>
        <v/>
      </c>
      <c r="S646" s="70" t="n">
        <v>1</v>
      </c>
      <c r="T646" s="144">
        <f>IFERROR(P646*R646,0)</f>
        <v/>
      </c>
      <c r="U646" s="144">
        <f>T646*S646</f>
        <v/>
      </c>
      <c r="V646" s="76" t="inlineStr">
        <is>
          <t>误报系统漏洞数统计数据表、业务场景数据表、系统漏洞数据表、工单数据表</t>
        </is>
      </c>
      <c r="W646" s="89" t="n"/>
      <c r="X646" s="76" t="inlineStr">
        <is>
          <t>误报系统漏洞数统计数据表{ID、日期、业务场景ID、误报系统漏洞ID、工单ID|}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46" s="88" t="n"/>
      <c r="Z646" s="88" t="n"/>
      <c r="AA646" s="70" t="n"/>
    </row>
    <row r="647" hidden="1" ht="194.4" customHeight="1">
      <c r="A647" s="69">
        <f>ROW()-1</f>
        <v/>
      </c>
      <c r="B647" s="53" t="n"/>
      <c r="C647" s="78" t="n">
        <v>2025</v>
      </c>
      <c r="D647" s="78" t="inlineStr">
        <is>
          <t>汤凤欣</t>
        </is>
      </c>
      <c r="E647" s="53" t="n"/>
      <c r="F647" s="53" t="n"/>
      <c r="G647" s="53" t="n"/>
      <c r="H647" s="81" t="inlineStr">
        <is>
          <t>修复失败原因漏洞统计数据表</t>
        </is>
      </c>
      <c r="I647" s="76" t="inlineStr">
        <is>
          <t>ILF</t>
        </is>
      </c>
      <c r="J647" s="108" t="n"/>
      <c r="K647" s="108" t="inlineStr">
        <is>
          <t>数据库表未被本系统所维护</t>
        </is>
      </c>
      <c r="L647" s="83">
        <f>IF(OR(X647="估算法",X647="算法类",X647="无法识别"),"",IF(V647="",IF(OR(I647="EI",I647="EO",I647="EQ"),0,""),LEN(V647)-LEN(SUBSTITUTE(V647,"、",""))+1))</f>
        <v/>
      </c>
      <c r="M647" s="83">
        <f>IF(OR(X647="估算法",X647="算法类",X647="无法识别"),"",IF(W647="",IF(OR(I647="ILF",I647="EIF"),0,""),LEN(W647)-LEN(SUBSTITUTE(W647,"、",""))+1))</f>
        <v/>
      </c>
      <c r="N647" s="83">
        <f>IF(OR(X647="估算法",X647="算法类",X647="无法识别"),"",IF(X647="",IF(OR(I647="ILF",I647="EIF",I647="EI",I647="EO",I647="EQ"),0,""),LEN(X647)-LEN(SUBSTITUTE(SUBSTITUTE(SUBSTITUTE(SUBSTITUTE(SUBSTITUTE(X647,"|}","--"),"{|","--"),CHAR(10),""),"、",""),"|",""))+IF(AND(OR(I647="EI",I647="EO",I647="EQ"),$AD$1="NESMA"),2,1)))</f>
        <v/>
      </c>
      <c r="O647" s="84">
        <f>IF(I647="EI",IF(OR(X647="估算法",X647="算法类"),"中",IF(X647="无法识别","低",IF(L647&lt;2,IF(N647&lt;16,"低","中"),IF(L647&lt;3,IF(N647&lt;5,"低",IF(N647&lt;16,"中","高")),IF(N647&lt;5,"中","高"))))),IF(OR(I647="EO",I647="EQ"),IF(OR(X647="估算法",X647="算法类"),"中",IF(X647="无法识别","低",IF(L647&lt;2,IF(N647&lt;20,"低","中"),IF(L647&lt;4,IF(N647&lt;6,"低",IF(N647&lt;20,"中","高")),IF(N647&lt;6,"中","高"))))),IF(OR(I647="ILF",I647="EIF"),IF(OR(X647="估算法",X647="算法类",X647="无法识别"),"低",IF(M647&lt;2,IF(N647&lt;51,"低","中"),IF(M647&lt;6,IF(N647&lt;20,"低",IF(N647&lt;51,"中","高")),IF(N647&lt;20,"中","高")))),"不计算")))</f>
        <v/>
      </c>
      <c r="P647" s="142">
        <f>IFERROR(IF(I647="EI",IF(O647="低",3,IF(O647="中",4,6)),IF(I647="EO",IF(O647="低",4,IF(O647="中",5,7)),IF(I647="EQ",IF(O647="低",3,IF(O647="中",4,6)),IF(I647="ILF",IF(O647="低",7,IF(O647="中",10,15)),IF(I647="EIF",IF(O647="低",5,IF(O647="中",7,10)),"不计算")))))*Q647,"不计算")</f>
        <v/>
      </c>
      <c r="Q647" s="142" t="n">
        <v>0</v>
      </c>
      <c r="R647" s="143">
        <f>调整因子!$F$13</f>
        <v/>
      </c>
      <c r="S647" s="76" t="n">
        <v>1</v>
      </c>
      <c r="T647" s="144">
        <f>IFERROR(P647*R647,0)</f>
        <v/>
      </c>
      <c r="U647" s="144">
        <f>T647*S647</f>
        <v/>
      </c>
      <c r="V647" s="89" t="n"/>
      <c r="W647" s="76" t="inlineStr">
        <is>
          <t>修复失败原因漏洞统计数据表、入口系统漏洞数统计数据表、关联分析覆盖统计数据表、已扫描产品漏洞统计数据表、已扫描口令字典统计数据表、应扫描产品漏洞统计数据表、应扫描口令字典统计数据表、应覆盖资产总数统计数据表、弱口令扫描覆盖统计数据表、待核实系统漏洞统计数据表、有效系统漏洞数统计数据表、未排查资产数量统计数据表、未闭环系统漏洞统计数据表、漏洞扫描覆盖资产统计数据表、系统漏洞修复成功统计数据表、系统漏洞初始修复统计数据表、误报系统漏洞数统计数据表</t>
        </is>
      </c>
      <c r="X647" s="76" t="inlineStr">
        <is>
          <t>ID、日期、业务场景ID、修复失败系统漏洞ID、修复失败原因编码、修复工单ID、系统漏洞ID、排查工单ID、资产ID、预警任务ID、产品漏洞ID、漏洞扫描任务ID、口令字典ID、弱口令扫描任务ID、弱口令排查资产ID、系统漏洞状态、待核实系统漏洞ID、有效系统漏洞ID、未排查资产ID、未排查原因、未闭环系统漏洞ID、工单ID、漏洞扫描资产ID、扫描任务ID、修复成功系统漏洞ID、误报系统漏洞ID</t>
        </is>
      </c>
      <c r="Y647" s="88">
        <f>IF(COUNTIFS(V:V,"*"&amp;H647&amp;"*")&gt;0,"存在","不存在")</f>
        <v/>
      </c>
      <c r="Z647" s="88">
        <f>IF(COUNTIFS(AA:AA,"*"&amp;H647&amp;"*")&gt;0,"存在","不存在")</f>
        <v/>
      </c>
      <c r="AA647" s="101" t="n"/>
    </row>
    <row r="648" hidden="1">
      <c r="A648" s="69">
        <f>ROW()-1</f>
        <v/>
      </c>
      <c r="B648" s="53" t="n"/>
      <c r="C648" s="78" t="n">
        <v>2025</v>
      </c>
      <c r="D648" s="78" t="inlineStr">
        <is>
          <t>汤凤欣</t>
        </is>
      </c>
      <c r="E648" s="53" t="n"/>
      <c r="F648" s="53" t="n"/>
      <c r="G648" s="53" t="n"/>
      <c r="H648" s="81" t="inlineStr">
        <is>
          <t>入口系统漏洞数统计数据表</t>
        </is>
      </c>
      <c r="I648" s="76" t="inlineStr">
        <is>
          <t>ILF</t>
        </is>
      </c>
      <c r="J648" s="108" t="n"/>
      <c r="K648" s="108" t="inlineStr">
        <is>
          <t>数据库表未被本系统所维护</t>
        </is>
      </c>
      <c r="L648" s="83">
        <f>IF(OR(X648="估算法",X648="算法类",X648="无法识别"),"",IF(V648="",IF(OR(I648="EI",I648="EO",I648="EQ"),0,""),LEN(V648)-LEN(SUBSTITUTE(V648,"、",""))+1))</f>
        <v/>
      </c>
      <c r="M648" s="83">
        <f>IF(OR(X648="估算法",X648="算法类",X648="无法识别"),"",IF(W648="",IF(OR(I648="ILF",I648="EIF"),0,""),LEN(W648)-LEN(SUBSTITUTE(W648,"、",""))+1))</f>
        <v/>
      </c>
      <c r="N648" s="83">
        <f>IF(OR(X648="估算法",X648="算法类",X648="无法识别"),"",IF(X648="",IF(OR(I648="ILF",I648="EIF",I648="EI",I648="EO",I648="EQ"),0,""),LEN(X648)-LEN(SUBSTITUTE(SUBSTITUTE(SUBSTITUTE(SUBSTITUTE(SUBSTITUTE(X648,"|}","--"),"{|","--"),CHAR(10),""),"、",""),"|",""))+IF(AND(OR(I648="EI",I648="EO",I648="EQ"),$AD$1="NESMA"),2,1)))</f>
        <v/>
      </c>
      <c r="O648" s="84">
        <f>IF(I648="EI",IF(OR(X648="估算法",X648="算法类"),"中",IF(X648="无法识别","低",IF(L648&lt;2,IF(N648&lt;16,"低","中"),IF(L648&lt;3,IF(N648&lt;5,"低",IF(N648&lt;16,"中","高")),IF(N648&lt;5,"中","高"))))),IF(OR(I648="EO",I648="EQ"),IF(OR(X648="估算法",X648="算法类"),"中",IF(X648="无法识别","低",IF(L648&lt;2,IF(N648&lt;20,"低","中"),IF(L648&lt;4,IF(N648&lt;6,"低",IF(N648&lt;20,"中","高")),IF(N648&lt;6,"中","高"))))),IF(OR(I648="ILF",I648="EIF"),IF(OR(X648="估算法",X648="算法类",X648="无法识别"),"低",IF(M648&lt;2,IF(N648&lt;51,"低","中"),IF(M648&lt;6,IF(N648&lt;20,"低",IF(N648&lt;51,"中","高")),IF(N648&lt;20,"中","高")))),"不计算")))</f>
        <v/>
      </c>
      <c r="P648" s="142">
        <f>IFERROR(IF(I648="EI",IF(O648="低",3,IF(O648="中",4,6)),IF(I648="EO",IF(O648="低",4,IF(O648="中",5,7)),IF(I648="EQ",IF(O648="低",3,IF(O648="中",4,6)),IF(I648="ILF",IF(O648="低",7,IF(O648="中",10,15)),IF(I648="EIF",IF(O648="低",5,IF(O648="中",7,10)),"不计算")))))*Q648,"不计算")</f>
        <v/>
      </c>
      <c r="Q648" s="142" t="n">
        <v>0</v>
      </c>
      <c r="R648" s="143">
        <f>调整因子!$F$13</f>
        <v/>
      </c>
      <c r="S648" s="70" t="n">
        <v>1</v>
      </c>
      <c r="T648" s="144">
        <f>IFERROR(P648*R648,0)</f>
        <v/>
      </c>
      <c r="U648" s="144">
        <f>T648*S648</f>
        <v/>
      </c>
      <c r="V648" s="89" t="n"/>
      <c r="W648" s="76" t="inlineStr">
        <is>
          <t>入口系统漏洞数统计数据表</t>
        </is>
      </c>
      <c r="X648" s="76" t="inlineStr">
        <is>
          <t>入口系统漏洞数统计数据表{ID、日期、业务场景ID、系统漏洞ID、排查工单ID|}</t>
        </is>
      </c>
      <c r="Y648" s="88">
        <f>IF(COUNTIFS(V:V,"*"&amp;H648&amp;"*")&gt;0,"存在","不存在")</f>
        <v/>
      </c>
      <c r="Z648" s="88">
        <f>IF(COUNTIFS(AA:AA,"*"&amp;H648&amp;"*")&gt;0,"存在","不存在")</f>
        <v/>
      </c>
      <c r="AA648" s="70" t="n"/>
    </row>
    <row r="649" hidden="1">
      <c r="A649" s="69">
        <f>ROW()-1</f>
        <v/>
      </c>
      <c r="B649" s="53" t="n"/>
      <c r="C649" s="78" t="n">
        <v>2025</v>
      </c>
      <c r="D649" s="78" t="inlineStr">
        <is>
          <t>汤凤欣</t>
        </is>
      </c>
      <c r="E649" s="53" t="n"/>
      <c r="F649" s="53" t="n"/>
      <c r="G649" s="53" t="n"/>
      <c r="H649" s="81" t="inlineStr">
        <is>
          <t>关联分析覆盖统计数据表</t>
        </is>
      </c>
      <c r="I649" s="76" t="inlineStr">
        <is>
          <t>ILF</t>
        </is>
      </c>
      <c r="J649" s="108" t="n"/>
      <c r="K649" s="108" t="inlineStr">
        <is>
          <t>数据库表未被本系统所维护</t>
        </is>
      </c>
      <c r="L649" s="83">
        <f>IF(OR(X649="估算法",X649="算法类",X649="无法识别"),"",IF(V649="",IF(OR(I649="EI",I649="EO",I649="EQ"),0,""),LEN(V649)-LEN(SUBSTITUTE(V649,"、",""))+1))</f>
        <v/>
      </c>
      <c r="M649" s="83">
        <f>IF(OR(X649="估算法",X649="算法类",X649="无法识别"),"",IF(W649="",IF(OR(I649="ILF",I649="EIF"),0,""),LEN(W649)-LEN(SUBSTITUTE(W649,"、",""))+1))</f>
        <v/>
      </c>
      <c r="N649" s="83">
        <f>IF(OR(X649="估算法",X649="算法类",X649="无法识别"),"",IF(X649="",IF(OR(I649="ILF",I649="EIF",I649="EI",I649="EO",I649="EQ"),0,""),LEN(X649)-LEN(SUBSTITUTE(SUBSTITUTE(SUBSTITUTE(SUBSTITUTE(SUBSTITUTE(X649,"|}","--"),"{|","--"),CHAR(10),""),"、",""),"|",""))+IF(AND(OR(I649="EI",I649="EO",I649="EQ"),$AD$1="NESMA"),2,1)))</f>
        <v/>
      </c>
      <c r="O649" s="84">
        <f>IF(I649="EI",IF(OR(X649="估算法",X649="算法类"),"中",IF(X649="无法识别","低",IF(L649&lt;2,IF(N649&lt;16,"低","中"),IF(L649&lt;3,IF(N649&lt;5,"低",IF(N649&lt;16,"中","高")),IF(N649&lt;5,"中","高"))))),IF(OR(I649="EO",I649="EQ"),IF(OR(X649="估算法",X649="算法类"),"中",IF(X649="无法识别","低",IF(L649&lt;2,IF(N649&lt;20,"低","中"),IF(L649&lt;4,IF(N649&lt;6,"低",IF(N649&lt;20,"中","高")),IF(N649&lt;6,"中","高"))))),IF(OR(I649="ILF",I649="EIF"),IF(OR(X649="估算法",X649="算法类",X649="无法识别"),"低",IF(M649&lt;2,IF(N649&lt;51,"低","中"),IF(M649&lt;6,IF(N649&lt;20,"低",IF(N649&lt;51,"中","高")),IF(N649&lt;20,"中","高")))),"不计算")))</f>
        <v/>
      </c>
      <c r="P649" s="142">
        <f>IFERROR(IF(I649="EI",IF(O649="低",3,IF(O649="中",4,6)),IF(I649="EO",IF(O649="低",4,IF(O649="中",5,7)),IF(I649="EQ",IF(O649="低",3,IF(O649="中",4,6)),IF(I649="ILF",IF(O649="低",7,IF(O649="中",10,15)),IF(I649="EIF",IF(O649="低",5,IF(O649="中",7,10)),"不计算")))))*Q649,"不计算")</f>
        <v/>
      </c>
      <c r="Q649" s="142" t="n">
        <v>0</v>
      </c>
      <c r="R649" s="143">
        <f>调整因子!$F$13</f>
        <v/>
      </c>
      <c r="S649" s="70" t="n">
        <v>1</v>
      </c>
      <c r="T649" s="144">
        <f>IFERROR(P649*R649,0)</f>
        <v/>
      </c>
      <c r="U649" s="144">
        <f>T649*S649</f>
        <v/>
      </c>
      <c r="V649" s="89" t="n"/>
      <c r="W649" s="76" t="inlineStr">
        <is>
          <t>关联分析覆盖统计数据表</t>
        </is>
      </c>
      <c r="X649" s="76" t="inlineStr">
        <is>
          <t>关联分析覆盖统计数据表{ID、日期、业务场景ID、资产ID、预警任务ID|}</t>
        </is>
      </c>
      <c r="Y649" s="88">
        <f>IF(COUNTIFS(V:V,"*"&amp;H649&amp;"*")&gt;0,"存在","不存在")</f>
        <v/>
      </c>
      <c r="Z649" s="88">
        <f>IF(COUNTIFS(AA:AA,"*"&amp;H649&amp;"*")&gt;0,"存在","不存在")</f>
        <v/>
      </c>
      <c r="AA649" s="101" t="n"/>
    </row>
    <row r="650" hidden="1">
      <c r="A650" s="69">
        <f>ROW()-1</f>
        <v/>
      </c>
      <c r="B650" s="53" t="n"/>
      <c r="C650" s="78" t="n">
        <v>2025</v>
      </c>
      <c r="D650" s="78" t="inlineStr">
        <is>
          <t>汤凤欣</t>
        </is>
      </c>
      <c r="E650" s="53" t="n"/>
      <c r="F650" s="53" t="n"/>
      <c r="G650" s="53" t="n"/>
      <c r="H650" s="81" t="inlineStr">
        <is>
          <t>已扫描产品漏洞统计数据表</t>
        </is>
      </c>
      <c r="I650" s="76" t="inlineStr">
        <is>
          <t>ILF</t>
        </is>
      </c>
      <c r="J650" s="108" t="n"/>
      <c r="K650" s="108" t="inlineStr">
        <is>
          <t>数据库表未被本系统所维护</t>
        </is>
      </c>
      <c r="L650" s="83">
        <f>IF(OR(X650="估算法",X650="算法类",X650="无法识别"),"",IF(V650="",IF(OR(I650="EI",I650="EO",I650="EQ"),0,""),LEN(V650)-LEN(SUBSTITUTE(V650,"、",""))+1))</f>
        <v/>
      </c>
      <c r="M650" s="83">
        <f>IF(OR(X650="估算法",X650="算法类",X650="无法识别"),"",IF(W650="",IF(OR(I650="ILF",I650="EIF"),0,""),LEN(W650)-LEN(SUBSTITUTE(W650,"、",""))+1))</f>
        <v/>
      </c>
      <c r="N650" s="83">
        <f>IF(OR(X650="估算法",X650="算法类",X650="无法识别"),"",IF(X650="",IF(OR(I650="ILF",I650="EIF",I650="EI",I650="EO",I650="EQ"),0,""),LEN(X650)-LEN(SUBSTITUTE(SUBSTITUTE(SUBSTITUTE(SUBSTITUTE(SUBSTITUTE(X650,"|}","--"),"{|","--"),CHAR(10),""),"、",""),"|",""))+IF(AND(OR(I650="EI",I650="EO",I650="EQ"),$AD$1="NESMA"),2,1)))</f>
        <v/>
      </c>
      <c r="O650" s="84">
        <f>IF(I650="EI",IF(OR(X650="估算法",X650="算法类"),"中",IF(X650="无法识别","低",IF(L650&lt;2,IF(N650&lt;16,"低","中"),IF(L650&lt;3,IF(N650&lt;5,"低",IF(N650&lt;16,"中","高")),IF(N650&lt;5,"中","高"))))),IF(OR(I650="EO",I650="EQ"),IF(OR(X650="估算法",X650="算法类"),"中",IF(X650="无法识别","低",IF(L650&lt;2,IF(N650&lt;20,"低","中"),IF(L650&lt;4,IF(N650&lt;6,"低",IF(N650&lt;20,"中","高")),IF(N650&lt;6,"中","高"))))),IF(OR(I650="ILF",I650="EIF"),IF(OR(X650="估算法",X650="算法类",X650="无法识别"),"低",IF(M650&lt;2,IF(N650&lt;51,"低","中"),IF(M650&lt;6,IF(N650&lt;20,"低",IF(N650&lt;51,"中","高")),IF(N650&lt;20,"中","高")))),"不计算")))</f>
        <v/>
      </c>
      <c r="P650" s="142">
        <f>IFERROR(IF(I650="EI",IF(O650="低",3,IF(O650="中",4,6)),IF(I650="EO",IF(O650="低",4,IF(O650="中",5,7)),IF(I650="EQ",IF(O650="低",3,IF(O650="中",4,6)),IF(I650="ILF",IF(O650="低",7,IF(O650="中",10,15)),IF(I650="EIF",IF(O650="低",5,IF(O650="中",7,10)),"不计算")))))*Q650,"不计算")</f>
        <v/>
      </c>
      <c r="Q650" s="142" t="n">
        <v>0</v>
      </c>
      <c r="R650" s="143">
        <f>调整因子!$F$13</f>
        <v/>
      </c>
      <c r="S650" s="76" t="n">
        <v>1</v>
      </c>
      <c r="T650" s="144">
        <f>IFERROR(P650*R650,0)</f>
        <v/>
      </c>
      <c r="U650" s="144">
        <f>T650*S650</f>
        <v/>
      </c>
      <c r="V650" s="89" t="n"/>
      <c r="W650" s="76" t="inlineStr">
        <is>
          <t>已扫描产品漏洞统计数据表</t>
        </is>
      </c>
      <c r="X650" s="76" t="inlineStr">
        <is>
          <t>已扫描产品漏洞统计数据表{ID、日期、业务场景ID、产品漏洞ID、漏洞扫描任务ID|}</t>
        </is>
      </c>
      <c r="Y650" s="88">
        <f>IF(COUNTIFS(V:V,"*"&amp;H650&amp;"*")&gt;0,"存在","不存在")</f>
        <v/>
      </c>
      <c r="Z650" s="88">
        <f>IF(COUNTIFS(AA:AA,"*"&amp;H650&amp;"*")&gt;0,"存在","不存在")</f>
        <v/>
      </c>
      <c r="AA650" s="70" t="n"/>
    </row>
    <row r="651" hidden="1" ht="21.6" customHeight="1">
      <c r="A651" s="69">
        <f>ROW()-1</f>
        <v/>
      </c>
      <c r="B651" s="53" t="n"/>
      <c r="C651" s="78" t="n">
        <v>2025</v>
      </c>
      <c r="D651" s="78" t="inlineStr">
        <is>
          <t>汤凤欣</t>
        </is>
      </c>
      <c r="E651" s="53" t="n"/>
      <c r="F651" s="53" t="n"/>
      <c r="G651" s="53" t="n"/>
      <c r="H651" s="81" t="inlineStr">
        <is>
          <t>已扫描口令字典统计数据表</t>
        </is>
      </c>
      <c r="I651" s="76" t="inlineStr">
        <is>
          <t>ILF</t>
        </is>
      </c>
      <c r="J651" s="108" t="n"/>
      <c r="K651" s="108" t="inlineStr">
        <is>
          <t>数据库表未被本系统所维护</t>
        </is>
      </c>
      <c r="L651" s="83">
        <f>IF(OR(X651="估算法",X651="算法类",X651="无法识别"),"",IF(V651="",IF(OR(I651="EI",I651="EO",I651="EQ"),0,""),LEN(V651)-LEN(SUBSTITUTE(V651,"、",""))+1))</f>
        <v/>
      </c>
      <c r="M651" s="83">
        <f>IF(OR(X651="估算法",X651="算法类",X651="无法识别"),"",IF(W651="",IF(OR(I651="ILF",I651="EIF"),0,""),LEN(W651)-LEN(SUBSTITUTE(W651,"、",""))+1))</f>
        <v/>
      </c>
      <c r="N651" s="83">
        <f>IF(OR(X651="估算法",X651="算法类",X651="无法识别"),"",IF(X651="",IF(OR(I651="ILF",I651="EIF",I651="EI",I651="EO",I651="EQ"),0,""),LEN(X651)-LEN(SUBSTITUTE(SUBSTITUTE(SUBSTITUTE(SUBSTITUTE(SUBSTITUTE(X651,"|}","--"),"{|","--"),CHAR(10),""),"、",""),"|",""))+IF(AND(OR(I651="EI",I651="EO",I651="EQ"),$AD$1="NESMA"),2,1)))</f>
        <v/>
      </c>
      <c r="O651" s="84">
        <f>IF(I651="EI",IF(OR(X651="估算法",X651="算法类"),"中",IF(X651="无法识别","低",IF(L651&lt;2,IF(N651&lt;16,"低","中"),IF(L651&lt;3,IF(N651&lt;5,"低",IF(N651&lt;16,"中","高")),IF(N651&lt;5,"中","高"))))),IF(OR(I651="EO",I651="EQ"),IF(OR(X651="估算法",X651="算法类"),"中",IF(X651="无法识别","低",IF(L651&lt;2,IF(N651&lt;20,"低","中"),IF(L651&lt;4,IF(N651&lt;6,"低",IF(N651&lt;20,"中","高")),IF(N651&lt;6,"中","高"))))),IF(OR(I651="ILF",I651="EIF"),IF(OR(X651="估算法",X651="算法类",X651="无法识别"),"低",IF(M651&lt;2,IF(N651&lt;51,"低","中"),IF(M651&lt;6,IF(N651&lt;20,"低",IF(N651&lt;51,"中","高")),IF(N651&lt;20,"中","高")))),"不计算")))</f>
        <v/>
      </c>
      <c r="P651" s="142">
        <f>IFERROR(IF(I651="EI",IF(O651="低",3,IF(O651="中",4,6)),IF(I651="EO",IF(O651="低",4,IF(O651="中",5,7)),IF(I651="EQ",IF(O651="低",3,IF(O651="中",4,6)),IF(I651="ILF",IF(O651="低",7,IF(O651="中",10,15)),IF(I651="EIF",IF(O651="低",5,IF(O651="中",7,10)),"不计算")))))*Q651,"不计算")</f>
        <v/>
      </c>
      <c r="Q651" s="142" t="n">
        <v>0</v>
      </c>
      <c r="R651" s="143">
        <f>调整因子!$F$13</f>
        <v/>
      </c>
      <c r="S651" s="70" t="n">
        <v>1</v>
      </c>
      <c r="T651" s="144">
        <f>IFERROR(P651*R651,0)</f>
        <v/>
      </c>
      <c r="U651" s="144">
        <f>T651*S651</f>
        <v/>
      </c>
      <c r="V651" s="89" t="n"/>
      <c r="W651" s="76" t="inlineStr">
        <is>
          <t>已扫描口令字典统计数据表</t>
        </is>
      </c>
      <c r="X651" s="76" t="inlineStr">
        <is>
          <t xml:space="preserve">已扫描口令字典统计数据表{ID、日期、业务场景ID、口令字典ID、弱口令扫描任务ID| </t>
        </is>
      </c>
      <c r="Y651" s="88">
        <f>IF(COUNTIFS(V:V,"*"&amp;H651&amp;"*")&gt;0,"存在","不存在")</f>
        <v/>
      </c>
      <c r="Z651" s="88">
        <f>IF(COUNTIFS(AA:AA,"*"&amp;H651&amp;"*")&gt;0,"存在","不存在")</f>
        <v/>
      </c>
      <c r="AA651" s="101" t="n"/>
    </row>
    <row r="652" hidden="1">
      <c r="A652" s="69">
        <f>ROW()-1</f>
        <v/>
      </c>
      <c r="B652" s="53" t="n"/>
      <c r="C652" s="78" t="n">
        <v>2025</v>
      </c>
      <c r="D652" s="78" t="inlineStr">
        <is>
          <t>汤凤欣</t>
        </is>
      </c>
      <c r="E652" s="53" t="n"/>
      <c r="F652" s="53" t="n"/>
      <c r="G652" s="53" t="n"/>
      <c r="H652" s="81" t="inlineStr">
        <is>
          <t>应扫描产品漏洞统计数据表</t>
        </is>
      </c>
      <c r="I652" s="76" t="inlineStr">
        <is>
          <t>ILF</t>
        </is>
      </c>
      <c r="J652" s="108" t="n"/>
      <c r="K652" s="108" t="inlineStr">
        <is>
          <t>数据库表未被本系统所维护</t>
        </is>
      </c>
      <c r="L652" s="83">
        <f>IF(OR(X652="估算法",X652="算法类",X652="无法识别"),"",IF(V652="",IF(OR(I652="EI",I652="EO",I652="EQ"),0,""),LEN(V652)-LEN(SUBSTITUTE(V652,"、",""))+1))</f>
        <v/>
      </c>
      <c r="M652" s="83">
        <f>IF(OR(X652="估算法",X652="算法类",X652="无法识别"),"",IF(W652="",IF(OR(I652="ILF",I652="EIF"),0,""),LEN(W652)-LEN(SUBSTITUTE(W652,"、",""))+1))</f>
        <v/>
      </c>
      <c r="N652" s="83">
        <f>IF(OR(X652="估算法",X652="算法类",X652="无法识别"),"",IF(X652="",IF(OR(I652="ILF",I652="EIF",I652="EI",I652="EO",I652="EQ"),0,""),LEN(X652)-LEN(SUBSTITUTE(SUBSTITUTE(SUBSTITUTE(SUBSTITUTE(SUBSTITUTE(X652,"|}","--"),"{|","--"),CHAR(10),""),"、",""),"|",""))+IF(AND(OR(I652="EI",I652="EO",I652="EQ"),$AD$1="NESMA"),2,1)))</f>
        <v/>
      </c>
      <c r="O652" s="84">
        <f>IF(I652="EI",IF(OR(X652="估算法",X652="算法类"),"中",IF(X652="无法识别","低",IF(L652&lt;2,IF(N652&lt;16,"低","中"),IF(L652&lt;3,IF(N652&lt;5,"低",IF(N652&lt;16,"中","高")),IF(N652&lt;5,"中","高"))))),IF(OR(I652="EO",I652="EQ"),IF(OR(X652="估算法",X652="算法类"),"中",IF(X652="无法识别","低",IF(L652&lt;2,IF(N652&lt;20,"低","中"),IF(L652&lt;4,IF(N652&lt;6,"低",IF(N652&lt;20,"中","高")),IF(N652&lt;6,"中","高"))))),IF(OR(I652="ILF",I652="EIF"),IF(OR(X652="估算法",X652="算法类",X652="无法识别"),"低",IF(M652&lt;2,IF(N652&lt;51,"低","中"),IF(M652&lt;6,IF(N652&lt;20,"低",IF(N652&lt;51,"中","高")),IF(N652&lt;20,"中","高")))),"不计算")))</f>
        <v/>
      </c>
      <c r="P652" s="142">
        <f>IFERROR(IF(I652="EI",IF(O652="低",3,IF(O652="中",4,6)),IF(I652="EO",IF(O652="低",4,IF(O652="中",5,7)),IF(I652="EQ",IF(O652="低",3,IF(O652="中",4,6)),IF(I652="ILF",IF(O652="低",7,IF(O652="中",10,15)),IF(I652="EIF",IF(O652="低",5,IF(O652="中",7,10)),"不计算")))))*Q652,"不计算")</f>
        <v/>
      </c>
      <c r="Q652" s="142" t="n">
        <v>0</v>
      </c>
      <c r="R652" s="143">
        <f>调整因子!$F$13</f>
        <v/>
      </c>
      <c r="S652" s="70" t="n">
        <v>1</v>
      </c>
      <c r="T652" s="144">
        <f>IFERROR(P652*R652,0)</f>
        <v/>
      </c>
      <c r="U652" s="144">
        <f>T652*S652</f>
        <v/>
      </c>
      <c r="V652" s="89" t="n"/>
      <c r="W652" s="76" t="inlineStr">
        <is>
          <t>应扫描产品漏洞统计数据表</t>
        </is>
      </c>
      <c r="X652" s="76" t="inlineStr">
        <is>
          <t>应扫描产品漏洞统计数据表{ID、日期、业务场景ID、产品漏洞ID、漏洞扫描任务ID|}</t>
        </is>
      </c>
      <c r="Y652" s="88">
        <f>IF(COUNTIFS(V:V,"*"&amp;H652&amp;"*")&gt;0,"存在","不存在")</f>
        <v/>
      </c>
      <c r="Z652" s="88">
        <f>IF(COUNTIFS(AA:AA,"*"&amp;H652&amp;"*")&gt;0,"存在","不存在")</f>
        <v/>
      </c>
      <c r="AA652" s="70" t="n"/>
    </row>
    <row r="653" hidden="1" ht="21.6" customHeight="1">
      <c r="A653" s="69">
        <f>ROW()-1</f>
        <v/>
      </c>
      <c r="B653" s="53" t="n"/>
      <c r="C653" s="78" t="n">
        <v>2025</v>
      </c>
      <c r="D653" s="78" t="inlineStr">
        <is>
          <t>汤凤欣</t>
        </is>
      </c>
      <c r="E653" s="53" t="n"/>
      <c r="F653" s="53" t="n"/>
      <c r="G653" s="53" t="n"/>
      <c r="H653" s="81" t="inlineStr">
        <is>
          <t>应扫描口令字典统计数据表</t>
        </is>
      </c>
      <c r="I653" s="76" t="inlineStr">
        <is>
          <t>ILF</t>
        </is>
      </c>
      <c r="J653" s="108" t="n"/>
      <c r="K653" s="108" t="inlineStr">
        <is>
          <t>数据库表未被本系统所维护</t>
        </is>
      </c>
      <c r="L653" s="83">
        <f>IF(OR(X653="估算法",X653="算法类",X653="无法识别"),"",IF(V653="",IF(OR(I653="EI",I653="EO",I653="EQ"),0,""),LEN(V653)-LEN(SUBSTITUTE(V653,"、",""))+1))</f>
        <v/>
      </c>
      <c r="M653" s="83">
        <f>IF(OR(X653="估算法",X653="算法类",X653="无法识别"),"",IF(W653="",IF(OR(I653="ILF",I653="EIF"),0,""),LEN(W653)-LEN(SUBSTITUTE(W653,"、",""))+1))</f>
        <v/>
      </c>
      <c r="N653" s="83">
        <f>IF(OR(X653="估算法",X653="算法类",X653="无法识别"),"",IF(X653="",IF(OR(I653="ILF",I653="EIF",I653="EI",I653="EO",I653="EQ"),0,""),LEN(X653)-LEN(SUBSTITUTE(SUBSTITUTE(SUBSTITUTE(SUBSTITUTE(SUBSTITUTE(X653,"|}","--"),"{|","--"),CHAR(10),""),"、",""),"|",""))+IF(AND(OR(I653="EI",I653="EO",I653="EQ"),$AD$1="NESMA"),2,1)))</f>
        <v/>
      </c>
      <c r="O653" s="84">
        <f>IF(I653="EI",IF(OR(X653="估算法",X653="算法类"),"中",IF(X653="无法识别","低",IF(L653&lt;2,IF(N653&lt;16,"低","中"),IF(L653&lt;3,IF(N653&lt;5,"低",IF(N653&lt;16,"中","高")),IF(N653&lt;5,"中","高"))))),IF(OR(I653="EO",I653="EQ"),IF(OR(X653="估算法",X653="算法类"),"中",IF(X653="无法识别","低",IF(L653&lt;2,IF(N653&lt;20,"低","中"),IF(L653&lt;4,IF(N653&lt;6,"低",IF(N653&lt;20,"中","高")),IF(N653&lt;6,"中","高"))))),IF(OR(I653="ILF",I653="EIF"),IF(OR(X653="估算法",X653="算法类",X653="无法识别"),"低",IF(M653&lt;2,IF(N653&lt;51,"低","中"),IF(M653&lt;6,IF(N653&lt;20,"低",IF(N653&lt;51,"中","高")),IF(N653&lt;20,"中","高")))),"不计算")))</f>
        <v/>
      </c>
      <c r="P653" s="142">
        <f>IFERROR(IF(I653="EI",IF(O653="低",3,IF(O653="中",4,6)),IF(I653="EO",IF(O653="低",4,IF(O653="中",5,7)),IF(I653="EQ",IF(O653="低",3,IF(O653="中",4,6)),IF(I653="ILF",IF(O653="低",7,IF(O653="中",10,15)),IF(I653="EIF",IF(O653="低",5,IF(O653="中",7,10)),"不计算")))))*Q653,"不计算")</f>
        <v/>
      </c>
      <c r="Q653" s="142" t="n">
        <v>0</v>
      </c>
      <c r="R653" s="143">
        <f>调整因子!$F$13</f>
        <v/>
      </c>
      <c r="S653" s="76" t="n">
        <v>1</v>
      </c>
      <c r="T653" s="144">
        <f>IFERROR(P653*R653,0)</f>
        <v/>
      </c>
      <c r="U653" s="144">
        <f>T653*S653</f>
        <v/>
      </c>
      <c r="V653" s="89" t="n"/>
      <c r="W653" s="76" t="inlineStr">
        <is>
          <t>应扫描口令字典统计数据表</t>
        </is>
      </c>
      <c r="X653" s="76" t="inlineStr">
        <is>
          <t>应扫描口令字典统计数据表{ID、日期、业务场景ID、口令字典ID、弱口令扫描任务ID|}</t>
        </is>
      </c>
      <c r="Y653" s="88">
        <f>IF(COUNTIFS(V:V,"*"&amp;H653&amp;"*")&gt;0,"存在","不存在")</f>
        <v/>
      </c>
      <c r="Z653" s="88">
        <f>IF(COUNTIFS(AA:AA,"*"&amp;H653&amp;"*")&gt;0,"存在","不存在")</f>
        <v/>
      </c>
      <c r="AA653" s="101" t="n"/>
    </row>
    <row r="654" hidden="1">
      <c r="A654" s="69">
        <f>ROW()-1</f>
        <v/>
      </c>
      <c r="B654" s="53" t="n"/>
      <c r="C654" s="78" t="n">
        <v>2025</v>
      </c>
      <c r="D654" s="78" t="inlineStr">
        <is>
          <t>汤凤欣</t>
        </is>
      </c>
      <c r="E654" s="53" t="n"/>
      <c r="F654" s="53" t="n"/>
      <c r="G654" s="53" t="n"/>
      <c r="H654" s="81" t="inlineStr">
        <is>
          <t>应覆盖资产总数统计数据表</t>
        </is>
      </c>
      <c r="I654" s="76" t="inlineStr">
        <is>
          <t>ILF</t>
        </is>
      </c>
      <c r="J654" s="108" t="n"/>
      <c r="K654" s="108" t="inlineStr">
        <is>
          <t>数据库表未被本系统所维护</t>
        </is>
      </c>
      <c r="L654" s="83">
        <f>IF(OR(X654="估算法",X654="算法类",X654="无法识别"),"",IF(V654="",IF(OR(I654="EI",I654="EO",I654="EQ"),0,""),LEN(V654)-LEN(SUBSTITUTE(V654,"、",""))+1))</f>
        <v/>
      </c>
      <c r="M654" s="83">
        <f>IF(OR(X654="估算法",X654="算法类",X654="无法识别"),"",IF(W654="",IF(OR(I654="ILF",I654="EIF"),0,""),LEN(W654)-LEN(SUBSTITUTE(W654,"、",""))+1))</f>
        <v/>
      </c>
      <c r="N654" s="83">
        <f>IF(OR(X654="估算法",X654="算法类",X654="无法识别"),"",IF(X654="",IF(OR(I654="ILF",I654="EIF",I654="EI",I654="EO",I654="EQ"),0,""),LEN(X654)-LEN(SUBSTITUTE(SUBSTITUTE(SUBSTITUTE(SUBSTITUTE(SUBSTITUTE(X654,"|}","--"),"{|","--"),CHAR(10),""),"、",""),"|",""))+IF(AND(OR(I654="EI",I654="EO",I654="EQ"),$AD$1="NESMA"),2,1)))</f>
        <v/>
      </c>
      <c r="O654" s="84">
        <f>IF(I654="EI",IF(OR(X654="估算法",X654="算法类"),"中",IF(X654="无法识别","低",IF(L654&lt;2,IF(N654&lt;16,"低","中"),IF(L654&lt;3,IF(N654&lt;5,"低",IF(N654&lt;16,"中","高")),IF(N654&lt;5,"中","高"))))),IF(OR(I654="EO",I654="EQ"),IF(OR(X654="估算法",X654="算法类"),"中",IF(X654="无法识别","低",IF(L654&lt;2,IF(N654&lt;20,"低","中"),IF(L654&lt;4,IF(N654&lt;6,"低",IF(N654&lt;20,"中","高")),IF(N654&lt;6,"中","高"))))),IF(OR(I654="ILF",I654="EIF"),IF(OR(X654="估算法",X654="算法类",X654="无法识别"),"低",IF(M654&lt;2,IF(N654&lt;51,"低","中"),IF(M654&lt;6,IF(N654&lt;20,"低",IF(N654&lt;51,"中","高")),IF(N654&lt;20,"中","高")))),"不计算")))</f>
        <v/>
      </c>
      <c r="P654" s="142">
        <f>IFERROR(IF(I654="EI",IF(O654="低",3,IF(O654="中",4,6)),IF(I654="EO",IF(O654="低",4,IF(O654="中",5,7)),IF(I654="EQ",IF(O654="低",3,IF(O654="中",4,6)),IF(I654="ILF",IF(O654="低",7,IF(O654="中",10,15)),IF(I654="EIF",IF(O654="低",5,IF(O654="中",7,10)),"不计算")))))*Q654,"不计算")</f>
        <v/>
      </c>
      <c r="Q654" s="142" t="n">
        <v>0</v>
      </c>
      <c r="R654" s="143">
        <f>调整因子!$F$13</f>
        <v/>
      </c>
      <c r="S654" s="70" t="n">
        <v>1</v>
      </c>
      <c r="T654" s="144">
        <f>IFERROR(P654*R654,0)</f>
        <v/>
      </c>
      <c r="U654" s="144">
        <f>T654*S654</f>
        <v/>
      </c>
      <c r="V654" s="89" t="n"/>
      <c r="W654" s="76" t="inlineStr">
        <is>
          <t>应覆盖资产总数统计数据表</t>
        </is>
      </c>
      <c r="X654" s="76" t="inlineStr">
        <is>
          <t>应覆盖资产总数统计数据表{ID、日期、业务场景ID、资产ID、漏洞扫描任务ID|}</t>
        </is>
      </c>
      <c r="Y654" s="88">
        <f>IF(COUNTIFS(V:V,"*"&amp;H654&amp;"*")&gt;0,"存在","不存在")</f>
        <v/>
      </c>
      <c r="Z654" s="88">
        <f>IF(COUNTIFS(AA:AA,"*"&amp;H654&amp;"*")&gt;0,"存在","不存在")</f>
        <v/>
      </c>
      <c r="AA654" s="70" t="n"/>
    </row>
    <row r="655" hidden="1" ht="21.6" customHeight="1">
      <c r="A655" s="69">
        <f>ROW()-1</f>
        <v/>
      </c>
      <c r="B655" s="53" t="n"/>
      <c r="C655" s="78" t="n">
        <v>2025</v>
      </c>
      <c r="D655" s="78" t="inlineStr">
        <is>
          <t>汤凤欣</t>
        </is>
      </c>
      <c r="E655" s="53" t="n"/>
      <c r="F655" s="53" t="n"/>
      <c r="G655" s="53" t="n"/>
      <c r="H655" s="81" t="inlineStr">
        <is>
          <t>弱口令扫描覆盖统计数据表</t>
        </is>
      </c>
      <c r="I655" s="76" t="inlineStr">
        <is>
          <t>ILF</t>
        </is>
      </c>
      <c r="J655" s="108" t="n"/>
      <c r="K655" s="108" t="inlineStr">
        <is>
          <t>数据库表未被本系统所维护</t>
        </is>
      </c>
      <c r="L655" s="83">
        <f>IF(OR(X655="估算法",X655="算法类",X655="无法识别"),"",IF(V655="",IF(OR(I655="EI",I655="EO",I655="EQ"),0,""),LEN(V655)-LEN(SUBSTITUTE(V655,"、",""))+1))</f>
        <v/>
      </c>
      <c r="M655" s="83">
        <f>IF(OR(X655="估算法",X655="算法类",X655="无法识别"),"",IF(W655="",IF(OR(I655="ILF",I655="EIF"),0,""),LEN(W655)-LEN(SUBSTITUTE(W655,"、",""))+1))</f>
        <v/>
      </c>
      <c r="N655" s="83">
        <f>IF(OR(X655="估算法",X655="算法类",X655="无法识别"),"",IF(X655="",IF(OR(I655="ILF",I655="EIF",I655="EI",I655="EO",I655="EQ"),0,""),LEN(X655)-LEN(SUBSTITUTE(SUBSTITUTE(SUBSTITUTE(SUBSTITUTE(SUBSTITUTE(X655,"|}","--"),"{|","--"),CHAR(10),""),"、",""),"|",""))+IF(AND(OR(I655="EI",I655="EO",I655="EQ"),$AD$1="NESMA"),2,1)))</f>
        <v/>
      </c>
      <c r="O655" s="84">
        <f>IF(I655="EI",IF(OR(X655="估算法",X655="算法类"),"中",IF(X655="无法识别","低",IF(L655&lt;2,IF(N655&lt;16,"低","中"),IF(L655&lt;3,IF(N655&lt;5,"低",IF(N655&lt;16,"中","高")),IF(N655&lt;5,"中","高"))))),IF(OR(I655="EO",I655="EQ"),IF(OR(X655="估算法",X655="算法类"),"中",IF(X655="无法识别","低",IF(L655&lt;2,IF(N655&lt;20,"低","中"),IF(L655&lt;4,IF(N655&lt;6,"低",IF(N655&lt;20,"中","高")),IF(N655&lt;6,"中","高"))))),IF(OR(I655="ILF",I655="EIF"),IF(OR(X655="估算法",X655="算法类",X655="无法识别"),"低",IF(M655&lt;2,IF(N655&lt;51,"低","中"),IF(M655&lt;6,IF(N655&lt;20,"低",IF(N655&lt;51,"中","高")),IF(N655&lt;20,"中","高")))),"不计算")))</f>
        <v/>
      </c>
      <c r="P655" s="142">
        <f>IFERROR(IF(I655="EI",IF(O655="低",3,IF(O655="中",4,6)),IF(I655="EO",IF(O655="低",4,IF(O655="中",5,7)),IF(I655="EQ",IF(O655="低",3,IF(O655="中",4,6)),IF(I655="ILF",IF(O655="低",7,IF(O655="中",10,15)),IF(I655="EIF",IF(O655="低",5,IF(O655="中",7,10)),"不计算")))))*Q655,"不计算")</f>
        <v/>
      </c>
      <c r="Q655" s="142" t="n">
        <v>0</v>
      </c>
      <c r="R655" s="143">
        <f>调整因子!$F$13</f>
        <v/>
      </c>
      <c r="S655" s="70" t="n">
        <v>1</v>
      </c>
      <c r="T655" s="144">
        <f>IFERROR(P655*R655,0)</f>
        <v/>
      </c>
      <c r="U655" s="144">
        <f>T655*S655</f>
        <v/>
      </c>
      <c r="V655" s="89" t="n"/>
      <c r="W655" s="76" t="inlineStr">
        <is>
          <t>弱口令扫描覆盖统计数据表</t>
        </is>
      </c>
      <c r="X655" s="76" t="inlineStr">
        <is>
          <t>弱口令扫描覆盖统计数据表{ID、日期、业务场景ID、弱口令排查资产ID、弱口令扫描任务ID|}</t>
        </is>
      </c>
      <c r="Y655" s="88">
        <f>IF(COUNTIFS(V:V,"*"&amp;H655&amp;"*")&gt;0,"存在","不存在")</f>
        <v/>
      </c>
      <c r="Z655" s="88">
        <f>IF(COUNTIFS(AA:AA,"*"&amp;H655&amp;"*")&gt;0,"存在","不存在")</f>
        <v/>
      </c>
      <c r="AA655" s="101" t="n"/>
    </row>
    <row r="656" hidden="1" ht="21.6" customHeight="1">
      <c r="A656" s="69">
        <f>ROW()-1</f>
        <v/>
      </c>
      <c r="B656" s="53" t="n"/>
      <c r="C656" s="78" t="n">
        <v>2025</v>
      </c>
      <c r="D656" s="78" t="inlineStr">
        <is>
          <t>汤凤欣</t>
        </is>
      </c>
      <c r="E656" s="53" t="n"/>
      <c r="F656" s="53" t="n"/>
      <c r="G656" s="53" t="n"/>
      <c r="H656" s="81" t="inlineStr">
        <is>
          <t>待核实系统漏洞统计数据表</t>
        </is>
      </c>
      <c r="I656" s="76" t="inlineStr">
        <is>
          <t>ILF</t>
        </is>
      </c>
      <c r="J656" s="108" t="n"/>
      <c r="K656" s="108" t="inlineStr">
        <is>
          <t>数据库表未被本系统所维护</t>
        </is>
      </c>
      <c r="L656" s="83">
        <f>IF(OR(X656="估算法",X656="算法类",X656="无法识别"),"",IF(V656="",IF(OR(I656="EI",I656="EO",I656="EQ"),0,""),LEN(V656)-LEN(SUBSTITUTE(V656,"、",""))+1))</f>
        <v/>
      </c>
      <c r="M656" s="83">
        <f>IF(OR(X656="估算法",X656="算法类",X656="无法识别"),"",IF(W656="",IF(OR(I656="ILF",I656="EIF"),0,""),LEN(W656)-LEN(SUBSTITUTE(W656,"、",""))+1))</f>
        <v/>
      </c>
      <c r="N656" s="83">
        <f>IF(OR(X656="估算法",X656="算法类",X656="无法识别"),"",IF(X656="",IF(OR(I656="ILF",I656="EIF",I656="EI",I656="EO",I656="EQ"),0,""),LEN(X656)-LEN(SUBSTITUTE(SUBSTITUTE(SUBSTITUTE(SUBSTITUTE(SUBSTITUTE(X656,"|}","--"),"{|","--"),CHAR(10),""),"、",""),"|",""))+IF(AND(OR(I656="EI",I656="EO",I656="EQ"),$AD$1="NESMA"),2,1)))</f>
        <v/>
      </c>
      <c r="O656" s="84">
        <f>IF(I656="EI",IF(OR(X656="估算法",X656="算法类"),"中",IF(X656="无法识别","低",IF(L656&lt;2,IF(N656&lt;16,"低","中"),IF(L656&lt;3,IF(N656&lt;5,"低",IF(N656&lt;16,"中","高")),IF(N656&lt;5,"中","高"))))),IF(OR(I656="EO",I656="EQ"),IF(OR(X656="估算法",X656="算法类"),"中",IF(X656="无法识别","低",IF(L656&lt;2,IF(N656&lt;20,"低","中"),IF(L656&lt;4,IF(N656&lt;6,"低",IF(N656&lt;20,"中","高")),IF(N656&lt;6,"中","高"))))),IF(OR(I656="ILF",I656="EIF"),IF(OR(X656="估算法",X656="算法类",X656="无法识别"),"低",IF(M656&lt;2,IF(N656&lt;51,"低","中"),IF(M656&lt;6,IF(N656&lt;20,"低",IF(N656&lt;51,"中","高")),IF(N656&lt;20,"中","高")))),"不计算")))</f>
        <v/>
      </c>
      <c r="P656" s="142">
        <f>IFERROR(IF(I656="EI",IF(O656="低",3,IF(O656="中",4,6)),IF(I656="EO",IF(O656="低",4,IF(O656="中",5,7)),IF(I656="EQ",IF(O656="低",3,IF(O656="中",4,6)),IF(I656="ILF",IF(O656="低",7,IF(O656="中",10,15)),IF(I656="EIF",IF(O656="低",5,IF(O656="中",7,10)),"不计算")))))*Q656,"不计算")</f>
        <v/>
      </c>
      <c r="Q656" s="142" t="n">
        <v>0</v>
      </c>
      <c r="R656" s="143">
        <f>调整因子!$F$13</f>
        <v/>
      </c>
      <c r="S656" s="76" t="n">
        <v>1</v>
      </c>
      <c r="T656" s="144">
        <f>IFERROR(P656*R656,0)</f>
        <v/>
      </c>
      <c r="U656" s="144">
        <f>T656*S656</f>
        <v/>
      </c>
      <c r="V656" s="89" t="n"/>
      <c r="W656" s="76" t="inlineStr">
        <is>
          <t>待核实系统漏洞统计数据表</t>
        </is>
      </c>
      <c r="X656" s="76" t="inlineStr">
        <is>
          <t>待核实系统漏洞统计数据表{ID、日期、业务场景ID、待核实系统漏洞ID、系统漏洞状态|}</t>
        </is>
      </c>
      <c r="Y656" s="88">
        <f>IF(COUNTIFS(V:V,"*"&amp;H656&amp;"*")&gt;0,"存在","不存在")</f>
        <v/>
      </c>
      <c r="Z656" s="88">
        <f>IF(COUNTIFS(AA:AA,"*"&amp;H656&amp;"*")&gt;0,"存在","不存在")</f>
        <v/>
      </c>
      <c r="AA656" s="70" t="n"/>
    </row>
    <row r="657" hidden="1">
      <c r="A657" s="69">
        <f>ROW()-1</f>
        <v/>
      </c>
      <c r="B657" s="53" t="n"/>
      <c r="C657" s="78" t="n">
        <v>2025</v>
      </c>
      <c r="D657" s="78" t="inlineStr">
        <is>
          <t>汤凤欣</t>
        </is>
      </c>
      <c r="E657" s="53" t="n"/>
      <c r="F657" s="53" t="n"/>
      <c r="G657" s="53" t="n"/>
      <c r="H657" s="81" t="inlineStr">
        <is>
          <t>有效系统漏洞数统计数据表</t>
        </is>
      </c>
      <c r="I657" s="76" t="inlineStr">
        <is>
          <t>ILF</t>
        </is>
      </c>
      <c r="J657" s="108" t="n"/>
      <c r="K657" s="108" t="inlineStr">
        <is>
          <t>数据库表未被本系统所维护</t>
        </is>
      </c>
      <c r="L657" s="83">
        <f>IF(OR(X657="估算法",X657="算法类",X657="无法识别"),"",IF(V657="",IF(OR(I657="EI",I657="EO",I657="EQ"),0,""),LEN(V657)-LEN(SUBSTITUTE(V657,"、",""))+1))</f>
        <v/>
      </c>
      <c r="M657" s="83">
        <f>IF(OR(X657="估算法",X657="算法类",X657="无法识别"),"",IF(W657="",IF(OR(I657="ILF",I657="EIF"),0,""),LEN(W657)-LEN(SUBSTITUTE(W657,"、",""))+1))</f>
        <v/>
      </c>
      <c r="N657" s="83">
        <f>IF(OR(X657="估算法",X657="算法类",X657="无法识别"),"",IF(X657="",IF(OR(I657="ILF",I657="EIF",I657="EI",I657="EO",I657="EQ"),0,""),LEN(X657)-LEN(SUBSTITUTE(SUBSTITUTE(SUBSTITUTE(SUBSTITUTE(SUBSTITUTE(X657,"|}","--"),"{|","--"),CHAR(10),""),"、",""),"|",""))+IF(AND(OR(I657="EI",I657="EO",I657="EQ"),$AD$1="NESMA"),2,1)))</f>
        <v/>
      </c>
      <c r="O657" s="84">
        <f>IF(I657="EI",IF(OR(X657="估算法",X657="算法类"),"中",IF(X657="无法识别","低",IF(L657&lt;2,IF(N657&lt;16,"低","中"),IF(L657&lt;3,IF(N657&lt;5,"低",IF(N657&lt;16,"中","高")),IF(N657&lt;5,"中","高"))))),IF(OR(I657="EO",I657="EQ"),IF(OR(X657="估算法",X657="算法类"),"中",IF(X657="无法识别","低",IF(L657&lt;2,IF(N657&lt;20,"低","中"),IF(L657&lt;4,IF(N657&lt;6,"低",IF(N657&lt;20,"中","高")),IF(N657&lt;6,"中","高"))))),IF(OR(I657="ILF",I657="EIF"),IF(OR(X657="估算法",X657="算法类",X657="无法识别"),"低",IF(M657&lt;2,IF(N657&lt;51,"低","中"),IF(M657&lt;6,IF(N657&lt;20,"低",IF(N657&lt;51,"中","高")),IF(N657&lt;20,"中","高")))),"不计算")))</f>
        <v/>
      </c>
      <c r="P657" s="142">
        <f>IFERROR(IF(I657="EI",IF(O657="低",3,IF(O657="中",4,6)),IF(I657="EO",IF(O657="低",4,IF(O657="中",5,7)),IF(I657="EQ",IF(O657="低",3,IF(O657="中",4,6)),IF(I657="ILF",IF(O657="低",7,IF(O657="中",10,15)),IF(I657="EIF",IF(O657="低",5,IF(O657="中",7,10)),"不计算")))))*Q657,"不计算")</f>
        <v/>
      </c>
      <c r="Q657" s="142" t="n">
        <v>0</v>
      </c>
      <c r="R657" s="143">
        <f>调整因子!$F$13</f>
        <v/>
      </c>
      <c r="S657" s="70" t="n">
        <v>1</v>
      </c>
      <c r="T657" s="144">
        <f>IFERROR(P657*R657,0)</f>
        <v/>
      </c>
      <c r="U657" s="144">
        <f>T657*S657</f>
        <v/>
      </c>
      <c r="V657" s="89" t="n"/>
      <c r="W657" s="76" t="inlineStr">
        <is>
          <t>有效系统漏洞数统计数据表</t>
        </is>
      </c>
      <c r="X657" s="76" t="inlineStr">
        <is>
          <t>有效系统漏洞数统计数据表{ID、日期、业务场景ID、有效系统漏洞ID|}</t>
        </is>
      </c>
      <c r="Y657" s="88">
        <f>IF(COUNTIFS(V:V,"*"&amp;H657&amp;"*")&gt;0,"存在","不存在")</f>
        <v/>
      </c>
      <c r="Z657" s="88">
        <f>IF(COUNTIFS(AA:AA,"*"&amp;H657&amp;"*")&gt;0,"存在","不存在")</f>
        <v/>
      </c>
      <c r="AA657" s="101" t="n"/>
    </row>
    <row r="658" hidden="1" ht="21.6" customHeight="1">
      <c r="A658" s="69">
        <f>ROW()-1</f>
        <v/>
      </c>
      <c r="B658" s="53" t="n"/>
      <c r="C658" s="78" t="n">
        <v>2025</v>
      </c>
      <c r="D658" s="78" t="inlineStr">
        <is>
          <t>汤凤欣</t>
        </is>
      </c>
      <c r="E658" s="53" t="n"/>
      <c r="F658" s="53" t="n"/>
      <c r="G658" s="53" t="n"/>
      <c r="H658" s="81" t="inlineStr">
        <is>
          <t>未排查资产数量统计数据表</t>
        </is>
      </c>
      <c r="I658" s="76" t="inlineStr">
        <is>
          <t>ILF</t>
        </is>
      </c>
      <c r="J658" s="108" t="n"/>
      <c r="K658" s="108" t="inlineStr">
        <is>
          <t>数据库表未被本系统所维护</t>
        </is>
      </c>
      <c r="L658" s="83">
        <f>IF(OR(X658="估算法",X658="算法类",X658="无法识别"),"",IF(V658="",IF(OR(I658="EI",I658="EO",I658="EQ"),0,""),LEN(V658)-LEN(SUBSTITUTE(V658,"、",""))+1))</f>
        <v/>
      </c>
      <c r="M658" s="83">
        <f>IF(OR(X658="估算法",X658="算法类",X658="无法识别"),"",IF(W658="",IF(OR(I658="ILF",I658="EIF"),0,""),LEN(W658)-LEN(SUBSTITUTE(W658,"、",""))+1))</f>
        <v/>
      </c>
      <c r="N658" s="83">
        <f>IF(OR(X658="估算法",X658="算法类",X658="无法识别"),"",IF(X658="",IF(OR(I658="ILF",I658="EIF",I658="EI",I658="EO",I658="EQ"),0,""),LEN(X658)-LEN(SUBSTITUTE(SUBSTITUTE(SUBSTITUTE(SUBSTITUTE(SUBSTITUTE(X658,"|}","--"),"{|","--"),CHAR(10),""),"、",""),"|",""))+IF(AND(OR(I658="EI",I658="EO",I658="EQ"),$AD$1="NESMA"),2,1)))</f>
        <v/>
      </c>
      <c r="O658" s="84">
        <f>IF(I658="EI",IF(OR(X658="估算法",X658="算法类"),"中",IF(X658="无法识别","低",IF(L658&lt;2,IF(N658&lt;16,"低","中"),IF(L658&lt;3,IF(N658&lt;5,"低",IF(N658&lt;16,"中","高")),IF(N658&lt;5,"中","高"))))),IF(OR(I658="EO",I658="EQ"),IF(OR(X658="估算法",X658="算法类"),"中",IF(X658="无法识别","低",IF(L658&lt;2,IF(N658&lt;20,"低","中"),IF(L658&lt;4,IF(N658&lt;6,"低",IF(N658&lt;20,"中","高")),IF(N658&lt;6,"中","高"))))),IF(OR(I658="ILF",I658="EIF"),IF(OR(X658="估算法",X658="算法类",X658="无法识别"),"低",IF(M658&lt;2,IF(N658&lt;51,"低","中"),IF(M658&lt;6,IF(N658&lt;20,"低",IF(N658&lt;51,"中","高")),IF(N658&lt;20,"中","高")))),"不计算")))</f>
        <v/>
      </c>
      <c r="P658" s="142">
        <f>IFERROR(IF(I658="EI",IF(O658="低",3,IF(O658="中",4,6)),IF(I658="EO",IF(O658="低",4,IF(O658="中",5,7)),IF(I658="EQ",IF(O658="低",3,IF(O658="中",4,6)),IF(I658="ILF",IF(O658="低",7,IF(O658="中",10,15)),IF(I658="EIF",IF(O658="低",5,IF(O658="中",7,10)),"不计算")))))*Q658,"不计算")</f>
        <v/>
      </c>
      <c r="Q658" s="142" t="n">
        <v>0</v>
      </c>
      <c r="R658" s="143">
        <f>调整因子!$F$13</f>
        <v/>
      </c>
      <c r="S658" s="70" t="n">
        <v>1</v>
      </c>
      <c r="T658" s="144">
        <f>IFERROR(P658*R658,0)</f>
        <v/>
      </c>
      <c r="U658" s="144">
        <f>T658*S658</f>
        <v/>
      </c>
      <c r="V658" s="89" t="n"/>
      <c r="W658" s="76" t="inlineStr">
        <is>
          <t>未排查资产数量统计数据表</t>
        </is>
      </c>
      <c r="X658" s="76" t="inlineStr">
        <is>
          <t>未排查资产数量统计数据表{ID、日期、业务场景ID、未排查资产ID、未排查原因、排查工单ID|}</t>
        </is>
      </c>
      <c r="Y658" s="88">
        <f>IF(COUNTIFS(V:V,"*"&amp;H658&amp;"*")&gt;0,"存在","不存在")</f>
        <v/>
      </c>
      <c r="Z658" s="88">
        <f>IF(COUNTIFS(AA:AA,"*"&amp;H658&amp;"*")&gt;0,"存在","不存在")</f>
        <v/>
      </c>
      <c r="AA658" s="70" t="n"/>
    </row>
    <row r="659" hidden="1" ht="21.6" customHeight="1">
      <c r="A659" s="69">
        <f>ROW()-1</f>
        <v/>
      </c>
      <c r="B659" s="53" t="n"/>
      <c r="C659" s="78" t="n">
        <v>2025</v>
      </c>
      <c r="D659" s="78" t="inlineStr">
        <is>
          <t>汤凤欣</t>
        </is>
      </c>
      <c r="E659" s="53" t="n"/>
      <c r="F659" s="53" t="n"/>
      <c r="G659" s="53" t="n"/>
      <c r="H659" s="81" t="inlineStr">
        <is>
          <t>未闭环系统漏洞统计数据表</t>
        </is>
      </c>
      <c r="I659" s="76" t="inlineStr">
        <is>
          <t>ILF</t>
        </is>
      </c>
      <c r="J659" s="108" t="n"/>
      <c r="K659" s="108" t="inlineStr">
        <is>
          <t>数据库表未被本系统所维护</t>
        </is>
      </c>
      <c r="L659" s="83">
        <f>IF(OR(X659="估算法",X659="算法类",X659="无法识别"),"",IF(V659="",IF(OR(I659="EI",I659="EO",I659="EQ"),0,""),LEN(V659)-LEN(SUBSTITUTE(V659,"、",""))+1))</f>
        <v/>
      </c>
      <c r="M659" s="83">
        <f>IF(OR(X659="估算法",X659="算法类",X659="无法识别"),"",IF(W659="",IF(OR(I659="ILF",I659="EIF"),0,""),LEN(W659)-LEN(SUBSTITUTE(W659,"、",""))+1))</f>
        <v/>
      </c>
      <c r="N659" s="83">
        <f>IF(OR(X659="估算法",X659="算法类",X659="无法识别"),"",IF(X659="",IF(OR(I659="ILF",I659="EIF",I659="EI",I659="EO",I659="EQ"),0,""),LEN(X659)-LEN(SUBSTITUTE(SUBSTITUTE(SUBSTITUTE(SUBSTITUTE(SUBSTITUTE(X659,"|}","--"),"{|","--"),CHAR(10),""),"、",""),"|",""))+IF(AND(OR(I659="EI",I659="EO",I659="EQ"),$AD$1="NESMA"),2,1)))</f>
        <v/>
      </c>
      <c r="O659" s="84">
        <f>IF(I659="EI",IF(OR(X659="估算法",X659="算法类"),"中",IF(X659="无法识别","低",IF(L659&lt;2,IF(N659&lt;16,"低","中"),IF(L659&lt;3,IF(N659&lt;5,"低",IF(N659&lt;16,"中","高")),IF(N659&lt;5,"中","高"))))),IF(OR(I659="EO",I659="EQ"),IF(OR(X659="估算法",X659="算法类"),"中",IF(X659="无法识别","低",IF(L659&lt;2,IF(N659&lt;20,"低","中"),IF(L659&lt;4,IF(N659&lt;6,"低",IF(N659&lt;20,"中","高")),IF(N659&lt;6,"中","高"))))),IF(OR(I659="ILF",I659="EIF"),IF(OR(X659="估算法",X659="算法类",X659="无法识别"),"低",IF(M659&lt;2,IF(N659&lt;51,"低","中"),IF(M659&lt;6,IF(N659&lt;20,"低",IF(N659&lt;51,"中","高")),IF(N659&lt;20,"中","高")))),"不计算")))</f>
        <v/>
      </c>
      <c r="P659" s="142">
        <f>IFERROR(IF(I659="EI",IF(O659="低",3,IF(O659="中",4,6)),IF(I659="EO",IF(O659="低",4,IF(O659="中",5,7)),IF(I659="EQ",IF(O659="低",3,IF(O659="中",4,6)),IF(I659="ILF",IF(O659="低",7,IF(O659="中",10,15)),IF(I659="EIF",IF(O659="低",5,IF(O659="中",7,10)),"不计算")))))*Q659,"不计算")</f>
        <v/>
      </c>
      <c r="Q659" s="142" t="n">
        <v>0</v>
      </c>
      <c r="R659" s="143">
        <f>调整因子!$F$13</f>
        <v/>
      </c>
      <c r="S659" s="76" t="n">
        <v>1</v>
      </c>
      <c r="T659" s="144">
        <f>IFERROR(P659*R659,0)</f>
        <v/>
      </c>
      <c r="U659" s="144">
        <f>T659*S659</f>
        <v/>
      </c>
      <c r="V659" s="89" t="n"/>
      <c r="W659" s="76" t="inlineStr">
        <is>
          <t>未闭环系统漏洞统计数据表</t>
        </is>
      </c>
      <c r="X659" s="76" t="inlineStr">
        <is>
          <t>未闭环系统漏洞统计数据表{ID、日期、业务场景ID、未闭环系统漏洞ID、系统漏洞状态、工单ID|}</t>
        </is>
      </c>
      <c r="Y659" s="88">
        <f>IF(COUNTIFS(V:V,"*"&amp;H659&amp;"*")&gt;0,"存在","不存在")</f>
        <v/>
      </c>
      <c r="Z659" s="88">
        <f>IF(COUNTIFS(AA:AA,"*"&amp;H659&amp;"*")&gt;0,"存在","不存在")</f>
        <v/>
      </c>
      <c r="AA659" s="101" t="n"/>
    </row>
    <row r="660" hidden="1" ht="21.6" customHeight="1">
      <c r="A660" s="69">
        <f>ROW()-1</f>
        <v/>
      </c>
      <c r="B660" s="53" t="n"/>
      <c r="C660" s="78" t="n">
        <v>2025</v>
      </c>
      <c r="D660" s="78" t="inlineStr">
        <is>
          <t>汤凤欣</t>
        </is>
      </c>
      <c r="E660" s="53" t="n"/>
      <c r="F660" s="53" t="n"/>
      <c r="G660" s="53" t="n"/>
      <c r="H660" s="81" t="inlineStr">
        <is>
          <t>漏洞扫描覆盖资产统计数据表</t>
        </is>
      </c>
      <c r="I660" s="76" t="inlineStr">
        <is>
          <t>ILF</t>
        </is>
      </c>
      <c r="J660" s="108" t="n"/>
      <c r="K660" s="108" t="inlineStr">
        <is>
          <t>数据库表未被本系统所维护</t>
        </is>
      </c>
      <c r="L660" s="83">
        <f>IF(OR(X660="估算法",X660="算法类",X660="无法识别"),"",IF(V660="",IF(OR(I660="EI",I660="EO",I660="EQ"),0,""),LEN(V660)-LEN(SUBSTITUTE(V660,"、",""))+1))</f>
        <v/>
      </c>
      <c r="M660" s="83">
        <f>IF(OR(X660="估算法",X660="算法类",X660="无法识别"),"",IF(W660="",IF(OR(I660="ILF",I660="EIF"),0,""),LEN(W660)-LEN(SUBSTITUTE(W660,"、",""))+1))</f>
        <v/>
      </c>
      <c r="N660" s="83">
        <f>IF(OR(X660="估算法",X660="算法类",X660="无法识别"),"",IF(X660="",IF(OR(I660="ILF",I660="EIF",I660="EI",I660="EO",I660="EQ"),0,""),LEN(X660)-LEN(SUBSTITUTE(SUBSTITUTE(SUBSTITUTE(SUBSTITUTE(SUBSTITUTE(X660,"|}","--"),"{|","--"),CHAR(10),""),"、",""),"|",""))+IF(AND(OR(I660="EI",I660="EO",I660="EQ"),$AD$1="NESMA"),2,1)))</f>
        <v/>
      </c>
      <c r="O660" s="84">
        <f>IF(I660="EI",IF(OR(X660="估算法",X660="算法类"),"中",IF(X660="无法识别","低",IF(L660&lt;2,IF(N660&lt;16,"低","中"),IF(L660&lt;3,IF(N660&lt;5,"低",IF(N660&lt;16,"中","高")),IF(N660&lt;5,"中","高"))))),IF(OR(I660="EO",I660="EQ"),IF(OR(X660="估算法",X660="算法类"),"中",IF(X660="无法识别","低",IF(L660&lt;2,IF(N660&lt;20,"低","中"),IF(L660&lt;4,IF(N660&lt;6,"低",IF(N660&lt;20,"中","高")),IF(N660&lt;6,"中","高"))))),IF(OR(I660="ILF",I660="EIF"),IF(OR(X660="估算法",X660="算法类",X660="无法识别"),"低",IF(M660&lt;2,IF(N660&lt;51,"低","中"),IF(M660&lt;6,IF(N660&lt;20,"低",IF(N660&lt;51,"中","高")),IF(N660&lt;20,"中","高")))),"不计算")))</f>
        <v/>
      </c>
      <c r="P660" s="142">
        <f>IFERROR(IF(I660="EI",IF(O660="低",3,IF(O660="中",4,6)),IF(I660="EO",IF(O660="低",4,IF(O660="中",5,7)),IF(I660="EQ",IF(O660="低",3,IF(O660="中",4,6)),IF(I660="ILF",IF(O660="低",7,IF(O660="中",10,15)),IF(I660="EIF",IF(O660="低",5,IF(O660="中",7,10)),"不计算")))))*Q660,"不计算")</f>
        <v/>
      </c>
      <c r="Q660" s="142" t="n">
        <v>0</v>
      </c>
      <c r="R660" s="143">
        <f>调整因子!$F$13</f>
        <v/>
      </c>
      <c r="S660" s="70" t="n">
        <v>1</v>
      </c>
      <c r="T660" s="144">
        <f>IFERROR(P660*R660,0)</f>
        <v/>
      </c>
      <c r="U660" s="144">
        <f>T660*S660</f>
        <v/>
      </c>
      <c r="V660" s="89" t="n"/>
      <c r="W660" s="76" t="inlineStr">
        <is>
          <t>漏洞扫描覆盖资产统计数据表</t>
        </is>
      </c>
      <c r="X660" s="76" t="inlineStr">
        <is>
          <t>漏洞扫描覆盖资产统计数据表{ID、日期、业务场景ID、漏洞扫描资产ID、扫描任务ID|}</t>
        </is>
      </c>
      <c r="Y660" s="88">
        <f>IF(COUNTIFS(V:V,"*"&amp;H660&amp;"*")&gt;0,"存在","不存在")</f>
        <v/>
      </c>
      <c r="Z660" s="88">
        <f>IF(COUNTIFS(AA:AA,"*"&amp;H660&amp;"*")&gt;0,"存在","不存在")</f>
        <v/>
      </c>
      <c r="AA660" s="70" t="n"/>
    </row>
    <row r="661" hidden="1" ht="21.6" customHeight="1">
      <c r="A661" s="69">
        <f>ROW()-1</f>
        <v/>
      </c>
      <c r="B661" s="53" t="n"/>
      <c r="C661" s="78" t="n">
        <v>2025</v>
      </c>
      <c r="D661" s="78" t="inlineStr">
        <is>
          <t>汤凤欣</t>
        </is>
      </c>
      <c r="E661" s="53" t="n"/>
      <c r="F661" s="53" t="n"/>
      <c r="G661" s="53" t="n"/>
      <c r="H661" s="81" t="inlineStr">
        <is>
          <t>系统漏洞修复成功统计数据表</t>
        </is>
      </c>
      <c r="I661" s="76" t="inlineStr">
        <is>
          <t>ILF</t>
        </is>
      </c>
      <c r="J661" s="108" t="n"/>
      <c r="K661" s="108" t="inlineStr">
        <is>
          <t>数据库表未被本系统所维护</t>
        </is>
      </c>
      <c r="L661" s="83">
        <f>IF(OR(X661="估算法",X661="算法类",X661="无法识别"),"",IF(V661="",IF(OR(I661="EI",I661="EO",I661="EQ"),0,""),LEN(V661)-LEN(SUBSTITUTE(V661,"、",""))+1))</f>
        <v/>
      </c>
      <c r="M661" s="83">
        <f>IF(OR(X661="估算法",X661="算法类",X661="无法识别"),"",IF(W661="",IF(OR(I661="ILF",I661="EIF"),0,""),LEN(W661)-LEN(SUBSTITUTE(W661,"、",""))+1))</f>
        <v/>
      </c>
      <c r="N661" s="83">
        <f>IF(OR(X661="估算法",X661="算法类",X661="无法识别"),"",IF(X661="",IF(OR(I661="ILF",I661="EIF",I661="EI",I661="EO",I661="EQ"),0,""),LEN(X661)-LEN(SUBSTITUTE(SUBSTITUTE(SUBSTITUTE(SUBSTITUTE(SUBSTITUTE(X661,"|}","--"),"{|","--"),CHAR(10),""),"、",""),"|",""))+IF(AND(OR(I661="EI",I661="EO",I661="EQ"),$AD$1="NESMA"),2,1)))</f>
        <v/>
      </c>
      <c r="O661" s="84">
        <f>IF(I661="EI",IF(OR(X661="估算法",X661="算法类"),"中",IF(X661="无法识别","低",IF(L661&lt;2,IF(N661&lt;16,"低","中"),IF(L661&lt;3,IF(N661&lt;5,"低",IF(N661&lt;16,"中","高")),IF(N661&lt;5,"中","高"))))),IF(OR(I661="EO",I661="EQ"),IF(OR(X661="估算法",X661="算法类"),"中",IF(X661="无法识别","低",IF(L661&lt;2,IF(N661&lt;20,"低","中"),IF(L661&lt;4,IF(N661&lt;6,"低",IF(N661&lt;20,"中","高")),IF(N661&lt;6,"中","高"))))),IF(OR(I661="ILF",I661="EIF"),IF(OR(X661="估算法",X661="算法类",X661="无法识别"),"低",IF(M661&lt;2,IF(N661&lt;51,"低","中"),IF(M661&lt;6,IF(N661&lt;20,"低",IF(N661&lt;51,"中","高")),IF(N661&lt;20,"中","高")))),"不计算")))</f>
        <v/>
      </c>
      <c r="P661" s="142">
        <f>IFERROR(IF(I661="EI",IF(O661="低",3,IF(O661="中",4,6)),IF(I661="EO",IF(O661="低",4,IF(O661="中",5,7)),IF(I661="EQ",IF(O661="低",3,IF(O661="中",4,6)),IF(I661="ILF",IF(O661="低",7,IF(O661="中",10,15)),IF(I661="EIF",IF(O661="低",5,IF(O661="中",7,10)),"不计算")))))*Q661,"不计算")</f>
        <v/>
      </c>
      <c r="Q661" s="142" t="n">
        <v>0</v>
      </c>
      <c r="R661" s="143">
        <f>调整因子!$F$13</f>
        <v/>
      </c>
      <c r="S661" s="70" t="n">
        <v>1</v>
      </c>
      <c r="T661" s="144">
        <f>IFERROR(P661*R661,0)</f>
        <v/>
      </c>
      <c r="U661" s="144">
        <f>T661*S661</f>
        <v/>
      </c>
      <c r="V661" s="89" t="n"/>
      <c r="W661" s="76" t="inlineStr">
        <is>
          <t>系统漏洞修复成功统计数据表</t>
        </is>
      </c>
      <c r="X661" s="76" t="inlineStr">
        <is>
          <t>系统漏洞修复成功统计数据表{ID、日期、业务场景ID、修复成功系统漏洞ID、修复工单ID|}</t>
        </is>
      </c>
      <c r="Y661" s="88">
        <f>IF(COUNTIFS(V:V,"*"&amp;H661&amp;"*")&gt;0,"存在","不存在")</f>
        <v/>
      </c>
      <c r="Z661" s="88">
        <f>IF(COUNTIFS(AA:AA,"*"&amp;H661&amp;"*")&gt;0,"存在","不存在")</f>
        <v/>
      </c>
      <c r="AA661" s="101" t="n"/>
    </row>
    <row r="662" hidden="1">
      <c r="A662" s="69">
        <f>ROW()-1</f>
        <v/>
      </c>
      <c r="B662" s="53" t="n"/>
      <c r="C662" s="78" t="n">
        <v>2025</v>
      </c>
      <c r="D662" s="78" t="inlineStr">
        <is>
          <t>汤凤欣</t>
        </is>
      </c>
      <c r="E662" s="53" t="n"/>
      <c r="F662" s="53" t="n"/>
      <c r="G662" s="53" t="n"/>
      <c r="H662" s="81" t="inlineStr">
        <is>
          <t>系统漏洞初始修复统计数据表</t>
        </is>
      </c>
      <c r="I662" s="76" t="inlineStr">
        <is>
          <t>ILF</t>
        </is>
      </c>
      <c r="J662" s="108" t="n"/>
      <c r="K662" s="108" t="inlineStr">
        <is>
          <t>数据库表未被本系统所维护</t>
        </is>
      </c>
      <c r="L662" s="83">
        <f>IF(OR(X662="估算法",X662="算法类",X662="无法识别"),"",IF(V662="",IF(OR(I662="EI",I662="EO",I662="EQ"),0,""),LEN(V662)-LEN(SUBSTITUTE(V662,"、",""))+1))</f>
        <v/>
      </c>
      <c r="M662" s="83">
        <f>IF(OR(X662="估算法",X662="算法类",X662="无法识别"),"",IF(W662="",IF(OR(I662="ILF",I662="EIF"),0,""),LEN(W662)-LEN(SUBSTITUTE(W662,"、",""))+1))</f>
        <v/>
      </c>
      <c r="N662" s="83">
        <f>IF(OR(X662="估算法",X662="算法类",X662="无法识别"),"",IF(X662="",IF(OR(I662="ILF",I662="EIF",I662="EI",I662="EO",I662="EQ"),0,""),LEN(X662)-LEN(SUBSTITUTE(SUBSTITUTE(SUBSTITUTE(SUBSTITUTE(SUBSTITUTE(X662,"|}","--"),"{|","--"),CHAR(10),""),"、",""),"|",""))+IF(AND(OR(I662="EI",I662="EO",I662="EQ"),$AD$1="NESMA"),2,1)))</f>
        <v/>
      </c>
      <c r="O662" s="84">
        <f>IF(I662="EI",IF(OR(X662="估算法",X662="算法类"),"中",IF(X662="无法识别","低",IF(L662&lt;2,IF(N662&lt;16,"低","中"),IF(L662&lt;3,IF(N662&lt;5,"低",IF(N662&lt;16,"中","高")),IF(N662&lt;5,"中","高"))))),IF(OR(I662="EO",I662="EQ"),IF(OR(X662="估算法",X662="算法类"),"中",IF(X662="无法识别","低",IF(L662&lt;2,IF(N662&lt;20,"低","中"),IF(L662&lt;4,IF(N662&lt;6,"低",IF(N662&lt;20,"中","高")),IF(N662&lt;6,"中","高"))))),IF(OR(I662="ILF",I662="EIF"),IF(OR(X662="估算法",X662="算法类",X662="无法识别"),"低",IF(M662&lt;2,IF(N662&lt;51,"低","中"),IF(M662&lt;6,IF(N662&lt;20,"低",IF(N662&lt;51,"中","高")),IF(N662&lt;20,"中","高")))),"不计算")))</f>
        <v/>
      </c>
      <c r="P662" s="142">
        <f>IFERROR(IF(I662="EI",IF(O662="低",3,IF(O662="中",4,6)),IF(I662="EO",IF(O662="低",4,IF(O662="中",5,7)),IF(I662="EQ",IF(O662="低",3,IF(O662="中",4,6)),IF(I662="ILF",IF(O662="低",7,IF(O662="中",10,15)),IF(I662="EIF",IF(O662="低",5,IF(O662="中",7,10)),"不计算")))))*Q662,"不计算")</f>
        <v/>
      </c>
      <c r="Q662" s="142" t="n">
        <v>0</v>
      </c>
      <c r="R662" s="143">
        <f>调整因子!$F$13</f>
        <v/>
      </c>
      <c r="S662" s="76" t="n">
        <v>1</v>
      </c>
      <c r="T662" s="144">
        <f>IFERROR(P662*R662,0)</f>
        <v/>
      </c>
      <c r="U662" s="144">
        <f>T662*S662</f>
        <v/>
      </c>
      <c r="V662" s="89" t="n"/>
      <c r="W662" s="76" t="inlineStr">
        <is>
          <t>系统漏洞初始修复统计数据表</t>
        </is>
      </c>
      <c r="X662" s="76" t="inlineStr">
        <is>
          <t>系统漏洞初始修复统计数据表{ID、日期、业务场景ID、系统漏洞ID、修复工单ID|}</t>
        </is>
      </c>
      <c r="Y662" s="88">
        <f>IF(COUNTIFS(V:V,"*"&amp;H662&amp;"*")&gt;0,"存在","不存在")</f>
        <v/>
      </c>
      <c r="Z662" s="88">
        <f>IF(COUNTIFS(AA:AA,"*"&amp;H662&amp;"*")&gt;0,"存在","不存在")</f>
        <v/>
      </c>
      <c r="AA662" s="70" t="n"/>
    </row>
    <row r="663" hidden="1">
      <c r="A663" s="69">
        <f>ROW()-1</f>
        <v/>
      </c>
      <c r="B663" s="53" t="n"/>
      <c r="C663" s="78" t="n">
        <v>2025</v>
      </c>
      <c r="D663" s="78" t="inlineStr">
        <is>
          <t>汤凤欣</t>
        </is>
      </c>
      <c r="E663" s="53" t="n"/>
      <c r="F663" s="53" t="n"/>
      <c r="G663" s="54" t="n"/>
      <c r="H663" s="81" t="inlineStr">
        <is>
          <t>误报系统漏洞数统计数据表</t>
        </is>
      </c>
      <c r="I663" s="76" t="inlineStr">
        <is>
          <t>ILF</t>
        </is>
      </c>
      <c r="J663" s="108" t="n"/>
      <c r="K663" s="108" t="inlineStr">
        <is>
          <t>数据库表未被本系统所维护</t>
        </is>
      </c>
      <c r="L663" s="83">
        <f>IF(OR(X663="估算法",X663="算法类",X663="无法识别"),"",IF(V663="",IF(OR(I663="EI",I663="EO",I663="EQ"),0,""),LEN(V663)-LEN(SUBSTITUTE(V663,"、",""))+1))</f>
        <v/>
      </c>
      <c r="M663" s="83">
        <f>IF(OR(X663="估算法",X663="算法类",X663="无法识别"),"",IF(W663="",IF(OR(I663="ILF",I663="EIF"),0,""),LEN(W663)-LEN(SUBSTITUTE(W663,"、",""))+1))</f>
        <v/>
      </c>
      <c r="N663" s="83">
        <f>IF(OR(X663="估算法",X663="算法类",X663="无法识别"),"",IF(X663="",IF(OR(I663="ILF",I663="EIF",I663="EI",I663="EO",I663="EQ"),0,""),LEN(X663)-LEN(SUBSTITUTE(SUBSTITUTE(SUBSTITUTE(SUBSTITUTE(SUBSTITUTE(X663,"|}","--"),"{|","--"),CHAR(10),""),"、",""),"|",""))+IF(AND(OR(I663="EI",I663="EO",I663="EQ"),$AD$1="NESMA"),2,1)))</f>
        <v/>
      </c>
      <c r="O663" s="84">
        <f>IF(I663="EI",IF(OR(X663="估算法",X663="算法类"),"中",IF(X663="无法识别","低",IF(L663&lt;2,IF(N663&lt;16,"低","中"),IF(L663&lt;3,IF(N663&lt;5,"低",IF(N663&lt;16,"中","高")),IF(N663&lt;5,"中","高"))))),IF(OR(I663="EO",I663="EQ"),IF(OR(X663="估算法",X663="算法类"),"中",IF(X663="无法识别","低",IF(L663&lt;2,IF(N663&lt;20,"低","中"),IF(L663&lt;4,IF(N663&lt;6,"低",IF(N663&lt;20,"中","高")),IF(N663&lt;6,"中","高"))))),IF(OR(I663="ILF",I663="EIF"),IF(OR(X663="估算法",X663="算法类",X663="无法识别"),"低",IF(M663&lt;2,IF(N663&lt;51,"低","中"),IF(M663&lt;6,IF(N663&lt;20,"低",IF(N663&lt;51,"中","高")),IF(N663&lt;20,"中","高")))),"不计算")))</f>
        <v/>
      </c>
      <c r="P663" s="142">
        <f>IFERROR(IF(I663="EI",IF(O663="低",3,IF(O663="中",4,6)),IF(I663="EO",IF(O663="低",4,IF(O663="中",5,7)),IF(I663="EQ",IF(O663="低",3,IF(O663="中",4,6)),IF(I663="ILF",IF(O663="低",7,IF(O663="中",10,15)),IF(I663="EIF",IF(O663="低",5,IF(O663="中",7,10)),"不计算")))))*Q663,"不计算")</f>
        <v/>
      </c>
      <c r="Q663" s="142" t="n">
        <v>0</v>
      </c>
      <c r="R663" s="143">
        <f>调整因子!$F$13</f>
        <v/>
      </c>
      <c r="S663" s="70" t="n">
        <v>1</v>
      </c>
      <c r="T663" s="144">
        <f>IFERROR(P663*R663,0)</f>
        <v/>
      </c>
      <c r="U663" s="144">
        <f>T663*S663</f>
        <v/>
      </c>
      <c r="V663" s="89" t="n"/>
      <c r="W663" s="76" t="inlineStr">
        <is>
          <t>误报系统漏洞数统计数据表</t>
        </is>
      </c>
      <c r="X663" s="76" t="inlineStr">
        <is>
          <t>误报系统漏洞数统计数据表{ID、日期、业务场景ID、误报系统漏洞ID、工单ID|}</t>
        </is>
      </c>
      <c r="Y663" s="88">
        <f>IF(COUNTIFS(V:V,"*"&amp;H663&amp;"*")&gt;0,"存在","不存在")</f>
        <v/>
      </c>
      <c r="Z663" s="88">
        <f>IF(COUNTIFS(AA:AA,"*"&amp;H663&amp;"*")&gt;0,"存在","不存在")</f>
        <v/>
      </c>
      <c r="AA663" s="101" t="n"/>
    </row>
    <row r="664" hidden="1" ht="86.40000000000001" customHeight="1">
      <c r="A664" s="69">
        <f>ROW()-1</f>
        <v/>
      </c>
      <c r="B664" s="53" t="n"/>
      <c r="C664" s="78" t="n">
        <v>2025</v>
      </c>
      <c r="D664" s="78" t="inlineStr">
        <is>
          <t>汤凤欣</t>
        </is>
      </c>
      <c r="E664" s="53" t="n"/>
      <c r="F664" s="53" t="n"/>
      <c r="G664" s="79" t="inlineStr">
        <is>
          <t>效能指标度量</t>
        </is>
      </c>
      <c r="H664" s="102" t="inlineStr">
        <is>
          <t>VPT风险等级统计</t>
        </is>
      </c>
      <c r="I664" s="76" t="inlineStr">
        <is>
          <t>EO</t>
        </is>
      </c>
      <c r="J664" s="108" t="n"/>
      <c r="K664" s="108" t="n"/>
      <c r="L664" s="83">
        <f>IF(OR(X664="估算法",X664="算法类",X664="无法识别"),"",IF(V664="",IF(OR(I664="EI",I664="EO",I664="EQ"),0,""),LEN(V664)-LEN(SUBSTITUTE(V664,"、",""))+1))</f>
        <v/>
      </c>
      <c r="M664" s="83">
        <f>IF(OR(X664="估算法",X664="算法类",X664="无法识别"),"",IF(W664="",IF(OR(I664="ILF",I664="EIF"),0,""),LEN(W664)-LEN(SUBSTITUTE(W664,"、",""))+1))</f>
        <v/>
      </c>
      <c r="N664" s="83">
        <f>IF(OR(X664="估算法",X664="算法类",X664="无法识别"),"",IF(X664="",IF(OR(I664="ILF",I664="EIF",I664="EI",I664="EO",I664="EQ"),0,""),LEN(X664)-LEN(SUBSTITUTE(SUBSTITUTE(SUBSTITUTE(SUBSTITUTE(SUBSTITUTE(X664,"|}","--"),"{|","--"),CHAR(10),""),"、",""),"|",""))+IF(AND(OR(I664="EI",I664="EO",I664="EQ"),$AD$1="NESMA"),2,1)))</f>
        <v/>
      </c>
      <c r="O664" s="84">
        <f>IF(I664="EI",IF(OR(X664="估算法",X664="算法类"),"中",IF(X664="无法识别","低",IF(L664&lt;2,IF(N664&lt;16,"低","中"),IF(L664&lt;3,IF(N664&lt;5,"低",IF(N664&lt;16,"中","高")),IF(N664&lt;5,"中","高"))))),IF(OR(I664="EO",I664="EQ"),IF(OR(X664="估算法",X664="算法类"),"中",IF(X664="无法识别","低",IF(L664&lt;2,IF(N664&lt;20,"低","中"),IF(L664&lt;4,IF(N664&lt;6,"低",IF(N664&lt;20,"中","高")),IF(N664&lt;6,"中","高"))))),IF(OR(I664="ILF",I664="EIF"),IF(OR(X664="估算法",X664="算法类",X664="无法识别"),"低",IF(M664&lt;2,IF(N664&lt;51,"低","中"),IF(M664&lt;6,IF(N664&lt;20,"低",IF(N664&lt;51,"中","高")),IF(N664&lt;20,"中","高")))),"不计算")))</f>
        <v/>
      </c>
      <c r="P664" s="142">
        <f>IFERROR(IF(I664="EI",IF(O664="低",3,IF(O664="中",4,6)),IF(I664="EO",IF(O664="低",4,IF(O664="中",5,7)),IF(I664="EQ",IF(O664="低",3,IF(O664="中",4,6)),IF(I664="ILF",IF(O664="低",7,IF(O664="中",10,15)),IF(I664="EIF",IF(O664="低",5,IF(O664="中",7,10)),"不计算")))))*Q664,"不计算")</f>
        <v/>
      </c>
      <c r="Q664" s="142" t="n">
        <v>1</v>
      </c>
      <c r="R664" s="143">
        <f>调整因子!$F$13</f>
        <v/>
      </c>
      <c r="S664" s="70" t="n">
        <v>1</v>
      </c>
      <c r="T664" s="144">
        <f>IFERROR(P664*R664,0)</f>
        <v/>
      </c>
      <c r="U664" s="144">
        <f>T664*S664</f>
        <v/>
      </c>
      <c r="V664" s="88" t="inlineStr">
        <is>
          <t>VPT风险等级统计数据表、业务场景数据表、系统漏洞数据表、系统漏洞状态数据表、工单数据表</t>
        </is>
      </c>
      <c r="W664" s="80" t="n"/>
      <c r="X664" s="79" t="inlineStr">
        <is>
          <t>VPT风险等级统计数据表{记录ID、日期、业务场景ID、系统漏洞ID、VPT级别、系统漏洞状态、工单ID、工单类型|}
系统漏洞数据表{系统漏洞ID、产品漏洞ID、资产ID、系统漏洞状态ID、时间戳、弱口令字典ID|}
系统漏洞状态数据表{系统漏洞状态ID、漏洞状态名称、漏洞状态说明|}
业务场景数据表{业务场景ID、场景编码、场景名称、场景等级|}
工单数据表{工单ID、工单编号、工单类型、处置时间、处置方式、资产范围、漏洞范围、口令字典范围、目标系统漏洞状态|}</t>
        </is>
      </c>
      <c r="Y664" s="88" t="n"/>
      <c r="Z664" s="88" t="n"/>
      <c r="AA664" s="70" t="n"/>
    </row>
    <row r="665" hidden="1" ht="75.59999999999999" customHeight="1">
      <c r="A665" s="69">
        <f>ROW()-1</f>
        <v/>
      </c>
      <c r="B665" s="53" t="n"/>
      <c r="C665" s="78" t="n">
        <v>2025</v>
      </c>
      <c r="D665" s="78" t="inlineStr">
        <is>
          <t>汤凤欣</t>
        </is>
      </c>
      <c r="E665" s="53" t="n"/>
      <c r="F665" s="53" t="n"/>
      <c r="G665" s="53" t="n"/>
      <c r="H665" s="103" t="inlineStr">
        <is>
          <t>产品漏洞覆盖率统计</t>
        </is>
      </c>
      <c r="I665" s="76" t="inlineStr">
        <is>
          <t>EO</t>
        </is>
      </c>
      <c r="J665" s="108" t="n"/>
      <c r="K665" s="108" t="inlineStr">
        <is>
          <t>无法判断是否在相同界面展示统计结果</t>
        </is>
      </c>
      <c r="L665" s="83">
        <f>IF(OR(X665="估算法",X665="算法类",X665="无法识别"),"",IF(V665="",IF(OR(I665="EI",I665="EO",I665="EQ"),0,""),LEN(V665)-LEN(SUBSTITUTE(V665,"、",""))+1))</f>
        <v/>
      </c>
      <c r="M665" s="83">
        <f>IF(OR(X665="估算法",X665="算法类",X665="无法识别"),"",IF(W665="",IF(OR(I665="ILF",I665="EIF"),0,""),LEN(W665)-LEN(SUBSTITUTE(W665,"、",""))+1))</f>
        <v/>
      </c>
      <c r="N665" s="83">
        <f>IF(OR(X665="估算法",X665="算法类",X665="无法识别"),"",IF(X665="",IF(OR(I665="ILF",I665="EIF",I665="EI",I665="EO",I665="EQ"),0,""),LEN(X665)-LEN(SUBSTITUTE(SUBSTITUTE(SUBSTITUTE(SUBSTITUTE(SUBSTITUTE(X665,"|}","--"),"{|","--"),CHAR(10),""),"、",""),"|",""))+IF(AND(OR(I665="EI",I665="EO",I665="EQ"),$AD$1="NESMA"),2,1)))</f>
        <v/>
      </c>
      <c r="O665" s="84">
        <f>IF(I665="EI",IF(OR(X665="估算法",X665="算法类"),"中",IF(X665="无法识别","低",IF(L665&lt;2,IF(N665&lt;16,"低","中"),IF(L665&lt;3,IF(N665&lt;5,"低",IF(N665&lt;16,"中","高")),IF(N665&lt;5,"中","高"))))),IF(OR(I665="EO",I665="EQ"),IF(OR(X665="估算法",X665="算法类"),"中",IF(X665="无法识别","低",IF(L665&lt;2,IF(N665&lt;20,"低","中"),IF(L665&lt;4,IF(N665&lt;6,"低",IF(N665&lt;20,"中","高")),IF(N665&lt;6,"中","高"))))),IF(OR(I665="ILF",I665="EIF"),IF(OR(X665="估算法",X665="算法类",X665="无法识别"),"低",IF(M665&lt;2,IF(N665&lt;51,"低","中"),IF(M665&lt;6,IF(N665&lt;20,"低",IF(N665&lt;51,"中","高")),IF(N665&lt;20,"中","高")))),"不计算")))</f>
        <v/>
      </c>
      <c r="P665" s="142">
        <f>IFERROR(IF(I665="EI",IF(O665="低",3,IF(O665="中",4,6)),IF(I665="EO",IF(O665="低",4,IF(O665="中",5,7)),IF(I665="EQ",IF(O665="低",3,IF(O665="中",4,6)),IF(I665="ILF",IF(O665="低",7,IF(O665="中",10,15)),IF(I665="EIF",IF(O665="低",5,IF(O665="中",7,10)),"不计算")))))*Q665,"不计算")</f>
        <v/>
      </c>
      <c r="Q665" s="142" t="n">
        <v>0.333333333333333</v>
      </c>
      <c r="R665" s="143">
        <f>调整因子!$F$13</f>
        <v/>
      </c>
      <c r="S665" s="76" t="n">
        <v>1</v>
      </c>
      <c r="T665" s="144">
        <f>IFERROR(P665*R665,0)</f>
        <v/>
      </c>
      <c r="U665" s="144">
        <f>T665*S665</f>
        <v/>
      </c>
      <c r="V665" s="76" t="inlineStr">
        <is>
          <t>产品漏洞覆盖率统计数据表、业务场景数据表、工单数据表、产品漏洞数据表</t>
        </is>
      </c>
      <c r="W665" s="81" t="n"/>
      <c r="X665" s="76" t="inlineStr">
        <is>
          <t>产品漏洞覆盖率统计数据表{记录ID、日期、业务场景ID、产品漏洞ID、工单ID、工单类型|}
业务场景数据表{业务场景ID、场景编码、场景名称、场景等级|}
工单数据表{工单ID、工单编号、工单类型、处置时间、处置方式、资产范围、漏洞范围、口令字典范围、目标系统漏洞状态|}
产品漏洞数据表{产品漏洞ID、漏洞编号、漏洞名称、漏洞等级、漏洞说明、修复建议、漏洞类型、发布日期|}</t>
        </is>
      </c>
      <c r="Y665" s="88" t="n"/>
      <c r="Z665" s="88" t="n"/>
      <c r="AA665" s="101" t="n"/>
    </row>
    <row r="666" hidden="1" ht="64.8" customHeight="1">
      <c r="A666" s="69">
        <f>ROW()-1</f>
        <v/>
      </c>
      <c r="B666" s="53" t="n"/>
      <c r="C666" s="78" t="n">
        <v>2025</v>
      </c>
      <c r="D666" s="78" t="inlineStr">
        <is>
          <t>汤凤欣</t>
        </is>
      </c>
      <c r="E666" s="53" t="n"/>
      <c r="F666" s="53" t="n"/>
      <c r="G666" s="53" t="n"/>
      <c r="H666" s="102" t="inlineStr">
        <is>
          <t>弱口令扫描检测周期统计</t>
        </is>
      </c>
      <c r="I666" s="76" t="inlineStr">
        <is>
          <t>EO</t>
        </is>
      </c>
      <c r="J666" s="108" t="n"/>
      <c r="K666" s="108" t="inlineStr">
        <is>
          <t>无法判断是否在相同界面展示统计结果</t>
        </is>
      </c>
      <c r="L666" s="83">
        <f>IF(OR(X666="估算法",X666="算法类",X666="无法识别"),"",IF(V666="",IF(OR(I666="EI",I666="EO",I666="EQ"),0,""),LEN(V666)-LEN(SUBSTITUTE(V666,"、",""))+1))</f>
        <v/>
      </c>
      <c r="M666" s="83">
        <f>IF(OR(X666="估算法",X666="算法类",X666="无法识别"),"",IF(W666="",IF(OR(I666="ILF",I666="EIF"),0,""),LEN(W666)-LEN(SUBSTITUTE(W666,"、",""))+1))</f>
        <v/>
      </c>
      <c r="N666" s="83">
        <f>IF(OR(X666="估算法",X666="算法类",X666="无法识别"),"",IF(X666="",IF(OR(I666="ILF",I666="EIF",I666="EI",I666="EO",I666="EQ"),0,""),LEN(X666)-LEN(SUBSTITUTE(SUBSTITUTE(SUBSTITUTE(SUBSTITUTE(SUBSTITUTE(X666,"|}","--"),"{|","--"),CHAR(10),""),"、",""),"|",""))+IF(AND(OR(I666="EI",I666="EO",I666="EQ"),$AD$1="NESMA"),2,1)))</f>
        <v/>
      </c>
      <c r="O666" s="84">
        <f>IF(I666="EI",IF(OR(X666="估算法",X666="算法类"),"中",IF(X666="无法识别","低",IF(L666&lt;2,IF(N666&lt;16,"低","中"),IF(L666&lt;3,IF(N666&lt;5,"低",IF(N666&lt;16,"中","高")),IF(N666&lt;5,"中","高"))))),IF(OR(I666="EO",I666="EQ"),IF(OR(X666="估算法",X666="算法类"),"中",IF(X666="无法识别","低",IF(L666&lt;2,IF(N666&lt;20,"低","中"),IF(L666&lt;4,IF(N666&lt;6,"低",IF(N666&lt;20,"中","高")),IF(N666&lt;6,"中","高"))))),IF(OR(I666="ILF",I666="EIF"),IF(OR(X666="估算法",X666="算法类",X666="无法识别"),"低",IF(M666&lt;2,IF(N666&lt;51,"低","中"),IF(M666&lt;6,IF(N666&lt;20,"低",IF(N666&lt;51,"中","高")),IF(N666&lt;20,"中","高")))),"不计算")))</f>
        <v/>
      </c>
      <c r="P666" s="142">
        <f>IFERROR(IF(I666="EI",IF(O666="低",3,IF(O666="中",4,6)),IF(I666="EO",IF(O666="低",4,IF(O666="中",5,7)),IF(I666="EQ",IF(O666="低",3,IF(O666="中",4,6)),IF(I666="ILF",IF(O666="低",7,IF(O666="中",10,15)),IF(I666="EIF",IF(O666="低",5,IF(O666="中",7,10)),"不计算")))))*Q666,"不计算")</f>
        <v/>
      </c>
      <c r="Q666" s="142" t="n">
        <v>0.333333333333333</v>
      </c>
      <c r="R666" s="143">
        <f>调整因子!$F$13</f>
        <v/>
      </c>
      <c r="S666" s="70" t="n">
        <v>1</v>
      </c>
      <c r="T666" s="144">
        <f>IFERROR(P666*R666,0)</f>
        <v/>
      </c>
      <c r="U666" s="144">
        <f>T666*S666</f>
        <v/>
      </c>
      <c r="V666" s="76" t="inlineStr">
        <is>
          <t>弱口令扫描检测周期统计数据表、业务场景数据表、资产数据表、弱口令扫描任务</t>
        </is>
      </c>
      <c r="W666" s="81" t="n"/>
      <c r="X666" s="76" t="inlineStr">
        <is>
          <t>弱口令扫描检测周期统计数据表{记录ID、日期、业务场景ID、资产ID、弱口令扫描任务ID|}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is>
      </c>
      <c r="Y666" s="88" t="n"/>
      <c r="Z666" s="88" t="n"/>
      <c r="AA666" s="70" t="n"/>
    </row>
    <row r="667" hidden="1" ht="64.8" customHeight="1">
      <c r="A667" s="69">
        <f>ROW()-1</f>
        <v/>
      </c>
      <c r="B667" s="53" t="n"/>
      <c r="C667" s="78" t="n">
        <v>2025</v>
      </c>
      <c r="D667" s="78" t="inlineStr">
        <is>
          <t>汤凤欣</t>
        </is>
      </c>
      <c r="E667" s="53" t="n"/>
      <c r="F667" s="53" t="n"/>
      <c r="G667" s="53" t="n"/>
      <c r="H667" s="102" t="inlineStr">
        <is>
          <t>弱口令扫描资产覆盖率统计</t>
        </is>
      </c>
      <c r="I667" s="76" t="inlineStr">
        <is>
          <t>EO</t>
        </is>
      </c>
      <c r="J667" s="108" t="n"/>
      <c r="K667" s="108" t="inlineStr">
        <is>
          <t>无法判断是否在相同界面展示统计结果</t>
        </is>
      </c>
      <c r="L667" s="83">
        <f>IF(OR(X667="估算法",X667="算法类",X667="无法识别"),"",IF(V667="",IF(OR(I667="EI",I667="EO",I667="EQ"),0,""),LEN(V667)-LEN(SUBSTITUTE(V667,"、",""))+1))</f>
        <v/>
      </c>
      <c r="M667" s="83">
        <f>IF(OR(X667="估算法",X667="算法类",X667="无法识别"),"",IF(W667="",IF(OR(I667="ILF",I667="EIF"),0,""),LEN(W667)-LEN(SUBSTITUTE(W667,"、",""))+1))</f>
        <v/>
      </c>
      <c r="N667" s="83">
        <f>IF(OR(X667="估算法",X667="算法类",X667="无法识别"),"",IF(X667="",IF(OR(I667="ILF",I667="EIF",I667="EI",I667="EO",I667="EQ"),0,""),LEN(X667)-LEN(SUBSTITUTE(SUBSTITUTE(SUBSTITUTE(SUBSTITUTE(SUBSTITUTE(X667,"|}","--"),"{|","--"),CHAR(10),""),"、",""),"|",""))+IF(AND(OR(I667="EI",I667="EO",I667="EQ"),$AD$1="NESMA"),2,1)))</f>
        <v/>
      </c>
      <c r="O667" s="84">
        <f>IF(I667="EI",IF(OR(X667="估算法",X667="算法类"),"中",IF(X667="无法识别","低",IF(L667&lt;2,IF(N667&lt;16,"低","中"),IF(L667&lt;3,IF(N667&lt;5,"低",IF(N667&lt;16,"中","高")),IF(N667&lt;5,"中","高"))))),IF(OR(I667="EO",I667="EQ"),IF(OR(X667="估算法",X667="算法类"),"中",IF(X667="无法识别","低",IF(L667&lt;2,IF(N667&lt;20,"低","中"),IF(L667&lt;4,IF(N667&lt;6,"低",IF(N667&lt;20,"中","高")),IF(N667&lt;6,"中","高"))))),IF(OR(I667="ILF",I667="EIF"),IF(OR(X667="估算法",X667="算法类",X667="无法识别"),"低",IF(M667&lt;2,IF(N667&lt;51,"低","中"),IF(M667&lt;6,IF(N667&lt;20,"低",IF(N667&lt;51,"中","高")),IF(N667&lt;20,"中","高")))),"不计算")))</f>
        <v/>
      </c>
      <c r="P667" s="142">
        <f>IFERROR(IF(I667="EI",IF(O667="低",3,IF(O667="中",4,6)),IF(I667="EO",IF(O667="低",4,IF(O667="中",5,7)),IF(I667="EQ",IF(O667="低",3,IF(O667="中",4,6)),IF(I667="ILF",IF(O667="低",7,IF(O667="中",10,15)),IF(I667="EIF",IF(O667="低",5,IF(O667="中",7,10)),"不计算")))))*Q667,"不计算")</f>
        <v/>
      </c>
      <c r="Q667" s="142" t="n">
        <v>0.333333333333333</v>
      </c>
      <c r="R667" s="143">
        <f>调整因子!$F$13</f>
        <v/>
      </c>
      <c r="S667" s="70" t="n">
        <v>1</v>
      </c>
      <c r="T667" s="144">
        <f>IFERROR(P667*R667,0)</f>
        <v/>
      </c>
      <c r="U667" s="144">
        <f>T667*S667</f>
        <v/>
      </c>
      <c r="V667" s="76" t="inlineStr">
        <is>
          <t>弱口令扫描资产覆盖率统计数据表、业务场景数据表、弱口令扫描任务、资产数据表</t>
        </is>
      </c>
      <c r="W667" s="81" t="n"/>
      <c r="X667" s="76" t="inlineStr">
        <is>
          <t>弱口令扫描资产覆盖率统计数据表{记录ID、日期、业务场景ID、弱口令扫描任务ID、资产ID|}
业务场景数据表{业务场景ID、场景编码、场景名称、场景等级|}
弱口令扫描任务{扫描任务ID、弱口令范围、扫描资产范围、任务执行时间}
资产数据表{资产ID、资产名称、IP、端口、服务、资产状态、责任人、定级备案系统名称、网络位置、网络单元、厂商、版本、型号|}</t>
        </is>
      </c>
      <c r="Y667" s="88" t="n"/>
      <c r="Z667" s="88" t="n"/>
      <c r="AA667" s="101" t="n"/>
    </row>
    <row r="668" hidden="1" ht="54" customHeight="1">
      <c r="A668" s="69">
        <f>ROW()-1</f>
        <v/>
      </c>
      <c r="B668" s="53" t="n"/>
      <c r="C668" s="78" t="n">
        <v>2025</v>
      </c>
      <c r="D668" s="78" t="inlineStr">
        <is>
          <t>汤凤欣</t>
        </is>
      </c>
      <c r="E668" s="53" t="n"/>
      <c r="F668" s="53" t="n"/>
      <c r="G668" s="53" t="n"/>
      <c r="H668" s="103" t="inlineStr">
        <is>
          <t>弱口令覆盖率统计</t>
        </is>
      </c>
      <c r="I668" s="76" t="inlineStr">
        <is>
          <t>EO</t>
        </is>
      </c>
      <c r="J668" s="108" t="n"/>
      <c r="K668" s="108" t="inlineStr">
        <is>
          <t>无法判断是否在相同界面展示统计结果</t>
        </is>
      </c>
      <c r="L668" s="83">
        <f>IF(OR(X668="估算法",X668="算法类",X668="无法识别"),"",IF(V668="",IF(OR(I668="EI",I668="EO",I668="EQ"),0,""),LEN(V668)-LEN(SUBSTITUTE(V668,"、",""))+1))</f>
        <v/>
      </c>
      <c r="M668" s="83">
        <f>IF(OR(X668="估算法",X668="算法类",X668="无法识别"),"",IF(W668="",IF(OR(I668="ILF",I668="EIF"),0,""),LEN(W668)-LEN(SUBSTITUTE(W668,"、",""))+1))</f>
        <v/>
      </c>
      <c r="N668" s="83">
        <f>IF(OR(X668="估算法",X668="算法类",X668="无法识别"),"",IF(X668="",IF(OR(I668="ILF",I668="EIF",I668="EI",I668="EO",I668="EQ"),0,""),LEN(X668)-LEN(SUBSTITUTE(SUBSTITUTE(SUBSTITUTE(SUBSTITUTE(SUBSTITUTE(X668,"|}","--"),"{|","--"),CHAR(10),""),"、",""),"|",""))+IF(AND(OR(I668="EI",I668="EO",I668="EQ"),$AD$1="NESMA"),2,1)))</f>
        <v/>
      </c>
      <c r="O668" s="84">
        <f>IF(I668="EI",IF(OR(X668="估算法",X668="算法类"),"中",IF(X668="无法识别","低",IF(L668&lt;2,IF(N668&lt;16,"低","中"),IF(L668&lt;3,IF(N668&lt;5,"低",IF(N668&lt;16,"中","高")),IF(N668&lt;5,"中","高"))))),IF(OR(I668="EO",I668="EQ"),IF(OR(X668="估算法",X668="算法类"),"中",IF(X668="无法识别","低",IF(L668&lt;2,IF(N668&lt;20,"低","中"),IF(L668&lt;4,IF(N668&lt;6,"低",IF(N668&lt;20,"中","高")),IF(N668&lt;6,"中","高"))))),IF(OR(I668="ILF",I668="EIF"),IF(OR(X668="估算法",X668="算法类",X668="无法识别"),"低",IF(M668&lt;2,IF(N668&lt;51,"低","中"),IF(M668&lt;6,IF(N668&lt;20,"低",IF(N668&lt;51,"中","高")),IF(N668&lt;20,"中","高")))),"不计算")))</f>
        <v/>
      </c>
      <c r="P668" s="142">
        <f>IFERROR(IF(I668="EI",IF(O668="低",3,IF(O668="中",4,6)),IF(I668="EO",IF(O668="低",4,IF(O668="中",5,7)),IF(I668="EQ",IF(O668="低",3,IF(O668="中",4,6)),IF(I668="ILF",IF(O668="低",7,IF(O668="中",10,15)),IF(I668="EIF",IF(O668="低",5,IF(O668="中",7,10)),"不计算")))))*Q668,"不计算")</f>
        <v/>
      </c>
      <c r="Q668" s="142" t="n">
        <v>0.333333333333333</v>
      </c>
      <c r="R668" s="143">
        <f>调整因子!$F$13</f>
        <v/>
      </c>
      <c r="S668" s="76" t="n">
        <v>1</v>
      </c>
      <c r="T668" s="144">
        <f>IFERROR(P668*R668,0)</f>
        <v/>
      </c>
      <c r="U668" s="144">
        <f>T668*S668</f>
        <v/>
      </c>
      <c r="V668" s="76" t="inlineStr">
        <is>
          <t>弱口令覆盖率统计数据表、业务场景数据表、弱口令字典数据表、弱口令扫描任务</t>
        </is>
      </c>
      <c r="W668" s="81" t="n"/>
      <c r="X668" s="76" t="inlineStr">
        <is>
          <t>弱口令覆盖率统计数据表{记录ID、日期、业务场景ID、弱口令字典ID、弱口令扫描任务ID|}
业务场景数据表{业务场景ID、场景编码、场景名称、场景等级|}
弱口令字典数据表{口令字典ID、字典名称、字典类型、字典内容|}
弱口令扫描任务{扫描任务ID、弱口令范围、扫描资产范围、任务执行时间}</t>
        </is>
      </c>
      <c r="Y668" s="88" t="n"/>
      <c r="Z668" s="88" t="n"/>
      <c r="AA668" s="70" t="n"/>
    </row>
    <row r="669" hidden="1" ht="64.8" customHeight="1">
      <c r="A669" s="69">
        <f>ROW()-1</f>
        <v/>
      </c>
      <c r="B669" s="53" t="n"/>
      <c r="C669" s="78" t="n">
        <v>2025</v>
      </c>
      <c r="D669" s="78" t="inlineStr">
        <is>
          <t>汤凤欣</t>
        </is>
      </c>
      <c r="E669" s="53" t="n"/>
      <c r="F669" s="53" t="n"/>
      <c r="G669" s="53" t="n"/>
      <c r="H669" s="102" t="inlineStr">
        <is>
          <t>有效漏洞率统计</t>
        </is>
      </c>
      <c r="I669" s="76" t="inlineStr">
        <is>
          <t>EO</t>
        </is>
      </c>
      <c r="J669" s="108" t="n"/>
      <c r="K669" s="108" t="inlineStr">
        <is>
          <t>无法判断是否在相同界面展示统计结果</t>
        </is>
      </c>
      <c r="L669" s="83">
        <f>IF(OR(X669="估算法",X669="算法类",X669="无法识别"),"",IF(V669="",IF(OR(I669="EI",I669="EO",I669="EQ"),0,""),LEN(V669)-LEN(SUBSTITUTE(V669,"、",""))+1))</f>
        <v/>
      </c>
      <c r="M669" s="83">
        <f>IF(OR(X669="估算法",X669="算法类",X669="无法识别"),"",IF(W669="",IF(OR(I669="ILF",I669="EIF"),0,""),LEN(W669)-LEN(SUBSTITUTE(W669,"、",""))+1))</f>
        <v/>
      </c>
      <c r="N669" s="83">
        <f>IF(OR(X669="估算法",X669="算法类",X669="无法识别"),"",IF(X669="",IF(OR(I669="ILF",I669="EIF",I669="EI",I669="EO",I669="EQ"),0,""),LEN(X669)-LEN(SUBSTITUTE(SUBSTITUTE(SUBSTITUTE(SUBSTITUTE(SUBSTITUTE(X669,"|}","--"),"{|","--"),CHAR(10),""),"、",""),"|",""))+IF(AND(OR(I669="EI",I669="EO",I669="EQ"),$AD$1="NESMA"),2,1)))</f>
        <v/>
      </c>
      <c r="O669" s="84">
        <f>IF(I669="EI",IF(OR(X669="估算法",X669="算法类"),"中",IF(X669="无法识别","低",IF(L669&lt;2,IF(N669&lt;16,"低","中"),IF(L669&lt;3,IF(N669&lt;5,"低",IF(N669&lt;16,"中","高")),IF(N669&lt;5,"中","高"))))),IF(OR(I669="EO",I669="EQ"),IF(OR(X669="估算法",X669="算法类"),"中",IF(X669="无法识别","低",IF(L669&lt;2,IF(N669&lt;20,"低","中"),IF(L669&lt;4,IF(N669&lt;6,"低",IF(N669&lt;20,"中","高")),IF(N669&lt;6,"中","高"))))),IF(OR(I669="ILF",I669="EIF"),IF(OR(X669="估算法",X669="算法类",X669="无法识别"),"低",IF(M669&lt;2,IF(N669&lt;51,"低","中"),IF(M669&lt;6,IF(N669&lt;20,"低",IF(N669&lt;51,"中","高")),IF(N669&lt;20,"中","高")))),"不计算")))</f>
        <v/>
      </c>
      <c r="P669" s="142">
        <f>IFERROR(IF(I669="EI",IF(O669="低",3,IF(O669="中",4,6)),IF(I669="EO",IF(O669="低",4,IF(O669="中",5,7)),IF(I669="EQ",IF(O669="低",3,IF(O669="中",4,6)),IF(I669="ILF",IF(O669="低",7,IF(O669="中",10,15)),IF(I669="EIF",IF(O669="低",5,IF(O669="中",7,10)),"不计算")))))*Q669,"不计算")</f>
        <v/>
      </c>
      <c r="Q669" s="142" t="n">
        <v>0.333333333333333</v>
      </c>
      <c r="R669" s="143">
        <f>调整因子!$F$13</f>
        <v/>
      </c>
      <c r="S669" s="70" t="n">
        <v>1</v>
      </c>
      <c r="T669" s="144">
        <f>IFERROR(P669*R669,0)</f>
        <v/>
      </c>
      <c r="U669" s="144">
        <f>T669*S669</f>
        <v/>
      </c>
      <c r="V669" s="76" t="inlineStr">
        <is>
          <t>有效漏洞率统计数据表、业务场景数据表、系统漏洞数据表、工单数据表</t>
        </is>
      </c>
      <c r="W669" s="81" t="n"/>
      <c r="X669" s="76" t="inlineStr">
        <is>
          <t>有效漏洞率统计数据表{记录ID、日期、业务场景ID、有效系统漏洞ID、工单ID|}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69" s="88" t="n"/>
      <c r="Z669" s="88" t="n"/>
      <c r="AA669" s="101" t="n"/>
    </row>
    <row r="670" hidden="1" ht="75.59999999999999" customHeight="1">
      <c r="A670" s="69">
        <f>ROW()-1</f>
        <v/>
      </c>
      <c r="B670" s="53" t="n"/>
      <c r="C670" s="78" t="n">
        <v>2025</v>
      </c>
      <c r="D670" s="78" t="inlineStr">
        <is>
          <t>汤凤欣</t>
        </is>
      </c>
      <c r="E670" s="53" t="n"/>
      <c r="F670" s="53" t="n"/>
      <c r="G670" s="53" t="n"/>
      <c r="H670" s="103" t="inlineStr">
        <is>
          <t>未排查原因比例统计</t>
        </is>
      </c>
      <c r="I670" s="76" t="inlineStr">
        <is>
          <t>EO</t>
        </is>
      </c>
      <c r="J670" s="108" t="n"/>
      <c r="K670" s="108" t="inlineStr">
        <is>
          <t>无法判断是否在相同界面展示统计结果</t>
        </is>
      </c>
      <c r="L670" s="83">
        <f>IF(OR(X670="估算法",X670="算法类",X670="无法识别"),"",IF(V670="",IF(OR(I670="EI",I670="EO",I670="EQ"),0,""),LEN(V670)-LEN(SUBSTITUTE(V670,"、",""))+1))</f>
        <v/>
      </c>
      <c r="M670" s="83">
        <f>IF(OR(X670="估算法",X670="算法类",X670="无法识别"),"",IF(W670="",IF(OR(I670="ILF",I670="EIF"),0,""),LEN(W670)-LEN(SUBSTITUTE(W670,"、",""))+1))</f>
        <v/>
      </c>
      <c r="N670" s="83">
        <f>IF(OR(X670="估算法",X670="算法类",X670="无法识别"),"",IF(X670="",IF(OR(I670="ILF",I670="EIF",I670="EI",I670="EO",I670="EQ"),0,""),LEN(X670)-LEN(SUBSTITUTE(SUBSTITUTE(SUBSTITUTE(SUBSTITUTE(SUBSTITUTE(X670,"|}","--"),"{|","--"),CHAR(10),""),"、",""),"|",""))+IF(AND(OR(I670="EI",I670="EO",I670="EQ"),$AD$1="NESMA"),2,1)))</f>
        <v/>
      </c>
      <c r="O670" s="84">
        <f>IF(I670="EI",IF(OR(X670="估算法",X670="算法类"),"中",IF(X670="无法识别","低",IF(L670&lt;2,IF(N670&lt;16,"低","中"),IF(L670&lt;3,IF(N670&lt;5,"低",IF(N670&lt;16,"中","高")),IF(N670&lt;5,"中","高"))))),IF(OR(I670="EO",I670="EQ"),IF(OR(X670="估算法",X670="算法类"),"中",IF(X670="无法识别","低",IF(L670&lt;2,IF(N670&lt;20,"低","中"),IF(L670&lt;4,IF(N670&lt;6,"低",IF(N670&lt;20,"中","高")),IF(N670&lt;6,"中","高"))))),IF(OR(I670="ILF",I670="EIF"),IF(OR(X670="估算法",X670="算法类",X670="无法识别"),"低",IF(M670&lt;2,IF(N670&lt;51,"低","中"),IF(M670&lt;6,IF(N670&lt;20,"低",IF(N670&lt;51,"中","高")),IF(N670&lt;20,"中","高")))),"不计算")))</f>
        <v/>
      </c>
      <c r="P670" s="142">
        <f>IFERROR(IF(I670="EI",IF(O670="低",3,IF(O670="中",4,6)),IF(I670="EO",IF(O670="低",4,IF(O670="中",5,7)),IF(I670="EQ",IF(O670="低",3,IF(O670="中",4,6)),IF(I670="ILF",IF(O670="低",7,IF(O670="中",10,15)),IF(I670="EIF",IF(O670="低",5,IF(O670="中",7,10)),"不计算")))))*Q670,"不计算")</f>
        <v/>
      </c>
      <c r="Q670" s="142" t="n">
        <v>0.2</v>
      </c>
      <c r="R670" s="143">
        <f>调整因子!$F$13</f>
        <v/>
      </c>
      <c r="S670" s="70" t="n">
        <v>1</v>
      </c>
      <c r="T670" s="144">
        <f>IFERROR(P670*R670,0)</f>
        <v/>
      </c>
      <c r="U670" s="144">
        <f>T670*S670</f>
        <v/>
      </c>
      <c r="V670" s="76" t="inlineStr">
        <is>
          <t>未排查原因比例统计数据表、业务场景数据表、资产数据表、工单数据表</t>
        </is>
      </c>
      <c r="W670" s="81" t="n"/>
      <c r="X670" s="76" t="inlineStr">
        <is>
          <t>未排查原因比例统计数据表{记录ID、日期、业务场景ID、未排查资产ID、未排查原因、排查工单ID|}
业务场景数据表{业务场景ID、场景编码、场景名称、场景等级|}
资产数据表{资产ID、资产名称、IP、端口、服务、资产状态、责任人、定级备案系统名称、网络位置、网络单元、厂商、版本、型号|}
工单数据表{工单ID、工单编号、工单类型、处置时间、处置方式、资产范围、漏洞范围、口令字典范围、目标系统漏洞状态|}</t>
        </is>
      </c>
      <c r="Y670" s="88" t="n"/>
      <c r="Z670" s="88" t="n"/>
      <c r="AA670" s="70" t="n"/>
    </row>
    <row r="671" hidden="1" ht="75.59999999999999" customHeight="1">
      <c r="A671" s="69">
        <f>ROW()-1</f>
        <v/>
      </c>
      <c r="B671" s="53" t="n"/>
      <c r="C671" s="78" t="n">
        <v>2025</v>
      </c>
      <c r="D671" s="78" t="inlineStr">
        <is>
          <t>汤凤欣</t>
        </is>
      </c>
      <c r="E671" s="53" t="n"/>
      <c r="F671" s="53" t="n"/>
      <c r="G671" s="53" t="n"/>
      <c r="H671" s="102" t="inlineStr">
        <is>
          <t>未闭环漏洞一致率统计</t>
        </is>
      </c>
      <c r="I671" s="76" t="inlineStr">
        <is>
          <t>EO</t>
        </is>
      </c>
      <c r="J671" s="108" t="n"/>
      <c r="K671" s="108" t="inlineStr">
        <is>
          <t>无法判断是否在相同界面展示统计结果</t>
        </is>
      </c>
      <c r="L671" s="83">
        <f>IF(OR(X671="估算法",X671="算法类",X671="无法识别"),"",IF(V671="",IF(OR(I671="EI",I671="EO",I671="EQ"),0,""),LEN(V671)-LEN(SUBSTITUTE(V671,"、",""))+1))</f>
        <v/>
      </c>
      <c r="M671" s="83">
        <f>IF(OR(X671="估算法",X671="算法类",X671="无法识别"),"",IF(W671="",IF(OR(I671="ILF",I671="EIF"),0,""),LEN(W671)-LEN(SUBSTITUTE(W671,"、",""))+1))</f>
        <v/>
      </c>
      <c r="N671" s="83">
        <f>IF(OR(X671="估算法",X671="算法类",X671="无法识别"),"",IF(X671="",IF(OR(I671="ILF",I671="EIF",I671="EI",I671="EO",I671="EQ"),0,""),LEN(X671)-LEN(SUBSTITUTE(SUBSTITUTE(SUBSTITUTE(SUBSTITUTE(SUBSTITUTE(X671,"|}","--"),"{|","--"),CHAR(10),""),"、",""),"|",""))+IF(AND(OR(I671="EI",I671="EO",I671="EQ"),$AD$1="NESMA"),2,1)))</f>
        <v/>
      </c>
      <c r="O671" s="84">
        <f>IF(I671="EI",IF(OR(X671="估算法",X671="算法类"),"中",IF(X671="无法识别","低",IF(L671&lt;2,IF(N671&lt;16,"低","中"),IF(L671&lt;3,IF(N671&lt;5,"低",IF(N671&lt;16,"中","高")),IF(N671&lt;5,"中","高"))))),IF(OR(I671="EO",I671="EQ"),IF(OR(X671="估算法",X671="算法类"),"中",IF(X671="无法识别","低",IF(L671&lt;2,IF(N671&lt;20,"低","中"),IF(L671&lt;4,IF(N671&lt;6,"低",IF(N671&lt;20,"中","高")),IF(N671&lt;6,"中","高"))))),IF(OR(I671="ILF",I671="EIF"),IF(OR(X671="估算法",X671="算法类",X671="无法识别"),"低",IF(M671&lt;2,IF(N671&lt;51,"低","中"),IF(M671&lt;6,IF(N671&lt;20,"低",IF(N671&lt;51,"中","高")),IF(N671&lt;20,"中","高")))),"不计算")))</f>
        <v/>
      </c>
      <c r="P671" s="142">
        <f>IFERROR(IF(I671="EI",IF(O671="低",3,IF(O671="中",4,6)),IF(I671="EO",IF(O671="低",4,IF(O671="中",5,7)),IF(I671="EQ",IF(O671="低",3,IF(O671="中",4,6)),IF(I671="ILF",IF(O671="低",7,IF(O671="中",10,15)),IF(I671="EIF",IF(O671="低",5,IF(O671="中",7,10)),"不计算")))))*Q671,"不计算")</f>
        <v/>
      </c>
      <c r="Q671" s="142" t="n">
        <v>0.2</v>
      </c>
      <c r="R671" s="143">
        <f>调整因子!$F$13</f>
        <v/>
      </c>
      <c r="S671" s="76" t="n">
        <v>1</v>
      </c>
      <c r="T671" s="144">
        <f>IFERROR(P671*R671,0)</f>
        <v/>
      </c>
      <c r="U671" s="144">
        <f>T671*S671</f>
        <v/>
      </c>
      <c r="V671" s="76" t="inlineStr">
        <is>
          <t>未闭环漏洞一致率统计数据表、业务场景数据表、系统漏洞数据表、工单数据表</t>
        </is>
      </c>
      <c r="W671" s="81" t="n"/>
      <c r="X671" s="76" t="inlineStr">
        <is>
          <t>未闭环漏洞一致率统计数据表{记录ID、日期、业务场景ID、未闭环系统漏洞ID、修复核验工单ID|}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71" s="88" t="n"/>
      <c r="Z671" s="88" t="n"/>
      <c r="AA671" s="101" t="n"/>
    </row>
    <row r="672" hidden="1" ht="75.59999999999999" customHeight="1">
      <c r="A672" s="69">
        <f>ROW()-1</f>
        <v/>
      </c>
      <c r="B672" s="53" t="n"/>
      <c r="C672" s="78" t="n">
        <v>2025</v>
      </c>
      <c r="D672" s="78" t="inlineStr">
        <is>
          <t>汤凤欣</t>
        </is>
      </c>
      <c r="E672" s="53" t="n"/>
      <c r="F672" s="53" t="n"/>
      <c r="G672" s="53" t="n"/>
      <c r="H672" s="103" t="inlineStr">
        <is>
          <t>漏洞修复成功率统计</t>
        </is>
      </c>
      <c r="I672" s="76" t="inlineStr">
        <is>
          <t>EO</t>
        </is>
      </c>
      <c r="J672" s="108" t="n"/>
      <c r="K672" s="108" t="inlineStr">
        <is>
          <t>无法判断是否在相同界面展示统计结果</t>
        </is>
      </c>
      <c r="L672" s="83">
        <f>IF(OR(X672="估算法",X672="算法类",X672="无法识别"),"",IF(V672="",IF(OR(I672="EI",I672="EO",I672="EQ"),0,""),LEN(V672)-LEN(SUBSTITUTE(V672,"、",""))+1))</f>
        <v/>
      </c>
      <c r="M672" s="83">
        <f>IF(OR(X672="估算法",X672="算法类",X672="无法识别"),"",IF(W672="",IF(OR(I672="ILF",I672="EIF"),0,""),LEN(W672)-LEN(SUBSTITUTE(W672,"、",""))+1))</f>
        <v/>
      </c>
      <c r="N672" s="83">
        <f>IF(OR(X672="估算法",X672="算法类",X672="无法识别"),"",IF(X672="",IF(OR(I672="ILF",I672="EIF",I672="EI",I672="EO",I672="EQ"),0,""),LEN(X672)-LEN(SUBSTITUTE(SUBSTITUTE(SUBSTITUTE(SUBSTITUTE(SUBSTITUTE(X672,"|}","--"),"{|","--"),CHAR(10),""),"、",""),"|",""))+IF(AND(OR(I672="EI",I672="EO",I672="EQ"),$AD$1="NESMA"),2,1)))</f>
        <v/>
      </c>
      <c r="O672" s="84">
        <f>IF(I672="EI",IF(OR(X672="估算法",X672="算法类"),"中",IF(X672="无法识别","低",IF(L672&lt;2,IF(N672&lt;16,"低","中"),IF(L672&lt;3,IF(N672&lt;5,"低",IF(N672&lt;16,"中","高")),IF(N672&lt;5,"中","高"))))),IF(OR(I672="EO",I672="EQ"),IF(OR(X672="估算法",X672="算法类"),"中",IF(X672="无法识别","低",IF(L672&lt;2,IF(N672&lt;20,"低","中"),IF(L672&lt;4,IF(N672&lt;6,"低",IF(N672&lt;20,"中","高")),IF(N672&lt;6,"中","高"))))),IF(OR(I672="ILF",I672="EIF"),IF(OR(X672="估算法",X672="算法类",X672="无法识别"),"低",IF(M672&lt;2,IF(N672&lt;51,"低","中"),IF(M672&lt;6,IF(N672&lt;20,"低",IF(N672&lt;51,"中","高")),IF(N672&lt;20,"中","高")))),"不计算")))</f>
        <v/>
      </c>
      <c r="P672" s="142">
        <f>IFERROR(IF(I672="EI",IF(O672="低",3,IF(O672="中",4,6)),IF(I672="EO",IF(O672="低",4,IF(O672="中",5,7)),IF(I672="EQ",IF(O672="低",3,IF(O672="中",4,6)),IF(I672="ILF",IF(O672="低",7,IF(O672="中",10,15)),IF(I672="EIF",IF(O672="低",5,IF(O672="中",7,10)),"不计算")))))*Q672,"不计算")</f>
        <v/>
      </c>
      <c r="Q672" s="142" t="n">
        <v>0.2</v>
      </c>
      <c r="R672" s="143">
        <f>调整因子!$F$13</f>
        <v/>
      </c>
      <c r="S672" s="70" t="n">
        <v>1</v>
      </c>
      <c r="T672" s="144">
        <f>IFERROR(P672*R672,0)</f>
        <v/>
      </c>
      <c r="U672" s="144">
        <f>T672*S672</f>
        <v/>
      </c>
      <c r="V672" s="76" t="inlineStr">
        <is>
          <t>漏洞修复成功率统计数据表、业务场景数据表、系统漏洞数据表、工单数据表</t>
        </is>
      </c>
      <c r="W672" s="81" t="n"/>
      <c r="X672" s="76" t="inlineStr">
        <is>
          <t>漏洞修复成功率统计数据表{记录ID、日期、业务场景ID、已修复系统漏洞ID、修复工单ID|}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72" s="88" t="n"/>
      <c r="Z672" s="88" t="n"/>
      <c r="AA672" s="70" t="n"/>
    </row>
    <row r="673" hidden="1" ht="75.59999999999999" customHeight="1">
      <c r="A673" s="69">
        <f>ROW()-1</f>
        <v/>
      </c>
      <c r="B673" s="53" t="n"/>
      <c r="C673" s="78" t="n">
        <v>2025</v>
      </c>
      <c r="D673" s="78" t="inlineStr">
        <is>
          <t>汤凤欣</t>
        </is>
      </c>
      <c r="E673" s="53" t="n"/>
      <c r="F673" s="53" t="n"/>
      <c r="G673" s="53" t="n"/>
      <c r="H673" s="102" t="inlineStr">
        <is>
          <t>漏洞关联分析资产覆盖率统计</t>
        </is>
      </c>
      <c r="I673" s="76" t="inlineStr">
        <is>
          <t>EO</t>
        </is>
      </c>
      <c r="J673" s="108" t="n"/>
      <c r="K673" s="108" t="inlineStr">
        <is>
          <t>无法判断是否在相同界面展示统计结果</t>
        </is>
      </c>
      <c r="L673" s="83">
        <f>IF(OR(X673="估算法",X673="算法类",X673="无法识别"),"",IF(V673="",IF(OR(I673="EI",I673="EO",I673="EQ"),0,""),LEN(V673)-LEN(SUBSTITUTE(V673,"、",""))+1))</f>
        <v/>
      </c>
      <c r="M673" s="83">
        <f>IF(OR(X673="估算法",X673="算法类",X673="无法识别"),"",IF(W673="",IF(OR(I673="ILF",I673="EIF"),0,""),LEN(W673)-LEN(SUBSTITUTE(W673,"、",""))+1))</f>
        <v/>
      </c>
      <c r="N673" s="83">
        <f>IF(OR(X673="估算法",X673="算法类",X673="无法识别"),"",IF(X673="",IF(OR(I673="ILF",I673="EIF",I673="EI",I673="EO",I673="EQ"),0,""),LEN(X673)-LEN(SUBSTITUTE(SUBSTITUTE(SUBSTITUTE(SUBSTITUTE(SUBSTITUTE(X673,"|}","--"),"{|","--"),CHAR(10),""),"、",""),"|",""))+IF(AND(OR(I673="EI",I673="EO",I673="EQ"),$AD$1="NESMA"),2,1)))</f>
        <v/>
      </c>
      <c r="O673" s="84">
        <f>IF(I673="EI",IF(OR(X673="估算法",X673="算法类"),"中",IF(X673="无法识别","低",IF(L673&lt;2,IF(N673&lt;16,"低","中"),IF(L673&lt;3,IF(N673&lt;5,"低",IF(N673&lt;16,"中","高")),IF(N673&lt;5,"中","高"))))),IF(OR(I673="EO",I673="EQ"),IF(OR(X673="估算法",X673="算法类"),"中",IF(X673="无法识别","低",IF(L673&lt;2,IF(N673&lt;20,"低","中"),IF(L673&lt;4,IF(N673&lt;6,"低",IF(N673&lt;20,"中","高")),IF(N673&lt;6,"中","高"))))),IF(OR(I673="ILF",I673="EIF"),IF(OR(X673="估算法",X673="算法类",X673="无法识别"),"低",IF(M673&lt;2,IF(N673&lt;51,"低","中"),IF(M673&lt;6,IF(N673&lt;20,"低",IF(N673&lt;51,"中","高")),IF(N673&lt;20,"中","高")))),"不计算")))</f>
        <v/>
      </c>
      <c r="P673" s="142">
        <f>IFERROR(IF(I673="EI",IF(O673="低",3,IF(O673="中",4,6)),IF(I673="EO",IF(O673="低",4,IF(O673="中",5,7)),IF(I673="EQ",IF(O673="低",3,IF(O673="中",4,6)),IF(I673="ILF",IF(O673="低",7,IF(O673="中",10,15)),IF(I673="EIF",IF(O673="低",5,IF(O673="中",7,10)),"不计算")))))*Q673,"不计算")</f>
        <v/>
      </c>
      <c r="Q673" s="142" t="n">
        <v>0.2</v>
      </c>
      <c r="R673" s="143">
        <f>调整因子!$F$13</f>
        <v/>
      </c>
      <c r="S673" s="70" t="n">
        <v>1</v>
      </c>
      <c r="T673" s="144">
        <f>IFERROR(P673*R673,0)</f>
        <v/>
      </c>
      <c r="U673" s="144">
        <f>T673*S673</f>
        <v/>
      </c>
      <c r="V673" s="76" t="inlineStr">
        <is>
          <t>漏洞关联分析资产覆盖率统计数据表、业务场景数据表、资产数据表、预警任务数据表</t>
        </is>
      </c>
      <c r="W673" s="81" t="n"/>
      <c r="X673" s="76" t="inlineStr">
        <is>
          <t>漏洞关联分析资产覆盖率统计数据表{记录ID、日期、业务场景ID、关联分析资产ID、预警任务ID|}
业务场景数据表{业务场景ID、场景编码、场景名称、场景等级|}
资产数据表{资产ID、资产名称、IP、端口、服务、资产状态、责任人、定级备案系统名称、网络位置、网络单元、厂商、版本、型号|}
预警任务数据表{工单ID、工单编号、工单类型、处置时间、处置方式、资产范围、漏洞范围、口令字典范围、目标系统漏洞状态|}</t>
        </is>
      </c>
      <c r="Y673" s="88" t="n"/>
      <c r="Z673" s="88" t="n"/>
      <c r="AA673" s="101" t="n"/>
    </row>
    <row r="674" hidden="1" ht="86.40000000000001" customHeight="1">
      <c r="A674" s="69">
        <f>ROW()-1</f>
        <v/>
      </c>
      <c r="B674" s="53" t="n"/>
      <c r="C674" s="78" t="n">
        <v>2025</v>
      </c>
      <c r="D674" s="78" t="inlineStr">
        <is>
          <t>汤凤欣</t>
        </is>
      </c>
      <c r="E674" s="53" t="n"/>
      <c r="F674" s="53" t="n"/>
      <c r="G674" s="53" t="n"/>
      <c r="H674" s="102" t="inlineStr">
        <is>
          <t>漏洞初始修复率统计</t>
        </is>
      </c>
      <c r="I674" s="76" t="inlineStr">
        <is>
          <t>EO</t>
        </is>
      </c>
      <c r="J674" s="108" t="n"/>
      <c r="K674" s="108" t="inlineStr">
        <is>
          <t>无法判断是否在相同界面展示统计结果</t>
        </is>
      </c>
      <c r="L674" s="83">
        <f>IF(OR(X674="估算法",X674="算法类",X674="无法识别"),"",IF(V674="",IF(OR(I674="EI",I674="EO",I674="EQ"),0,""),LEN(V674)-LEN(SUBSTITUTE(V674,"、",""))+1))</f>
        <v/>
      </c>
      <c r="M674" s="83">
        <f>IF(OR(X674="估算法",X674="算法类",X674="无法识别"),"",IF(W674="",IF(OR(I674="ILF",I674="EIF"),0,""),LEN(W674)-LEN(SUBSTITUTE(W674,"、",""))+1))</f>
        <v/>
      </c>
      <c r="N674" s="83">
        <f>IF(OR(X674="估算法",X674="算法类",X674="无法识别"),"",IF(X674="",IF(OR(I674="ILF",I674="EIF",I674="EI",I674="EO",I674="EQ"),0,""),LEN(X674)-LEN(SUBSTITUTE(SUBSTITUTE(SUBSTITUTE(SUBSTITUTE(SUBSTITUTE(X674,"|}","--"),"{|","--"),CHAR(10),""),"、",""),"|",""))+IF(AND(OR(I674="EI",I674="EO",I674="EQ"),$AD$1="NESMA"),2,1)))</f>
        <v/>
      </c>
      <c r="O674" s="84">
        <f>IF(I674="EI",IF(OR(X674="估算法",X674="算法类"),"中",IF(X674="无法识别","低",IF(L674&lt;2,IF(N674&lt;16,"低","中"),IF(L674&lt;3,IF(N674&lt;5,"低",IF(N674&lt;16,"中","高")),IF(N674&lt;5,"中","高"))))),IF(OR(I674="EO",I674="EQ"),IF(OR(X674="估算法",X674="算法类"),"中",IF(X674="无法识别","低",IF(L674&lt;2,IF(N674&lt;20,"低","中"),IF(L674&lt;4,IF(N674&lt;6,"低",IF(N674&lt;20,"中","高")),IF(N674&lt;6,"中","高"))))),IF(OR(I674="ILF",I674="EIF"),IF(OR(X674="估算法",X674="算法类",X674="无法识别"),"低",IF(M674&lt;2,IF(N674&lt;51,"低","中"),IF(M674&lt;6,IF(N674&lt;20,"低",IF(N674&lt;51,"中","高")),IF(N674&lt;20,"中","高")))),"不计算")))</f>
        <v/>
      </c>
      <c r="P674" s="142">
        <f>IFERROR(IF(I674="EI",IF(O674="低",3,IF(O674="中",4,6)),IF(I674="EO",IF(O674="低",4,IF(O674="中",5,7)),IF(I674="EQ",IF(O674="低",3,IF(O674="中",4,6)),IF(I674="ILF",IF(O674="低",7,IF(O674="中",10,15)),IF(I674="EIF",IF(O674="低",5,IF(O674="中",7,10)),"不计算")))))*Q674,"不计算")</f>
        <v/>
      </c>
      <c r="Q674" s="142" t="n">
        <v>0.2</v>
      </c>
      <c r="R674" s="143">
        <f>调整因子!$F$13</f>
        <v/>
      </c>
      <c r="S674" s="76" t="n">
        <v>1</v>
      </c>
      <c r="T674" s="144">
        <f>IFERROR(P674*R674,0)</f>
        <v/>
      </c>
      <c r="U674" s="144">
        <f>T674*S674</f>
        <v/>
      </c>
      <c r="V674" s="76" t="inlineStr">
        <is>
          <t>漏洞初始修复率统计数据表、业务场景数据表、工单数据表、系统漏洞数据表</t>
        </is>
      </c>
      <c r="W674" s="81" t="n"/>
      <c r="X674" s="76" t="inlineStr">
        <is>
          <t xml:space="preserve">漏洞初始修复率统计数据表{记录ID、日期、业务场景ID、初始修复系统漏洞ID、工单ID|}
业务场景数据表{业务场景ID、场景编码、场景名称、场景等级|}
工单数据表{工单ID、工单编号、工单类型、处置时间、处置方式、资产范围、漏洞范围、口令字典范围、目标系统漏洞状态|}
系统漏洞数据表{系统漏洞ID、产品漏洞ID、资产ID、系统漏洞状态ID、时间戳、弱口令字典ID|}
</t>
        </is>
      </c>
      <c r="Y674" s="88" t="n"/>
      <c r="Z674" s="88" t="n"/>
      <c r="AA674" s="70" t="n"/>
    </row>
    <row r="675" hidden="1" ht="75.59999999999999" customHeight="1">
      <c r="A675" s="69">
        <f>ROW()-1</f>
        <v/>
      </c>
      <c r="B675" s="53" t="n"/>
      <c r="C675" s="78" t="n">
        <v>2025</v>
      </c>
      <c r="D675" s="78" t="inlineStr">
        <is>
          <t>汤凤欣</t>
        </is>
      </c>
      <c r="E675" s="53" t="n"/>
      <c r="F675" s="53" t="n"/>
      <c r="G675" s="53" t="n"/>
      <c r="H675" s="103" t="inlineStr">
        <is>
          <t>漏洞失败原因比例统计</t>
        </is>
      </c>
      <c r="I675" s="76" t="inlineStr">
        <is>
          <t>EO</t>
        </is>
      </c>
      <c r="J675" s="108" t="n"/>
      <c r="K675" s="108" t="inlineStr">
        <is>
          <t>无法判断是否在相同界面展示统计结果</t>
        </is>
      </c>
      <c r="L675" s="83">
        <f>IF(OR(X675="估算法",X675="算法类",X675="无法识别"),"",IF(V675="",IF(OR(I675="EI",I675="EO",I675="EQ"),0,""),LEN(V675)-LEN(SUBSTITUTE(V675,"、",""))+1))</f>
        <v/>
      </c>
      <c r="M675" s="83">
        <f>IF(OR(X675="估算法",X675="算法类",X675="无法识别"),"",IF(W675="",IF(OR(I675="ILF",I675="EIF"),0,""),LEN(W675)-LEN(SUBSTITUTE(W675,"、",""))+1))</f>
        <v/>
      </c>
      <c r="N675" s="83">
        <f>IF(OR(X675="估算法",X675="算法类",X675="无法识别"),"",IF(X675="",IF(OR(I675="ILF",I675="EIF",I675="EI",I675="EO",I675="EQ"),0,""),LEN(X675)-LEN(SUBSTITUTE(SUBSTITUTE(SUBSTITUTE(SUBSTITUTE(SUBSTITUTE(X675,"|}","--"),"{|","--"),CHAR(10),""),"、",""),"|",""))+IF(AND(OR(I675="EI",I675="EO",I675="EQ"),$AD$1="NESMA"),2,1)))</f>
        <v/>
      </c>
      <c r="O675" s="84">
        <f>IF(I675="EI",IF(OR(X675="估算法",X675="算法类"),"中",IF(X675="无法识别","低",IF(L675&lt;2,IF(N675&lt;16,"低","中"),IF(L675&lt;3,IF(N675&lt;5,"低",IF(N675&lt;16,"中","高")),IF(N675&lt;5,"中","高"))))),IF(OR(I675="EO",I675="EQ"),IF(OR(X675="估算法",X675="算法类"),"中",IF(X675="无法识别","低",IF(L675&lt;2,IF(N675&lt;20,"低","中"),IF(L675&lt;4,IF(N675&lt;6,"低",IF(N675&lt;20,"中","高")),IF(N675&lt;6,"中","高"))))),IF(OR(I675="ILF",I675="EIF"),IF(OR(X675="估算法",X675="算法类",X675="无法识别"),"低",IF(M675&lt;2,IF(N675&lt;51,"低","中"),IF(M675&lt;6,IF(N675&lt;20,"低",IF(N675&lt;51,"中","高")),IF(N675&lt;20,"中","高")))),"不计算")))</f>
        <v/>
      </c>
      <c r="P675" s="142">
        <f>IFERROR(IF(I675="EI",IF(O675="低",3,IF(O675="中",4,6)),IF(I675="EO",IF(O675="低",4,IF(O675="中",5,7)),IF(I675="EQ",IF(O675="低",3,IF(O675="中",4,6)),IF(I675="ILF",IF(O675="低",7,IF(O675="中",10,15)),IF(I675="EIF",IF(O675="低",5,IF(O675="中",7,10)),"不计算")))))*Q675,"不计算")</f>
        <v/>
      </c>
      <c r="Q675" s="142" t="n">
        <v>0.1</v>
      </c>
      <c r="R675" s="143">
        <f>调整因子!$F$13</f>
        <v/>
      </c>
      <c r="S675" s="70" t="n">
        <v>1</v>
      </c>
      <c r="T675" s="144">
        <f>IFERROR(P675*R675,0)</f>
        <v/>
      </c>
      <c r="U675" s="144">
        <f>T675*S675</f>
        <v/>
      </c>
      <c r="V675" s="76" t="inlineStr">
        <is>
          <t>漏洞修复失败原因比例统计数据表、业务场景数据表、系统漏洞数据表、工单数据表</t>
        </is>
      </c>
      <c r="W675" s="81" t="n"/>
      <c r="X675" s="76" t="inlineStr">
        <is>
          <t>漏洞修复失败原因比例统计数据表{记录ID、日期、业务场景ID、修复失败系统漏洞ID、修复工单ID|}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75" s="88" t="n"/>
      <c r="Z675" s="88" t="n"/>
      <c r="AA675" s="101" t="n"/>
    </row>
    <row r="676" hidden="1" ht="75.59999999999999" customHeight="1">
      <c r="A676" s="69">
        <f>ROW()-1</f>
        <v/>
      </c>
      <c r="B676" s="53" t="n"/>
      <c r="C676" s="78" t="n">
        <v>2025</v>
      </c>
      <c r="D676" s="78" t="inlineStr">
        <is>
          <t>汤凤欣</t>
        </is>
      </c>
      <c r="E676" s="53" t="n"/>
      <c r="F676" s="53" t="n"/>
      <c r="G676" s="53" t="n"/>
      <c r="H676" s="103" t="inlineStr">
        <is>
          <t>漏洞平均修复时间(已验证)统计</t>
        </is>
      </c>
      <c r="I676" s="76" t="inlineStr">
        <is>
          <t>EO</t>
        </is>
      </c>
      <c r="J676" s="108" t="n"/>
      <c r="K676" s="108" t="inlineStr">
        <is>
          <t>无法判断是否在相同界面展示统计结果</t>
        </is>
      </c>
      <c r="L676" s="83">
        <f>IF(OR(X676="估算法",X676="算法类",X676="无法识别"),"",IF(V676="",IF(OR(I676="EI",I676="EO",I676="EQ"),0,""),LEN(V676)-LEN(SUBSTITUTE(V676,"、",""))+1))</f>
        <v/>
      </c>
      <c r="M676" s="83">
        <f>IF(OR(X676="估算法",X676="算法类",X676="无法识别"),"",IF(W676="",IF(OR(I676="ILF",I676="EIF"),0,""),LEN(W676)-LEN(SUBSTITUTE(W676,"、",""))+1))</f>
        <v/>
      </c>
      <c r="N676" s="83">
        <f>IF(OR(X676="估算法",X676="算法类",X676="无法识别"),"",IF(X676="",IF(OR(I676="ILF",I676="EIF",I676="EI",I676="EO",I676="EQ"),0,""),LEN(X676)-LEN(SUBSTITUTE(SUBSTITUTE(SUBSTITUTE(SUBSTITUTE(SUBSTITUTE(X676,"|}","--"),"{|","--"),CHAR(10),""),"、",""),"|",""))+IF(AND(OR(I676="EI",I676="EO",I676="EQ"),$AD$1="NESMA"),2,1)))</f>
        <v/>
      </c>
      <c r="O676" s="84">
        <f>IF(I676="EI",IF(OR(X676="估算法",X676="算法类"),"中",IF(X676="无法识别","低",IF(L676&lt;2,IF(N676&lt;16,"低","中"),IF(L676&lt;3,IF(N676&lt;5,"低",IF(N676&lt;16,"中","高")),IF(N676&lt;5,"中","高"))))),IF(OR(I676="EO",I676="EQ"),IF(OR(X676="估算法",X676="算法类"),"中",IF(X676="无法识别","低",IF(L676&lt;2,IF(N676&lt;20,"低","中"),IF(L676&lt;4,IF(N676&lt;6,"低",IF(N676&lt;20,"中","高")),IF(N676&lt;6,"中","高"))))),IF(OR(I676="ILF",I676="EIF"),IF(OR(X676="估算法",X676="算法类",X676="无法识别"),"低",IF(M676&lt;2,IF(N676&lt;51,"低","中"),IF(M676&lt;6,IF(N676&lt;20,"低",IF(N676&lt;51,"中","高")),IF(N676&lt;20,"中","高")))),"不计算")))</f>
        <v/>
      </c>
      <c r="P676" s="142">
        <f>IFERROR(IF(I676="EI",IF(O676="低",3,IF(O676="中",4,6)),IF(I676="EO",IF(O676="低",4,IF(O676="中",5,7)),IF(I676="EQ",IF(O676="低",3,IF(O676="中",4,6)),IF(I676="ILF",IF(O676="低",7,IF(O676="中",10,15)),IF(I676="EIF",IF(O676="低",5,IF(O676="中",7,10)),"不计算")))))*Q676,"不计算")</f>
        <v/>
      </c>
      <c r="Q676" s="142" t="n">
        <v>0.1</v>
      </c>
      <c r="R676" s="143">
        <f>调整因子!$F$13</f>
        <v/>
      </c>
      <c r="S676" s="70" t="n">
        <v>1</v>
      </c>
      <c r="T676" s="144">
        <f>IFERROR(P676*R676,0)</f>
        <v/>
      </c>
      <c r="U676" s="144">
        <f>T676*S676</f>
        <v/>
      </c>
      <c r="V676" s="76" t="inlineStr">
        <is>
          <t>漏洞平均修复时间(已验证)统计数据表、业务场景数据表、系统漏洞数据表、工单数据表</t>
        </is>
      </c>
      <c r="W676" s="81" t="n"/>
      <c r="X676" s="76" t="inlineStr">
        <is>
          <t>漏洞平均修复时间(已验证)统计数据表{记录ID、日期、业务场景ID、已验证修复系统漏洞ID、修复耗时、工单ID|}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76" s="88" t="n"/>
      <c r="Z676" s="88" t="n"/>
      <c r="AA676" s="70" t="n"/>
    </row>
    <row r="677" hidden="1" ht="75.59999999999999" customHeight="1">
      <c r="A677" s="69">
        <f>ROW()-1</f>
        <v/>
      </c>
      <c r="B677" s="53" t="n"/>
      <c r="C677" s="78" t="n">
        <v>2025</v>
      </c>
      <c r="D677" s="78" t="inlineStr">
        <is>
          <t>汤凤欣</t>
        </is>
      </c>
      <c r="E677" s="53" t="n"/>
      <c r="F677" s="53" t="n"/>
      <c r="G677" s="53" t="n"/>
      <c r="H677" s="80" t="inlineStr">
        <is>
          <t>漏洞平均修复时间(未验证)统计</t>
        </is>
      </c>
      <c r="I677" s="76" t="inlineStr">
        <is>
          <t>EO</t>
        </is>
      </c>
      <c r="J677" s="108" t="n"/>
      <c r="K677" s="108" t="inlineStr">
        <is>
          <t>无法判断是否在相同界面展示统计结果</t>
        </is>
      </c>
      <c r="L677" s="83">
        <f>IF(OR(X677="估算法",X677="算法类",X677="无法识别"),"",IF(V677="",IF(OR(I677="EI",I677="EO",I677="EQ"),0,""),LEN(V677)-LEN(SUBSTITUTE(V677,"、",""))+1))</f>
        <v/>
      </c>
      <c r="M677" s="83">
        <f>IF(OR(X677="估算法",X677="算法类",X677="无法识别"),"",IF(W677="",IF(OR(I677="ILF",I677="EIF"),0,""),LEN(W677)-LEN(SUBSTITUTE(W677,"、",""))+1))</f>
        <v/>
      </c>
      <c r="N677" s="83">
        <f>IF(OR(X677="估算法",X677="算法类",X677="无法识别"),"",IF(X677="",IF(OR(I677="ILF",I677="EIF",I677="EI",I677="EO",I677="EQ"),0,""),LEN(X677)-LEN(SUBSTITUTE(SUBSTITUTE(SUBSTITUTE(SUBSTITUTE(SUBSTITUTE(X677,"|}","--"),"{|","--"),CHAR(10),""),"、",""),"|",""))+IF(AND(OR(I677="EI",I677="EO",I677="EQ"),$AD$1="NESMA"),2,1)))</f>
        <v/>
      </c>
      <c r="O677" s="84">
        <f>IF(I677="EI",IF(OR(X677="估算法",X677="算法类"),"中",IF(X677="无法识别","低",IF(L677&lt;2,IF(N677&lt;16,"低","中"),IF(L677&lt;3,IF(N677&lt;5,"低",IF(N677&lt;16,"中","高")),IF(N677&lt;5,"中","高"))))),IF(OR(I677="EO",I677="EQ"),IF(OR(X677="估算法",X677="算法类"),"中",IF(X677="无法识别","低",IF(L677&lt;2,IF(N677&lt;20,"低","中"),IF(L677&lt;4,IF(N677&lt;6,"低",IF(N677&lt;20,"中","高")),IF(N677&lt;6,"中","高"))))),IF(OR(I677="ILF",I677="EIF"),IF(OR(X677="估算法",X677="算法类",X677="无法识别"),"低",IF(M677&lt;2,IF(N677&lt;51,"低","中"),IF(M677&lt;6,IF(N677&lt;20,"低",IF(N677&lt;51,"中","高")),IF(N677&lt;20,"中","高")))),"不计算")))</f>
        <v/>
      </c>
      <c r="P677" s="142">
        <f>IFERROR(IF(I677="EI",IF(O677="低",3,IF(O677="中",4,6)),IF(I677="EO",IF(O677="低",4,IF(O677="中",5,7)),IF(I677="EQ",IF(O677="低",3,IF(O677="中",4,6)),IF(I677="ILF",IF(O677="低",7,IF(O677="中",10,15)),IF(I677="EIF",IF(O677="低",5,IF(O677="中",7,10)),"不计算")))))*Q677,"不计算")</f>
        <v/>
      </c>
      <c r="Q677" s="142" t="n">
        <v>0.1</v>
      </c>
      <c r="R677" s="143">
        <f>调整因子!$F$13</f>
        <v/>
      </c>
      <c r="S677" s="76" t="n">
        <v>1</v>
      </c>
      <c r="T677" s="144">
        <f>IFERROR(P677*R677,0)</f>
        <v/>
      </c>
      <c r="U677" s="144">
        <f>T677*S677</f>
        <v/>
      </c>
      <c r="V677" s="76" t="inlineStr">
        <is>
          <t>漏洞平均修复时间(未验证)统计数据表、业务场景数据表、系统漏洞数据表、工单数据表</t>
        </is>
      </c>
      <c r="W677" s="81" t="n"/>
      <c r="X677" s="76" t="inlineStr">
        <is>
          <t>漏洞平均修复时间(未验证)统计数据表{记录ID、日期、业务场景ID、未验证修复系统漏洞ID、修复耗时、工单ID|}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77" s="88" t="n"/>
      <c r="Z677" s="88" t="n"/>
      <c r="AA677" s="101" t="n"/>
    </row>
    <row r="678" hidden="1" ht="43.2" customHeight="1">
      <c r="A678" s="69">
        <f>ROW()-1</f>
        <v/>
      </c>
      <c r="B678" s="53" t="n"/>
      <c r="C678" s="78" t="n">
        <v>2025</v>
      </c>
      <c r="D678" s="78" t="inlineStr">
        <is>
          <t>汤凤欣</t>
        </is>
      </c>
      <c r="E678" s="53" t="n"/>
      <c r="F678" s="53" t="n"/>
      <c r="G678" s="53" t="n"/>
      <c r="H678" s="81" t="inlineStr">
        <is>
          <t>漏洞扫描检测周期统计</t>
        </is>
      </c>
      <c r="I678" s="76" t="inlineStr">
        <is>
          <t>EO</t>
        </is>
      </c>
      <c r="J678" s="108" t="n"/>
      <c r="K678" s="108" t="inlineStr">
        <is>
          <t>无法判断是否在相同界面展示统计结果</t>
        </is>
      </c>
      <c r="L678" s="83">
        <f>IF(OR(X678="估算法",X678="算法类",X678="无法识别"),"",IF(V678="",IF(OR(I678="EI",I678="EO",I678="EQ"),0,""),LEN(V678)-LEN(SUBSTITUTE(V678,"、",""))+1))</f>
        <v/>
      </c>
      <c r="M678" s="83">
        <f>IF(OR(X678="估算法",X678="算法类",X678="无法识别"),"",IF(W678="",IF(OR(I678="ILF",I678="EIF"),0,""),LEN(W678)-LEN(SUBSTITUTE(W678,"、",""))+1))</f>
        <v/>
      </c>
      <c r="N678" s="83">
        <f>IF(OR(X678="估算法",X678="算法类",X678="无法识别"),"",IF(X678="",IF(OR(I678="ILF",I678="EIF",I678="EI",I678="EO",I678="EQ"),0,""),LEN(X678)-LEN(SUBSTITUTE(SUBSTITUTE(SUBSTITUTE(SUBSTITUTE(SUBSTITUTE(X678,"|}","--"),"{|","--"),CHAR(10),""),"、",""),"|",""))+IF(AND(OR(I678="EI",I678="EO",I678="EQ"),$AD$1="NESMA"),2,1)))</f>
        <v/>
      </c>
      <c r="O678" s="84">
        <f>IF(I678="EI",IF(OR(X678="估算法",X678="算法类"),"中",IF(X678="无法识别","低",IF(L678&lt;2,IF(N678&lt;16,"低","中"),IF(L678&lt;3,IF(N678&lt;5,"低",IF(N678&lt;16,"中","高")),IF(N678&lt;5,"中","高"))))),IF(OR(I678="EO",I678="EQ"),IF(OR(X678="估算法",X678="算法类"),"中",IF(X678="无法识别","低",IF(L678&lt;2,IF(N678&lt;20,"低","中"),IF(L678&lt;4,IF(N678&lt;6,"低",IF(N678&lt;20,"中","高")),IF(N678&lt;6,"中","高"))))),IF(OR(I678="ILF",I678="EIF"),IF(OR(X678="估算法",X678="算法类",X678="无法识别"),"低",IF(M678&lt;2,IF(N678&lt;51,"低","中"),IF(M678&lt;6,IF(N678&lt;20,"低",IF(N678&lt;51,"中","高")),IF(N678&lt;20,"中","高")))),"不计算")))</f>
        <v/>
      </c>
      <c r="P678" s="142">
        <f>IFERROR(IF(I678="EI",IF(O678="低",3,IF(O678="中",4,6)),IF(I678="EO",IF(O678="低",4,IF(O678="中",5,7)),IF(I678="EQ",IF(O678="低",3,IF(O678="中",4,6)),IF(I678="ILF",IF(O678="低",7,IF(O678="中",10,15)),IF(I678="EIF",IF(O678="低",5,IF(O678="中",7,10)),"不计算")))))*Q678,"不计算")</f>
        <v/>
      </c>
      <c r="Q678" s="142" t="n">
        <v>0.1</v>
      </c>
      <c r="R678" s="143">
        <f>调整因子!$F$13</f>
        <v/>
      </c>
      <c r="S678" s="70" t="n">
        <v>1</v>
      </c>
      <c r="T678" s="144">
        <f>IFERROR(P678*R678,0)</f>
        <v/>
      </c>
      <c r="U678" s="144">
        <f>T678*S678</f>
        <v/>
      </c>
      <c r="V678" s="76" t="inlineStr">
        <is>
          <t>漏洞扫描检测周期统计数据表、业务场景数据表、漏洞扫描任务</t>
        </is>
      </c>
      <c r="W678" s="81" t="n"/>
      <c r="X678" s="76" t="inlineStr">
        <is>
          <t>漏洞扫描检测周期统计数据表{记录ID、日期、业务场景ID、漏洞扫描任务ID|}
业务场景数据表{业务场景ID、场景编码、场景名称、场景等级|}
漏洞扫描任务{扫描任务ID、任务名称、扫描资产范围、漏洞范围、执行时间、创建人|}</t>
        </is>
      </c>
      <c r="Y678" s="88" t="n"/>
      <c r="Z678" s="88" t="n"/>
      <c r="AA678" s="70" t="n"/>
    </row>
    <row r="679" hidden="1" ht="75.59999999999999" customHeight="1">
      <c r="A679" s="69">
        <f>ROW()-1</f>
        <v/>
      </c>
      <c r="B679" s="53" t="n"/>
      <c r="C679" s="78" t="n">
        <v>2025</v>
      </c>
      <c r="D679" s="78" t="inlineStr">
        <is>
          <t>汤凤欣</t>
        </is>
      </c>
      <c r="E679" s="53" t="n"/>
      <c r="F679" s="53" t="n"/>
      <c r="G679" s="53" t="n"/>
      <c r="H679" s="103" t="inlineStr">
        <is>
          <t>漏洞扫描资产覆盖率统计</t>
        </is>
      </c>
      <c r="I679" s="76" t="inlineStr">
        <is>
          <t>EO</t>
        </is>
      </c>
      <c r="J679" s="108" t="n"/>
      <c r="K679" s="108" t="inlineStr">
        <is>
          <t>无法判断是否在相同界面展示统计结果</t>
        </is>
      </c>
      <c r="L679" s="83">
        <f>IF(OR(X679="估算法",X679="算法类",X679="无法识别"),"",IF(V679="",IF(OR(I679="EI",I679="EO",I679="EQ"),0,""),LEN(V679)-LEN(SUBSTITUTE(V679,"、",""))+1))</f>
        <v/>
      </c>
      <c r="M679" s="83">
        <f>IF(OR(X679="估算法",X679="算法类",X679="无法识别"),"",IF(W679="",IF(OR(I679="ILF",I679="EIF"),0,""),LEN(W679)-LEN(SUBSTITUTE(W679,"、",""))+1))</f>
        <v/>
      </c>
      <c r="N679" s="83">
        <f>IF(OR(X679="估算法",X679="算法类",X679="无法识别"),"",IF(X679="",IF(OR(I679="ILF",I679="EIF",I679="EI",I679="EO",I679="EQ"),0,""),LEN(X679)-LEN(SUBSTITUTE(SUBSTITUTE(SUBSTITUTE(SUBSTITUTE(SUBSTITUTE(X679,"|}","--"),"{|","--"),CHAR(10),""),"、",""),"|",""))+IF(AND(OR(I679="EI",I679="EO",I679="EQ"),$AD$1="NESMA"),2,1)))</f>
        <v/>
      </c>
      <c r="O679" s="84">
        <f>IF(I679="EI",IF(OR(X679="估算法",X679="算法类"),"中",IF(X679="无法识别","低",IF(L679&lt;2,IF(N679&lt;16,"低","中"),IF(L679&lt;3,IF(N679&lt;5,"低",IF(N679&lt;16,"中","高")),IF(N679&lt;5,"中","高"))))),IF(OR(I679="EO",I679="EQ"),IF(OR(X679="估算法",X679="算法类"),"中",IF(X679="无法识别","低",IF(L679&lt;2,IF(N679&lt;20,"低","中"),IF(L679&lt;4,IF(N679&lt;6,"低",IF(N679&lt;20,"中","高")),IF(N679&lt;6,"中","高"))))),IF(OR(I679="ILF",I679="EIF"),IF(OR(X679="估算法",X679="算法类",X679="无法识别"),"低",IF(M679&lt;2,IF(N679&lt;51,"低","中"),IF(M679&lt;6,IF(N679&lt;20,"低",IF(N679&lt;51,"中","高")),IF(N679&lt;20,"中","高")))),"不计算")))</f>
        <v/>
      </c>
      <c r="P679" s="142">
        <f>IFERROR(IF(I679="EI",IF(O679="低",3,IF(O679="中",4,6)),IF(I679="EO",IF(O679="低",4,IF(O679="中",5,7)),IF(I679="EQ",IF(O679="低",3,IF(O679="中",4,6)),IF(I679="ILF",IF(O679="低",7,IF(O679="中",10,15)),IF(I679="EIF",IF(O679="低",5,IF(O679="中",7,10)),"不计算")))))*Q679,"不计算")</f>
        <v/>
      </c>
      <c r="Q679" s="142" t="n">
        <v>0.1</v>
      </c>
      <c r="R679" s="143">
        <f>调整因子!$F$13</f>
        <v/>
      </c>
      <c r="S679" s="70" t="n">
        <v>1</v>
      </c>
      <c r="T679" s="144">
        <f>IFERROR(P679*R679,0)</f>
        <v/>
      </c>
      <c r="U679" s="144">
        <f>T679*S679</f>
        <v/>
      </c>
      <c r="V679" s="76" t="inlineStr">
        <is>
          <t>漏洞扫描资产覆盖率统计数据表、业务场景数据表、资产数据表、漏洞扫描任务</t>
        </is>
      </c>
      <c r="W679" s="81" t="n"/>
      <c r="X679" s="76" t="inlineStr">
        <is>
          <t>漏洞扫描资产覆盖率统计数据表{记录ID、日期、业务场景ID、资产ID、漏洞扫描任务ID|}
业务场景数据表{业务场景ID、场景编码、场景名称、场景等级|}
资产数据表{资产ID、资产名称、IP、端口、服务、资产状态、责任人、定级备案系统名称、网络位置、网络单元、厂商、版本、型号|}
漏洞扫描任务{扫描任务ID、任务名称、扫描资产范围、漏洞范围、执行时间、创建人|}</t>
        </is>
      </c>
      <c r="Y679" s="88" t="n"/>
      <c r="Z679" s="88" t="n"/>
      <c r="AA679" s="101" t="n"/>
    </row>
    <row r="680" hidden="1" ht="64.8" customHeight="1">
      <c r="A680" s="69">
        <f>ROW()-1</f>
        <v/>
      </c>
      <c r="B680" s="53" t="n"/>
      <c r="C680" s="78" t="n">
        <v>2025</v>
      </c>
      <c r="D680" s="78" t="inlineStr">
        <is>
          <t>汤凤欣</t>
        </is>
      </c>
      <c r="E680" s="53" t="n"/>
      <c r="F680" s="53" t="n"/>
      <c r="G680" s="53" t="n"/>
      <c r="H680" s="102" t="inlineStr">
        <is>
          <t>漏洞未验证率统计</t>
        </is>
      </c>
      <c r="I680" s="76" t="inlineStr">
        <is>
          <t>EO</t>
        </is>
      </c>
      <c r="J680" s="108" t="n"/>
      <c r="K680" s="108" t="inlineStr">
        <is>
          <t>无法判断是否在相同界面展示统计结果</t>
        </is>
      </c>
      <c r="L680" s="83">
        <f>IF(OR(X680="估算法",X680="算法类",X680="无法识别"),"",IF(V680="",IF(OR(I680="EI",I680="EO",I680="EQ"),0,""),LEN(V680)-LEN(SUBSTITUTE(V680,"、",""))+1))</f>
        <v/>
      </c>
      <c r="M680" s="83">
        <f>IF(OR(X680="估算法",X680="算法类",X680="无法识别"),"",IF(W680="",IF(OR(I680="ILF",I680="EIF"),0,""),LEN(W680)-LEN(SUBSTITUTE(W680,"、",""))+1))</f>
        <v/>
      </c>
      <c r="N680" s="83">
        <f>IF(OR(X680="估算法",X680="算法类",X680="无法识别"),"",IF(X680="",IF(OR(I680="ILF",I680="EIF",I680="EI",I680="EO",I680="EQ"),0,""),LEN(X680)-LEN(SUBSTITUTE(SUBSTITUTE(SUBSTITUTE(SUBSTITUTE(SUBSTITUTE(X680,"|}","--"),"{|","--"),CHAR(10),""),"、",""),"|",""))+IF(AND(OR(I680="EI",I680="EO",I680="EQ"),$AD$1="NESMA"),2,1)))</f>
        <v/>
      </c>
      <c r="O680" s="84">
        <f>IF(I680="EI",IF(OR(X680="估算法",X680="算法类"),"中",IF(X680="无法识别","低",IF(L680&lt;2,IF(N680&lt;16,"低","中"),IF(L680&lt;3,IF(N680&lt;5,"低",IF(N680&lt;16,"中","高")),IF(N680&lt;5,"中","高"))))),IF(OR(I680="EO",I680="EQ"),IF(OR(X680="估算法",X680="算法类"),"中",IF(X680="无法识别","低",IF(L680&lt;2,IF(N680&lt;20,"低","中"),IF(L680&lt;4,IF(N680&lt;6,"低",IF(N680&lt;20,"中","高")),IF(N680&lt;6,"中","高"))))),IF(OR(I680="ILF",I680="EIF"),IF(OR(X680="估算法",X680="算法类",X680="无法识别"),"低",IF(M680&lt;2,IF(N680&lt;51,"低","中"),IF(M680&lt;6,IF(N680&lt;20,"低",IF(N680&lt;51,"中","高")),IF(N680&lt;20,"中","高")))),"不计算")))</f>
        <v/>
      </c>
      <c r="P680" s="142">
        <f>IFERROR(IF(I680="EI",IF(O680="低",3,IF(O680="中",4,6)),IF(I680="EO",IF(O680="低",4,IF(O680="中",5,7)),IF(I680="EQ",IF(O680="低",3,IF(O680="中",4,6)),IF(I680="ILF",IF(O680="低",7,IF(O680="中",10,15)),IF(I680="EIF",IF(O680="低",5,IF(O680="中",7,10)),"不计算")))))*Q680,"不计算")</f>
        <v/>
      </c>
      <c r="Q680" s="142" t="n">
        <v>0.1</v>
      </c>
      <c r="R680" s="143">
        <f>调整因子!$F$13</f>
        <v/>
      </c>
      <c r="S680" s="76" t="n">
        <v>1</v>
      </c>
      <c r="T680" s="144">
        <f>IFERROR(P680*R680,0)</f>
        <v/>
      </c>
      <c r="U680" s="144">
        <f>T680*S680</f>
        <v/>
      </c>
      <c r="V680" s="76" t="inlineStr">
        <is>
          <t>漏洞未验证率统计数据表、业务场景数据表、系统漏洞数据表、工单数据表</t>
        </is>
      </c>
      <c r="W680" s="81" t="n"/>
      <c r="X680" s="76" t="inlineStr">
        <is>
          <t>漏洞未验证率统计数据表{记录ID、日期、业务场景ID、未验证系统漏洞ID、工单ID|}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80" s="88" t="n"/>
      <c r="Z680" s="88" t="n"/>
      <c r="AA680" s="70" t="n"/>
    </row>
    <row r="681" hidden="1" ht="64.8" customHeight="1">
      <c r="A681" s="69">
        <f>ROW()-1</f>
        <v/>
      </c>
      <c r="B681" s="53" t="n"/>
      <c r="C681" s="78" t="n">
        <v>2025</v>
      </c>
      <c r="D681" s="78" t="inlineStr">
        <is>
          <t>汤凤欣</t>
        </is>
      </c>
      <c r="E681" s="53" t="n"/>
      <c r="F681" s="53" t="n"/>
      <c r="G681" s="53" t="n"/>
      <c r="H681" s="103" t="inlineStr">
        <is>
          <t>漏洞误报率统计</t>
        </is>
      </c>
      <c r="I681" s="76" t="inlineStr">
        <is>
          <t>EO</t>
        </is>
      </c>
      <c r="J681" s="108" t="n"/>
      <c r="K681" s="108" t="inlineStr">
        <is>
          <t>无法判断是否在相同界面展示统计结果</t>
        </is>
      </c>
      <c r="L681" s="83">
        <f>IF(OR(X681="估算法",X681="算法类",X681="无法识别"),"",IF(V681="",IF(OR(I681="EI",I681="EO",I681="EQ"),0,""),LEN(V681)-LEN(SUBSTITUTE(V681,"、",""))+1))</f>
        <v/>
      </c>
      <c r="M681" s="83">
        <f>IF(OR(X681="估算法",X681="算法类",X681="无法识别"),"",IF(W681="",IF(OR(I681="ILF",I681="EIF"),0,""),LEN(W681)-LEN(SUBSTITUTE(W681,"、",""))+1))</f>
        <v/>
      </c>
      <c r="N681" s="83">
        <f>IF(OR(X681="估算法",X681="算法类",X681="无法识别"),"",IF(X681="",IF(OR(I681="ILF",I681="EIF",I681="EI",I681="EO",I681="EQ"),0,""),LEN(X681)-LEN(SUBSTITUTE(SUBSTITUTE(SUBSTITUTE(SUBSTITUTE(SUBSTITUTE(X681,"|}","--"),"{|","--"),CHAR(10),""),"、",""),"|",""))+IF(AND(OR(I681="EI",I681="EO",I681="EQ"),$AD$1="NESMA"),2,1)))</f>
        <v/>
      </c>
      <c r="O681" s="84">
        <f>IF(I681="EI",IF(OR(X681="估算法",X681="算法类"),"中",IF(X681="无法识别","低",IF(L681&lt;2,IF(N681&lt;16,"低","中"),IF(L681&lt;3,IF(N681&lt;5,"低",IF(N681&lt;16,"中","高")),IF(N681&lt;5,"中","高"))))),IF(OR(I681="EO",I681="EQ"),IF(OR(X681="估算法",X681="算法类"),"中",IF(X681="无法识别","低",IF(L681&lt;2,IF(N681&lt;20,"低","中"),IF(L681&lt;4,IF(N681&lt;6,"低",IF(N681&lt;20,"中","高")),IF(N681&lt;6,"中","高"))))),IF(OR(I681="ILF",I681="EIF"),IF(OR(X681="估算法",X681="算法类",X681="无法识别"),"低",IF(M681&lt;2,IF(N681&lt;51,"低","中"),IF(M681&lt;6,IF(N681&lt;20,"低",IF(N681&lt;51,"中","高")),IF(N681&lt;20,"中","高")))),"不计算")))</f>
        <v/>
      </c>
      <c r="P681" s="142">
        <f>IFERROR(IF(I681="EI",IF(O681="低",3,IF(O681="中",4,6)),IF(I681="EO",IF(O681="低",4,IF(O681="中",5,7)),IF(I681="EQ",IF(O681="低",3,IF(O681="中",4,6)),IF(I681="ILF",IF(O681="低",7,IF(O681="中",10,15)),IF(I681="EIF",IF(O681="低",5,IF(O681="中",7,10)),"不计算")))))*Q681,"不计算")</f>
        <v/>
      </c>
      <c r="Q681" s="142" t="n">
        <v>0.1</v>
      </c>
      <c r="R681" s="143">
        <f>调整因子!$F$13</f>
        <v/>
      </c>
      <c r="S681" s="70" t="n">
        <v>1</v>
      </c>
      <c r="T681" s="144">
        <f>IFERROR(P681*R681,0)</f>
        <v/>
      </c>
      <c r="U681" s="144">
        <f>T681*S681</f>
        <v/>
      </c>
      <c r="V681" s="76" t="inlineStr">
        <is>
          <t>漏洞误报率统计数据表、业务场景数据表、系统漏洞数据表、工单数据表</t>
        </is>
      </c>
      <c r="W681" s="81" t="n"/>
      <c r="X681" s="76" t="inlineStr">
        <is>
          <t>漏洞误报率统计数据表{记录ID、日期、业务场景ID、误报系统漏洞ID、工单ID|}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Y681" s="88" t="n"/>
      <c r="Z681" s="88" t="n"/>
      <c r="AA681" s="101" t="n"/>
    </row>
    <row r="682" hidden="1" ht="216" customHeight="1">
      <c r="A682" s="69">
        <f>ROW()-1</f>
        <v/>
      </c>
      <c r="B682" s="53" t="n"/>
      <c r="C682" s="78" t="n">
        <v>2025</v>
      </c>
      <c r="D682" s="78" t="inlineStr">
        <is>
          <t>汤凤欣</t>
        </is>
      </c>
      <c r="E682" s="53" t="n"/>
      <c r="F682" s="53" t="n"/>
      <c r="G682" s="53" t="n"/>
      <c r="H682" s="80" t="inlineStr">
        <is>
          <t>VPT风险等级统计数据表</t>
        </is>
      </c>
      <c r="I682" s="76" t="inlineStr">
        <is>
          <t>ILF</t>
        </is>
      </c>
      <c r="J682" s="108" t="n"/>
      <c r="K682" s="108" t="inlineStr">
        <is>
          <t>数据库表未被本系统所维护</t>
        </is>
      </c>
      <c r="L682" s="83">
        <f>IF(OR(X682="估算法",X682="算法类",X682="无法识别"),"",IF(V682="",IF(OR(I682="EI",I682="EO",I682="EQ"),0,""),LEN(V682)-LEN(SUBSTITUTE(V682,"、",""))+1))</f>
        <v/>
      </c>
      <c r="M682" s="83">
        <f>IF(OR(X682="估算法",X682="算法类",X682="无法识别"),"",IF(W682="",IF(OR(I682="ILF",I682="EIF"),0,""),LEN(W682)-LEN(SUBSTITUTE(W682,"、",""))+1))</f>
        <v/>
      </c>
      <c r="N682" s="83">
        <f>IF(OR(X682="估算法",X682="算法类",X682="无法识别"),"",IF(X682="",IF(OR(I682="ILF",I682="EIF",I682="EI",I682="EO",I682="EQ"),0,""),LEN(X682)-LEN(SUBSTITUTE(SUBSTITUTE(SUBSTITUTE(SUBSTITUTE(SUBSTITUTE(X682,"|}","--"),"{|","--"),CHAR(10),""),"、",""),"|",""))+IF(AND(OR(I682="EI",I682="EO",I682="EQ"),$AD$1="NESMA"),2,1)))</f>
        <v/>
      </c>
      <c r="O682" s="84">
        <f>IF(I682="EI",IF(OR(X682="估算法",X682="算法类"),"中",IF(X682="无法识别","低",IF(L682&lt;2,IF(N682&lt;16,"低","中"),IF(L682&lt;3,IF(N682&lt;5,"低",IF(N682&lt;16,"中","高")),IF(N682&lt;5,"中","高"))))),IF(OR(I682="EO",I682="EQ"),IF(OR(X682="估算法",X682="算法类"),"中",IF(X682="无法识别","低",IF(L682&lt;2,IF(N682&lt;20,"低","中"),IF(L682&lt;4,IF(N682&lt;6,"低",IF(N682&lt;20,"中","高")),IF(N682&lt;6,"中","高"))))),IF(OR(I682="ILF",I682="EIF"),IF(OR(X682="估算法",X682="算法类",X682="无法识别"),"低",IF(M682&lt;2,IF(N682&lt;51,"低","中"),IF(M682&lt;6,IF(N682&lt;20,"低",IF(N682&lt;51,"中","高")),IF(N682&lt;20,"中","高")))),"不计算")))</f>
        <v/>
      </c>
      <c r="P682" s="142">
        <f>IFERROR(IF(I682="EI",IF(O682="低",3,IF(O682="中",4,6)),IF(I682="EO",IF(O682="低",4,IF(O682="中",5,7)),IF(I682="EQ",IF(O682="低",3,IF(O682="中",4,6)),IF(I682="ILF",IF(O682="低",7,IF(O682="中",10,15)),IF(I682="EIF",IF(O682="低",5,IF(O682="中",7,10)),"不计算")))))*Q682,"不计算")</f>
        <v/>
      </c>
      <c r="Q682" s="142" t="n">
        <v>0</v>
      </c>
      <c r="R682" s="143">
        <f>调整因子!$F$13</f>
        <v/>
      </c>
      <c r="S682" s="70" t="n">
        <v>1</v>
      </c>
      <c r="T682" s="144">
        <f>IFERROR(P682*R682,0)</f>
        <v/>
      </c>
      <c r="U682" s="144">
        <f>T682*S682</f>
        <v/>
      </c>
      <c r="V682" s="100" t="n"/>
      <c r="W682" s="79" t="inlineStr">
        <is>
          <t>VPT风险等级统计数据表、产品漏洞覆盖率统计数据表、弱口令扫描检测周期统计数据表、弱口令扫描资产覆盖率统计数据表、弱口令覆盖率统计数据表、有效漏洞率统计数据表、未排查原因比例统计数据表、未闭环漏洞一致率统计数据表、漏洞修复成功率统计数据表、漏洞关联分析资产覆盖率统计数据表、漏洞初始修复率统计数据表、漏洞修复失败原因比例统计数据表、漏洞平均修复时间(已验证)统计数据表、漏洞平均修复时间(未验证)统计数据表、漏洞扫描检测周期统计数据表、漏洞扫描资产覆盖率统计数据表、漏洞未验证率统计数据表、漏洞误报率统计数据表</t>
        </is>
      </c>
      <c r="X682" s="76" t="inlineStr">
        <is>
          <t>记录ID、日期、业务场景ID、系统漏洞ID、VPT级别、系统漏洞状态、工单ID、工单类型、产品漏洞ID、资产ID、弱口令扫描任务ID、弱口令字典ID、有效系统漏洞ID、未排查资产ID、未排查原因、排查工单ID、未闭环系统漏洞ID、修复核验工单ID、已修复系统漏洞ID、修复工单ID、关联分析资产ID、预警任务ID、初始修复系统漏洞ID、修复失败系统漏洞ID、已验证修复系统漏洞ID、修复耗时、未验证修复系统漏洞ID、漏洞扫描任务ID、未验证系统漏洞ID、误报系统漏洞ID</t>
        </is>
      </c>
      <c r="Y682" s="88">
        <f>IF(COUNTIFS(V:V,"*"&amp;H682&amp;"*")&gt;0,"存在","不存在")</f>
        <v/>
      </c>
      <c r="Z682" s="88">
        <f>IF(COUNTIFS(AA:AA,"*"&amp;H682&amp;"*")&gt;0,"存在","不存在")</f>
        <v/>
      </c>
      <c r="AA682" s="70" t="n"/>
    </row>
    <row r="683" hidden="1" ht="21.6" customHeight="1">
      <c r="A683" s="69">
        <f>ROW()-1</f>
        <v/>
      </c>
      <c r="B683" s="53" t="n"/>
      <c r="C683" s="78" t="n">
        <v>2025</v>
      </c>
      <c r="D683" s="78" t="inlineStr">
        <is>
          <t>汤凤欣</t>
        </is>
      </c>
      <c r="E683" s="53" t="n"/>
      <c r="F683" s="53" t="n"/>
      <c r="G683" s="53" t="n"/>
      <c r="H683" s="81" t="inlineStr">
        <is>
          <t>产品漏洞覆盖率统计数据表</t>
        </is>
      </c>
      <c r="I683" s="76" t="inlineStr">
        <is>
          <t>ILF</t>
        </is>
      </c>
      <c r="J683" s="108" t="n"/>
      <c r="K683" s="108" t="inlineStr">
        <is>
          <t>数据库表未被本系统所维护</t>
        </is>
      </c>
      <c r="L683" s="83">
        <f>IF(OR(X683="估算法",X683="算法类",X683="无法识别"),"",IF(V683="",IF(OR(I683="EI",I683="EO",I683="EQ"),0,""),LEN(V683)-LEN(SUBSTITUTE(V683,"、",""))+1))</f>
        <v/>
      </c>
      <c r="M683" s="83">
        <f>IF(OR(X683="估算法",X683="算法类",X683="无法识别"),"",IF(W683="",IF(OR(I683="ILF",I683="EIF"),0,""),LEN(W683)-LEN(SUBSTITUTE(W683,"、",""))+1))</f>
        <v/>
      </c>
      <c r="N683" s="83">
        <f>IF(OR(X683="估算法",X683="算法类",X683="无法识别"),"",IF(X683="",IF(OR(I683="ILF",I683="EIF",I683="EI",I683="EO",I683="EQ"),0,""),LEN(X683)-LEN(SUBSTITUTE(SUBSTITUTE(SUBSTITUTE(SUBSTITUTE(SUBSTITUTE(X683,"|}","--"),"{|","--"),CHAR(10),""),"、",""),"|",""))+IF(AND(OR(I683="EI",I683="EO",I683="EQ"),$AD$1="NESMA"),2,1)))</f>
        <v/>
      </c>
      <c r="O683" s="84">
        <f>IF(I683="EI",IF(OR(X683="估算法",X683="算法类"),"中",IF(X683="无法识别","低",IF(L683&lt;2,IF(N683&lt;16,"低","中"),IF(L683&lt;3,IF(N683&lt;5,"低",IF(N683&lt;16,"中","高")),IF(N683&lt;5,"中","高"))))),IF(OR(I683="EO",I683="EQ"),IF(OR(X683="估算法",X683="算法类"),"中",IF(X683="无法识别","低",IF(L683&lt;2,IF(N683&lt;20,"低","中"),IF(L683&lt;4,IF(N683&lt;6,"低",IF(N683&lt;20,"中","高")),IF(N683&lt;6,"中","高"))))),IF(OR(I683="ILF",I683="EIF"),IF(OR(X683="估算法",X683="算法类",X683="无法识别"),"低",IF(M683&lt;2,IF(N683&lt;51,"低","中"),IF(M683&lt;6,IF(N683&lt;20,"低",IF(N683&lt;51,"中","高")),IF(N683&lt;20,"中","高")))),"不计算")))</f>
        <v/>
      </c>
      <c r="P683" s="142">
        <f>IFERROR(IF(I683="EI",IF(O683="低",3,IF(O683="中",4,6)),IF(I683="EO",IF(O683="低",4,IF(O683="中",5,7)),IF(I683="EQ",IF(O683="低",3,IF(O683="中",4,6)),IF(I683="ILF",IF(O683="低",7,IF(O683="中",10,15)),IF(I683="EIF",IF(O683="低",5,IF(O683="中",7,10)),"不计算")))))*Q683,"不计算")</f>
        <v/>
      </c>
      <c r="Q683" s="142" t="n">
        <v>0</v>
      </c>
      <c r="R683" s="143">
        <f>调整因子!$F$13</f>
        <v/>
      </c>
      <c r="S683" s="76" t="n">
        <v>1</v>
      </c>
      <c r="T683" s="144">
        <f>IFERROR(P683*R683,0)</f>
        <v/>
      </c>
      <c r="U683" s="144">
        <f>T683*S683</f>
        <v/>
      </c>
      <c r="V683" s="100" t="n"/>
      <c r="W683" s="76" t="inlineStr">
        <is>
          <t>产品漏洞覆盖率统计数据表</t>
        </is>
      </c>
      <c r="X683" s="76" t="inlineStr">
        <is>
          <t>产品漏洞覆盖率统计数据表{记录ID、日期、业务场景ID、产品漏洞ID、工单ID、工单类型|}</t>
        </is>
      </c>
      <c r="Y683" s="88">
        <f>IF(COUNTIFS(V:V,"*"&amp;H683&amp;"*")&gt;0,"存在","不存在")</f>
        <v/>
      </c>
      <c r="Z683" s="88">
        <f>IF(COUNTIFS(AA:AA,"*"&amp;H683&amp;"*")&gt;0,"存在","不存在")</f>
        <v/>
      </c>
      <c r="AA683" s="101" t="n"/>
    </row>
    <row r="684" hidden="1" ht="21.6" customHeight="1">
      <c r="A684" s="69">
        <f>ROW()-1</f>
        <v/>
      </c>
      <c r="B684" s="53" t="n"/>
      <c r="C684" s="78" t="n">
        <v>2025</v>
      </c>
      <c r="D684" s="78" t="inlineStr">
        <is>
          <t>汤凤欣</t>
        </is>
      </c>
      <c r="E684" s="53" t="n"/>
      <c r="F684" s="53" t="n"/>
      <c r="G684" s="53" t="n"/>
      <c r="H684" s="81" t="inlineStr">
        <is>
          <t>弱口令扫描检测周期统计数据表</t>
        </is>
      </c>
      <c r="I684" s="76" t="inlineStr">
        <is>
          <t>ILF</t>
        </is>
      </c>
      <c r="J684" s="108" t="n"/>
      <c r="K684" s="108" t="inlineStr">
        <is>
          <t>数据库表未被本系统所维护</t>
        </is>
      </c>
      <c r="L684" s="83">
        <f>IF(OR(X684="估算法",X684="算法类",X684="无法识别"),"",IF(V684="",IF(OR(I684="EI",I684="EO",I684="EQ"),0,""),LEN(V684)-LEN(SUBSTITUTE(V684,"、",""))+1))</f>
        <v/>
      </c>
      <c r="M684" s="83">
        <f>IF(OR(X684="估算法",X684="算法类",X684="无法识别"),"",IF(W684="",IF(OR(I684="ILF",I684="EIF"),0,""),LEN(W684)-LEN(SUBSTITUTE(W684,"、",""))+1))</f>
        <v/>
      </c>
      <c r="N684" s="83">
        <f>IF(OR(X684="估算法",X684="算法类",X684="无法识别"),"",IF(X684="",IF(OR(I684="ILF",I684="EIF",I684="EI",I684="EO",I684="EQ"),0,""),LEN(X684)-LEN(SUBSTITUTE(SUBSTITUTE(SUBSTITUTE(SUBSTITUTE(SUBSTITUTE(X684,"|}","--"),"{|","--"),CHAR(10),""),"、",""),"|",""))+IF(AND(OR(I684="EI",I684="EO",I684="EQ"),$AD$1="NESMA"),2,1)))</f>
        <v/>
      </c>
      <c r="O684" s="84">
        <f>IF(I684="EI",IF(OR(X684="估算法",X684="算法类"),"中",IF(X684="无法识别","低",IF(L684&lt;2,IF(N684&lt;16,"低","中"),IF(L684&lt;3,IF(N684&lt;5,"低",IF(N684&lt;16,"中","高")),IF(N684&lt;5,"中","高"))))),IF(OR(I684="EO",I684="EQ"),IF(OR(X684="估算法",X684="算法类"),"中",IF(X684="无法识别","低",IF(L684&lt;2,IF(N684&lt;20,"低","中"),IF(L684&lt;4,IF(N684&lt;6,"低",IF(N684&lt;20,"中","高")),IF(N684&lt;6,"中","高"))))),IF(OR(I684="ILF",I684="EIF"),IF(OR(X684="估算法",X684="算法类",X684="无法识别"),"低",IF(M684&lt;2,IF(N684&lt;51,"低","中"),IF(M684&lt;6,IF(N684&lt;20,"低",IF(N684&lt;51,"中","高")),IF(N684&lt;20,"中","高")))),"不计算")))</f>
        <v/>
      </c>
      <c r="P684" s="142">
        <f>IFERROR(IF(I684="EI",IF(O684="低",3,IF(O684="中",4,6)),IF(I684="EO",IF(O684="低",4,IF(O684="中",5,7)),IF(I684="EQ",IF(O684="低",3,IF(O684="中",4,6)),IF(I684="ILF",IF(O684="低",7,IF(O684="中",10,15)),IF(I684="EIF",IF(O684="低",5,IF(O684="中",7,10)),"不计算")))))*Q684,"不计算")</f>
        <v/>
      </c>
      <c r="Q684" s="142" t="n">
        <v>0</v>
      </c>
      <c r="R684" s="143">
        <f>调整因子!$F$13</f>
        <v/>
      </c>
      <c r="S684" s="70" t="n">
        <v>1</v>
      </c>
      <c r="T684" s="144">
        <f>IFERROR(P684*R684,0)</f>
        <v/>
      </c>
      <c r="U684" s="144">
        <f>T684*S684</f>
        <v/>
      </c>
      <c r="V684" s="100" t="n"/>
      <c r="W684" s="76" t="inlineStr">
        <is>
          <t>弱口令扫描检测周期统计数据表</t>
        </is>
      </c>
      <c r="X684" s="76" t="inlineStr">
        <is>
          <t>弱口令扫描检测周期统计数据表{记录ID、日期、业务场景ID、资产ID、弱口令扫描任务ID|}</t>
        </is>
      </c>
      <c r="Y684" s="88">
        <f>IF(COUNTIFS(V:V,"*"&amp;H684&amp;"*")&gt;0,"存在","不存在")</f>
        <v/>
      </c>
      <c r="Z684" s="88">
        <f>IF(COUNTIFS(AA:AA,"*"&amp;H684&amp;"*")&gt;0,"存在","不存在")</f>
        <v/>
      </c>
      <c r="AA684" s="70" t="n"/>
    </row>
    <row r="685" hidden="1" ht="21.6" customHeight="1">
      <c r="A685" s="69">
        <f>ROW()-1</f>
        <v/>
      </c>
      <c r="B685" s="53" t="n"/>
      <c r="C685" s="78" t="n">
        <v>2025</v>
      </c>
      <c r="D685" s="78" t="inlineStr">
        <is>
          <t>汤凤欣</t>
        </is>
      </c>
      <c r="E685" s="53" t="n"/>
      <c r="F685" s="53" t="n"/>
      <c r="G685" s="53" t="n"/>
      <c r="H685" s="81" t="inlineStr">
        <is>
          <t>弱口令扫描资产覆盖率统计数据表</t>
        </is>
      </c>
      <c r="I685" s="76" t="inlineStr">
        <is>
          <t>ILF</t>
        </is>
      </c>
      <c r="J685" s="108" t="n"/>
      <c r="K685" s="108" t="inlineStr">
        <is>
          <t>数据库表未被本系统所维护</t>
        </is>
      </c>
      <c r="L685" s="83">
        <f>IF(OR(X685="估算法",X685="算法类",X685="无法识别"),"",IF(V685="",IF(OR(I685="EI",I685="EO",I685="EQ"),0,""),LEN(V685)-LEN(SUBSTITUTE(V685,"、",""))+1))</f>
        <v/>
      </c>
      <c r="M685" s="83">
        <f>IF(OR(X685="估算法",X685="算法类",X685="无法识别"),"",IF(W685="",IF(OR(I685="ILF",I685="EIF"),0,""),LEN(W685)-LEN(SUBSTITUTE(W685,"、",""))+1))</f>
        <v/>
      </c>
      <c r="N685" s="83">
        <f>IF(OR(X685="估算法",X685="算法类",X685="无法识别"),"",IF(X685="",IF(OR(I685="ILF",I685="EIF",I685="EI",I685="EO",I685="EQ"),0,""),LEN(X685)-LEN(SUBSTITUTE(SUBSTITUTE(SUBSTITUTE(SUBSTITUTE(SUBSTITUTE(X685,"|}","--"),"{|","--"),CHAR(10),""),"、",""),"|",""))+IF(AND(OR(I685="EI",I685="EO",I685="EQ"),$AD$1="NESMA"),2,1)))</f>
        <v/>
      </c>
      <c r="O685" s="84">
        <f>IF(I685="EI",IF(OR(X685="估算法",X685="算法类"),"中",IF(X685="无法识别","低",IF(L685&lt;2,IF(N685&lt;16,"低","中"),IF(L685&lt;3,IF(N685&lt;5,"低",IF(N685&lt;16,"中","高")),IF(N685&lt;5,"中","高"))))),IF(OR(I685="EO",I685="EQ"),IF(OR(X685="估算法",X685="算法类"),"中",IF(X685="无法识别","低",IF(L685&lt;2,IF(N685&lt;20,"低","中"),IF(L685&lt;4,IF(N685&lt;6,"低",IF(N685&lt;20,"中","高")),IF(N685&lt;6,"中","高"))))),IF(OR(I685="ILF",I685="EIF"),IF(OR(X685="估算法",X685="算法类",X685="无法识别"),"低",IF(M685&lt;2,IF(N685&lt;51,"低","中"),IF(M685&lt;6,IF(N685&lt;20,"低",IF(N685&lt;51,"中","高")),IF(N685&lt;20,"中","高")))),"不计算")))</f>
        <v/>
      </c>
      <c r="P685" s="142">
        <f>IFERROR(IF(I685="EI",IF(O685="低",3,IF(O685="中",4,6)),IF(I685="EO",IF(O685="低",4,IF(O685="中",5,7)),IF(I685="EQ",IF(O685="低",3,IF(O685="中",4,6)),IF(I685="ILF",IF(O685="低",7,IF(O685="中",10,15)),IF(I685="EIF",IF(O685="低",5,IF(O685="中",7,10)),"不计算")))))*Q685,"不计算")</f>
        <v/>
      </c>
      <c r="Q685" s="142" t="n">
        <v>0</v>
      </c>
      <c r="R685" s="143">
        <f>调整因子!$F$13</f>
        <v/>
      </c>
      <c r="S685" s="70" t="n">
        <v>1</v>
      </c>
      <c r="T685" s="144">
        <f>IFERROR(P685*R685,0)</f>
        <v/>
      </c>
      <c r="U685" s="144">
        <f>T685*S685</f>
        <v/>
      </c>
      <c r="V685" s="100" t="n"/>
      <c r="W685" s="76" t="inlineStr">
        <is>
          <t>弱口令扫描资产覆盖率统计数据表</t>
        </is>
      </c>
      <c r="X685" s="76" t="inlineStr">
        <is>
          <t>弱口令扫描资产覆盖率统计数据表{记录ID、日期、业务场景ID、弱口令扫描任务ID、资产ID|}</t>
        </is>
      </c>
      <c r="Y685" s="88">
        <f>IF(COUNTIFS(V:V,"*"&amp;H685&amp;"*")&gt;0,"存在","不存在")</f>
        <v/>
      </c>
      <c r="Z685" s="88">
        <f>IF(COUNTIFS(AA:AA,"*"&amp;H685&amp;"*")&gt;0,"存在","不存在")</f>
        <v/>
      </c>
      <c r="AA685" s="101" t="n"/>
    </row>
    <row r="686" hidden="1" ht="21.6" customHeight="1">
      <c r="A686" s="69">
        <f>ROW()-1</f>
        <v/>
      </c>
      <c r="B686" s="53" t="n"/>
      <c r="C686" s="78" t="n">
        <v>2025</v>
      </c>
      <c r="D686" s="78" t="inlineStr">
        <is>
          <t>汤凤欣</t>
        </is>
      </c>
      <c r="E686" s="53" t="n"/>
      <c r="F686" s="53" t="n"/>
      <c r="G686" s="53" t="n"/>
      <c r="H686" s="81" t="inlineStr">
        <is>
          <t>弱口令覆盖率统计数据表</t>
        </is>
      </c>
      <c r="I686" s="76" t="inlineStr">
        <is>
          <t>ILF</t>
        </is>
      </c>
      <c r="J686" s="108" t="n"/>
      <c r="K686" s="108" t="inlineStr">
        <is>
          <t>数据库表未被本系统所维护</t>
        </is>
      </c>
      <c r="L686" s="83">
        <f>IF(OR(X686="估算法",X686="算法类",X686="无法识别"),"",IF(V686="",IF(OR(I686="EI",I686="EO",I686="EQ"),0,""),LEN(V686)-LEN(SUBSTITUTE(V686,"、",""))+1))</f>
        <v/>
      </c>
      <c r="M686" s="83">
        <f>IF(OR(X686="估算法",X686="算法类",X686="无法识别"),"",IF(W686="",IF(OR(I686="ILF",I686="EIF"),0,""),LEN(W686)-LEN(SUBSTITUTE(W686,"、",""))+1))</f>
        <v/>
      </c>
      <c r="N686" s="83">
        <f>IF(OR(X686="估算法",X686="算法类",X686="无法识别"),"",IF(X686="",IF(OR(I686="ILF",I686="EIF",I686="EI",I686="EO",I686="EQ"),0,""),LEN(X686)-LEN(SUBSTITUTE(SUBSTITUTE(SUBSTITUTE(SUBSTITUTE(SUBSTITUTE(X686,"|}","--"),"{|","--"),CHAR(10),""),"、",""),"|",""))+IF(AND(OR(I686="EI",I686="EO",I686="EQ"),$AD$1="NESMA"),2,1)))</f>
        <v/>
      </c>
      <c r="O686" s="84">
        <f>IF(I686="EI",IF(OR(X686="估算法",X686="算法类"),"中",IF(X686="无法识别","低",IF(L686&lt;2,IF(N686&lt;16,"低","中"),IF(L686&lt;3,IF(N686&lt;5,"低",IF(N686&lt;16,"中","高")),IF(N686&lt;5,"中","高"))))),IF(OR(I686="EO",I686="EQ"),IF(OR(X686="估算法",X686="算法类"),"中",IF(X686="无法识别","低",IF(L686&lt;2,IF(N686&lt;20,"低","中"),IF(L686&lt;4,IF(N686&lt;6,"低",IF(N686&lt;20,"中","高")),IF(N686&lt;6,"中","高"))))),IF(OR(I686="ILF",I686="EIF"),IF(OR(X686="估算法",X686="算法类",X686="无法识别"),"低",IF(M686&lt;2,IF(N686&lt;51,"低","中"),IF(M686&lt;6,IF(N686&lt;20,"低",IF(N686&lt;51,"中","高")),IF(N686&lt;20,"中","高")))),"不计算")))</f>
        <v/>
      </c>
      <c r="P686" s="142">
        <f>IFERROR(IF(I686="EI",IF(O686="低",3,IF(O686="中",4,6)),IF(I686="EO",IF(O686="低",4,IF(O686="中",5,7)),IF(I686="EQ",IF(O686="低",3,IF(O686="中",4,6)),IF(I686="ILF",IF(O686="低",7,IF(O686="中",10,15)),IF(I686="EIF",IF(O686="低",5,IF(O686="中",7,10)),"不计算")))))*Q686,"不计算")</f>
        <v/>
      </c>
      <c r="Q686" s="142" t="n">
        <v>0</v>
      </c>
      <c r="R686" s="143">
        <f>调整因子!$F$13</f>
        <v/>
      </c>
      <c r="S686" s="76" t="n">
        <v>1</v>
      </c>
      <c r="T686" s="144">
        <f>IFERROR(P686*R686,0)</f>
        <v/>
      </c>
      <c r="U686" s="144">
        <f>T686*S686</f>
        <v/>
      </c>
      <c r="V686" s="100" t="n"/>
      <c r="W686" s="76" t="inlineStr">
        <is>
          <t>弱口令覆盖率统计数据表</t>
        </is>
      </c>
      <c r="X686" s="76" t="inlineStr">
        <is>
          <t>弱口令覆盖率统计数据表{记录ID、日期、业务场景ID、弱口令字典ID、弱口令扫描任务ID|}</t>
        </is>
      </c>
      <c r="Y686" s="88">
        <f>IF(COUNTIFS(V:V,"*"&amp;H686&amp;"*")&gt;0,"存在","不存在")</f>
        <v/>
      </c>
      <c r="Z686" s="88">
        <f>IF(COUNTIFS(AA:AA,"*"&amp;H686&amp;"*")&gt;0,"存在","不存在")</f>
        <v/>
      </c>
      <c r="AA686" s="70" t="n"/>
    </row>
    <row r="687" hidden="1">
      <c r="A687" s="69">
        <f>ROW()-1</f>
        <v/>
      </c>
      <c r="B687" s="53" t="n"/>
      <c r="C687" s="78" t="n">
        <v>2025</v>
      </c>
      <c r="D687" s="78" t="inlineStr">
        <is>
          <t>汤凤欣</t>
        </is>
      </c>
      <c r="E687" s="53" t="n"/>
      <c r="F687" s="53" t="n"/>
      <c r="G687" s="53" t="n"/>
      <c r="H687" s="81" t="inlineStr">
        <is>
          <t>有效漏洞率统计数据表</t>
        </is>
      </c>
      <c r="I687" s="76" t="inlineStr">
        <is>
          <t>ILF</t>
        </is>
      </c>
      <c r="J687" s="108" t="n"/>
      <c r="K687" s="108" t="inlineStr">
        <is>
          <t>数据库表未被本系统所维护</t>
        </is>
      </c>
      <c r="L687" s="83">
        <f>IF(OR(X687="估算法",X687="算法类",X687="无法识别"),"",IF(V687="",IF(OR(I687="EI",I687="EO",I687="EQ"),0,""),LEN(V687)-LEN(SUBSTITUTE(V687,"、",""))+1))</f>
        <v/>
      </c>
      <c r="M687" s="83">
        <f>IF(OR(X687="估算法",X687="算法类",X687="无法识别"),"",IF(W687="",IF(OR(I687="ILF",I687="EIF"),0,""),LEN(W687)-LEN(SUBSTITUTE(W687,"、",""))+1))</f>
        <v/>
      </c>
      <c r="N687" s="83">
        <f>IF(OR(X687="估算法",X687="算法类",X687="无法识别"),"",IF(X687="",IF(OR(I687="ILF",I687="EIF",I687="EI",I687="EO",I687="EQ"),0,""),LEN(X687)-LEN(SUBSTITUTE(SUBSTITUTE(SUBSTITUTE(SUBSTITUTE(SUBSTITUTE(X687,"|}","--"),"{|","--"),CHAR(10),""),"、",""),"|",""))+IF(AND(OR(I687="EI",I687="EO",I687="EQ"),$AD$1="NESMA"),2,1)))</f>
        <v/>
      </c>
      <c r="O687" s="84">
        <f>IF(I687="EI",IF(OR(X687="估算法",X687="算法类"),"中",IF(X687="无法识别","低",IF(L687&lt;2,IF(N687&lt;16,"低","中"),IF(L687&lt;3,IF(N687&lt;5,"低",IF(N687&lt;16,"中","高")),IF(N687&lt;5,"中","高"))))),IF(OR(I687="EO",I687="EQ"),IF(OR(X687="估算法",X687="算法类"),"中",IF(X687="无法识别","低",IF(L687&lt;2,IF(N687&lt;20,"低","中"),IF(L687&lt;4,IF(N687&lt;6,"低",IF(N687&lt;20,"中","高")),IF(N687&lt;6,"中","高"))))),IF(OR(I687="ILF",I687="EIF"),IF(OR(X687="估算法",X687="算法类",X687="无法识别"),"低",IF(M687&lt;2,IF(N687&lt;51,"低","中"),IF(M687&lt;6,IF(N687&lt;20,"低",IF(N687&lt;51,"中","高")),IF(N687&lt;20,"中","高")))),"不计算")))</f>
        <v/>
      </c>
      <c r="P687" s="142">
        <f>IFERROR(IF(I687="EI",IF(O687="低",3,IF(O687="中",4,6)),IF(I687="EO",IF(O687="低",4,IF(O687="中",5,7)),IF(I687="EQ",IF(O687="低",3,IF(O687="中",4,6)),IF(I687="ILF",IF(O687="低",7,IF(O687="中",10,15)),IF(I687="EIF",IF(O687="低",5,IF(O687="中",7,10)),"不计算")))))*Q687,"不计算")</f>
        <v/>
      </c>
      <c r="Q687" s="142" t="n">
        <v>0</v>
      </c>
      <c r="R687" s="143">
        <f>调整因子!$F$13</f>
        <v/>
      </c>
      <c r="S687" s="70" t="n">
        <v>1</v>
      </c>
      <c r="T687" s="144">
        <f>IFERROR(P687*R687,0)</f>
        <v/>
      </c>
      <c r="U687" s="144">
        <f>T687*S687</f>
        <v/>
      </c>
      <c r="V687" s="100" t="n"/>
      <c r="W687" s="76" t="inlineStr">
        <is>
          <t>有效漏洞率统计数据表</t>
        </is>
      </c>
      <c r="X687" s="76" t="inlineStr">
        <is>
          <t>有效漏洞率统计数据表{记录ID、日期、业务场景ID、有效系统漏洞ID、工单ID|}</t>
        </is>
      </c>
      <c r="Y687" s="88">
        <f>IF(COUNTIFS(V:V,"*"&amp;H687&amp;"*")&gt;0,"存在","不存在")</f>
        <v/>
      </c>
      <c r="Z687" s="88">
        <f>IF(COUNTIFS(AA:AA,"*"&amp;H687&amp;"*")&gt;0,"存在","不存在")</f>
        <v/>
      </c>
      <c r="AA687" s="101" t="n"/>
    </row>
    <row r="688" hidden="1" ht="21.6" customHeight="1">
      <c r="A688" s="69">
        <f>ROW()-1</f>
        <v/>
      </c>
      <c r="B688" s="53" t="n"/>
      <c r="C688" s="78" t="n">
        <v>2025</v>
      </c>
      <c r="D688" s="78" t="inlineStr">
        <is>
          <t>汤凤欣</t>
        </is>
      </c>
      <c r="E688" s="53" t="n"/>
      <c r="F688" s="53" t="n"/>
      <c r="G688" s="53" t="n"/>
      <c r="H688" s="81" t="inlineStr">
        <is>
          <t>未排查原因比例统计数据表</t>
        </is>
      </c>
      <c r="I688" s="76" t="inlineStr">
        <is>
          <t>ILF</t>
        </is>
      </c>
      <c r="J688" s="108" t="n"/>
      <c r="K688" s="108" t="inlineStr">
        <is>
          <t>数据库表未被本系统所维护</t>
        </is>
      </c>
      <c r="L688" s="83">
        <f>IF(OR(X688="估算法",X688="算法类",X688="无法识别"),"",IF(V688="",IF(OR(I688="EI",I688="EO",I688="EQ"),0,""),LEN(V688)-LEN(SUBSTITUTE(V688,"、",""))+1))</f>
        <v/>
      </c>
      <c r="M688" s="83">
        <f>IF(OR(X688="估算法",X688="算法类",X688="无法识别"),"",IF(W688="",IF(OR(I688="ILF",I688="EIF"),0,""),LEN(W688)-LEN(SUBSTITUTE(W688,"、",""))+1))</f>
        <v/>
      </c>
      <c r="N688" s="83">
        <f>IF(OR(X688="估算法",X688="算法类",X688="无法识别"),"",IF(X688="",IF(OR(I688="ILF",I688="EIF",I688="EI",I688="EO",I688="EQ"),0,""),LEN(X688)-LEN(SUBSTITUTE(SUBSTITUTE(SUBSTITUTE(SUBSTITUTE(SUBSTITUTE(X688,"|}","--"),"{|","--"),CHAR(10),""),"、",""),"|",""))+IF(AND(OR(I688="EI",I688="EO",I688="EQ"),$AD$1="NESMA"),2,1)))</f>
        <v/>
      </c>
      <c r="O688" s="84">
        <f>IF(I688="EI",IF(OR(X688="估算法",X688="算法类"),"中",IF(X688="无法识别","低",IF(L688&lt;2,IF(N688&lt;16,"低","中"),IF(L688&lt;3,IF(N688&lt;5,"低",IF(N688&lt;16,"中","高")),IF(N688&lt;5,"中","高"))))),IF(OR(I688="EO",I688="EQ"),IF(OR(X688="估算法",X688="算法类"),"中",IF(X688="无法识别","低",IF(L688&lt;2,IF(N688&lt;20,"低","中"),IF(L688&lt;4,IF(N688&lt;6,"低",IF(N688&lt;20,"中","高")),IF(N688&lt;6,"中","高"))))),IF(OR(I688="ILF",I688="EIF"),IF(OR(X688="估算法",X688="算法类",X688="无法识别"),"低",IF(M688&lt;2,IF(N688&lt;51,"低","中"),IF(M688&lt;6,IF(N688&lt;20,"低",IF(N688&lt;51,"中","高")),IF(N688&lt;20,"中","高")))),"不计算")))</f>
        <v/>
      </c>
      <c r="P688" s="142">
        <f>IFERROR(IF(I688="EI",IF(O688="低",3,IF(O688="中",4,6)),IF(I688="EO",IF(O688="低",4,IF(O688="中",5,7)),IF(I688="EQ",IF(O688="低",3,IF(O688="中",4,6)),IF(I688="ILF",IF(O688="低",7,IF(O688="中",10,15)),IF(I688="EIF",IF(O688="低",5,IF(O688="中",7,10)),"不计算")))))*Q688,"不计算")</f>
        <v/>
      </c>
      <c r="Q688" s="142" t="n">
        <v>0</v>
      </c>
      <c r="R688" s="143">
        <f>调整因子!$F$13</f>
        <v/>
      </c>
      <c r="S688" s="70" t="n">
        <v>1</v>
      </c>
      <c r="T688" s="144">
        <f>IFERROR(P688*R688,0)</f>
        <v/>
      </c>
      <c r="U688" s="144">
        <f>T688*S688</f>
        <v/>
      </c>
      <c r="V688" s="100" t="n"/>
      <c r="W688" s="76" t="inlineStr">
        <is>
          <t>未排查原因比例统计数据表</t>
        </is>
      </c>
      <c r="X688" s="76" t="inlineStr">
        <is>
          <t>未排查原因比例统计数据表{记录ID、日期、业务场景ID、未排查资产ID、未排查原因、排查工单ID|}</t>
        </is>
      </c>
      <c r="Y688" s="88">
        <f>IF(COUNTIFS(V:V,"*"&amp;H688&amp;"*")&gt;0,"存在","不存在")</f>
        <v/>
      </c>
      <c r="Z688" s="88">
        <f>IF(COUNTIFS(AA:AA,"*"&amp;H688&amp;"*")&gt;0,"存在","不存在")</f>
        <v/>
      </c>
      <c r="AA688" s="70" t="n"/>
    </row>
    <row r="689" hidden="1" ht="21.6" customHeight="1">
      <c r="A689" s="69">
        <f>ROW()-1</f>
        <v/>
      </c>
      <c r="B689" s="53" t="n"/>
      <c r="C689" s="78" t="n">
        <v>2025</v>
      </c>
      <c r="D689" s="78" t="inlineStr">
        <is>
          <t>汤凤欣</t>
        </is>
      </c>
      <c r="E689" s="53" t="n"/>
      <c r="F689" s="53" t="n"/>
      <c r="G689" s="53" t="n"/>
      <c r="H689" s="81" t="inlineStr">
        <is>
          <t>未闭环漏洞一致率统计数据表</t>
        </is>
      </c>
      <c r="I689" s="76" t="inlineStr">
        <is>
          <t>ILF</t>
        </is>
      </c>
      <c r="J689" s="108" t="n"/>
      <c r="K689" s="108" t="inlineStr">
        <is>
          <t>数据库表未被本系统所维护</t>
        </is>
      </c>
      <c r="L689" s="83">
        <f>IF(OR(X689="估算法",X689="算法类",X689="无法识别"),"",IF(V689="",IF(OR(I689="EI",I689="EO",I689="EQ"),0,""),LEN(V689)-LEN(SUBSTITUTE(V689,"、",""))+1))</f>
        <v/>
      </c>
      <c r="M689" s="83">
        <f>IF(OR(X689="估算法",X689="算法类",X689="无法识别"),"",IF(W689="",IF(OR(I689="ILF",I689="EIF"),0,""),LEN(W689)-LEN(SUBSTITUTE(W689,"、",""))+1))</f>
        <v/>
      </c>
      <c r="N689" s="83">
        <f>IF(OR(X689="估算法",X689="算法类",X689="无法识别"),"",IF(X689="",IF(OR(I689="ILF",I689="EIF",I689="EI",I689="EO",I689="EQ"),0,""),LEN(X689)-LEN(SUBSTITUTE(SUBSTITUTE(SUBSTITUTE(SUBSTITUTE(SUBSTITUTE(X689,"|}","--"),"{|","--"),CHAR(10),""),"、",""),"|",""))+IF(AND(OR(I689="EI",I689="EO",I689="EQ"),$AD$1="NESMA"),2,1)))</f>
        <v/>
      </c>
      <c r="O689" s="84">
        <f>IF(I689="EI",IF(OR(X689="估算法",X689="算法类"),"中",IF(X689="无法识别","低",IF(L689&lt;2,IF(N689&lt;16,"低","中"),IF(L689&lt;3,IF(N689&lt;5,"低",IF(N689&lt;16,"中","高")),IF(N689&lt;5,"中","高"))))),IF(OR(I689="EO",I689="EQ"),IF(OR(X689="估算法",X689="算法类"),"中",IF(X689="无法识别","低",IF(L689&lt;2,IF(N689&lt;20,"低","中"),IF(L689&lt;4,IF(N689&lt;6,"低",IF(N689&lt;20,"中","高")),IF(N689&lt;6,"中","高"))))),IF(OR(I689="ILF",I689="EIF"),IF(OR(X689="估算法",X689="算法类",X689="无法识别"),"低",IF(M689&lt;2,IF(N689&lt;51,"低","中"),IF(M689&lt;6,IF(N689&lt;20,"低",IF(N689&lt;51,"中","高")),IF(N689&lt;20,"中","高")))),"不计算")))</f>
        <v/>
      </c>
      <c r="P689" s="142">
        <f>IFERROR(IF(I689="EI",IF(O689="低",3,IF(O689="中",4,6)),IF(I689="EO",IF(O689="低",4,IF(O689="中",5,7)),IF(I689="EQ",IF(O689="低",3,IF(O689="中",4,6)),IF(I689="ILF",IF(O689="低",7,IF(O689="中",10,15)),IF(I689="EIF",IF(O689="低",5,IF(O689="中",7,10)),"不计算")))))*Q689,"不计算")</f>
        <v/>
      </c>
      <c r="Q689" s="142" t="n">
        <v>0</v>
      </c>
      <c r="R689" s="143">
        <f>调整因子!$F$13</f>
        <v/>
      </c>
      <c r="S689" s="76" t="n">
        <v>1</v>
      </c>
      <c r="T689" s="144">
        <f>IFERROR(P689*R689,0)</f>
        <v/>
      </c>
      <c r="U689" s="144">
        <f>T689*S689</f>
        <v/>
      </c>
      <c r="V689" s="100" t="n"/>
      <c r="W689" s="76" t="inlineStr">
        <is>
          <t>未闭环漏洞一致率统计数据表</t>
        </is>
      </c>
      <c r="X689" s="76" t="inlineStr">
        <is>
          <t>未闭环漏洞一致率统计数据表{记录ID、日期、业务场景ID、未闭环系统漏洞ID、修复核验工单ID|}</t>
        </is>
      </c>
      <c r="Y689" s="88">
        <f>IF(COUNTIFS(V:V,"*"&amp;H689&amp;"*")&gt;0,"存在","不存在")</f>
        <v/>
      </c>
      <c r="Z689" s="88">
        <f>IF(COUNTIFS(AA:AA,"*"&amp;H689&amp;"*")&gt;0,"存在","不存在")</f>
        <v/>
      </c>
      <c r="AA689" s="101" t="n"/>
    </row>
    <row r="690" hidden="1" ht="21.6" customHeight="1">
      <c r="A690" s="69">
        <f>ROW()-1</f>
        <v/>
      </c>
      <c r="B690" s="53" t="n"/>
      <c r="C690" s="78" t="n">
        <v>2025</v>
      </c>
      <c r="D690" s="78" t="inlineStr">
        <is>
          <t>汤凤欣</t>
        </is>
      </c>
      <c r="E690" s="53" t="n"/>
      <c r="F690" s="53" t="n"/>
      <c r="G690" s="53" t="n"/>
      <c r="H690" s="81" t="inlineStr">
        <is>
          <t>漏洞修复成功率统计数据表</t>
        </is>
      </c>
      <c r="I690" s="76" t="inlineStr">
        <is>
          <t>ILF</t>
        </is>
      </c>
      <c r="J690" s="108" t="n"/>
      <c r="K690" s="108" t="inlineStr">
        <is>
          <t>数据库表未被本系统所维护</t>
        </is>
      </c>
      <c r="L690" s="83">
        <f>IF(OR(X690="估算法",X690="算法类",X690="无法识别"),"",IF(V690="",IF(OR(I690="EI",I690="EO",I690="EQ"),0,""),LEN(V690)-LEN(SUBSTITUTE(V690,"、",""))+1))</f>
        <v/>
      </c>
      <c r="M690" s="83">
        <f>IF(OR(X690="估算法",X690="算法类",X690="无法识别"),"",IF(W690="",IF(OR(I690="ILF",I690="EIF"),0,""),LEN(W690)-LEN(SUBSTITUTE(W690,"、",""))+1))</f>
        <v/>
      </c>
      <c r="N690" s="83">
        <f>IF(OR(X690="估算法",X690="算法类",X690="无法识别"),"",IF(X690="",IF(OR(I690="ILF",I690="EIF",I690="EI",I690="EO",I690="EQ"),0,""),LEN(X690)-LEN(SUBSTITUTE(SUBSTITUTE(SUBSTITUTE(SUBSTITUTE(SUBSTITUTE(X690,"|}","--"),"{|","--"),CHAR(10),""),"、",""),"|",""))+IF(AND(OR(I690="EI",I690="EO",I690="EQ"),$AD$1="NESMA"),2,1)))</f>
        <v/>
      </c>
      <c r="O690" s="84">
        <f>IF(I690="EI",IF(OR(X690="估算法",X690="算法类"),"中",IF(X690="无法识别","低",IF(L690&lt;2,IF(N690&lt;16,"低","中"),IF(L690&lt;3,IF(N690&lt;5,"低",IF(N690&lt;16,"中","高")),IF(N690&lt;5,"中","高"))))),IF(OR(I690="EO",I690="EQ"),IF(OR(X690="估算法",X690="算法类"),"中",IF(X690="无法识别","低",IF(L690&lt;2,IF(N690&lt;20,"低","中"),IF(L690&lt;4,IF(N690&lt;6,"低",IF(N690&lt;20,"中","高")),IF(N690&lt;6,"中","高"))))),IF(OR(I690="ILF",I690="EIF"),IF(OR(X690="估算法",X690="算法类",X690="无法识别"),"低",IF(M690&lt;2,IF(N690&lt;51,"低","中"),IF(M690&lt;6,IF(N690&lt;20,"低",IF(N690&lt;51,"中","高")),IF(N690&lt;20,"中","高")))),"不计算")))</f>
        <v/>
      </c>
      <c r="P690" s="142">
        <f>IFERROR(IF(I690="EI",IF(O690="低",3,IF(O690="中",4,6)),IF(I690="EO",IF(O690="低",4,IF(O690="中",5,7)),IF(I690="EQ",IF(O690="低",3,IF(O690="中",4,6)),IF(I690="ILF",IF(O690="低",7,IF(O690="中",10,15)),IF(I690="EIF",IF(O690="低",5,IF(O690="中",7,10)),"不计算")))))*Q690,"不计算")</f>
        <v/>
      </c>
      <c r="Q690" s="142" t="n">
        <v>0</v>
      </c>
      <c r="R690" s="143">
        <f>调整因子!$F$13</f>
        <v/>
      </c>
      <c r="S690" s="70" t="n">
        <v>1</v>
      </c>
      <c r="T690" s="144">
        <f>IFERROR(P690*R690,0)</f>
        <v/>
      </c>
      <c r="U690" s="144">
        <f>T690*S690</f>
        <v/>
      </c>
      <c r="V690" s="100" t="n"/>
      <c r="W690" s="76" t="inlineStr">
        <is>
          <t>漏洞修复成功率统计数据表</t>
        </is>
      </c>
      <c r="X690" s="76" t="inlineStr">
        <is>
          <t>漏洞修复成功率统计数据表{记录ID、日期、业务场景ID、已修复系统漏洞ID、修复工单ID|}</t>
        </is>
      </c>
      <c r="Y690" s="88">
        <f>IF(COUNTIFS(V:V,"*"&amp;H690&amp;"*")&gt;0,"存在","不存在")</f>
        <v/>
      </c>
      <c r="Z690" s="88">
        <f>IF(COUNTIFS(AA:AA,"*"&amp;H690&amp;"*")&gt;0,"存在","不存在")</f>
        <v/>
      </c>
      <c r="AA690" s="70" t="n"/>
    </row>
    <row r="691" hidden="1" ht="21.6" customHeight="1">
      <c r="A691" s="69">
        <f>ROW()-1</f>
        <v/>
      </c>
      <c r="B691" s="53" t="n"/>
      <c r="C691" s="78" t="n">
        <v>2025</v>
      </c>
      <c r="D691" s="78" t="inlineStr">
        <is>
          <t>汤凤欣</t>
        </is>
      </c>
      <c r="E691" s="53" t="n"/>
      <c r="F691" s="53" t="n"/>
      <c r="G691" s="53" t="n"/>
      <c r="H691" s="81" t="inlineStr">
        <is>
          <t>漏洞关联分析资产覆盖率统计数据表</t>
        </is>
      </c>
      <c r="I691" s="76" t="inlineStr">
        <is>
          <t>ILF</t>
        </is>
      </c>
      <c r="J691" s="108" t="n"/>
      <c r="K691" s="108" t="inlineStr">
        <is>
          <t>数据库表未被本系统所维护</t>
        </is>
      </c>
      <c r="L691" s="83">
        <f>IF(OR(X691="估算法",X691="算法类",X691="无法识别"),"",IF(V691="",IF(OR(I691="EI",I691="EO",I691="EQ"),0,""),LEN(V691)-LEN(SUBSTITUTE(V691,"、",""))+1))</f>
        <v/>
      </c>
      <c r="M691" s="83">
        <f>IF(OR(X691="估算法",X691="算法类",X691="无法识别"),"",IF(W691="",IF(OR(I691="ILF",I691="EIF"),0,""),LEN(W691)-LEN(SUBSTITUTE(W691,"、",""))+1))</f>
        <v/>
      </c>
      <c r="N691" s="83">
        <f>IF(OR(X691="估算法",X691="算法类",X691="无法识别"),"",IF(X691="",IF(OR(I691="ILF",I691="EIF",I691="EI",I691="EO",I691="EQ"),0,""),LEN(X691)-LEN(SUBSTITUTE(SUBSTITUTE(SUBSTITUTE(SUBSTITUTE(SUBSTITUTE(X691,"|}","--"),"{|","--"),CHAR(10),""),"、",""),"|",""))+IF(AND(OR(I691="EI",I691="EO",I691="EQ"),$AD$1="NESMA"),2,1)))</f>
        <v/>
      </c>
      <c r="O691" s="84">
        <f>IF(I691="EI",IF(OR(X691="估算法",X691="算法类"),"中",IF(X691="无法识别","低",IF(L691&lt;2,IF(N691&lt;16,"低","中"),IF(L691&lt;3,IF(N691&lt;5,"低",IF(N691&lt;16,"中","高")),IF(N691&lt;5,"中","高"))))),IF(OR(I691="EO",I691="EQ"),IF(OR(X691="估算法",X691="算法类"),"中",IF(X691="无法识别","低",IF(L691&lt;2,IF(N691&lt;20,"低","中"),IF(L691&lt;4,IF(N691&lt;6,"低",IF(N691&lt;20,"中","高")),IF(N691&lt;6,"中","高"))))),IF(OR(I691="ILF",I691="EIF"),IF(OR(X691="估算法",X691="算法类",X691="无法识别"),"低",IF(M691&lt;2,IF(N691&lt;51,"低","中"),IF(M691&lt;6,IF(N691&lt;20,"低",IF(N691&lt;51,"中","高")),IF(N691&lt;20,"中","高")))),"不计算")))</f>
        <v/>
      </c>
      <c r="P691" s="142">
        <f>IFERROR(IF(I691="EI",IF(O691="低",3,IF(O691="中",4,6)),IF(I691="EO",IF(O691="低",4,IF(O691="中",5,7)),IF(I691="EQ",IF(O691="低",3,IF(O691="中",4,6)),IF(I691="ILF",IF(O691="低",7,IF(O691="中",10,15)),IF(I691="EIF",IF(O691="低",5,IF(O691="中",7,10)),"不计算")))))*Q691,"不计算")</f>
        <v/>
      </c>
      <c r="Q691" s="142" t="n">
        <v>0</v>
      </c>
      <c r="R691" s="143">
        <f>调整因子!$F$13</f>
        <v/>
      </c>
      <c r="S691" s="70" t="n">
        <v>1</v>
      </c>
      <c r="T691" s="144">
        <f>IFERROR(P691*R691,0)</f>
        <v/>
      </c>
      <c r="U691" s="144">
        <f>T691*S691</f>
        <v/>
      </c>
      <c r="V691" s="100" t="n"/>
      <c r="W691" s="76" t="inlineStr">
        <is>
          <t>漏洞关联分析资产覆盖率统计数据表</t>
        </is>
      </c>
      <c r="X691" s="76" t="inlineStr">
        <is>
          <t>漏洞关联分析资产覆盖率统计数据表{记录ID、日期、业务场景ID、关联分析资产ID、预警任务ID|}</t>
        </is>
      </c>
      <c r="Y691" s="88">
        <f>IF(COUNTIFS(V:V,"*"&amp;H691&amp;"*")&gt;0,"存在","不存在")</f>
        <v/>
      </c>
      <c r="Z691" s="88">
        <f>IF(COUNTIFS(AA:AA,"*"&amp;H691&amp;"*")&gt;0,"存在","不存在")</f>
        <v/>
      </c>
      <c r="AA691" s="101" t="n"/>
    </row>
    <row r="692" hidden="1" ht="21.6" customHeight="1">
      <c r="A692" s="69">
        <f>ROW()-1</f>
        <v/>
      </c>
      <c r="B692" s="53" t="n"/>
      <c r="C692" s="78" t="n">
        <v>2025</v>
      </c>
      <c r="D692" s="78" t="inlineStr">
        <is>
          <t>汤凤欣</t>
        </is>
      </c>
      <c r="E692" s="53" t="n"/>
      <c r="F692" s="53" t="n"/>
      <c r="G692" s="53" t="n"/>
      <c r="H692" s="81" t="inlineStr">
        <is>
          <t>漏洞初始修复率统计数据表</t>
        </is>
      </c>
      <c r="I692" s="76" t="inlineStr">
        <is>
          <t>ILF</t>
        </is>
      </c>
      <c r="J692" s="108" t="n"/>
      <c r="K692" s="108" t="inlineStr">
        <is>
          <t>数据库表未被本系统所维护</t>
        </is>
      </c>
      <c r="L692" s="83">
        <f>IF(OR(X692="估算法",X692="算法类",X692="无法识别"),"",IF(V692="",IF(OR(I692="EI",I692="EO",I692="EQ"),0,""),LEN(V692)-LEN(SUBSTITUTE(V692,"、",""))+1))</f>
        <v/>
      </c>
      <c r="M692" s="83">
        <f>IF(OR(X692="估算法",X692="算法类",X692="无法识别"),"",IF(W692="",IF(OR(I692="ILF",I692="EIF"),0,""),LEN(W692)-LEN(SUBSTITUTE(W692,"、",""))+1))</f>
        <v/>
      </c>
      <c r="N692" s="83">
        <f>IF(OR(X692="估算法",X692="算法类",X692="无法识别"),"",IF(X692="",IF(OR(I692="ILF",I692="EIF",I692="EI",I692="EO",I692="EQ"),0,""),LEN(X692)-LEN(SUBSTITUTE(SUBSTITUTE(SUBSTITUTE(SUBSTITUTE(SUBSTITUTE(X692,"|}","--"),"{|","--"),CHAR(10),""),"、",""),"|",""))+IF(AND(OR(I692="EI",I692="EO",I692="EQ"),$AD$1="NESMA"),2,1)))</f>
        <v/>
      </c>
      <c r="O692" s="84">
        <f>IF(I692="EI",IF(OR(X692="估算法",X692="算法类"),"中",IF(X692="无法识别","低",IF(L692&lt;2,IF(N692&lt;16,"低","中"),IF(L692&lt;3,IF(N692&lt;5,"低",IF(N692&lt;16,"中","高")),IF(N692&lt;5,"中","高"))))),IF(OR(I692="EO",I692="EQ"),IF(OR(X692="估算法",X692="算法类"),"中",IF(X692="无法识别","低",IF(L692&lt;2,IF(N692&lt;20,"低","中"),IF(L692&lt;4,IF(N692&lt;6,"低",IF(N692&lt;20,"中","高")),IF(N692&lt;6,"中","高"))))),IF(OR(I692="ILF",I692="EIF"),IF(OR(X692="估算法",X692="算法类",X692="无法识别"),"低",IF(M692&lt;2,IF(N692&lt;51,"低","中"),IF(M692&lt;6,IF(N692&lt;20,"低",IF(N692&lt;51,"中","高")),IF(N692&lt;20,"中","高")))),"不计算")))</f>
        <v/>
      </c>
      <c r="P692" s="142">
        <f>IFERROR(IF(I692="EI",IF(O692="低",3,IF(O692="中",4,6)),IF(I692="EO",IF(O692="低",4,IF(O692="中",5,7)),IF(I692="EQ",IF(O692="低",3,IF(O692="中",4,6)),IF(I692="ILF",IF(O692="低",7,IF(O692="中",10,15)),IF(I692="EIF",IF(O692="低",5,IF(O692="中",7,10)),"不计算")))))*Q692,"不计算")</f>
        <v/>
      </c>
      <c r="Q692" s="142" t="n">
        <v>0</v>
      </c>
      <c r="R692" s="143">
        <f>调整因子!$F$13</f>
        <v/>
      </c>
      <c r="S692" s="76" t="n">
        <v>1</v>
      </c>
      <c r="T692" s="144">
        <f>IFERROR(P692*R692,0)</f>
        <v/>
      </c>
      <c r="U692" s="144">
        <f>T692*S692</f>
        <v/>
      </c>
      <c r="V692" s="100" t="n"/>
      <c r="W692" s="76" t="inlineStr">
        <is>
          <t>漏洞初始修复率统计数据表</t>
        </is>
      </c>
      <c r="X692" s="76" t="inlineStr">
        <is>
          <t>漏洞初始修复率统计数据表{记录ID、日期、业务场景ID、初始修复系统漏洞ID、工单ID|}</t>
        </is>
      </c>
      <c r="Y692" s="88">
        <f>IF(COUNTIFS(V:V,"*"&amp;H692&amp;"*")&gt;0,"存在","不存在")</f>
        <v/>
      </c>
      <c r="Z692" s="88">
        <f>IF(COUNTIFS(AA:AA,"*"&amp;H692&amp;"*")&gt;0,"存在","不存在")</f>
        <v/>
      </c>
      <c r="AA692" s="70" t="n"/>
    </row>
    <row r="693" hidden="1" ht="21.6" customHeight="1">
      <c r="A693" s="69">
        <f>ROW()-1</f>
        <v/>
      </c>
      <c r="B693" s="53" t="n"/>
      <c r="C693" s="78" t="n">
        <v>2025</v>
      </c>
      <c r="D693" s="78" t="inlineStr">
        <is>
          <t>汤凤欣</t>
        </is>
      </c>
      <c r="E693" s="53" t="n"/>
      <c r="F693" s="53" t="n"/>
      <c r="G693" s="53" t="n"/>
      <c r="H693" s="81" t="inlineStr">
        <is>
          <t>漏洞修复失败原因比例统计数据表</t>
        </is>
      </c>
      <c r="I693" s="76" t="inlineStr">
        <is>
          <t>ILF</t>
        </is>
      </c>
      <c r="J693" s="108" t="n"/>
      <c r="K693" s="108" t="inlineStr">
        <is>
          <t>数据库表未被本系统所维护</t>
        </is>
      </c>
      <c r="L693" s="83">
        <f>IF(OR(X693="估算法",X693="算法类",X693="无法识别"),"",IF(V693="",IF(OR(I693="EI",I693="EO",I693="EQ"),0,""),LEN(V693)-LEN(SUBSTITUTE(V693,"、",""))+1))</f>
        <v/>
      </c>
      <c r="M693" s="83">
        <f>IF(OR(X693="估算法",X693="算法类",X693="无法识别"),"",IF(W693="",IF(OR(I693="ILF",I693="EIF"),0,""),LEN(W693)-LEN(SUBSTITUTE(W693,"、",""))+1))</f>
        <v/>
      </c>
      <c r="N693" s="83">
        <f>IF(OR(X693="估算法",X693="算法类",X693="无法识别"),"",IF(X693="",IF(OR(I693="ILF",I693="EIF",I693="EI",I693="EO",I693="EQ"),0,""),LEN(X693)-LEN(SUBSTITUTE(SUBSTITUTE(SUBSTITUTE(SUBSTITUTE(SUBSTITUTE(X693,"|}","--"),"{|","--"),CHAR(10),""),"、",""),"|",""))+IF(AND(OR(I693="EI",I693="EO",I693="EQ"),$AD$1="NESMA"),2,1)))</f>
        <v/>
      </c>
      <c r="O693" s="84">
        <f>IF(I693="EI",IF(OR(X693="估算法",X693="算法类"),"中",IF(X693="无法识别","低",IF(L693&lt;2,IF(N693&lt;16,"低","中"),IF(L693&lt;3,IF(N693&lt;5,"低",IF(N693&lt;16,"中","高")),IF(N693&lt;5,"中","高"))))),IF(OR(I693="EO",I693="EQ"),IF(OR(X693="估算法",X693="算法类"),"中",IF(X693="无法识别","低",IF(L693&lt;2,IF(N693&lt;20,"低","中"),IF(L693&lt;4,IF(N693&lt;6,"低",IF(N693&lt;20,"中","高")),IF(N693&lt;6,"中","高"))))),IF(OR(I693="ILF",I693="EIF"),IF(OR(X693="估算法",X693="算法类",X693="无法识别"),"低",IF(M693&lt;2,IF(N693&lt;51,"低","中"),IF(M693&lt;6,IF(N693&lt;20,"低",IF(N693&lt;51,"中","高")),IF(N693&lt;20,"中","高")))),"不计算")))</f>
        <v/>
      </c>
      <c r="P693" s="142">
        <f>IFERROR(IF(I693="EI",IF(O693="低",3,IF(O693="中",4,6)),IF(I693="EO",IF(O693="低",4,IF(O693="中",5,7)),IF(I693="EQ",IF(O693="低",3,IF(O693="中",4,6)),IF(I693="ILF",IF(O693="低",7,IF(O693="中",10,15)),IF(I693="EIF",IF(O693="低",5,IF(O693="中",7,10)),"不计算")))))*Q693,"不计算")</f>
        <v/>
      </c>
      <c r="Q693" s="142" t="n">
        <v>0</v>
      </c>
      <c r="R693" s="143">
        <f>调整因子!$F$13</f>
        <v/>
      </c>
      <c r="S693" s="70" t="n">
        <v>1</v>
      </c>
      <c r="T693" s="144">
        <f>IFERROR(P693*R693,0)</f>
        <v/>
      </c>
      <c r="U693" s="144">
        <f>T693*S693</f>
        <v/>
      </c>
      <c r="V693" s="100" t="n"/>
      <c r="W693" s="76" t="inlineStr">
        <is>
          <t>漏洞修复失败原因比例统计数据表</t>
        </is>
      </c>
      <c r="X693" s="76" t="inlineStr">
        <is>
          <t>漏洞修复失败原因比例统计数据表{记录ID、日期、业务场景ID、修复失败系统漏洞ID、修复工单ID|}</t>
        </is>
      </c>
      <c r="Y693" s="88">
        <f>IF(COUNTIFS(V:V,"*"&amp;H693&amp;"*")&gt;0,"存在","不存在")</f>
        <v/>
      </c>
      <c r="Z693" s="88">
        <f>IF(COUNTIFS(AA:AA,"*"&amp;H693&amp;"*")&gt;0,"存在","不存在")</f>
        <v/>
      </c>
      <c r="AA693" s="101" t="n"/>
    </row>
    <row r="694" hidden="1" ht="21.6" customHeight="1">
      <c r="A694" s="69">
        <f>ROW()-1</f>
        <v/>
      </c>
      <c r="B694" s="53" t="n"/>
      <c r="C694" s="78" t="n">
        <v>2025</v>
      </c>
      <c r="D694" s="78" t="inlineStr">
        <is>
          <t>汤凤欣</t>
        </is>
      </c>
      <c r="E694" s="53" t="n"/>
      <c r="F694" s="53" t="n"/>
      <c r="G694" s="53" t="n"/>
      <c r="H694" s="81" t="inlineStr">
        <is>
          <t>漏洞平均修复时间(已验证)统计数据表</t>
        </is>
      </c>
      <c r="I694" s="76" t="inlineStr">
        <is>
          <t>ILF</t>
        </is>
      </c>
      <c r="J694" s="108" t="n"/>
      <c r="K694" s="108" t="inlineStr">
        <is>
          <t>数据库表未被本系统所维护</t>
        </is>
      </c>
      <c r="L694" s="83">
        <f>IF(OR(X694="估算法",X694="算法类",X694="无法识别"),"",IF(V694="",IF(OR(I694="EI",I694="EO",I694="EQ"),0,""),LEN(V694)-LEN(SUBSTITUTE(V694,"、",""))+1))</f>
        <v/>
      </c>
      <c r="M694" s="83">
        <f>IF(OR(X694="估算法",X694="算法类",X694="无法识别"),"",IF(W694="",IF(OR(I694="ILF",I694="EIF"),0,""),LEN(W694)-LEN(SUBSTITUTE(W694,"、",""))+1))</f>
        <v/>
      </c>
      <c r="N694" s="83">
        <f>IF(OR(X694="估算法",X694="算法类",X694="无法识别"),"",IF(X694="",IF(OR(I694="ILF",I694="EIF",I694="EI",I694="EO",I694="EQ"),0,""),LEN(X694)-LEN(SUBSTITUTE(SUBSTITUTE(SUBSTITUTE(SUBSTITUTE(SUBSTITUTE(X694,"|}","--"),"{|","--"),CHAR(10),""),"、",""),"|",""))+IF(AND(OR(I694="EI",I694="EO",I694="EQ"),$AD$1="NESMA"),2,1)))</f>
        <v/>
      </c>
      <c r="O694" s="84">
        <f>IF(I694="EI",IF(OR(X694="估算法",X694="算法类"),"中",IF(X694="无法识别","低",IF(L694&lt;2,IF(N694&lt;16,"低","中"),IF(L694&lt;3,IF(N694&lt;5,"低",IF(N694&lt;16,"中","高")),IF(N694&lt;5,"中","高"))))),IF(OR(I694="EO",I694="EQ"),IF(OR(X694="估算法",X694="算法类"),"中",IF(X694="无法识别","低",IF(L694&lt;2,IF(N694&lt;20,"低","中"),IF(L694&lt;4,IF(N694&lt;6,"低",IF(N694&lt;20,"中","高")),IF(N694&lt;6,"中","高"))))),IF(OR(I694="ILF",I694="EIF"),IF(OR(X694="估算法",X694="算法类",X694="无法识别"),"低",IF(M694&lt;2,IF(N694&lt;51,"低","中"),IF(M694&lt;6,IF(N694&lt;20,"低",IF(N694&lt;51,"中","高")),IF(N694&lt;20,"中","高")))),"不计算")))</f>
        <v/>
      </c>
      <c r="P694" s="142">
        <f>IFERROR(IF(I694="EI",IF(O694="低",3,IF(O694="中",4,6)),IF(I694="EO",IF(O694="低",4,IF(O694="中",5,7)),IF(I694="EQ",IF(O694="低",3,IF(O694="中",4,6)),IF(I694="ILF",IF(O694="低",7,IF(O694="中",10,15)),IF(I694="EIF",IF(O694="低",5,IF(O694="中",7,10)),"不计算")))))*Q694,"不计算")</f>
        <v/>
      </c>
      <c r="Q694" s="142" t="n">
        <v>0</v>
      </c>
      <c r="R694" s="143">
        <f>调整因子!$F$13</f>
        <v/>
      </c>
      <c r="S694" s="70" t="n">
        <v>1</v>
      </c>
      <c r="T694" s="144">
        <f>IFERROR(P694*R694,0)</f>
        <v/>
      </c>
      <c r="U694" s="144">
        <f>T694*S694</f>
        <v/>
      </c>
      <c r="V694" s="100" t="n"/>
      <c r="W694" s="76" t="inlineStr">
        <is>
          <t>漏洞平均修复时间(已验证)统计数据表</t>
        </is>
      </c>
      <c r="X694" s="76" t="inlineStr">
        <is>
          <t>漏洞平均修复时间(已验证)统计数据表{记录ID、日期、业务场景ID、已验证修复系统漏洞ID、修复耗时、工单ID|}</t>
        </is>
      </c>
      <c r="Y694" s="88">
        <f>IF(COUNTIFS(V:V,"*"&amp;H694&amp;"*")&gt;0,"存在","不存在")</f>
        <v/>
      </c>
      <c r="Z694" s="88">
        <f>IF(COUNTIFS(AA:AA,"*"&amp;H694&amp;"*")&gt;0,"存在","不存在")</f>
        <v/>
      </c>
      <c r="AA694" s="70" t="n"/>
    </row>
    <row r="695" hidden="1" ht="21.6" customHeight="1">
      <c r="A695" s="69">
        <f>ROW()-1</f>
        <v/>
      </c>
      <c r="B695" s="53" t="n"/>
      <c r="C695" s="78" t="n">
        <v>2025</v>
      </c>
      <c r="D695" s="78" t="inlineStr">
        <is>
          <t>汤凤欣</t>
        </is>
      </c>
      <c r="E695" s="53" t="n"/>
      <c r="F695" s="53" t="n"/>
      <c r="G695" s="53" t="n"/>
      <c r="H695" s="81" t="inlineStr">
        <is>
          <t>漏洞平均修复时间(未验证)统计数据表</t>
        </is>
      </c>
      <c r="I695" s="76" t="inlineStr">
        <is>
          <t>ILF</t>
        </is>
      </c>
      <c r="J695" s="108" t="n"/>
      <c r="K695" s="108" t="inlineStr">
        <is>
          <t>数据库表未被本系统所维护</t>
        </is>
      </c>
      <c r="L695" s="83">
        <f>IF(OR(X695="估算法",X695="算法类",X695="无法识别"),"",IF(V695="",IF(OR(I695="EI",I695="EO",I695="EQ"),0,""),LEN(V695)-LEN(SUBSTITUTE(V695,"、",""))+1))</f>
        <v/>
      </c>
      <c r="M695" s="83">
        <f>IF(OR(X695="估算法",X695="算法类",X695="无法识别"),"",IF(W695="",IF(OR(I695="ILF",I695="EIF"),0,""),LEN(W695)-LEN(SUBSTITUTE(W695,"、",""))+1))</f>
        <v/>
      </c>
      <c r="N695" s="83">
        <f>IF(OR(X695="估算法",X695="算法类",X695="无法识别"),"",IF(X695="",IF(OR(I695="ILF",I695="EIF",I695="EI",I695="EO",I695="EQ"),0,""),LEN(X695)-LEN(SUBSTITUTE(SUBSTITUTE(SUBSTITUTE(SUBSTITUTE(SUBSTITUTE(X695,"|}","--"),"{|","--"),CHAR(10),""),"、",""),"|",""))+IF(AND(OR(I695="EI",I695="EO",I695="EQ"),$AD$1="NESMA"),2,1)))</f>
        <v/>
      </c>
      <c r="O695" s="84">
        <f>IF(I695="EI",IF(OR(X695="估算法",X695="算法类"),"中",IF(X695="无法识别","低",IF(L695&lt;2,IF(N695&lt;16,"低","中"),IF(L695&lt;3,IF(N695&lt;5,"低",IF(N695&lt;16,"中","高")),IF(N695&lt;5,"中","高"))))),IF(OR(I695="EO",I695="EQ"),IF(OR(X695="估算法",X695="算法类"),"中",IF(X695="无法识别","低",IF(L695&lt;2,IF(N695&lt;20,"低","中"),IF(L695&lt;4,IF(N695&lt;6,"低",IF(N695&lt;20,"中","高")),IF(N695&lt;6,"中","高"))))),IF(OR(I695="ILF",I695="EIF"),IF(OR(X695="估算法",X695="算法类",X695="无法识别"),"低",IF(M695&lt;2,IF(N695&lt;51,"低","中"),IF(M695&lt;6,IF(N695&lt;20,"低",IF(N695&lt;51,"中","高")),IF(N695&lt;20,"中","高")))),"不计算")))</f>
        <v/>
      </c>
      <c r="P695" s="142">
        <f>IFERROR(IF(I695="EI",IF(O695="低",3,IF(O695="中",4,6)),IF(I695="EO",IF(O695="低",4,IF(O695="中",5,7)),IF(I695="EQ",IF(O695="低",3,IF(O695="中",4,6)),IF(I695="ILF",IF(O695="低",7,IF(O695="中",10,15)),IF(I695="EIF",IF(O695="低",5,IF(O695="中",7,10)),"不计算")))))*Q695,"不计算")</f>
        <v/>
      </c>
      <c r="Q695" s="142" t="n">
        <v>0</v>
      </c>
      <c r="R695" s="143">
        <f>调整因子!$F$13</f>
        <v/>
      </c>
      <c r="S695" s="76" t="n">
        <v>1</v>
      </c>
      <c r="T695" s="144">
        <f>IFERROR(P695*R695,0)</f>
        <v/>
      </c>
      <c r="U695" s="144">
        <f>T695*S695</f>
        <v/>
      </c>
      <c r="V695" s="100" t="n"/>
      <c r="W695" s="76" t="inlineStr">
        <is>
          <t>漏洞平均修复时间(未验证)统计数据表</t>
        </is>
      </c>
      <c r="X695" s="76" t="inlineStr">
        <is>
          <t>漏洞平均修复时间(未验证)统计数据表{记录ID、日期、业务场景ID、未验证修复系统漏洞ID、修复耗时、工单ID|}</t>
        </is>
      </c>
      <c r="Y695" s="88">
        <f>IF(COUNTIFS(V:V,"*"&amp;H695&amp;"*")&gt;0,"存在","不存在")</f>
        <v/>
      </c>
      <c r="Z695" s="88">
        <f>IF(COUNTIFS(AA:AA,"*"&amp;H695&amp;"*")&gt;0,"存在","不存在")</f>
        <v/>
      </c>
      <c r="AA695" s="101" t="n"/>
    </row>
    <row r="696" hidden="1">
      <c r="A696" s="69">
        <f>ROW()-1</f>
        <v/>
      </c>
      <c r="B696" s="53" t="n"/>
      <c r="C696" s="78" t="n">
        <v>2025</v>
      </c>
      <c r="D696" s="78" t="inlineStr">
        <is>
          <t>汤凤欣</t>
        </is>
      </c>
      <c r="E696" s="53" t="n"/>
      <c r="F696" s="53" t="n"/>
      <c r="G696" s="53" t="n"/>
      <c r="H696" s="81" t="inlineStr">
        <is>
          <t>漏洞扫描检测周期统计数据表</t>
        </is>
      </c>
      <c r="I696" s="76" t="inlineStr">
        <is>
          <t>ILF</t>
        </is>
      </c>
      <c r="J696" s="108" t="n"/>
      <c r="K696" s="108" t="inlineStr">
        <is>
          <t>数据库表未被本系统所维护</t>
        </is>
      </c>
      <c r="L696" s="83">
        <f>IF(OR(X696="估算法",X696="算法类",X696="无法识别"),"",IF(V696="",IF(OR(I696="EI",I696="EO",I696="EQ"),0,""),LEN(V696)-LEN(SUBSTITUTE(V696,"、",""))+1))</f>
        <v/>
      </c>
      <c r="M696" s="83">
        <f>IF(OR(X696="估算法",X696="算法类",X696="无法识别"),"",IF(W696="",IF(OR(I696="ILF",I696="EIF"),0,""),LEN(W696)-LEN(SUBSTITUTE(W696,"、",""))+1))</f>
        <v/>
      </c>
      <c r="N696" s="83">
        <f>IF(OR(X696="估算法",X696="算法类",X696="无法识别"),"",IF(X696="",IF(OR(I696="ILF",I696="EIF",I696="EI",I696="EO",I696="EQ"),0,""),LEN(X696)-LEN(SUBSTITUTE(SUBSTITUTE(SUBSTITUTE(SUBSTITUTE(SUBSTITUTE(X696,"|}","--"),"{|","--"),CHAR(10),""),"、",""),"|",""))+IF(AND(OR(I696="EI",I696="EO",I696="EQ"),$AD$1="NESMA"),2,1)))</f>
        <v/>
      </c>
      <c r="O696" s="84">
        <f>IF(I696="EI",IF(OR(X696="估算法",X696="算法类"),"中",IF(X696="无法识别","低",IF(L696&lt;2,IF(N696&lt;16,"低","中"),IF(L696&lt;3,IF(N696&lt;5,"低",IF(N696&lt;16,"中","高")),IF(N696&lt;5,"中","高"))))),IF(OR(I696="EO",I696="EQ"),IF(OR(X696="估算法",X696="算法类"),"中",IF(X696="无法识别","低",IF(L696&lt;2,IF(N696&lt;20,"低","中"),IF(L696&lt;4,IF(N696&lt;6,"低",IF(N696&lt;20,"中","高")),IF(N696&lt;6,"中","高"))))),IF(OR(I696="ILF",I696="EIF"),IF(OR(X696="估算法",X696="算法类",X696="无法识别"),"低",IF(M696&lt;2,IF(N696&lt;51,"低","中"),IF(M696&lt;6,IF(N696&lt;20,"低",IF(N696&lt;51,"中","高")),IF(N696&lt;20,"中","高")))),"不计算")))</f>
        <v/>
      </c>
      <c r="P696" s="142">
        <f>IFERROR(IF(I696="EI",IF(O696="低",3,IF(O696="中",4,6)),IF(I696="EO",IF(O696="低",4,IF(O696="中",5,7)),IF(I696="EQ",IF(O696="低",3,IF(O696="中",4,6)),IF(I696="ILF",IF(O696="低",7,IF(O696="中",10,15)),IF(I696="EIF",IF(O696="低",5,IF(O696="中",7,10)),"不计算")))))*Q696,"不计算")</f>
        <v/>
      </c>
      <c r="Q696" s="142" t="n">
        <v>0</v>
      </c>
      <c r="R696" s="143">
        <f>调整因子!$F$13</f>
        <v/>
      </c>
      <c r="S696" s="70" t="n">
        <v>1</v>
      </c>
      <c r="T696" s="144">
        <f>IFERROR(P696*R696,0)</f>
        <v/>
      </c>
      <c r="U696" s="144">
        <f>T696*S696</f>
        <v/>
      </c>
      <c r="V696" s="100" t="n"/>
      <c r="W696" s="76" t="inlineStr">
        <is>
          <t>漏洞扫描检测周期统计数据表</t>
        </is>
      </c>
      <c r="X696" s="76" t="inlineStr">
        <is>
          <t>漏洞扫描检测周期统计数据表{记录ID、日期、业务场景ID、漏洞扫描任务ID|}</t>
        </is>
      </c>
      <c r="Y696" s="88">
        <f>IF(COUNTIFS(V:V,"*"&amp;H696&amp;"*")&gt;0,"存在","不存在")</f>
        <v/>
      </c>
      <c r="Z696" s="88">
        <f>IF(COUNTIFS(AA:AA,"*"&amp;H696&amp;"*")&gt;0,"存在","不存在")</f>
        <v/>
      </c>
      <c r="AA696" s="70" t="n"/>
    </row>
    <row r="697" hidden="1" ht="21.6" customHeight="1">
      <c r="A697" s="69">
        <f>ROW()-1</f>
        <v/>
      </c>
      <c r="B697" s="53" t="n"/>
      <c r="C697" s="78" t="n">
        <v>2025</v>
      </c>
      <c r="D697" s="78" t="inlineStr">
        <is>
          <t>汤凤欣</t>
        </is>
      </c>
      <c r="E697" s="53" t="n"/>
      <c r="F697" s="53" t="n"/>
      <c r="G697" s="53" t="n"/>
      <c r="H697" s="81" t="inlineStr">
        <is>
          <t>漏洞扫描资产覆盖率统计数据表</t>
        </is>
      </c>
      <c r="I697" s="76" t="inlineStr">
        <is>
          <t>ILF</t>
        </is>
      </c>
      <c r="J697" s="108" t="n"/>
      <c r="K697" s="108" t="inlineStr">
        <is>
          <t>数据库表未被本系统所维护</t>
        </is>
      </c>
      <c r="L697" s="83">
        <f>IF(OR(X697="估算法",X697="算法类",X697="无法识别"),"",IF(V697="",IF(OR(I697="EI",I697="EO",I697="EQ"),0,""),LEN(V697)-LEN(SUBSTITUTE(V697,"、",""))+1))</f>
        <v/>
      </c>
      <c r="M697" s="83">
        <f>IF(OR(X697="估算法",X697="算法类",X697="无法识别"),"",IF(W697="",IF(OR(I697="ILF",I697="EIF"),0,""),LEN(W697)-LEN(SUBSTITUTE(W697,"、",""))+1))</f>
        <v/>
      </c>
      <c r="N697" s="83">
        <f>IF(OR(X697="估算法",X697="算法类",X697="无法识别"),"",IF(X697="",IF(OR(I697="ILF",I697="EIF",I697="EI",I697="EO",I697="EQ"),0,""),LEN(X697)-LEN(SUBSTITUTE(SUBSTITUTE(SUBSTITUTE(SUBSTITUTE(SUBSTITUTE(X697,"|}","--"),"{|","--"),CHAR(10),""),"、",""),"|",""))+IF(AND(OR(I697="EI",I697="EO",I697="EQ"),$AD$1="NESMA"),2,1)))</f>
        <v/>
      </c>
      <c r="O697" s="84">
        <f>IF(I697="EI",IF(OR(X697="估算法",X697="算法类"),"中",IF(X697="无法识别","低",IF(L697&lt;2,IF(N697&lt;16,"低","中"),IF(L697&lt;3,IF(N697&lt;5,"低",IF(N697&lt;16,"中","高")),IF(N697&lt;5,"中","高"))))),IF(OR(I697="EO",I697="EQ"),IF(OR(X697="估算法",X697="算法类"),"中",IF(X697="无法识别","低",IF(L697&lt;2,IF(N697&lt;20,"低","中"),IF(L697&lt;4,IF(N697&lt;6,"低",IF(N697&lt;20,"中","高")),IF(N697&lt;6,"中","高"))))),IF(OR(I697="ILF",I697="EIF"),IF(OR(X697="估算法",X697="算法类",X697="无法识别"),"低",IF(M697&lt;2,IF(N697&lt;51,"低","中"),IF(M697&lt;6,IF(N697&lt;20,"低",IF(N697&lt;51,"中","高")),IF(N697&lt;20,"中","高")))),"不计算")))</f>
        <v/>
      </c>
      <c r="P697" s="142">
        <f>IFERROR(IF(I697="EI",IF(O697="低",3,IF(O697="中",4,6)),IF(I697="EO",IF(O697="低",4,IF(O697="中",5,7)),IF(I697="EQ",IF(O697="低",3,IF(O697="中",4,6)),IF(I697="ILF",IF(O697="低",7,IF(O697="中",10,15)),IF(I697="EIF",IF(O697="低",5,IF(O697="中",7,10)),"不计算")))))*Q697,"不计算")</f>
        <v/>
      </c>
      <c r="Q697" s="142" t="n">
        <v>0</v>
      </c>
      <c r="R697" s="143">
        <f>调整因子!$F$13</f>
        <v/>
      </c>
      <c r="S697" s="70" t="n">
        <v>1</v>
      </c>
      <c r="T697" s="144">
        <f>IFERROR(P697*R697,0)</f>
        <v/>
      </c>
      <c r="U697" s="144">
        <f>T697*S697</f>
        <v/>
      </c>
      <c r="V697" s="100" t="n"/>
      <c r="W697" s="76" t="inlineStr">
        <is>
          <t>漏洞扫描资产覆盖率统计数据表</t>
        </is>
      </c>
      <c r="X697" s="76" t="inlineStr">
        <is>
          <t>漏洞扫描资产覆盖率统计数据表{记录ID、日期、业务场景ID、资产ID、漏洞扫描任务ID|}</t>
        </is>
      </c>
      <c r="Y697" s="88">
        <f>IF(COUNTIFS(V:V,"*"&amp;H697&amp;"*")&gt;0,"存在","不存在")</f>
        <v/>
      </c>
      <c r="Z697" s="88">
        <f>IF(COUNTIFS(AA:AA,"*"&amp;H697&amp;"*")&gt;0,"存在","不存在")</f>
        <v/>
      </c>
      <c r="AA697" s="101" t="n"/>
    </row>
    <row r="698" hidden="1">
      <c r="A698" s="69">
        <f>ROW()-1</f>
        <v/>
      </c>
      <c r="B698" s="53" t="n"/>
      <c r="C698" s="78" t="n">
        <v>2025</v>
      </c>
      <c r="D698" s="78" t="inlineStr">
        <is>
          <t>汤凤欣</t>
        </is>
      </c>
      <c r="E698" s="53" t="n"/>
      <c r="F698" s="53" t="n"/>
      <c r="G698" s="53" t="n"/>
      <c r="H698" s="81" t="inlineStr">
        <is>
          <t>漏洞未验证率统计数据表</t>
        </is>
      </c>
      <c r="I698" s="76" t="inlineStr">
        <is>
          <t>ILF</t>
        </is>
      </c>
      <c r="J698" s="108" t="n"/>
      <c r="K698" s="108" t="inlineStr">
        <is>
          <t>数据库表未被本系统所维护</t>
        </is>
      </c>
      <c r="L698" s="83">
        <f>IF(OR(X698="估算法",X698="算法类",X698="无法识别"),"",IF(V698="",IF(OR(I698="EI",I698="EO",I698="EQ"),0,""),LEN(V698)-LEN(SUBSTITUTE(V698,"、",""))+1))</f>
        <v/>
      </c>
      <c r="M698" s="83">
        <f>IF(OR(X698="估算法",X698="算法类",X698="无法识别"),"",IF(W698="",IF(OR(I698="ILF",I698="EIF"),0,""),LEN(W698)-LEN(SUBSTITUTE(W698,"、",""))+1))</f>
        <v/>
      </c>
      <c r="N698" s="83">
        <f>IF(OR(X698="估算法",X698="算法类",X698="无法识别"),"",IF(X698="",IF(OR(I698="ILF",I698="EIF",I698="EI",I698="EO",I698="EQ"),0,""),LEN(X698)-LEN(SUBSTITUTE(SUBSTITUTE(SUBSTITUTE(SUBSTITUTE(SUBSTITUTE(X698,"|}","--"),"{|","--"),CHAR(10),""),"、",""),"|",""))+IF(AND(OR(I698="EI",I698="EO",I698="EQ"),$AD$1="NESMA"),2,1)))</f>
        <v/>
      </c>
      <c r="O698" s="84">
        <f>IF(I698="EI",IF(OR(X698="估算法",X698="算法类"),"中",IF(X698="无法识别","低",IF(L698&lt;2,IF(N698&lt;16,"低","中"),IF(L698&lt;3,IF(N698&lt;5,"低",IF(N698&lt;16,"中","高")),IF(N698&lt;5,"中","高"))))),IF(OR(I698="EO",I698="EQ"),IF(OR(X698="估算法",X698="算法类"),"中",IF(X698="无法识别","低",IF(L698&lt;2,IF(N698&lt;20,"低","中"),IF(L698&lt;4,IF(N698&lt;6,"低",IF(N698&lt;20,"中","高")),IF(N698&lt;6,"中","高"))))),IF(OR(I698="ILF",I698="EIF"),IF(OR(X698="估算法",X698="算法类",X698="无法识别"),"低",IF(M698&lt;2,IF(N698&lt;51,"低","中"),IF(M698&lt;6,IF(N698&lt;20,"低",IF(N698&lt;51,"中","高")),IF(N698&lt;20,"中","高")))),"不计算")))</f>
        <v/>
      </c>
      <c r="P698" s="142">
        <f>IFERROR(IF(I698="EI",IF(O698="低",3,IF(O698="中",4,6)),IF(I698="EO",IF(O698="低",4,IF(O698="中",5,7)),IF(I698="EQ",IF(O698="低",3,IF(O698="中",4,6)),IF(I698="ILF",IF(O698="低",7,IF(O698="中",10,15)),IF(I698="EIF",IF(O698="低",5,IF(O698="中",7,10)),"不计算")))))*Q698,"不计算")</f>
        <v/>
      </c>
      <c r="Q698" s="142" t="n">
        <v>0</v>
      </c>
      <c r="R698" s="143">
        <f>调整因子!$F$13</f>
        <v/>
      </c>
      <c r="S698" s="76" t="n">
        <v>1</v>
      </c>
      <c r="T698" s="144">
        <f>IFERROR(P698*R698,0)</f>
        <v/>
      </c>
      <c r="U698" s="144">
        <f>T698*S698</f>
        <v/>
      </c>
      <c r="V698" s="100" t="n"/>
      <c r="W698" s="76" t="inlineStr">
        <is>
          <t>漏洞未验证率统计数据表</t>
        </is>
      </c>
      <c r="X698" s="76" t="inlineStr">
        <is>
          <t>漏洞未验证率统计数据表{记录ID、日期、业务场景ID、未验证系统漏洞ID、工单ID|}</t>
        </is>
      </c>
      <c r="Y698" s="88">
        <f>IF(COUNTIFS(V:V,"*"&amp;H698&amp;"*")&gt;0,"存在","不存在")</f>
        <v/>
      </c>
      <c r="Z698" s="88">
        <f>IF(COUNTIFS(AA:AA,"*"&amp;H698&amp;"*")&gt;0,"存在","不存在")</f>
        <v/>
      </c>
      <c r="AA698" s="70" t="n"/>
    </row>
    <row r="699" hidden="1">
      <c r="A699" s="69">
        <f>ROW()-1</f>
        <v/>
      </c>
      <c r="B699" s="53" t="n"/>
      <c r="C699" s="78" t="n">
        <v>2025</v>
      </c>
      <c r="D699" s="78" t="inlineStr">
        <is>
          <t>汤凤欣</t>
        </is>
      </c>
      <c r="E699" s="54" t="n"/>
      <c r="F699" s="54" t="n"/>
      <c r="G699" s="54" t="n"/>
      <c r="H699" s="81" t="inlineStr">
        <is>
          <t>漏洞误报率统计数据表</t>
        </is>
      </c>
      <c r="I699" s="76" t="inlineStr">
        <is>
          <t>ILF</t>
        </is>
      </c>
      <c r="J699" s="108" t="n"/>
      <c r="K699" s="108" t="inlineStr">
        <is>
          <t>数据库表未被本系统所维护</t>
        </is>
      </c>
      <c r="L699" s="83">
        <f>IF(OR(X699="估算法",X699="算法类",X699="无法识别"),"",IF(V699="",IF(OR(I699="EI",I699="EO",I699="EQ"),0,""),LEN(V699)-LEN(SUBSTITUTE(V699,"、",""))+1))</f>
        <v/>
      </c>
      <c r="M699" s="83">
        <f>IF(OR(X699="估算法",X699="算法类",X699="无法识别"),"",IF(W699="",IF(OR(I699="ILF",I699="EIF"),0,""),LEN(W699)-LEN(SUBSTITUTE(W699,"、",""))+1))</f>
        <v/>
      </c>
      <c r="N699" s="83">
        <f>IF(OR(X699="估算法",X699="算法类",X699="无法识别"),"",IF(X699="",IF(OR(I699="ILF",I699="EIF",I699="EI",I699="EO",I699="EQ"),0,""),LEN(X699)-LEN(SUBSTITUTE(SUBSTITUTE(SUBSTITUTE(SUBSTITUTE(SUBSTITUTE(X699,"|}","--"),"{|","--"),CHAR(10),""),"、",""),"|",""))+IF(AND(OR(I699="EI",I699="EO",I699="EQ"),$AD$1="NESMA"),2,1)))</f>
        <v/>
      </c>
      <c r="O699" s="84">
        <f>IF(I699="EI",IF(OR(X699="估算法",X699="算法类"),"中",IF(X699="无法识别","低",IF(L699&lt;2,IF(N699&lt;16,"低","中"),IF(L699&lt;3,IF(N699&lt;5,"低",IF(N699&lt;16,"中","高")),IF(N699&lt;5,"中","高"))))),IF(OR(I699="EO",I699="EQ"),IF(OR(X699="估算法",X699="算法类"),"中",IF(X699="无法识别","低",IF(L699&lt;2,IF(N699&lt;20,"低","中"),IF(L699&lt;4,IF(N699&lt;6,"低",IF(N699&lt;20,"中","高")),IF(N699&lt;6,"中","高"))))),IF(OR(I699="ILF",I699="EIF"),IF(OR(X699="估算法",X699="算法类",X699="无法识别"),"低",IF(M699&lt;2,IF(N699&lt;51,"低","中"),IF(M699&lt;6,IF(N699&lt;20,"低",IF(N699&lt;51,"中","高")),IF(N699&lt;20,"中","高")))),"不计算")))</f>
        <v/>
      </c>
      <c r="P699" s="142">
        <f>IFERROR(IF(I699="EI",IF(O699="低",3,IF(O699="中",4,6)),IF(I699="EO",IF(O699="低",4,IF(O699="中",5,7)),IF(I699="EQ",IF(O699="低",3,IF(O699="中",4,6)),IF(I699="ILF",IF(O699="低",7,IF(O699="中",10,15)),IF(I699="EIF",IF(O699="低",5,IF(O699="中",7,10)),"不计算")))))*Q699,"不计算")</f>
        <v/>
      </c>
      <c r="Q699" s="142" t="n">
        <v>0</v>
      </c>
      <c r="R699" s="143">
        <f>调整因子!$F$13</f>
        <v/>
      </c>
      <c r="S699" s="70" t="n">
        <v>1</v>
      </c>
      <c r="T699" s="144">
        <f>IFERROR(P699*R699,0)</f>
        <v/>
      </c>
      <c r="U699" s="144">
        <f>T699*S699</f>
        <v/>
      </c>
      <c r="V699" s="100" t="n"/>
      <c r="W699" s="76" t="inlineStr">
        <is>
          <t>漏洞误报率统计数据表</t>
        </is>
      </c>
      <c r="X699" s="76" t="inlineStr">
        <is>
          <t>漏洞误报率统计数据表{记录ID、日期、业务场景ID、误报系统漏洞ID、工单ID|}</t>
        </is>
      </c>
      <c r="Y699" s="88">
        <f>IF(COUNTIFS(V:V,"*"&amp;H699&amp;"*")&gt;0,"存在","不存在")</f>
        <v/>
      </c>
      <c r="Z699" s="88">
        <f>IF(COUNTIFS(AA:AA,"*"&amp;H699&amp;"*")&gt;0,"存在","不存在")</f>
        <v/>
      </c>
      <c r="AA699" s="101" t="n"/>
    </row>
    <row r="700" hidden="1" ht="205.2" customHeight="1">
      <c r="A700" s="69">
        <f>ROW()-1</f>
        <v/>
      </c>
      <c r="B700" s="53" t="n"/>
      <c r="C700" s="78" t="n">
        <v>2025</v>
      </c>
      <c r="D700" s="78" t="inlineStr">
        <is>
          <t>仲光华</t>
        </is>
      </c>
      <c r="E700" s="79" t="inlineStr">
        <is>
          <t>弱口令识别及上报</t>
        </is>
      </c>
      <c r="F700" s="79" t="inlineStr">
        <is>
          <t>弱口令检测任务管理</t>
        </is>
      </c>
      <c r="G700" s="79" t="inlineStr">
        <is>
          <t>弱口令检测任务下发与执行</t>
        </is>
      </c>
      <c r="H700" s="80" t="inlineStr">
        <is>
          <t>查询弱口令检测任务列表</t>
        </is>
      </c>
      <c r="I700" s="76" t="inlineStr">
        <is>
          <t>EQ</t>
        </is>
      </c>
      <c r="J700" s="108" t="n"/>
      <c r="K700" s="108" t="n"/>
      <c r="L700" s="83">
        <f>IF(OR(X700="估算法",X700="算法类",X700="无法识别"),"",IF(V700="",IF(OR(I700="EI",I700="EO",I700="EQ"),0,""),LEN(V700)-LEN(SUBSTITUTE(V700,"、",""))+1))</f>
        <v/>
      </c>
      <c r="M700" s="83">
        <f>IF(OR(X700="估算法",X700="算法类",X700="无法识别"),"",IF(W700="",IF(OR(I700="ILF",I700="EIF"),0,""),LEN(W700)-LEN(SUBSTITUTE(W700,"、",""))+1))</f>
        <v/>
      </c>
      <c r="N700" s="83">
        <f>IF(OR(X700="估算法",X700="算法类",X700="无法识别"),"",IF(X700="",IF(OR(I700="ILF",I700="EIF",I700="EI",I700="EO",I700="EQ"),0,""),LEN(X700)-LEN(SUBSTITUTE(SUBSTITUTE(SUBSTITUTE(SUBSTITUTE(SUBSTITUTE(X700,"|}","--"),"{|","--"),CHAR(10),""),"、",""),"|",""))+IF(AND(OR(I700="EI",I700="EO",I700="EQ"),$AD$1="NESMA"),2,1)))</f>
        <v/>
      </c>
      <c r="O700" s="84">
        <f>IF(I700="EI",IF(OR(X700="估算法",X700="算法类"),"中",IF(X700="无法识别","低",IF(L700&lt;2,IF(N700&lt;16,"低","中"),IF(L700&lt;3,IF(N700&lt;5,"低",IF(N700&lt;16,"中","高")),IF(N700&lt;5,"中","高"))))),IF(OR(I700="EO",I700="EQ"),IF(OR(X700="估算法",X700="算法类"),"中",IF(X700="无法识别","低",IF(L700&lt;2,IF(N700&lt;20,"低","中"),IF(L700&lt;4,IF(N700&lt;6,"低",IF(N700&lt;20,"中","高")),IF(N700&lt;6,"中","高"))))),IF(OR(I700="ILF",I700="EIF"),IF(OR(X700="估算法",X700="算法类",X700="无法识别"),"低",IF(M700&lt;2,IF(N700&lt;51,"低","中"),IF(M700&lt;6,IF(N700&lt;20,"低",IF(N700&lt;51,"中","高")),IF(N700&lt;20,"中","高")))),"不计算")))</f>
        <v/>
      </c>
      <c r="P700" s="142">
        <f>IFERROR(IF(I700="EI",IF(O700="低",3,IF(O700="中",4,6)),IF(I700="EO",IF(O700="低",4,IF(O700="中",5,7)),IF(I700="EQ",IF(O700="低",3,IF(O700="中",4,6)),IF(I700="ILF",IF(O700="低",7,IF(O700="中",10,15)),IF(I700="EIF",IF(O700="低",5,IF(O700="中",7,10)),"不计算")))))*Q700,"不计算")</f>
        <v/>
      </c>
      <c r="Q700" s="142" t="n">
        <v>1</v>
      </c>
      <c r="R700" s="143">
        <f>调整因子!$F$13</f>
        <v/>
      </c>
      <c r="S700" s="70" t="n">
        <v>1</v>
      </c>
      <c r="T700" s="144">
        <f>IFERROR(P700*R700,0)</f>
        <v/>
      </c>
      <c r="U700" s="144">
        <f>T700*S700</f>
        <v/>
      </c>
      <c r="V700" s="88" t="inlineStr">
        <is>
          <t>弱口令扫描任务表、弱口令扫描任务实例表、扫描节点表、扫描器表、扫描器版本表、扫描器分类表、安全厂商信息、资产管理表、扫描任务日志表</t>
        </is>
      </c>
      <c r="W700" s="89" t="n"/>
      <c r="X700" s="88"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Y700" s="88" t="n"/>
      <c r="Z700" s="88" t="n"/>
      <c r="AA700" s="70" t="n"/>
    </row>
    <row r="701" hidden="1" ht="162" customHeight="1">
      <c r="A701" s="69">
        <f>ROW()-1</f>
        <v/>
      </c>
      <c r="B701" s="53" t="n"/>
      <c r="C701" s="78" t="n">
        <v>2025</v>
      </c>
      <c r="D701" s="78" t="inlineStr">
        <is>
          <t>仲光华</t>
        </is>
      </c>
      <c r="E701" s="53" t="n"/>
      <c r="F701" s="53" t="n"/>
      <c r="G701" s="53" t="n"/>
      <c r="H701" s="80" t="inlineStr">
        <is>
          <t>新增弱口令检测任务</t>
        </is>
      </c>
      <c r="I701" s="76" t="inlineStr">
        <is>
          <t>EI</t>
        </is>
      </c>
      <c r="J701" s="108" t="n"/>
      <c r="K701" s="108" t="n"/>
      <c r="L701" s="83">
        <f>IF(OR(X701="估算法",X701="算法类",X701="无法识别"),"",IF(V701="",IF(OR(I701="EI",I701="EO",I701="EQ"),0,""),LEN(V701)-LEN(SUBSTITUTE(V701,"、",""))+1))</f>
        <v/>
      </c>
      <c r="M701" s="83">
        <f>IF(OR(X701="估算法",X701="算法类",X701="无法识别"),"",IF(W701="",IF(OR(I701="ILF",I701="EIF"),0,""),LEN(W701)-LEN(SUBSTITUTE(W701,"、",""))+1))</f>
        <v/>
      </c>
      <c r="N701" s="83">
        <f>IF(OR(X701="估算法",X701="算法类",X701="无法识别"),"",IF(X701="",IF(OR(I701="ILF",I701="EIF",I701="EI",I701="EO",I701="EQ"),0,""),LEN(X701)-LEN(SUBSTITUTE(SUBSTITUTE(SUBSTITUTE(SUBSTITUTE(SUBSTITUTE(X701,"|}","--"),"{|","--"),CHAR(10),""),"、",""),"|",""))+IF(AND(OR(I701="EI",I701="EO",I701="EQ"),$AD$1="NESMA"),2,1)))</f>
        <v/>
      </c>
      <c r="O701" s="84">
        <f>IF(I701="EI",IF(OR(X701="估算法",X701="算法类"),"中",IF(X701="无法识别","低",IF(L701&lt;2,IF(N701&lt;16,"低","中"),IF(L701&lt;3,IF(N701&lt;5,"低",IF(N701&lt;16,"中","高")),IF(N701&lt;5,"中","高"))))),IF(OR(I701="EO",I701="EQ"),IF(OR(X701="估算法",X701="算法类"),"中",IF(X701="无法识别","低",IF(L701&lt;2,IF(N701&lt;20,"低","中"),IF(L701&lt;4,IF(N701&lt;6,"低",IF(N701&lt;20,"中","高")),IF(N701&lt;6,"中","高"))))),IF(OR(I701="ILF",I701="EIF"),IF(OR(X701="估算法",X701="算法类",X701="无法识别"),"低",IF(M701&lt;2,IF(N701&lt;51,"低","中"),IF(M701&lt;6,IF(N701&lt;20,"低",IF(N701&lt;51,"中","高")),IF(N701&lt;20,"中","高")))),"不计算")))</f>
        <v/>
      </c>
      <c r="P701" s="142">
        <f>IFERROR(IF(I701="EI",IF(O701="低",3,IF(O701="中",4,6)),IF(I701="EO",IF(O701="低",4,IF(O701="中",5,7)),IF(I701="EQ",IF(O701="低",3,IF(O701="中",4,6)),IF(I701="ILF",IF(O701="低",7,IF(O701="中",10,15)),IF(I701="EIF",IF(O701="低",5,IF(O701="中",7,10)),"不计算")))))*Q701,"不计算")</f>
        <v/>
      </c>
      <c r="Q701" s="142" t="n">
        <v>1</v>
      </c>
      <c r="R701" s="143">
        <f>调整因子!$F$13</f>
        <v/>
      </c>
      <c r="S701" s="76" t="n">
        <v>1</v>
      </c>
      <c r="T701" s="144">
        <f>IFERROR(P701*R701,0)</f>
        <v/>
      </c>
      <c r="U701" s="144">
        <f>T701*S701</f>
        <v/>
      </c>
      <c r="V701" s="88" t="inlineStr">
        <is>
          <t>弱口令扫描任务表、扫描节点表、扫描器表、扫描器版本表、扫描器分类表、安全厂商信息、资产管理表、扫描任务日志表</t>
        </is>
      </c>
      <c r="W701" s="89" t="n"/>
      <c r="X701" s="88" t="inlineStr">
        <is>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Y701" s="88" t="n"/>
      <c r="Z701" s="88" t="n"/>
      <c r="AA701" s="101" t="n"/>
    </row>
    <row r="702" hidden="1" ht="162" customHeight="1">
      <c r="A702" s="69">
        <f>ROW()-1</f>
        <v/>
      </c>
      <c r="B702" s="53" t="n"/>
      <c r="C702" s="78" t="n">
        <v>2025</v>
      </c>
      <c r="D702" s="78" t="inlineStr">
        <is>
          <t>仲光华</t>
        </is>
      </c>
      <c r="E702" s="53" t="n"/>
      <c r="F702" s="53" t="n"/>
      <c r="G702" s="53" t="n"/>
      <c r="H702" s="80" t="inlineStr">
        <is>
          <t>修改弱口令检测任务</t>
        </is>
      </c>
      <c r="I702" s="76" t="inlineStr">
        <is>
          <t>EI</t>
        </is>
      </c>
      <c r="J702" s="108" t="n"/>
      <c r="K702" s="108" t="n"/>
      <c r="L702" s="83">
        <f>IF(OR(X702="估算法",X702="算法类",X702="无法识别"),"",IF(V702="",IF(OR(I702="EI",I702="EO",I702="EQ"),0,""),LEN(V702)-LEN(SUBSTITUTE(V702,"、",""))+1))</f>
        <v/>
      </c>
      <c r="M702" s="83">
        <f>IF(OR(X702="估算法",X702="算法类",X702="无法识别"),"",IF(W702="",IF(OR(I702="ILF",I702="EIF"),0,""),LEN(W702)-LEN(SUBSTITUTE(W702,"、",""))+1))</f>
        <v/>
      </c>
      <c r="N702" s="83">
        <f>IF(OR(X702="估算法",X702="算法类",X702="无法识别"),"",IF(X702="",IF(OR(I702="ILF",I702="EIF",I702="EI",I702="EO",I702="EQ"),0,""),LEN(X702)-LEN(SUBSTITUTE(SUBSTITUTE(SUBSTITUTE(SUBSTITUTE(SUBSTITUTE(X702,"|}","--"),"{|","--"),CHAR(10),""),"、",""),"|",""))+IF(AND(OR(I702="EI",I702="EO",I702="EQ"),$AD$1="NESMA"),2,1)))</f>
        <v/>
      </c>
      <c r="O702" s="84">
        <f>IF(I702="EI",IF(OR(X702="估算法",X702="算法类"),"中",IF(X702="无法识别","低",IF(L702&lt;2,IF(N702&lt;16,"低","中"),IF(L702&lt;3,IF(N702&lt;5,"低",IF(N702&lt;16,"中","高")),IF(N702&lt;5,"中","高"))))),IF(OR(I702="EO",I702="EQ"),IF(OR(X702="估算法",X702="算法类"),"中",IF(X702="无法识别","低",IF(L702&lt;2,IF(N702&lt;20,"低","中"),IF(L702&lt;4,IF(N702&lt;6,"低",IF(N702&lt;20,"中","高")),IF(N702&lt;6,"中","高"))))),IF(OR(I702="ILF",I702="EIF"),IF(OR(X702="估算法",X702="算法类",X702="无法识别"),"低",IF(M702&lt;2,IF(N702&lt;51,"低","中"),IF(M702&lt;6,IF(N702&lt;20,"低",IF(N702&lt;51,"中","高")),IF(N702&lt;20,"中","高")))),"不计算")))</f>
        <v/>
      </c>
      <c r="P702" s="142">
        <f>IFERROR(IF(I702="EI",IF(O702="低",3,IF(O702="中",4,6)),IF(I702="EO",IF(O702="低",4,IF(O702="中",5,7)),IF(I702="EQ",IF(O702="低",3,IF(O702="中",4,6)),IF(I702="ILF",IF(O702="低",7,IF(O702="中",10,15)),IF(I702="EIF",IF(O702="低",5,IF(O702="中",7,10)),"不计算")))))*Q702,"不计算")</f>
        <v/>
      </c>
      <c r="Q702" s="142" t="n">
        <v>0.333333333333333</v>
      </c>
      <c r="R702" s="143">
        <f>调整因子!$F$13</f>
        <v/>
      </c>
      <c r="S702" s="70" t="n">
        <v>1</v>
      </c>
      <c r="T702" s="144">
        <f>IFERROR(P702*R702,0)</f>
        <v/>
      </c>
      <c r="U702" s="144">
        <f>T702*S702</f>
        <v/>
      </c>
      <c r="V702" s="88" t="inlineStr">
        <is>
          <t>弱口令扫描任务表、扫描节点表、扫描器表、扫描器版本表、扫描器分类表、安全厂商信息、资产管理表、扫描任务日志表</t>
        </is>
      </c>
      <c r="W702" s="89" t="n"/>
      <c r="X702" s="88" t="inlineStr">
        <is>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Y702" s="88" t="n"/>
      <c r="Z702" s="88" t="n"/>
      <c r="AA702" s="70" t="n"/>
    </row>
    <row r="703" hidden="1" ht="54" customHeight="1">
      <c r="A703" s="69">
        <f>ROW()-1</f>
        <v/>
      </c>
      <c r="B703" s="53" t="n"/>
      <c r="C703" s="78" t="n">
        <v>2025</v>
      </c>
      <c r="D703" s="78" t="inlineStr">
        <is>
          <t>仲光华</t>
        </is>
      </c>
      <c r="E703" s="53" t="n"/>
      <c r="F703" s="53" t="n"/>
      <c r="G703" s="54" t="n"/>
      <c r="H703" s="80" t="inlineStr">
        <is>
          <t>删除弱口令检测任务</t>
        </is>
      </c>
      <c r="I703" s="76" t="inlineStr">
        <is>
          <t>EI</t>
        </is>
      </c>
      <c r="J703" s="108" t="n"/>
      <c r="K703" s="108" t="n"/>
      <c r="L703" s="83">
        <f>IF(OR(X703="估算法",X703="算法类",X703="无法识别"),"",IF(V703="",IF(OR(I703="EI",I703="EO",I703="EQ"),0,""),LEN(V703)-LEN(SUBSTITUTE(V703,"、",""))+1))</f>
        <v/>
      </c>
      <c r="M703" s="83">
        <f>IF(OR(X703="估算法",X703="算法类",X703="无法识别"),"",IF(W703="",IF(OR(I703="ILF",I703="EIF"),0,""),LEN(W703)-LEN(SUBSTITUTE(W703,"、",""))+1))</f>
        <v/>
      </c>
      <c r="N703" s="83">
        <f>IF(OR(X703="估算法",X703="算法类",X703="无法识别"),"",IF(X703="",IF(OR(I703="ILF",I703="EIF",I703="EI",I703="EO",I703="EQ"),0,""),LEN(X703)-LEN(SUBSTITUTE(SUBSTITUTE(SUBSTITUTE(SUBSTITUTE(SUBSTITUTE(X703,"|}","--"),"{|","--"),CHAR(10),""),"、",""),"|",""))+IF(AND(OR(I703="EI",I703="EO",I703="EQ"),$AD$1="NESMA"),2,1)))</f>
        <v/>
      </c>
      <c r="O703" s="84">
        <f>IF(I703="EI",IF(OR(X703="估算法",X703="算法类"),"中",IF(X703="无法识别","低",IF(L703&lt;2,IF(N703&lt;16,"低","中"),IF(L703&lt;3,IF(N703&lt;5,"低",IF(N703&lt;16,"中","高")),IF(N703&lt;5,"中","高"))))),IF(OR(I703="EO",I703="EQ"),IF(OR(X703="估算法",X703="算法类"),"中",IF(X703="无法识别","低",IF(L703&lt;2,IF(N703&lt;20,"低","中"),IF(L703&lt;4,IF(N703&lt;6,"低",IF(N703&lt;20,"中","高")),IF(N703&lt;6,"中","高"))))),IF(OR(I703="ILF",I703="EIF"),IF(OR(X703="估算法",X703="算法类",X703="无法识别"),"低",IF(M703&lt;2,IF(N703&lt;51,"低","中"),IF(M703&lt;6,IF(N703&lt;20,"低",IF(N703&lt;51,"中","高")),IF(N703&lt;20,"中","高")))),"不计算")))</f>
        <v/>
      </c>
      <c r="P703" s="142">
        <f>IFERROR(IF(I703="EI",IF(O703="低",3,IF(O703="中",4,6)),IF(I703="EO",IF(O703="低",4,IF(O703="中",5,7)),IF(I703="EQ",IF(O703="低",3,IF(O703="中",4,6)),IF(I703="ILF",IF(O703="低",7,IF(O703="中",10,15)),IF(I703="EIF",IF(O703="低",5,IF(O703="中",7,10)),"不计算")))))*Q703,"不计算")</f>
        <v/>
      </c>
      <c r="Q703" s="142" t="n">
        <v>0.333333333333333</v>
      </c>
      <c r="R703" s="143">
        <f>调整因子!$F$13</f>
        <v/>
      </c>
      <c r="S703" s="70" t="n">
        <v>1</v>
      </c>
      <c r="T703" s="144">
        <f>IFERROR(P703*R703,0)</f>
        <v/>
      </c>
      <c r="U703" s="144">
        <f>T703*S703</f>
        <v/>
      </c>
      <c r="V703" s="88" t="inlineStr">
        <is>
          <t>弱口令扫描任务表、扫描任务日志表</t>
        </is>
      </c>
      <c r="W703" s="89" t="n"/>
      <c r="X703" s="88" t="inlineStr">
        <is>
          <t>弱口令扫描任务表{ID、扫描器ID、分类（厂商）ID、场景ID、计划名称、计划类型、计划状态、执行类型、计划开始时间、计划结束时间、周期计划执行的cron、扫描IP、扫描端口、部门、业务系统、计划责任人、内置任务、备注}
扫描任务日志表{ID、时间戳、日志级别、日志内容、用户ID、IP地址、操作类型、状态码、请求URL、请求方法、响应代码、用户代理、会话ID、请求耗时}</t>
        </is>
      </c>
      <c r="Y703" s="88" t="n"/>
      <c r="Z703" s="88" t="n"/>
      <c r="AA703" s="101" t="n"/>
    </row>
    <row r="704" hidden="1" ht="140.4" customHeight="1">
      <c r="A704" s="69">
        <f>ROW()-1</f>
        <v/>
      </c>
      <c r="B704" s="53" t="n"/>
      <c r="C704" s="78" t="n">
        <v>2025</v>
      </c>
      <c r="D704" s="78" t="inlineStr">
        <is>
          <t>仲光华</t>
        </is>
      </c>
      <c r="E704" s="53" t="n"/>
      <c r="F704" s="53" t="n"/>
      <c r="G704" s="79" t="inlineStr">
        <is>
          <t>弱口令检测任务调度执行</t>
        </is>
      </c>
      <c r="H704" s="80" t="inlineStr">
        <is>
          <t>弱口令检测立即执行</t>
        </is>
      </c>
      <c r="I704" s="76" t="inlineStr">
        <is>
          <t>EI</t>
        </is>
      </c>
      <c r="J704" s="108" t="n"/>
      <c r="K704" s="108" t="n"/>
      <c r="L704" s="83">
        <f>IF(OR(X704="估算法",X704="算法类",X704="无法识别"),"",IF(V704="",IF(OR(I704="EI",I704="EO",I704="EQ"),0,""),LEN(V704)-LEN(SUBSTITUTE(V704,"、",""))+1))</f>
        <v/>
      </c>
      <c r="M704" s="83">
        <f>IF(OR(X704="估算法",X704="算法类",X704="无法识别"),"",IF(W704="",IF(OR(I704="ILF",I704="EIF"),0,""),LEN(W704)-LEN(SUBSTITUTE(W704,"、",""))+1))</f>
        <v/>
      </c>
      <c r="N704" s="83">
        <f>IF(OR(X704="估算法",X704="算法类",X704="无法识别"),"",IF(X704="",IF(OR(I704="ILF",I704="EIF",I704="EI",I704="EO",I704="EQ"),0,""),LEN(X704)-LEN(SUBSTITUTE(SUBSTITUTE(SUBSTITUTE(SUBSTITUTE(SUBSTITUTE(X704,"|}","--"),"{|","--"),CHAR(10),""),"、",""),"|",""))+IF(AND(OR(I704="EI",I704="EO",I704="EQ"),$AD$1="NESMA"),2,1)))</f>
        <v/>
      </c>
      <c r="O704" s="84">
        <f>IF(I704="EI",IF(OR(X704="估算法",X704="算法类"),"中",IF(X704="无法识别","低",IF(L704&lt;2,IF(N704&lt;16,"低","中"),IF(L704&lt;3,IF(N704&lt;5,"低",IF(N704&lt;16,"中","高")),IF(N704&lt;5,"中","高"))))),IF(OR(I704="EO",I704="EQ"),IF(OR(X704="估算法",X704="算法类"),"中",IF(X704="无法识别","低",IF(L704&lt;2,IF(N704&lt;20,"低","中"),IF(L704&lt;4,IF(N704&lt;6,"低",IF(N704&lt;20,"中","高")),IF(N704&lt;6,"中","高"))))),IF(OR(I704="ILF",I704="EIF"),IF(OR(X704="估算法",X704="算法类",X704="无法识别"),"低",IF(M704&lt;2,IF(N704&lt;51,"低","中"),IF(M704&lt;6,IF(N704&lt;20,"低",IF(N704&lt;51,"中","高")),IF(N704&lt;20,"中","高")))),"不计算")))</f>
        <v/>
      </c>
      <c r="P704" s="142">
        <f>IFERROR(IF(I704="EI",IF(O704="低",3,IF(O704="中",4,6)),IF(I704="EO",IF(O704="低",4,IF(O704="中",5,7)),IF(I704="EQ",IF(O704="低",3,IF(O704="中",4,6)),IF(I704="ILF",IF(O704="低",7,IF(O704="中",10,15)),IF(I704="EIF",IF(O704="低",5,IF(O704="中",7,10)),"不计算")))))*Q704,"不计算")</f>
        <v/>
      </c>
      <c r="Q704" s="142" t="n">
        <v>1</v>
      </c>
      <c r="R704" s="143">
        <f>调整因子!$F$13</f>
        <v/>
      </c>
      <c r="S704" s="76" t="n">
        <v>1</v>
      </c>
      <c r="T704" s="144">
        <f>IFERROR(P704*R704,0)</f>
        <v/>
      </c>
      <c r="U704" s="144">
        <f>T704*S704</f>
        <v/>
      </c>
      <c r="V704" s="88" t="inlineStr">
        <is>
          <t>弱口令扫描任务表、弱口令扫描任务实例表、扫描节点表、扫描器表、扫描任务日志表</t>
        </is>
      </c>
      <c r="W704" s="89" t="n"/>
      <c r="X704" s="88"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Y704" s="88" t="n"/>
      <c r="Z704" s="88" t="n"/>
      <c r="AA704" s="70" t="n"/>
    </row>
    <row r="705" hidden="1" ht="140.4" customHeight="1">
      <c r="A705" s="69">
        <f>ROW()-1</f>
        <v/>
      </c>
      <c r="B705" s="53" t="n"/>
      <c r="C705" s="78" t="n">
        <v>2025</v>
      </c>
      <c r="D705" s="78" t="inlineStr">
        <is>
          <t>仲光华</t>
        </is>
      </c>
      <c r="E705" s="53" t="n"/>
      <c r="F705" s="53" t="n"/>
      <c r="G705" s="53" t="n"/>
      <c r="H705" s="80" t="inlineStr">
        <is>
          <t>弱口令检测定期执行</t>
        </is>
      </c>
      <c r="I705" s="76" t="inlineStr">
        <is>
          <t>EI</t>
        </is>
      </c>
      <c r="J705" s="108" t="n"/>
      <c r="K705" s="108" t="n"/>
      <c r="L705" s="83">
        <f>IF(OR(X705="估算法",X705="算法类",X705="无法识别"),"",IF(V705="",IF(OR(I705="EI",I705="EO",I705="EQ"),0,""),LEN(V705)-LEN(SUBSTITUTE(V705,"、",""))+1))</f>
        <v/>
      </c>
      <c r="M705" s="83">
        <f>IF(OR(X705="估算法",X705="算法类",X705="无法识别"),"",IF(W705="",IF(OR(I705="ILF",I705="EIF"),0,""),LEN(W705)-LEN(SUBSTITUTE(W705,"、",""))+1))</f>
        <v/>
      </c>
      <c r="N705" s="83">
        <f>IF(OR(X705="估算法",X705="算法类",X705="无法识别"),"",IF(X705="",IF(OR(I705="ILF",I705="EIF",I705="EI",I705="EO",I705="EQ"),0,""),LEN(X705)-LEN(SUBSTITUTE(SUBSTITUTE(SUBSTITUTE(SUBSTITUTE(SUBSTITUTE(X705,"|}","--"),"{|","--"),CHAR(10),""),"、",""),"|",""))+IF(AND(OR(I705="EI",I705="EO",I705="EQ"),$AD$1="NESMA"),2,1)))</f>
        <v/>
      </c>
      <c r="O705" s="84">
        <f>IF(I705="EI",IF(OR(X705="估算法",X705="算法类"),"中",IF(X705="无法识别","低",IF(L705&lt;2,IF(N705&lt;16,"低","中"),IF(L705&lt;3,IF(N705&lt;5,"低",IF(N705&lt;16,"中","高")),IF(N705&lt;5,"中","高"))))),IF(OR(I705="EO",I705="EQ"),IF(OR(X705="估算法",X705="算法类"),"中",IF(X705="无法识别","低",IF(L705&lt;2,IF(N705&lt;20,"低","中"),IF(L705&lt;4,IF(N705&lt;6,"低",IF(N705&lt;20,"中","高")),IF(N705&lt;6,"中","高"))))),IF(OR(I705="ILF",I705="EIF"),IF(OR(X705="估算法",X705="算法类",X705="无法识别"),"低",IF(M705&lt;2,IF(N705&lt;51,"低","中"),IF(M705&lt;6,IF(N705&lt;20,"低",IF(N705&lt;51,"中","高")),IF(N705&lt;20,"中","高")))),"不计算")))</f>
        <v/>
      </c>
      <c r="P705" s="142">
        <f>IFERROR(IF(I705="EI",IF(O705="低",3,IF(O705="中",4,6)),IF(I705="EO",IF(O705="低",4,IF(O705="中",5,7)),IF(I705="EQ",IF(O705="低",3,IF(O705="中",4,6)),IF(I705="ILF",IF(O705="低",7,IF(O705="中",10,15)),IF(I705="EIF",IF(O705="低",5,IF(O705="中",7,10)),"不计算")))))*Q705,"不计算")</f>
        <v/>
      </c>
      <c r="Q705" s="142" t="n">
        <v>0.333333333333333</v>
      </c>
      <c r="R705" s="143">
        <f>调整因子!$F$13</f>
        <v/>
      </c>
      <c r="S705" s="70" t="n">
        <v>1</v>
      </c>
      <c r="T705" s="144">
        <f>IFERROR(P705*R705,0)</f>
        <v/>
      </c>
      <c r="U705" s="144">
        <f>T705*S705</f>
        <v/>
      </c>
      <c r="V705" s="88" t="inlineStr">
        <is>
          <t>弱口令扫描任务表、弱口令扫描任务实例表、扫描节点表、扫描器表、扫描任务日志表</t>
        </is>
      </c>
      <c r="W705" s="89" t="n"/>
      <c r="X705" s="88"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Y705" s="88" t="n"/>
      <c r="Z705" s="88" t="n"/>
      <c r="AA705" s="101" t="n"/>
    </row>
    <row r="706" hidden="1" ht="140.4" customHeight="1">
      <c r="A706" s="69">
        <f>ROW()-1</f>
        <v/>
      </c>
      <c r="B706" s="53" t="n"/>
      <c r="C706" s="78" t="n">
        <v>2025</v>
      </c>
      <c r="D706" s="78" t="inlineStr">
        <is>
          <t>仲光华</t>
        </is>
      </c>
      <c r="E706" s="53" t="n"/>
      <c r="F706" s="53" t="n"/>
      <c r="G706" s="54" t="n"/>
      <c r="H706" s="80" t="inlineStr">
        <is>
          <t>弱口令检测进度监控</t>
        </is>
      </c>
      <c r="I706" s="76" t="n"/>
      <c r="J706" s="108" t="n"/>
      <c r="K706" s="108" t="inlineStr">
        <is>
          <t>单独非事务功能，需合并到输出</t>
        </is>
      </c>
      <c r="L706" s="83">
        <f>IF(OR(X706="估算法",X706="算法类",X706="无法识别"),"",IF(V706="",IF(OR(I706="EI",I706="EO",I706="EQ"),0,""),LEN(V706)-LEN(SUBSTITUTE(V706,"、",""))+1))</f>
        <v/>
      </c>
      <c r="M706" s="83">
        <f>IF(OR(X706="估算法",X706="算法类",X706="无法识别"),"",IF(W706="",IF(OR(I706="ILF",I706="EIF"),0,""),LEN(W706)-LEN(SUBSTITUTE(W706,"、",""))+1))</f>
        <v/>
      </c>
      <c r="N706" s="83">
        <f>IF(OR(X706="估算法",X706="算法类",X706="无法识别"),"",IF(X706="",IF(OR(I706="ILF",I706="EIF",I706="EI",I706="EO",I706="EQ"),0,""),LEN(X706)-LEN(SUBSTITUTE(SUBSTITUTE(SUBSTITUTE(SUBSTITUTE(SUBSTITUTE(X706,"|}","--"),"{|","--"),CHAR(10),""),"、",""),"|",""))+IF(AND(OR(I706="EI",I706="EO",I706="EQ"),$AD$1="NESMA"),2,1)))</f>
        <v/>
      </c>
      <c r="O706" s="84">
        <f>IF(I706="EI",IF(OR(X706="估算法",X706="算法类"),"中",IF(X706="无法识别","低",IF(L706&lt;2,IF(N706&lt;16,"低","中"),IF(L706&lt;3,IF(N706&lt;5,"低",IF(N706&lt;16,"中","高")),IF(N706&lt;5,"中","高"))))),IF(OR(I706="EO",I706="EQ"),IF(OR(X706="估算法",X706="算法类"),"中",IF(X706="无法识别","低",IF(L706&lt;2,IF(N706&lt;20,"低","中"),IF(L706&lt;4,IF(N706&lt;6,"低",IF(N706&lt;20,"中","高")),IF(N706&lt;6,"中","高"))))),IF(OR(I706="ILF",I706="EIF"),IF(OR(X706="估算法",X706="算法类",X706="无法识别"),"低",IF(M706&lt;2,IF(N706&lt;51,"低","中"),IF(M706&lt;6,IF(N706&lt;20,"低",IF(N706&lt;51,"中","高")),IF(N706&lt;20,"中","高")))),"不计算")))</f>
        <v/>
      </c>
      <c r="P706" s="142">
        <f>IFERROR(IF(I706="EI",IF(O706="低",3,IF(O706="中",4,6)),IF(I706="EO",IF(O706="低",4,IF(O706="中",5,7)),IF(I706="EQ",IF(O706="低",3,IF(O706="中",4,6)),IF(I706="ILF",IF(O706="低",7,IF(O706="中",10,15)),IF(I706="EIF",IF(O706="低",5,IF(O706="中",7,10)),"不计算")))))*Q706,"不计算")</f>
        <v/>
      </c>
      <c r="Q706" s="142" t="n">
        <v>1</v>
      </c>
      <c r="R706" s="143">
        <f>调整因子!$F$13</f>
        <v/>
      </c>
      <c r="S706" s="70" t="n">
        <v>1</v>
      </c>
      <c r="T706" s="144">
        <f>IFERROR(P706*R706,0)</f>
        <v/>
      </c>
      <c r="U706" s="144">
        <f>T706*S706</f>
        <v/>
      </c>
      <c r="V706" s="88" t="inlineStr">
        <is>
          <t>弱口令扫描任务表、弱口令扫描任务实例表、扫描节点表、扫描器表、扫描任务日志表</t>
        </is>
      </c>
      <c r="W706" s="89" t="n"/>
      <c r="X706" s="88"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Y706" s="88" t="n"/>
      <c r="Z706" s="88" t="n"/>
      <c r="AA706" s="70" t="n"/>
    </row>
    <row r="707" hidden="1" ht="226.8" customHeight="1">
      <c r="A707" s="69">
        <f>ROW()-1</f>
        <v/>
      </c>
      <c r="B707" s="53" t="n"/>
      <c r="C707" s="78" t="n">
        <v>2025</v>
      </c>
      <c r="D707" s="78" t="inlineStr">
        <is>
          <t>仲光华</t>
        </is>
      </c>
      <c r="E707" s="53" t="n"/>
      <c r="F707" s="53" t="n"/>
      <c r="G707" s="79" t="inlineStr">
        <is>
          <t>弱口令检测结果分析展示</t>
        </is>
      </c>
      <c r="H707" s="80" t="inlineStr">
        <is>
          <t>查询弱口令汇总</t>
        </is>
      </c>
      <c r="I707" s="76" t="inlineStr">
        <is>
          <t>EQ</t>
        </is>
      </c>
      <c r="J707" s="108" t="n"/>
      <c r="K707" s="108" t="n"/>
      <c r="L707" s="83">
        <f>IF(OR(X707="估算法",X707="算法类",X707="无法识别"),"",IF(V707="",IF(OR(I707="EI",I707="EO",I707="EQ"),0,""),LEN(V707)-LEN(SUBSTITUTE(V707,"、",""))+1))</f>
        <v/>
      </c>
      <c r="M707" s="83">
        <f>IF(OR(X707="估算法",X707="算法类",X707="无法识别"),"",IF(W707="",IF(OR(I707="ILF",I707="EIF"),0,""),LEN(W707)-LEN(SUBSTITUTE(W707,"、",""))+1))</f>
        <v/>
      </c>
      <c r="N707" s="83">
        <f>IF(OR(X707="估算法",X707="算法类",X707="无法识别"),"",IF(X707="",IF(OR(I707="ILF",I707="EIF",I707="EI",I707="EO",I707="EQ"),0,""),LEN(X707)-LEN(SUBSTITUTE(SUBSTITUTE(SUBSTITUTE(SUBSTITUTE(SUBSTITUTE(X707,"|}","--"),"{|","--"),CHAR(10),""),"、",""),"|",""))+IF(AND(OR(I707="EI",I707="EO",I707="EQ"),$AD$1="NESMA"),2,1)))</f>
        <v/>
      </c>
      <c r="O707" s="84">
        <f>IF(I707="EI",IF(OR(X707="估算法",X707="算法类"),"中",IF(X707="无法识别","低",IF(L707&lt;2,IF(N707&lt;16,"低","中"),IF(L707&lt;3,IF(N707&lt;5,"低",IF(N707&lt;16,"中","高")),IF(N707&lt;5,"中","高"))))),IF(OR(I707="EO",I707="EQ"),IF(OR(X707="估算法",X707="算法类"),"中",IF(X707="无法识别","低",IF(L707&lt;2,IF(N707&lt;20,"低","中"),IF(L707&lt;4,IF(N707&lt;6,"低",IF(N707&lt;20,"中","高")),IF(N707&lt;6,"中","高"))))),IF(OR(I707="ILF",I707="EIF"),IF(OR(X707="估算法",X707="算法类",X707="无法识别"),"低",IF(M707&lt;2,IF(N707&lt;51,"低","中"),IF(M707&lt;6,IF(N707&lt;20,"低",IF(N707&lt;51,"中","高")),IF(N707&lt;20,"中","高")))),"不计算")))</f>
        <v/>
      </c>
      <c r="P707" s="142">
        <f>IFERROR(IF(I707="EI",IF(O707="低",3,IF(O707="中",4,6)),IF(I707="EO",IF(O707="低",4,IF(O707="中",5,7)),IF(I707="EQ",IF(O707="低",3,IF(O707="中",4,6)),IF(I707="ILF",IF(O707="低",7,IF(O707="中",10,15)),IF(I707="EIF",IF(O707="低",5,IF(O707="中",7,10)),"不计算")))))*Q707,"不计算")</f>
        <v/>
      </c>
      <c r="Q707" s="142" t="n">
        <v>1</v>
      </c>
      <c r="R707" s="143">
        <f>调整因子!$F$13</f>
        <v/>
      </c>
      <c r="S707" s="76" t="n">
        <v>1</v>
      </c>
      <c r="T707" s="144">
        <f>IFERROR(P707*R707,0)</f>
        <v/>
      </c>
      <c r="U707" s="144">
        <f>T707*S707</f>
        <v/>
      </c>
      <c r="V707" s="88" t="inlineStr">
        <is>
          <t>弱口令扫描任务表、弱口令扫描任务实例表、扫描节点表、扫描器表、产品漏洞表、系统漏洞表、弱口令扫描结果表、资产管理表、扫描任务日志表</t>
        </is>
      </c>
      <c r="W707" s="89" t="n"/>
      <c r="X707" s="88"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Y707" s="88" t="n"/>
      <c r="Z707" s="88" t="n"/>
      <c r="AA707" s="101" t="n"/>
    </row>
    <row r="708" hidden="1" ht="226.8" customHeight="1">
      <c r="A708" s="69">
        <f>ROW()-1</f>
        <v/>
      </c>
      <c r="B708" s="53" t="n"/>
      <c r="C708" s="78" t="n">
        <v>2025</v>
      </c>
      <c r="D708" s="78" t="inlineStr">
        <is>
          <t>仲光华</t>
        </is>
      </c>
      <c r="E708" s="53" t="n"/>
      <c r="F708" s="53" t="n"/>
      <c r="G708" s="54" t="n"/>
      <c r="H708" s="80" t="inlineStr">
        <is>
          <t>查询弱口令影响资产</t>
        </is>
      </c>
      <c r="I708" s="76" t="n"/>
      <c r="J708" s="108" t="n"/>
      <c r="K708" s="108" t="inlineStr">
        <is>
          <t>和上行合并，相同输入输出字段</t>
        </is>
      </c>
      <c r="L708" s="83">
        <f>IF(OR(X708="估算法",X708="算法类",X708="无法识别"),"",IF(V708="",IF(OR(I708="EI",I708="EO",I708="EQ"),0,""),LEN(V708)-LEN(SUBSTITUTE(V708,"、",""))+1))</f>
        <v/>
      </c>
      <c r="M708" s="83">
        <f>IF(OR(X708="估算法",X708="算法类",X708="无法识别"),"",IF(W708="",IF(OR(I708="ILF",I708="EIF"),0,""),LEN(W708)-LEN(SUBSTITUTE(W708,"、",""))+1))</f>
        <v/>
      </c>
      <c r="N708" s="83">
        <f>IF(OR(X708="估算法",X708="算法类",X708="无法识别"),"",IF(X708="",IF(OR(I708="ILF",I708="EIF",I708="EI",I708="EO",I708="EQ"),0,""),LEN(X708)-LEN(SUBSTITUTE(SUBSTITUTE(SUBSTITUTE(SUBSTITUTE(SUBSTITUTE(X708,"|}","--"),"{|","--"),CHAR(10),""),"、",""),"|",""))+IF(AND(OR(I708="EI",I708="EO",I708="EQ"),$AD$1="NESMA"),2,1)))</f>
        <v/>
      </c>
      <c r="O708" s="84">
        <f>IF(I708="EI",IF(OR(X708="估算法",X708="算法类"),"中",IF(X708="无法识别","低",IF(L708&lt;2,IF(N708&lt;16,"低","中"),IF(L708&lt;3,IF(N708&lt;5,"低",IF(N708&lt;16,"中","高")),IF(N708&lt;5,"中","高"))))),IF(OR(I708="EO",I708="EQ"),IF(OR(X708="估算法",X708="算法类"),"中",IF(X708="无法识别","低",IF(L708&lt;2,IF(N708&lt;20,"低","中"),IF(L708&lt;4,IF(N708&lt;6,"低",IF(N708&lt;20,"中","高")),IF(N708&lt;6,"中","高"))))),IF(OR(I708="ILF",I708="EIF"),IF(OR(X708="估算法",X708="算法类",X708="无法识别"),"低",IF(M708&lt;2,IF(N708&lt;51,"低","中"),IF(M708&lt;6,IF(N708&lt;20,"低",IF(N708&lt;51,"中","高")),IF(N708&lt;20,"中","高")))),"不计算")))</f>
        <v/>
      </c>
      <c r="P708" s="142">
        <f>IFERROR(IF(I708="EI",IF(O708="低",3,IF(O708="中",4,6)),IF(I708="EO",IF(O708="低",4,IF(O708="中",5,7)),IF(I708="EQ",IF(O708="低",3,IF(O708="中",4,6)),IF(I708="ILF",IF(O708="低",7,IF(O708="中",10,15)),IF(I708="EIF",IF(O708="低",5,IF(O708="中",7,10)),"不计算")))))*Q708,"不计算")</f>
        <v/>
      </c>
      <c r="Q708" s="142" t="n">
        <v>1</v>
      </c>
      <c r="R708" s="143">
        <f>调整因子!$F$13</f>
        <v/>
      </c>
      <c r="S708" s="70" t="n">
        <v>1</v>
      </c>
      <c r="T708" s="144">
        <f>IFERROR(P708*R708,0)</f>
        <v/>
      </c>
      <c r="U708" s="144">
        <f>T708*S708</f>
        <v/>
      </c>
      <c r="V708" s="88" t="inlineStr">
        <is>
          <t>弱口令扫描任务表、弱口令扫描任务实例表、扫描节点表、扫描器表、产品漏洞表、系统漏洞表、弱口令扫描结果表、资产管理表、扫描任务日志表</t>
        </is>
      </c>
      <c r="W708" s="89" t="n"/>
      <c r="X708" s="88"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Y708" s="88" t="n"/>
      <c r="Z708" s="88" t="n"/>
      <c r="AA708" s="70" t="n"/>
    </row>
    <row r="709" hidden="1" ht="226.8" customHeight="1">
      <c r="A709" s="69">
        <f>ROW()-1</f>
        <v/>
      </c>
      <c r="B709" s="53" t="n"/>
      <c r="C709" s="78" t="n">
        <v>2025</v>
      </c>
      <c r="D709" s="78" t="inlineStr">
        <is>
          <t>仲光华</t>
        </is>
      </c>
      <c r="E709" s="53" t="n"/>
      <c r="F709" s="53" t="n"/>
      <c r="G709" s="79" t="inlineStr">
        <is>
          <t>弱口令检测任务统计评估</t>
        </is>
      </c>
      <c r="H709" s="80" t="inlineStr">
        <is>
          <t>查询弱口令检测任务资产</t>
        </is>
      </c>
      <c r="I709" s="76" t="inlineStr">
        <is>
          <t>EQ</t>
        </is>
      </c>
      <c r="J709" s="108" t="n"/>
      <c r="K709" s="108" t="n"/>
      <c r="L709" s="83">
        <f>IF(OR(X709="估算法",X709="算法类",X709="无法识别"),"",IF(V709="",IF(OR(I709="EI",I709="EO",I709="EQ"),0,""),LEN(V709)-LEN(SUBSTITUTE(V709,"、",""))+1))</f>
        <v/>
      </c>
      <c r="M709" s="83">
        <f>IF(OR(X709="估算法",X709="算法类",X709="无法识别"),"",IF(W709="",IF(OR(I709="ILF",I709="EIF"),0,""),LEN(W709)-LEN(SUBSTITUTE(W709,"、",""))+1))</f>
        <v/>
      </c>
      <c r="N709" s="83">
        <f>IF(OR(X709="估算法",X709="算法类",X709="无法识别"),"",IF(X709="",IF(OR(I709="ILF",I709="EIF",I709="EI",I709="EO",I709="EQ"),0,""),LEN(X709)-LEN(SUBSTITUTE(SUBSTITUTE(SUBSTITUTE(SUBSTITUTE(SUBSTITUTE(X709,"|}","--"),"{|","--"),CHAR(10),""),"、",""),"|",""))+IF(AND(OR(I709="EI",I709="EO",I709="EQ"),$AD$1="NESMA"),2,1)))</f>
        <v/>
      </c>
      <c r="O709" s="84">
        <f>IF(I709="EI",IF(OR(X709="估算法",X709="算法类"),"中",IF(X709="无法识别","低",IF(L709&lt;2,IF(N709&lt;16,"低","中"),IF(L709&lt;3,IF(N709&lt;5,"低",IF(N709&lt;16,"中","高")),IF(N709&lt;5,"中","高"))))),IF(OR(I709="EO",I709="EQ"),IF(OR(X709="估算法",X709="算法类"),"中",IF(X709="无法识别","低",IF(L709&lt;2,IF(N709&lt;20,"低","中"),IF(L709&lt;4,IF(N709&lt;6,"低",IF(N709&lt;20,"中","高")),IF(N709&lt;6,"中","高"))))),IF(OR(I709="ILF",I709="EIF"),IF(OR(X709="估算法",X709="算法类",X709="无法识别"),"低",IF(M709&lt;2,IF(N709&lt;51,"低","中"),IF(M709&lt;6,IF(N709&lt;20,"低",IF(N709&lt;51,"中","高")),IF(N709&lt;20,"中","高")))),"不计算")))</f>
        <v/>
      </c>
      <c r="P709" s="142">
        <f>IFERROR(IF(I709="EI",IF(O709="低",3,IF(O709="中",4,6)),IF(I709="EO",IF(O709="低",4,IF(O709="中",5,7)),IF(I709="EQ",IF(O709="低",3,IF(O709="中",4,6)),IF(I709="ILF",IF(O709="低",7,IF(O709="中",10,15)),IF(I709="EIF",IF(O709="低",5,IF(O709="中",7,10)),"不计算")))))*Q709,"不计算")</f>
        <v/>
      </c>
      <c r="Q709" s="142" t="n">
        <v>1</v>
      </c>
      <c r="R709" s="143">
        <f>调整因子!$F$13</f>
        <v/>
      </c>
      <c r="S709" s="70" t="n">
        <v>1</v>
      </c>
      <c r="T709" s="144">
        <f>IFERROR(P709*R709,0)</f>
        <v/>
      </c>
      <c r="U709" s="144">
        <f>T709*S709</f>
        <v/>
      </c>
      <c r="V709" s="88" t="inlineStr">
        <is>
          <t>弱口令扫描任务表、弱口令扫描任务实例表、扫描节点表、扫描器表、产品漏洞表、系统漏洞表、弱口令扫描结果表、资产管理表、扫描任务日志表</t>
        </is>
      </c>
      <c r="W709" s="89" t="n"/>
      <c r="X709" s="88"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资产管理表{ID、资产名称、IPv4、IPv7、网络位置、资产类别、规格型号、负责人、资产状态、供应商、备注、创建人、创建时间、更新人、更新时间}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Y709" s="88" t="n"/>
      <c r="Z709" s="88" t="n"/>
      <c r="AA709" s="101" t="n"/>
    </row>
    <row r="710" hidden="1" ht="226.8" customHeight="1">
      <c r="A710" s="69">
        <f>ROW()-1</f>
        <v/>
      </c>
      <c r="B710" s="53" t="n"/>
      <c r="C710" s="78" t="n">
        <v>2025</v>
      </c>
      <c r="D710" s="78" t="inlineStr">
        <is>
          <t>仲光华</t>
        </is>
      </c>
      <c r="E710" s="53" t="n"/>
      <c r="F710" s="53" t="n"/>
      <c r="G710" s="53" t="n"/>
      <c r="H710" s="80" t="inlineStr">
        <is>
          <t>查询弱口令检测任务列表</t>
        </is>
      </c>
      <c r="I710" s="76" t="n"/>
      <c r="J710" s="108" t="n"/>
      <c r="K710" s="108" t="inlineStr">
        <is>
          <t>和上行合并，相同输入输出字段</t>
        </is>
      </c>
      <c r="L710" s="83">
        <f>IF(OR(X710="估算法",X710="算法类",X710="无法识别"),"",IF(V710="",IF(OR(I710="EI",I710="EO",I710="EQ"),0,""),LEN(V710)-LEN(SUBSTITUTE(V710,"、",""))+1))</f>
        <v/>
      </c>
      <c r="M710" s="83">
        <f>IF(OR(X710="估算法",X710="算法类",X710="无法识别"),"",IF(W710="",IF(OR(I710="ILF",I710="EIF"),0,""),LEN(W710)-LEN(SUBSTITUTE(W710,"、",""))+1))</f>
        <v/>
      </c>
      <c r="N710" s="83">
        <f>IF(OR(X710="估算法",X710="算法类",X710="无法识别"),"",IF(X710="",IF(OR(I710="ILF",I710="EIF",I710="EI",I710="EO",I710="EQ"),0,""),LEN(X710)-LEN(SUBSTITUTE(SUBSTITUTE(SUBSTITUTE(SUBSTITUTE(SUBSTITUTE(X710,"|}","--"),"{|","--"),CHAR(10),""),"、",""),"|",""))+IF(AND(OR(I710="EI",I710="EO",I710="EQ"),$AD$1="NESMA"),2,1)))</f>
        <v/>
      </c>
      <c r="O710" s="84">
        <f>IF(I710="EI",IF(OR(X710="估算法",X710="算法类"),"中",IF(X710="无法识别","低",IF(L710&lt;2,IF(N710&lt;16,"低","中"),IF(L710&lt;3,IF(N710&lt;5,"低",IF(N710&lt;16,"中","高")),IF(N710&lt;5,"中","高"))))),IF(OR(I710="EO",I710="EQ"),IF(OR(X710="估算法",X710="算法类"),"中",IF(X710="无法识别","低",IF(L710&lt;2,IF(N710&lt;20,"低","中"),IF(L710&lt;4,IF(N710&lt;6,"低",IF(N710&lt;20,"中","高")),IF(N710&lt;6,"中","高"))))),IF(OR(I710="ILF",I710="EIF"),IF(OR(X710="估算法",X710="算法类",X710="无法识别"),"低",IF(M710&lt;2,IF(N710&lt;51,"低","中"),IF(M710&lt;6,IF(N710&lt;20,"低",IF(N710&lt;51,"中","高")),IF(N710&lt;20,"中","高")))),"不计算")))</f>
        <v/>
      </c>
      <c r="P710" s="142">
        <f>IFERROR(IF(I710="EI",IF(O710="低",3,IF(O710="中",4,6)),IF(I710="EO",IF(O710="低",4,IF(O710="中",5,7)),IF(I710="EQ",IF(O710="低",3,IF(O710="中",4,6)),IF(I710="ILF",IF(O710="低",7,IF(O710="中",10,15)),IF(I710="EIF",IF(O710="低",5,IF(O710="中",7,10)),"不计算")))))*Q710,"不计算")</f>
        <v/>
      </c>
      <c r="Q710" s="142" t="n">
        <v>1</v>
      </c>
      <c r="R710" s="143">
        <f>调整因子!$F$13</f>
        <v/>
      </c>
      <c r="S710" s="76" t="n">
        <v>1</v>
      </c>
      <c r="T710" s="144">
        <f>IFERROR(P710*R710,0)</f>
        <v/>
      </c>
      <c r="U710" s="144">
        <f>T710*S710</f>
        <v/>
      </c>
      <c r="V710" s="88" t="inlineStr">
        <is>
          <t>弱口令扫描任务表、弱口令扫描任务实例表、扫描节点表、扫描器表、产品漏洞表、系统漏洞表、弱口令扫描结果表、资产管理表、扫描任务日志表</t>
        </is>
      </c>
      <c r="W710" s="89" t="n"/>
      <c r="X710" s="88"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资产管理表{ID、资产名称、IPv4、IPv8、网络位置、资产类别、规格型号、负责人、资产状态、供应商、备注、创建人、创建时间、更新人、更新时间}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Y710" s="88" t="n"/>
      <c r="Z710" s="88" t="n"/>
      <c r="AA710" s="70" t="n"/>
    </row>
    <row r="711" hidden="1" ht="226.8" customHeight="1">
      <c r="A711" s="69">
        <f>ROW()-1</f>
        <v/>
      </c>
      <c r="B711" s="53" t="n"/>
      <c r="C711" s="78" t="n">
        <v>2025</v>
      </c>
      <c r="D711" s="78" t="inlineStr">
        <is>
          <t>仲光华</t>
        </is>
      </c>
      <c r="E711" s="53" t="n"/>
      <c r="F711" s="53" t="n"/>
      <c r="G711" s="54" t="n"/>
      <c r="H711" s="80" t="inlineStr">
        <is>
          <t>查询弱口令列表</t>
        </is>
      </c>
      <c r="I711" s="76" t="n"/>
      <c r="J711" s="108" t="n"/>
      <c r="K711" s="108" t="inlineStr">
        <is>
          <t>和上行合并，相同输入输出字段</t>
        </is>
      </c>
      <c r="L711" s="83">
        <f>IF(OR(X711="估算法",X711="算法类",X711="无法识别"),"",IF(V711="",IF(OR(I711="EI",I711="EO",I711="EQ"),0,""),LEN(V711)-LEN(SUBSTITUTE(V711,"、",""))+1))</f>
        <v/>
      </c>
      <c r="M711" s="83">
        <f>IF(OR(X711="估算法",X711="算法类",X711="无法识别"),"",IF(W711="",IF(OR(I711="ILF",I711="EIF"),0,""),LEN(W711)-LEN(SUBSTITUTE(W711,"、",""))+1))</f>
        <v/>
      </c>
      <c r="N711" s="83">
        <f>IF(OR(X711="估算法",X711="算法类",X711="无法识别"),"",IF(X711="",IF(OR(I711="ILF",I711="EIF",I711="EI",I711="EO",I711="EQ"),0,""),LEN(X711)-LEN(SUBSTITUTE(SUBSTITUTE(SUBSTITUTE(SUBSTITUTE(SUBSTITUTE(X711,"|}","--"),"{|","--"),CHAR(10),""),"、",""),"|",""))+IF(AND(OR(I711="EI",I711="EO",I711="EQ"),$AD$1="NESMA"),2,1)))</f>
        <v/>
      </c>
      <c r="O711" s="84">
        <f>IF(I711="EI",IF(OR(X711="估算法",X711="算法类"),"中",IF(X711="无法识别","低",IF(L711&lt;2,IF(N711&lt;16,"低","中"),IF(L711&lt;3,IF(N711&lt;5,"低",IF(N711&lt;16,"中","高")),IF(N711&lt;5,"中","高"))))),IF(OR(I711="EO",I711="EQ"),IF(OR(X711="估算法",X711="算法类"),"中",IF(X711="无法识别","低",IF(L711&lt;2,IF(N711&lt;20,"低","中"),IF(L711&lt;4,IF(N711&lt;6,"低",IF(N711&lt;20,"中","高")),IF(N711&lt;6,"中","高"))))),IF(OR(I711="ILF",I711="EIF"),IF(OR(X711="估算法",X711="算法类",X711="无法识别"),"低",IF(M711&lt;2,IF(N711&lt;51,"低","中"),IF(M711&lt;6,IF(N711&lt;20,"低",IF(N711&lt;51,"中","高")),IF(N711&lt;20,"中","高")))),"不计算")))</f>
        <v/>
      </c>
      <c r="P711" s="142">
        <f>IFERROR(IF(I711="EI",IF(O711="低",3,IF(O711="中",4,6)),IF(I711="EO",IF(O711="低",4,IF(O711="中",5,7)),IF(I711="EQ",IF(O711="低",3,IF(O711="中",4,6)),IF(I711="ILF",IF(O711="低",7,IF(O711="中",10,15)),IF(I711="EIF",IF(O711="低",5,IF(O711="中",7,10)),"不计算")))))*Q711,"不计算")</f>
        <v/>
      </c>
      <c r="Q711" s="142" t="n">
        <v>1</v>
      </c>
      <c r="R711" s="143">
        <f>调整因子!$F$13</f>
        <v/>
      </c>
      <c r="S711" s="70" t="n">
        <v>1</v>
      </c>
      <c r="T711" s="144">
        <f>IFERROR(P711*R711,0)</f>
        <v/>
      </c>
      <c r="U711" s="144">
        <f>T711*S711</f>
        <v/>
      </c>
      <c r="V711" s="88" t="inlineStr">
        <is>
          <t>弱口令扫描任务表、弱口令扫描任务实例表、扫描节点表、扫描器表、产品漏洞表、系统漏洞表、弱口令扫描结果表、资产管理表、扫描任务日志表</t>
        </is>
      </c>
      <c r="W711" s="89" t="n"/>
      <c r="X711" s="88"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资产管理表{ID、资产名称、IPv4、IPv9、网络位置、资产类别、规格型号、负责人、资产状态、供应商、备注、创建人、创建时间、更新人、更新时间}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Y711" s="88" t="n"/>
      <c r="Z711" s="88" t="n"/>
      <c r="AA711" s="101" t="n"/>
    </row>
    <row r="712" hidden="1" ht="205.2" customHeight="1">
      <c r="A712" s="69">
        <f>ROW()-1</f>
        <v/>
      </c>
      <c r="B712" s="53" t="n"/>
      <c r="C712" s="78" t="n">
        <v>2025</v>
      </c>
      <c r="D712" s="78" t="inlineStr">
        <is>
          <t>仲光华</t>
        </is>
      </c>
      <c r="E712" s="53" t="n"/>
      <c r="F712" s="53" t="n"/>
      <c r="G712" s="79" t="inlineStr">
        <is>
          <t>扫描器集成与控制</t>
        </is>
      </c>
      <c r="H712" s="80" t="inlineStr">
        <is>
          <t>查询任务列表</t>
        </is>
      </c>
      <c r="I712" s="76" t="inlineStr">
        <is>
          <t>EQ</t>
        </is>
      </c>
      <c r="J712" s="108" t="n"/>
      <c r="K712" s="108" t="n"/>
      <c r="L712" s="83">
        <f>IF(OR(X712="估算法",X712="算法类",X712="无法识别"),"",IF(V712="",IF(OR(I712="EI",I712="EO",I712="EQ"),0,""),LEN(V712)-LEN(SUBSTITUTE(V712,"、",""))+1))</f>
        <v/>
      </c>
      <c r="M712" s="83">
        <f>IF(OR(X712="估算法",X712="算法类",X712="无法识别"),"",IF(W712="",IF(OR(I712="ILF",I712="EIF"),0,""),LEN(W712)-LEN(SUBSTITUTE(W712,"、",""))+1))</f>
        <v/>
      </c>
      <c r="N712" s="83">
        <f>IF(OR(X712="估算法",X712="算法类",X712="无法识别"),"",IF(X712="",IF(OR(I712="ILF",I712="EIF",I712="EI",I712="EO",I712="EQ"),0,""),LEN(X712)-LEN(SUBSTITUTE(SUBSTITUTE(SUBSTITUTE(SUBSTITUTE(SUBSTITUTE(X712,"|}","--"),"{|","--"),CHAR(10),""),"、",""),"|",""))+IF(AND(OR(I712="EI",I712="EO",I712="EQ"),$AD$1="NESMA"),2,1)))</f>
        <v/>
      </c>
      <c r="O712" s="84">
        <f>IF(I712="EI",IF(OR(X712="估算法",X712="算法类"),"中",IF(X712="无法识别","低",IF(L712&lt;2,IF(N712&lt;16,"低","中"),IF(L712&lt;3,IF(N712&lt;5,"低",IF(N712&lt;16,"中","高")),IF(N712&lt;5,"中","高"))))),IF(OR(I712="EO",I712="EQ"),IF(OR(X712="估算法",X712="算法类"),"中",IF(X712="无法识别","低",IF(L712&lt;2,IF(N712&lt;20,"低","中"),IF(L712&lt;4,IF(N712&lt;6,"低",IF(N712&lt;20,"中","高")),IF(N712&lt;6,"中","高"))))),IF(OR(I712="ILF",I712="EIF"),IF(OR(X712="估算法",X712="算法类",X712="无法识别"),"低",IF(M712&lt;2,IF(N712&lt;51,"低","中"),IF(M712&lt;6,IF(N712&lt;20,"低",IF(N712&lt;51,"中","高")),IF(N712&lt;20,"中","高")))),"不计算")))</f>
        <v/>
      </c>
      <c r="P712" s="142">
        <f>IFERROR(IF(I712="EI",IF(O712="低",3,IF(O712="中",4,6)),IF(I712="EO",IF(O712="低",4,IF(O712="中",5,7)),IF(I712="EQ",IF(O712="低",3,IF(O712="中",4,6)),IF(I712="ILF",IF(O712="低",7,IF(O712="中",10,15)),IF(I712="EIF",IF(O712="低",5,IF(O712="中",7,10)),"不计算")))))*Q712,"不计算")</f>
        <v/>
      </c>
      <c r="Q712" s="142" t="n">
        <v>1</v>
      </c>
      <c r="R712" s="143">
        <f>调整因子!$F$13</f>
        <v/>
      </c>
      <c r="S712" s="70" t="n">
        <v>1</v>
      </c>
      <c r="T712" s="144">
        <f>IFERROR(P712*R712,0)</f>
        <v/>
      </c>
      <c r="U712" s="144">
        <f>T712*S712</f>
        <v/>
      </c>
      <c r="V712" s="88" t="inlineStr">
        <is>
          <t>弱口令扫描任务表、弱口令扫描任务实例表、扫描节点表、扫描器表、扫描器版本表、扫描器分类表、安全厂商信息、资产管理表、扫描任务日志表</t>
        </is>
      </c>
      <c r="W712" s="89" t="n"/>
      <c r="X712" s="88"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Y712" s="88" t="n"/>
      <c r="Z712" s="88" t="n"/>
      <c r="AA712" s="70" t="n"/>
    </row>
    <row r="713" hidden="1" ht="205.2" customHeight="1">
      <c r="A713" s="69">
        <f>ROW()-1</f>
        <v/>
      </c>
      <c r="B713" s="53" t="n"/>
      <c r="C713" s="78" t="n">
        <v>2025</v>
      </c>
      <c r="D713" s="78" t="inlineStr">
        <is>
          <t>仲光华</t>
        </is>
      </c>
      <c r="E713" s="53" t="n"/>
      <c r="F713" s="53" t="n"/>
      <c r="G713" s="53" t="n"/>
      <c r="H713" s="80" t="inlineStr">
        <is>
          <t>查询弱口令检测任务分配列表</t>
        </is>
      </c>
      <c r="I713" s="76" t="n"/>
      <c r="J713" s="108" t="n"/>
      <c r="K713" s="108" t="inlineStr">
        <is>
          <t>和上行合并，相同输入输出字段</t>
        </is>
      </c>
      <c r="L713" s="83">
        <f>IF(OR(X713="估算法",X713="算法类",X713="无法识别"),"",IF(V713="",IF(OR(I713="EI",I713="EO",I713="EQ"),0,""),LEN(V713)-LEN(SUBSTITUTE(V713,"、",""))+1))</f>
        <v/>
      </c>
      <c r="M713" s="83">
        <f>IF(OR(X713="估算法",X713="算法类",X713="无法识别"),"",IF(W713="",IF(OR(I713="ILF",I713="EIF"),0,""),LEN(W713)-LEN(SUBSTITUTE(W713,"、",""))+1))</f>
        <v/>
      </c>
      <c r="N713" s="83">
        <f>IF(OR(X713="估算法",X713="算法类",X713="无法识别"),"",IF(X713="",IF(OR(I713="ILF",I713="EIF",I713="EI",I713="EO",I713="EQ"),0,""),LEN(X713)-LEN(SUBSTITUTE(SUBSTITUTE(SUBSTITUTE(SUBSTITUTE(SUBSTITUTE(X713,"|}","--"),"{|","--"),CHAR(10),""),"、",""),"|",""))+IF(AND(OR(I713="EI",I713="EO",I713="EQ"),$AD$1="NESMA"),2,1)))</f>
        <v/>
      </c>
      <c r="O713" s="84">
        <f>IF(I713="EI",IF(OR(X713="估算法",X713="算法类"),"中",IF(X713="无法识别","低",IF(L713&lt;2,IF(N713&lt;16,"低","中"),IF(L713&lt;3,IF(N713&lt;5,"低",IF(N713&lt;16,"中","高")),IF(N713&lt;5,"中","高"))))),IF(OR(I713="EO",I713="EQ"),IF(OR(X713="估算法",X713="算法类"),"中",IF(X713="无法识别","低",IF(L713&lt;2,IF(N713&lt;20,"低","中"),IF(L713&lt;4,IF(N713&lt;6,"低",IF(N713&lt;20,"中","高")),IF(N713&lt;6,"中","高"))))),IF(OR(I713="ILF",I713="EIF"),IF(OR(X713="估算法",X713="算法类",X713="无法识别"),"低",IF(M713&lt;2,IF(N713&lt;51,"低","中"),IF(M713&lt;6,IF(N713&lt;20,"低",IF(N713&lt;51,"中","高")),IF(N713&lt;20,"中","高")))),"不计算")))</f>
        <v/>
      </c>
      <c r="P713" s="142">
        <f>IFERROR(IF(I713="EI",IF(O713="低",3,IF(O713="中",4,6)),IF(I713="EO",IF(O713="低",4,IF(O713="中",5,7)),IF(I713="EQ",IF(O713="低",3,IF(O713="中",4,6)),IF(I713="ILF",IF(O713="低",7,IF(O713="中",10,15)),IF(I713="EIF",IF(O713="低",5,IF(O713="中",7,10)),"不计算")))))*Q713,"不计算")</f>
        <v/>
      </c>
      <c r="Q713" s="142" t="n">
        <v>1</v>
      </c>
      <c r="R713" s="143">
        <f>调整因子!$F$13</f>
        <v/>
      </c>
      <c r="S713" s="76" t="n">
        <v>1</v>
      </c>
      <c r="T713" s="144">
        <f>IFERROR(P713*R713,0)</f>
        <v/>
      </c>
      <c r="U713" s="144">
        <f>T713*S713</f>
        <v/>
      </c>
      <c r="V713" s="88" t="inlineStr">
        <is>
          <t>弱口令扫描任务表、弱口令扫描任务实例表、扫描节点表、扫描器表、扫描器版本表、扫描器分类表、安全厂商信息、资产管理表、扫描任务日志表</t>
        </is>
      </c>
      <c r="W713" s="89" t="n"/>
      <c r="X713" s="88"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Y713" s="88" t="n"/>
      <c r="Z713" s="88" t="n"/>
      <c r="AA713" s="101" t="n"/>
    </row>
    <row r="714" hidden="1" ht="205.2" customHeight="1">
      <c r="A714" s="69">
        <f>ROW()-1</f>
        <v/>
      </c>
      <c r="B714" s="53" t="n"/>
      <c r="C714" s="78" t="n">
        <v>2025</v>
      </c>
      <c r="D714" s="78" t="inlineStr">
        <is>
          <t>仲光华</t>
        </is>
      </c>
      <c r="E714" s="53" t="n"/>
      <c r="F714" s="53" t="n"/>
      <c r="G714" s="53" t="n"/>
      <c r="H714" s="80" t="inlineStr">
        <is>
          <t>查询弱口令检测任务</t>
        </is>
      </c>
      <c r="I714" s="76" t="n"/>
      <c r="J714" s="108" t="n"/>
      <c r="K714" s="108" t="inlineStr">
        <is>
          <t>和上行合并，相同输入输出字段</t>
        </is>
      </c>
      <c r="L714" s="83">
        <f>IF(OR(X714="估算法",X714="算法类",X714="无法识别"),"",IF(V714="",IF(OR(I714="EI",I714="EO",I714="EQ"),0,""),LEN(V714)-LEN(SUBSTITUTE(V714,"、",""))+1))</f>
        <v/>
      </c>
      <c r="M714" s="83">
        <f>IF(OR(X714="估算法",X714="算法类",X714="无法识别"),"",IF(W714="",IF(OR(I714="ILF",I714="EIF"),0,""),LEN(W714)-LEN(SUBSTITUTE(W714,"、",""))+1))</f>
        <v/>
      </c>
      <c r="N714" s="83">
        <f>IF(OR(X714="估算法",X714="算法类",X714="无法识别"),"",IF(X714="",IF(OR(I714="ILF",I714="EIF",I714="EI",I714="EO",I714="EQ"),0,""),LEN(X714)-LEN(SUBSTITUTE(SUBSTITUTE(SUBSTITUTE(SUBSTITUTE(SUBSTITUTE(X714,"|}","--"),"{|","--"),CHAR(10),""),"、",""),"|",""))+IF(AND(OR(I714="EI",I714="EO",I714="EQ"),$AD$1="NESMA"),2,1)))</f>
        <v/>
      </c>
      <c r="O714" s="84">
        <f>IF(I714="EI",IF(OR(X714="估算法",X714="算法类"),"中",IF(X714="无法识别","低",IF(L714&lt;2,IF(N714&lt;16,"低","中"),IF(L714&lt;3,IF(N714&lt;5,"低",IF(N714&lt;16,"中","高")),IF(N714&lt;5,"中","高"))))),IF(OR(I714="EO",I714="EQ"),IF(OR(X714="估算法",X714="算法类"),"中",IF(X714="无法识别","低",IF(L714&lt;2,IF(N714&lt;20,"低","中"),IF(L714&lt;4,IF(N714&lt;6,"低",IF(N714&lt;20,"中","高")),IF(N714&lt;6,"中","高"))))),IF(OR(I714="ILF",I714="EIF"),IF(OR(X714="估算法",X714="算法类",X714="无法识别"),"低",IF(M714&lt;2,IF(N714&lt;51,"低","中"),IF(M714&lt;6,IF(N714&lt;20,"低",IF(N714&lt;51,"中","高")),IF(N714&lt;20,"中","高")))),"不计算")))</f>
        <v/>
      </c>
      <c r="P714" s="142">
        <f>IFERROR(IF(I714="EI",IF(O714="低",3,IF(O714="中",4,6)),IF(I714="EO",IF(O714="低",4,IF(O714="中",5,7)),IF(I714="EQ",IF(O714="低",3,IF(O714="中",4,6)),IF(I714="ILF",IF(O714="低",7,IF(O714="中",10,15)),IF(I714="EIF",IF(O714="低",5,IF(O714="中",7,10)),"不计算")))))*Q714,"不计算")</f>
        <v/>
      </c>
      <c r="Q714" s="142" t="n">
        <v>1</v>
      </c>
      <c r="R714" s="143">
        <f>调整因子!$F$13</f>
        <v/>
      </c>
      <c r="S714" s="70" t="n">
        <v>1</v>
      </c>
      <c r="T714" s="144">
        <f>IFERROR(P714*R714,0)</f>
        <v/>
      </c>
      <c r="U714" s="144">
        <f>T714*S714</f>
        <v/>
      </c>
      <c r="V714" s="88" t="inlineStr">
        <is>
          <t>弱口令扫描任务表、弱口令扫描任务实例表、扫描节点表、扫描器表、扫描器版本表、扫描器分类表、安全厂商信息、资产管理表、扫描任务日志表</t>
        </is>
      </c>
      <c r="W714" s="89" t="n"/>
      <c r="X714" s="88"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Y714" s="88" t="n"/>
      <c r="Z714" s="88" t="n"/>
      <c r="AA714" s="70" t="n"/>
    </row>
    <row r="715" hidden="1" ht="32.4" customHeight="1">
      <c r="A715" s="69">
        <f>ROW()-1</f>
        <v/>
      </c>
      <c r="B715" s="53" t="n"/>
      <c r="C715" s="78" t="n">
        <v>2025</v>
      </c>
      <c r="D715" s="78" t="inlineStr">
        <is>
          <t>仲光华</t>
        </is>
      </c>
      <c r="E715" s="53" t="n"/>
      <c r="F715" s="53" t="n"/>
      <c r="G715" s="53" t="n"/>
      <c r="H715" s="81" t="inlineStr">
        <is>
          <t>弱口令扫描任务表</t>
        </is>
      </c>
      <c r="I715" s="76" t="inlineStr">
        <is>
          <t>ILF</t>
        </is>
      </c>
      <c r="J715" s="108" t="n"/>
      <c r="K715" s="108" t="n"/>
      <c r="L715" s="83">
        <f>IF(OR(X715="估算法",X715="算法类",X715="无法识别"),"",IF(V715="",IF(OR(I715="EI",I715="EO",I715="EQ"),0,""),LEN(V715)-LEN(SUBSTITUTE(V715,"、",""))+1))</f>
        <v/>
      </c>
      <c r="M715" s="83">
        <f>IF(OR(X715="估算法",X715="算法类",X715="无法识别"),"",IF(W715="",IF(OR(I715="ILF",I715="EIF"),0,""),LEN(W715)-LEN(SUBSTITUTE(W715,"、",""))+1))</f>
        <v/>
      </c>
      <c r="N715" s="83">
        <f>IF(OR(X715="估算法",X715="算法类",X715="无法识别"),"",IF(X715="",IF(OR(I715="ILF",I715="EIF",I715="EI",I715="EO",I715="EQ"),0,""),LEN(X715)-LEN(SUBSTITUTE(SUBSTITUTE(SUBSTITUTE(SUBSTITUTE(SUBSTITUTE(X715,"|}","--"),"{|","--"),CHAR(10),""),"、",""),"|",""))+IF(AND(OR(I715="EI",I715="EO",I715="EQ"),$AD$1="NESMA"),2,1)))</f>
        <v/>
      </c>
      <c r="O715" s="84">
        <f>IF(I715="EI",IF(OR(X715="估算法",X715="算法类"),"中",IF(X715="无法识别","低",IF(L715&lt;2,IF(N715&lt;16,"低","中"),IF(L715&lt;3,IF(N715&lt;5,"低",IF(N715&lt;16,"中","高")),IF(N715&lt;5,"中","高"))))),IF(OR(I715="EO",I715="EQ"),IF(OR(X715="估算法",X715="算法类"),"中",IF(X715="无法识别","低",IF(L715&lt;2,IF(N715&lt;20,"低","中"),IF(L715&lt;4,IF(N715&lt;6,"低",IF(N715&lt;20,"中","高")),IF(N715&lt;6,"中","高"))))),IF(OR(I715="ILF",I715="EIF"),IF(OR(X715="估算法",X715="算法类",X715="无法识别"),"低",IF(M715&lt;2,IF(N715&lt;51,"低","中"),IF(M715&lt;6,IF(N715&lt;20,"低",IF(N715&lt;51,"中","高")),IF(N715&lt;20,"中","高")))),"不计算")))</f>
        <v/>
      </c>
      <c r="P715" s="142">
        <f>IFERROR(IF(I715="EI",IF(O715="低",3,IF(O715="中",4,6)),IF(I715="EO",IF(O715="低",4,IF(O715="中",5,7)),IF(I715="EQ",IF(O715="低",3,IF(O715="中",4,6)),IF(I715="ILF",IF(O715="低",7,IF(O715="中",10,15)),IF(I715="EIF",IF(O715="低",5,IF(O715="中",7,10)),"不计算")))))*Q715,"不计算")</f>
        <v/>
      </c>
      <c r="Q715" s="142" t="n">
        <v>0</v>
      </c>
      <c r="R715" s="143">
        <f>调整因子!$F$13</f>
        <v/>
      </c>
      <c r="S715" s="70" t="n">
        <v>1</v>
      </c>
      <c r="T715" s="144">
        <f>IFERROR(P715*R715,0)</f>
        <v/>
      </c>
      <c r="U715" s="144">
        <f>T715*S715</f>
        <v/>
      </c>
      <c r="V715" s="89" t="n"/>
      <c r="W715" s="88" t="inlineStr">
        <is>
          <t>弱口令扫描任务表</t>
        </is>
      </c>
      <c r="X715" s="88" t="inlineStr">
        <is>
          <t>弱口令扫描任务表{ID、扫描器ID、分类（厂商）ID、场景ID、计划名称、计划类型、计划状态、执行类型、计划开始时间、计划结束时间、周期计划执行的cron、扫描IP、扫描端口、部门、业务系统、计划责任人、内置任务、备注}</t>
        </is>
      </c>
      <c r="Y715" s="88">
        <f>IF(COUNTIFS(V:V,"*"&amp;H715&amp;"*")&gt;0,"存在","不存在")</f>
        <v/>
      </c>
      <c r="Z715" s="88">
        <f>IF(COUNTIFS(AA:AA,"*"&amp;H715&amp;"*")&gt;0,"存在","不存在")</f>
        <v/>
      </c>
      <c r="AA715" s="101" t="n"/>
    </row>
    <row r="716" hidden="1" ht="32.4" customHeight="1">
      <c r="A716" s="69">
        <f>ROW()-1</f>
        <v/>
      </c>
      <c r="B716" s="53" t="n"/>
      <c r="C716" s="78" t="n">
        <v>2025</v>
      </c>
      <c r="D716" s="78" t="inlineStr">
        <is>
          <t>仲光华</t>
        </is>
      </c>
      <c r="E716" s="53" t="n"/>
      <c r="F716" s="53" t="n"/>
      <c r="G716" s="53" t="n"/>
      <c r="H716" s="81" t="inlineStr">
        <is>
          <t>弱口令扫描任务实例表</t>
        </is>
      </c>
      <c r="I716" s="76" t="inlineStr">
        <is>
          <t>ILF</t>
        </is>
      </c>
      <c r="J716" s="108" t="n"/>
      <c r="K716" s="108" t="n"/>
      <c r="L716" s="83">
        <f>IF(OR(X716="估算法",X716="算法类",X716="无法识别"),"",IF(V716="",IF(OR(I716="EI",I716="EO",I716="EQ"),0,""),LEN(V716)-LEN(SUBSTITUTE(V716,"、",""))+1))</f>
        <v/>
      </c>
      <c r="M716" s="83">
        <f>IF(OR(X716="估算法",X716="算法类",X716="无法识别"),"",IF(W716="",IF(OR(I716="ILF",I716="EIF"),0,""),LEN(W716)-LEN(SUBSTITUTE(W716,"、",""))+1))</f>
        <v/>
      </c>
      <c r="N716" s="83">
        <f>IF(OR(X716="估算法",X716="算法类",X716="无法识别"),"",IF(X716="",IF(OR(I716="ILF",I716="EIF",I716="EI",I716="EO",I716="EQ"),0,""),LEN(X716)-LEN(SUBSTITUTE(SUBSTITUTE(SUBSTITUTE(SUBSTITUTE(SUBSTITUTE(X716,"|}","--"),"{|","--"),CHAR(10),""),"、",""),"|",""))+IF(AND(OR(I716="EI",I716="EO",I716="EQ"),$AD$1="NESMA"),2,1)))</f>
        <v/>
      </c>
      <c r="O716" s="84">
        <f>IF(I716="EI",IF(OR(X716="估算法",X716="算法类"),"中",IF(X716="无法识别","低",IF(L716&lt;2,IF(N716&lt;16,"低","中"),IF(L716&lt;3,IF(N716&lt;5,"低",IF(N716&lt;16,"中","高")),IF(N716&lt;5,"中","高"))))),IF(OR(I716="EO",I716="EQ"),IF(OR(X716="估算法",X716="算法类"),"中",IF(X716="无法识别","低",IF(L716&lt;2,IF(N716&lt;20,"低","中"),IF(L716&lt;4,IF(N716&lt;6,"低",IF(N716&lt;20,"中","高")),IF(N716&lt;6,"中","高"))))),IF(OR(I716="ILF",I716="EIF"),IF(OR(X716="估算法",X716="算法类",X716="无法识别"),"低",IF(M716&lt;2,IF(N716&lt;51,"低","中"),IF(M716&lt;6,IF(N716&lt;20,"低",IF(N716&lt;51,"中","高")),IF(N716&lt;20,"中","高")))),"不计算")))</f>
        <v/>
      </c>
      <c r="P716" s="142">
        <f>IFERROR(IF(I716="EI",IF(O716="低",3,IF(O716="中",4,6)),IF(I716="EO",IF(O716="低",4,IF(O716="中",5,7)),IF(I716="EQ",IF(O716="低",3,IF(O716="中",4,6)),IF(I716="ILF",IF(O716="低",7,IF(O716="中",10,15)),IF(I716="EIF",IF(O716="低",5,IF(O716="中",7,10)),"不计算")))))*Q716,"不计算")</f>
        <v/>
      </c>
      <c r="Q716" s="142" t="n">
        <v>0</v>
      </c>
      <c r="R716" s="143">
        <f>调整因子!$F$13</f>
        <v/>
      </c>
      <c r="S716" s="76" t="n">
        <v>1</v>
      </c>
      <c r="T716" s="144">
        <f>IFERROR(P716*R716,0)</f>
        <v/>
      </c>
      <c r="U716" s="144">
        <f>T716*S716</f>
        <v/>
      </c>
      <c r="V716" s="89" t="n"/>
      <c r="W716" s="88" t="inlineStr">
        <is>
          <t>弱口令扫描任务实例表</t>
        </is>
      </c>
      <c r="X716" s="88" t="inlineStr">
        <is>
          <t>弱口令扫描任务实例表{ID、扫描计划ID、任务状态、上次执行时间、下次执行时间、本次执行时间、本次结束时间、ElasticSearchID、本次计划扫描ip总数、本次计划已扫描ip数量、计划执行进度、备注}</t>
        </is>
      </c>
      <c r="Y716" s="88">
        <f>IF(COUNTIFS(V:V,"*"&amp;H716&amp;"*")&gt;0,"存在","不存在")</f>
        <v/>
      </c>
      <c r="Z716" s="88">
        <f>IF(COUNTIFS(AA:AA,"*"&amp;H716&amp;"*")&gt;0,"存在","不存在")</f>
        <v/>
      </c>
      <c r="AA716" s="70" t="n"/>
    </row>
    <row r="717" hidden="1" ht="43.2" customHeight="1">
      <c r="A717" s="69">
        <f>ROW()-1</f>
        <v/>
      </c>
      <c r="B717" s="53" t="n"/>
      <c r="C717" s="78" t="n">
        <v>2025</v>
      </c>
      <c r="D717" s="78" t="inlineStr">
        <is>
          <t>仲光华</t>
        </is>
      </c>
      <c r="E717" s="53" t="n"/>
      <c r="F717" s="53" t="n"/>
      <c r="G717" s="53" t="n"/>
      <c r="H717" s="81" t="inlineStr">
        <is>
          <t>扫描节点表</t>
        </is>
      </c>
      <c r="I717" s="76" t="inlineStr">
        <is>
          <t>ILF</t>
        </is>
      </c>
      <c r="J717" s="108" t="n"/>
      <c r="K717" s="108" t="n"/>
      <c r="L717" s="83">
        <f>IF(OR(X717="估算法",X717="算法类",X717="无法识别"),"",IF(V717="",IF(OR(I717="EI",I717="EO",I717="EQ"),0,""),LEN(V717)-LEN(SUBSTITUTE(V717,"、",""))+1))</f>
        <v/>
      </c>
      <c r="M717" s="83">
        <f>IF(OR(X717="估算法",X717="算法类",X717="无法识别"),"",IF(W717="",IF(OR(I717="ILF",I717="EIF"),0,""),LEN(W717)-LEN(SUBSTITUTE(W717,"、",""))+1))</f>
        <v/>
      </c>
      <c r="N717" s="83">
        <f>IF(OR(X717="估算法",X717="算法类",X717="无法识别"),"",IF(X717="",IF(OR(I717="ILF",I717="EIF",I717="EI",I717="EO",I717="EQ"),0,""),LEN(X717)-LEN(SUBSTITUTE(SUBSTITUTE(SUBSTITUTE(SUBSTITUTE(SUBSTITUTE(X717,"|}","--"),"{|","--"),CHAR(10),""),"、",""),"|",""))+IF(AND(OR(I717="EI",I717="EO",I717="EQ"),$AD$1="NESMA"),2,1)))</f>
        <v/>
      </c>
      <c r="O717" s="84">
        <f>IF(I717="EI",IF(OR(X717="估算法",X717="算法类"),"中",IF(X717="无法识别","低",IF(L717&lt;2,IF(N717&lt;16,"低","中"),IF(L717&lt;3,IF(N717&lt;5,"低",IF(N717&lt;16,"中","高")),IF(N717&lt;5,"中","高"))))),IF(OR(I717="EO",I717="EQ"),IF(OR(X717="估算法",X717="算法类"),"中",IF(X717="无法识别","低",IF(L717&lt;2,IF(N717&lt;20,"低","中"),IF(L717&lt;4,IF(N717&lt;6,"低",IF(N717&lt;20,"中","高")),IF(N717&lt;6,"中","高"))))),IF(OR(I717="ILF",I717="EIF"),IF(OR(X717="估算法",X717="算法类",X717="无法识别"),"低",IF(M717&lt;2,IF(N717&lt;51,"低","中"),IF(M717&lt;6,IF(N717&lt;20,"低",IF(N717&lt;51,"中","高")),IF(N717&lt;20,"中","高")))),"不计算")))</f>
        <v/>
      </c>
      <c r="P717" s="142">
        <f>IFERROR(IF(I717="EI",IF(O717="低",3,IF(O717="中",4,6)),IF(I717="EO",IF(O717="低",4,IF(O717="中",5,7)),IF(I717="EQ",IF(O717="低",3,IF(O717="中",4,6)),IF(I717="ILF",IF(O717="低",7,IF(O717="中",10,15)),IF(I717="EIF",IF(O717="低",5,IF(O717="中",7,10)),"不计算")))))*Q717,"不计算")</f>
        <v/>
      </c>
      <c r="Q717" s="142" t="n">
        <v>0</v>
      </c>
      <c r="R717" s="143">
        <f>调整因子!$F$13</f>
        <v/>
      </c>
      <c r="S717" s="70" t="n">
        <v>1</v>
      </c>
      <c r="T717" s="144">
        <f>IFERROR(P717*R717,0)</f>
        <v/>
      </c>
      <c r="U717" s="144">
        <f>T717*S717</f>
        <v/>
      </c>
      <c r="V717" s="89" t="n"/>
      <c r="W717" s="88" t="inlineStr">
        <is>
          <t>扫描节点表</t>
        </is>
      </c>
      <c r="X717" s="88" t="inlineStr">
        <is>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t>
        </is>
      </c>
      <c r="Y717" s="88">
        <f>IF(COUNTIFS(V:V,"*"&amp;H717&amp;"*")&gt;0,"存在","不存在")</f>
        <v/>
      </c>
      <c r="Z717" s="88">
        <f>IF(COUNTIFS(AA:AA,"*"&amp;H717&amp;"*")&gt;0,"存在","不存在")</f>
        <v/>
      </c>
      <c r="AA717" s="101" t="n"/>
    </row>
    <row r="718" hidden="1">
      <c r="A718" s="69">
        <f>ROW()-1</f>
        <v/>
      </c>
      <c r="B718" s="53" t="n"/>
      <c r="C718" s="78" t="n">
        <v>2025</v>
      </c>
      <c r="D718" s="78" t="inlineStr">
        <is>
          <t>仲光华</t>
        </is>
      </c>
      <c r="E718" s="53" t="n"/>
      <c r="F718" s="53" t="n"/>
      <c r="G718" s="53" t="n"/>
      <c r="H718" s="81" t="inlineStr">
        <is>
          <t>扫描器表</t>
        </is>
      </c>
      <c r="I718" s="76" t="inlineStr">
        <is>
          <t>ILF</t>
        </is>
      </c>
      <c r="J718" s="108" t="n"/>
      <c r="K718" s="108" t="n"/>
      <c r="L718" s="83">
        <f>IF(OR(X718="估算法",X718="算法类",X718="无法识别"),"",IF(V718="",IF(OR(I718="EI",I718="EO",I718="EQ"),0,""),LEN(V718)-LEN(SUBSTITUTE(V718,"、",""))+1))</f>
        <v/>
      </c>
      <c r="M718" s="83">
        <f>IF(OR(X718="估算法",X718="算法类",X718="无法识别"),"",IF(W718="",IF(OR(I718="ILF",I718="EIF"),0,""),LEN(W718)-LEN(SUBSTITUTE(W718,"、",""))+1))</f>
        <v/>
      </c>
      <c r="N718" s="83">
        <f>IF(OR(X718="估算法",X718="算法类",X718="无法识别"),"",IF(X718="",IF(OR(I718="ILF",I718="EIF",I718="EI",I718="EO",I718="EQ"),0,""),LEN(X718)-LEN(SUBSTITUTE(SUBSTITUTE(SUBSTITUTE(SUBSTITUTE(SUBSTITUTE(X718,"|}","--"),"{|","--"),CHAR(10),""),"、",""),"|",""))+IF(AND(OR(I718="EI",I718="EO",I718="EQ"),$AD$1="NESMA"),2,1)))</f>
        <v/>
      </c>
      <c r="O718" s="84">
        <f>IF(I718="EI",IF(OR(X718="估算法",X718="算法类"),"中",IF(X718="无法识别","低",IF(L718&lt;2,IF(N718&lt;16,"低","中"),IF(L718&lt;3,IF(N718&lt;5,"低",IF(N718&lt;16,"中","高")),IF(N718&lt;5,"中","高"))))),IF(OR(I718="EO",I718="EQ"),IF(OR(X718="估算法",X718="算法类"),"中",IF(X718="无法识别","低",IF(L718&lt;2,IF(N718&lt;20,"低","中"),IF(L718&lt;4,IF(N718&lt;6,"低",IF(N718&lt;20,"中","高")),IF(N718&lt;6,"中","高"))))),IF(OR(I718="ILF",I718="EIF"),IF(OR(X718="估算法",X718="算法类",X718="无法识别"),"低",IF(M718&lt;2,IF(N718&lt;51,"低","中"),IF(M718&lt;6,IF(N718&lt;20,"低",IF(N718&lt;51,"中","高")),IF(N718&lt;20,"中","高")))),"不计算")))</f>
        <v/>
      </c>
      <c r="P718" s="142">
        <f>IFERROR(IF(I718="EI",IF(O718="低",3,IF(O718="中",4,6)),IF(I718="EO",IF(O718="低",4,IF(O718="中",5,7)),IF(I718="EQ",IF(O718="低",3,IF(O718="中",4,6)),IF(I718="ILF",IF(O718="低",7,IF(O718="中",10,15)),IF(I718="EIF",IF(O718="低",5,IF(O718="中",7,10)),"不计算")))))*Q718,"不计算")</f>
        <v/>
      </c>
      <c r="Q718" s="142" t="n">
        <v>0</v>
      </c>
      <c r="R718" s="143">
        <f>调整因子!$F$13</f>
        <v/>
      </c>
      <c r="S718" s="70" t="n">
        <v>1</v>
      </c>
      <c r="T718" s="144">
        <f>IFERROR(P718*R718,0)</f>
        <v/>
      </c>
      <c r="U718" s="144">
        <f>T718*S718</f>
        <v/>
      </c>
      <c r="V718" s="89" t="n"/>
      <c r="W718" s="88" t="inlineStr">
        <is>
          <t>扫描器表</t>
        </is>
      </c>
      <c r="X718" s="88" t="inlineStr">
        <is>
          <t>扫描器表{ID、节点ID、扫描器名称、责任人、部门、备注}</t>
        </is>
      </c>
      <c r="Y718" s="88">
        <f>IF(COUNTIFS(V:V,"*"&amp;H718&amp;"*")&gt;0,"存在","不存在")</f>
        <v/>
      </c>
      <c r="Z718" s="88">
        <f>IF(COUNTIFS(AA:AA,"*"&amp;H718&amp;"*")&gt;0,"存在","不存在")</f>
        <v/>
      </c>
      <c r="AA718" s="70" t="n"/>
    </row>
    <row r="719" hidden="1">
      <c r="A719" s="69">
        <f>ROW()-1</f>
        <v/>
      </c>
      <c r="B719" s="53" t="n"/>
      <c r="C719" s="78" t="n">
        <v>2025</v>
      </c>
      <c r="D719" s="78" t="inlineStr">
        <is>
          <t>仲光华</t>
        </is>
      </c>
      <c r="E719" s="53" t="n"/>
      <c r="F719" s="53" t="n"/>
      <c r="G719" s="53" t="n"/>
      <c r="H719" s="81" t="inlineStr">
        <is>
          <t>扫描器版本表</t>
        </is>
      </c>
      <c r="I719" s="76" t="inlineStr">
        <is>
          <t>ILF</t>
        </is>
      </c>
      <c r="J719" s="108" t="n"/>
      <c r="K719" s="108" t="n"/>
      <c r="L719" s="83">
        <f>IF(OR(X719="估算法",X719="算法类",X719="无法识别"),"",IF(V719="",IF(OR(I719="EI",I719="EO",I719="EQ"),0,""),LEN(V719)-LEN(SUBSTITUTE(V719,"、",""))+1))</f>
        <v/>
      </c>
      <c r="M719" s="83">
        <f>IF(OR(X719="估算法",X719="算法类",X719="无法识别"),"",IF(W719="",IF(OR(I719="ILF",I719="EIF"),0,""),LEN(W719)-LEN(SUBSTITUTE(W719,"、",""))+1))</f>
        <v/>
      </c>
      <c r="N719" s="83">
        <f>IF(OR(X719="估算法",X719="算法类",X719="无法识别"),"",IF(X719="",IF(OR(I719="ILF",I719="EIF",I719="EI",I719="EO",I719="EQ"),0,""),LEN(X719)-LEN(SUBSTITUTE(SUBSTITUTE(SUBSTITUTE(SUBSTITUTE(SUBSTITUTE(X719,"|}","--"),"{|","--"),CHAR(10),""),"、",""),"|",""))+IF(AND(OR(I719="EI",I719="EO",I719="EQ"),$AD$1="NESMA"),2,1)))</f>
        <v/>
      </c>
      <c r="O719" s="84">
        <f>IF(I719="EI",IF(OR(X719="估算法",X719="算法类"),"中",IF(X719="无法识别","低",IF(L719&lt;2,IF(N719&lt;16,"低","中"),IF(L719&lt;3,IF(N719&lt;5,"低",IF(N719&lt;16,"中","高")),IF(N719&lt;5,"中","高"))))),IF(OR(I719="EO",I719="EQ"),IF(OR(X719="估算法",X719="算法类"),"中",IF(X719="无法识别","低",IF(L719&lt;2,IF(N719&lt;20,"低","中"),IF(L719&lt;4,IF(N719&lt;6,"低",IF(N719&lt;20,"中","高")),IF(N719&lt;6,"中","高"))))),IF(OR(I719="ILF",I719="EIF"),IF(OR(X719="估算法",X719="算法类",X719="无法识别"),"低",IF(M719&lt;2,IF(N719&lt;51,"低","中"),IF(M719&lt;6,IF(N719&lt;20,"低",IF(N719&lt;51,"中","高")),IF(N719&lt;20,"中","高")))),"不计算")))</f>
        <v/>
      </c>
      <c r="P719" s="142">
        <f>IFERROR(IF(I719="EI",IF(O719="低",3,IF(O719="中",4,6)),IF(I719="EO",IF(O719="低",4,IF(O719="中",5,7)),IF(I719="EQ",IF(O719="低",3,IF(O719="中",4,6)),IF(I719="ILF",IF(O719="低",7,IF(O719="中",10,15)),IF(I719="EIF",IF(O719="低",5,IF(O719="中",7,10)),"不计算")))))*Q719,"不计算")</f>
        <v/>
      </c>
      <c r="Q719" s="142" t="n">
        <v>0</v>
      </c>
      <c r="R719" s="143">
        <f>调整因子!$F$13</f>
        <v/>
      </c>
      <c r="S719" s="76" t="n">
        <v>1</v>
      </c>
      <c r="T719" s="144">
        <f>IFERROR(P719*R719,0)</f>
        <v/>
      </c>
      <c r="U719" s="144">
        <f>T719*S719</f>
        <v/>
      </c>
      <c r="V719" s="89" t="n"/>
      <c r="W719" s="88" t="inlineStr">
        <is>
          <t>扫描器版本表</t>
        </is>
      </c>
      <c r="X719" s="88" t="inlineStr">
        <is>
          <t>扫描器版本表{ID、分类ID、分类名称、版本名称、图标显示、备注}</t>
        </is>
      </c>
      <c r="Y719" s="88">
        <f>IF(COUNTIFS(V:V,"*"&amp;H719&amp;"*")&gt;0,"存在","不存在")</f>
        <v/>
      </c>
      <c r="Z719" s="88">
        <f>IF(COUNTIFS(AA:AA,"*"&amp;H719&amp;"*")&gt;0,"存在","不存在")</f>
        <v/>
      </c>
      <c r="AA719" s="101" t="n"/>
    </row>
    <row r="720" hidden="1">
      <c r="A720" s="69">
        <f>ROW()-1</f>
        <v/>
      </c>
      <c r="B720" s="53" t="n"/>
      <c r="C720" s="78" t="n">
        <v>2025</v>
      </c>
      <c r="D720" s="78" t="inlineStr">
        <is>
          <t>仲光华</t>
        </is>
      </c>
      <c r="E720" s="53" t="n"/>
      <c r="F720" s="53" t="n"/>
      <c r="G720" s="53" t="n"/>
      <c r="H720" s="81" t="inlineStr">
        <is>
          <t>扫描器分类表</t>
        </is>
      </c>
      <c r="I720" s="76" t="inlineStr">
        <is>
          <t>ILF</t>
        </is>
      </c>
      <c r="J720" s="108" t="n"/>
      <c r="K720" s="108" t="n"/>
      <c r="L720" s="83">
        <f>IF(OR(X720="估算法",X720="算法类",X720="无法识别"),"",IF(V720="",IF(OR(I720="EI",I720="EO",I720="EQ"),0,""),LEN(V720)-LEN(SUBSTITUTE(V720,"、",""))+1))</f>
        <v/>
      </c>
      <c r="M720" s="83">
        <f>IF(OR(X720="估算法",X720="算法类",X720="无法识别"),"",IF(W720="",IF(OR(I720="ILF",I720="EIF"),0,""),LEN(W720)-LEN(SUBSTITUTE(W720,"、",""))+1))</f>
        <v/>
      </c>
      <c r="N720" s="83">
        <f>IF(OR(X720="估算法",X720="算法类",X720="无法识别"),"",IF(X720="",IF(OR(I720="ILF",I720="EIF",I720="EI",I720="EO",I720="EQ"),0,""),LEN(X720)-LEN(SUBSTITUTE(SUBSTITUTE(SUBSTITUTE(SUBSTITUTE(SUBSTITUTE(X720,"|}","--"),"{|","--"),CHAR(10),""),"、",""),"|",""))+IF(AND(OR(I720="EI",I720="EO",I720="EQ"),$AD$1="NESMA"),2,1)))</f>
        <v/>
      </c>
      <c r="O720" s="84">
        <f>IF(I720="EI",IF(OR(X720="估算法",X720="算法类"),"中",IF(X720="无法识别","低",IF(L720&lt;2,IF(N720&lt;16,"低","中"),IF(L720&lt;3,IF(N720&lt;5,"低",IF(N720&lt;16,"中","高")),IF(N720&lt;5,"中","高"))))),IF(OR(I720="EO",I720="EQ"),IF(OR(X720="估算法",X720="算法类"),"中",IF(X720="无法识别","低",IF(L720&lt;2,IF(N720&lt;20,"低","中"),IF(L720&lt;4,IF(N720&lt;6,"低",IF(N720&lt;20,"中","高")),IF(N720&lt;6,"中","高"))))),IF(OR(I720="ILF",I720="EIF"),IF(OR(X720="估算法",X720="算法类",X720="无法识别"),"低",IF(M720&lt;2,IF(N720&lt;51,"低","中"),IF(M720&lt;6,IF(N720&lt;20,"低",IF(N720&lt;51,"中","高")),IF(N720&lt;20,"中","高")))),"不计算")))</f>
        <v/>
      </c>
      <c r="P720" s="142">
        <f>IFERROR(IF(I720="EI",IF(O720="低",3,IF(O720="中",4,6)),IF(I720="EO",IF(O720="低",4,IF(O720="中",5,7)),IF(I720="EQ",IF(O720="低",3,IF(O720="中",4,6)),IF(I720="ILF",IF(O720="低",7,IF(O720="中",10,15)),IF(I720="EIF",IF(O720="低",5,IF(O720="中",7,10)),"不计算")))))*Q720,"不计算")</f>
        <v/>
      </c>
      <c r="Q720" s="142" t="n">
        <v>0</v>
      </c>
      <c r="R720" s="143">
        <f>调整因子!$F$13</f>
        <v/>
      </c>
      <c r="S720" s="70" t="n">
        <v>1</v>
      </c>
      <c r="T720" s="144">
        <f>IFERROR(P720*R720,0)</f>
        <v/>
      </c>
      <c r="U720" s="144">
        <f>T720*S720</f>
        <v/>
      </c>
      <c r="V720" s="89" t="n"/>
      <c r="W720" s="88" t="inlineStr">
        <is>
          <t>扫描器分类表</t>
        </is>
      </c>
      <c r="X720" s="88" t="inlineStr">
        <is>
          <t>扫描器分类表{ID、分类名称、页面展示排序、备注}</t>
        </is>
      </c>
      <c r="Y720" s="88">
        <f>IF(COUNTIFS(V:V,"*"&amp;H720&amp;"*")&gt;0,"存在","不存在")</f>
        <v/>
      </c>
      <c r="Z720" s="88">
        <f>IF(COUNTIFS(AA:AA,"*"&amp;H720&amp;"*")&gt;0,"存在","不存在")</f>
        <v/>
      </c>
      <c r="AA720" s="70" t="n"/>
    </row>
    <row r="721" hidden="1">
      <c r="A721" s="69">
        <f>ROW()-1</f>
        <v/>
      </c>
      <c r="B721" s="53" t="n"/>
      <c r="C721" s="78" t="n">
        <v>2025</v>
      </c>
      <c r="D721" s="78" t="inlineStr">
        <is>
          <t>仲光华</t>
        </is>
      </c>
      <c r="E721" s="53" t="n"/>
      <c r="F721" s="53" t="n"/>
      <c r="G721" s="53" t="n"/>
      <c r="H721" s="81" t="inlineStr">
        <is>
          <t>安全厂商信息</t>
        </is>
      </c>
      <c r="I721" s="76" t="inlineStr">
        <is>
          <t>ILF</t>
        </is>
      </c>
      <c r="J721" s="108" t="n"/>
      <c r="K721" s="108" t="n"/>
      <c r="L721" s="83">
        <f>IF(OR(X721="估算法",X721="算法类",X721="无法识别"),"",IF(V721="",IF(OR(I721="EI",I721="EO",I721="EQ"),0,""),LEN(V721)-LEN(SUBSTITUTE(V721,"、",""))+1))</f>
        <v/>
      </c>
      <c r="M721" s="83">
        <f>IF(OR(X721="估算法",X721="算法类",X721="无法识别"),"",IF(W721="",IF(OR(I721="ILF",I721="EIF"),0,""),LEN(W721)-LEN(SUBSTITUTE(W721,"、",""))+1))</f>
        <v/>
      </c>
      <c r="N721" s="83">
        <f>IF(OR(X721="估算法",X721="算法类",X721="无法识别"),"",IF(X721="",IF(OR(I721="ILF",I721="EIF",I721="EI",I721="EO",I721="EQ"),0,""),LEN(X721)-LEN(SUBSTITUTE(SUBSTITUTE(SUBSTITUTE(SUBSTITUTE(SUBSTITUTE(X721,"|}","--"),"{|","--"),CHAR(10),""),"、",""),"|",""))+IF(AND(OR(I721="EI",I721="EO",I721="EQ"),$AD$1="NESMA"),2,1)))</f>
        <v/>
      </c>
      <c r="O721" s="84">
        <f>IF(I721="EI",IF(OR(X721="估算法",X721="算法类"),"中",IF(X721="无法识别","低",IF(L721&lt;2,IF(N721&lt;16,"低","中"),IF(L721&lt;3,IF(N721&lt;5,"低",IF(N721&lt;16,"中","高")),IF(N721&lt;5,"中","高"))))),IF(OR(I721="EO",I721="EQ"),IF(OR(X721="估算法",X721="算法类"),"中",IF(X721="无法识别","低",IF(L721&lt;2,IF(N721&lt;20,"低","中"),IF(L721&lt;4,IF(N721&lt;6,"低",IF(N721&lt;20,"中","高")),IF(N721&lt;6,"中","高"))))),IF(OR(I721="ILF",I721="EIF"),IF(OR(X721="估算法",X721="算法类",X721="无法识别"),"低",IF(M721&lt;2,IF(N721&lt;51,"低","中"),IF(M721&lt;6,IF(N721&lt;20,"低",IF(N721&lt;51,"中","高")),IF(N721&lt;20,"中","高")))),"不计算")))</f>
        <v/>
      </c>
      <c r="P721" s="142">
        <f>IFERROR(IF(I721="EI",IF(O721="低",3,IF(O721="中",4,6)),IF(I721="EO",IF(O721="低",4,IF(O721="中",5,7)),IF(I721="EQ",IF(O721="低",3,IF(O721="中",4,6)),IF(I721="ILF",IF(O721="低",7,IF(O721="中",10,15)),IF(I721="EIF",IF(O721="低",5,IF(O721="中",7,10)),"不计算")))))*Q721,"不计算")</f>
        <v/>
      </c>
      <c r="Q721" s="142" t="n">
        <v>0</v>
      </c>
      <c r="R721" s="143">
        <f>调整因子!$F$13</f>
        <v/>
      </c>
      <c r="S721" s="70" t="n">
        <v>1</v>
      </c>
      <c r="T721" s="144">
        <f>IFERROR(P721*R721,0)</f>
        <v/>
      </c>
      <c r="U721" s="144">
        <f>T721*S721</f>
        <v/>
      </c>
      <c r="V721" s="89" t="n"/>
      <c r="W721" s="88" t="inlineStr">
        <is>
          <t>安全厂商信息</t>
        </is>
      </c>
      <c r="X721" s="88" t="inlineStr">
        <is>
          <t>安全厂商信息{安全厂商ID、安全厂商名称、安全厂商编码}</t>
        </is>
      </c>
      <c r="Y721" s="88">
        <f>IF(COUNTIFS(V:V,"*"&amp;H721&amp;"*")&gt;0,"存在","不存在")</f>
        <v/>
      </c>
      <c r="Z721" s="88">
        <f>IF(COUNTIFS(AA:AA,"*"&amp;H721&amp;"*")&gt;0,"存在","不存在")</f>
        <v/>
      </c>
      <c r="AA721" s="101" t="n"/>
    </row>
    <row r="722" hidden="1" ht="21.6" customHeight="1">
      <c r="A722" s="69">
        <f>ROW()-1</f>
        <v/>
      </c>
      <c r="B722" s="53" t="n"/>
      <c r="C722" s="78" t="n">
        <v>2025</v>
      </c>
      <c r="D722" s="78" t="inlineStr">
        <is>
          <t>仲光华</t>
        </is>
      </c>
      <c r="E722" s="53" t="n"/>
      <c r="F722" s="53" t="n"/>
      <c r="G722" s="53" t="n"/>
      <c r="H722" s="81" t="inlineStr">
        <is>
          <t>资产管理表</t>
        </is>
      </c>
      <c r="I722" s="76" t="inlineStr">
        <is>
          <t>ILF</t>
        </is>
      </c>
      <c r="J722" s="108" t="n"/>
      <c r="K722" s="108" t="n"/>
      <c r="L722" s="83">
        <f>IF(OR(X722="估算法",X722="算法类",X722="无法识别"),"",IF(V722="",IF(OR(I722="EI",I722="EO",I722="EQ"),0,""),LEN(V722)-LEN(SUBSTITUTE(V722,"、",""))+1))</f>
        <v/>
      </c>
      <c r="M722" s="83">
        <f>IF(OR(X722="估算法",X722="算法类",X722="无法识别"),"",IF(W722="",IF(OR(I722="ILF",I722="EIF"),0,""),LEN(W722)-LEN(SUBSTITUTE(W722,"、",""))+1))</f>
        <v/>
      </c>
      <c r="N722" s="83">
        <f>IF(OR(X722="估算法",X722="算法类",X722="无法识别"),"",IF(X722="",IF(OR(I722="ILF",I722="EIF",I722="EI",I722="EO",I722="EQ"),0,""),LEN(X722)-LEN(SUBSTITUTE(SUBSTITUTE(SUBSTITUTE(SUBSTITUTE(SUBSTITUTE(X722,"|}","--"),"{|","--"),CHAR(10),""),"、",""),"|",""))+IF(AND(OR(I722="EI",I722="EO",I722="EQ"),$AD$1="NESMA"),2,1)))</f>
        <v/>
      </c>
      <c r="O722" s="84">
        <f>IF(I722="EI",IF(OR(X722="估算法",X722="算法类"),"中",IF(X722="无法识别","低",IF(L722&lt;2,IF(N722&lt;16,"低","中"),IF(L722&lt;3,IF(N722&lt;5,"低",IF(N722&lt;16,"中","高")),IF(N722&lt;5,"中","高"))))),IF(OR(I722="EO",I722="EQ"),IF(OR(X722="估算法",X722="算法类"),"中",IF(X722="无法识别","低",IF(L722&lt;2,IF(N722&lt;20,"低","中"),IF(L722&lt;4,IF(N722&lt;6,"低",IF(N722&lt;20,"中","高")),IF(N722&lt;6,"中","高"))))),IF(OR(I722="ILF",I722="EIF"),IF(OR(X722="估算法",X722="算法类",X722="无法识别"),"低",IF(M722&lt;2,IF(N722&lt;51,"低","中"),IF(M722&lt;6,IF(N722&lt;20,"低",IF(N722&lt;51,"中","高")),IF(N722&lt;20,"中","高")))),"不计算")))</f>
        <v/>
      </c>
      <c r="P722" s="142">
        <f>IFERROR(IF(I722="EI",IF(O722="低",3,IF(O722="中",4,6)),IF(I722="EO",IF(O722="低",4,IF(O722="中",5,7)),IF(I722="EQ",IF(O722="低",3,IF(O722="中",4,6)),IF(I722="ILF",IF(O722="低",7,IF(O722="中",10,15)),IF(I722="EIF",IF(O722="低",5,IF(O722="中",7,10)),"不计算")))))*Q722,"不计算")</f>
        <v/>
      </c>
      <c r="Q722" s="142" t="n">
        <v>0</v>
      </c>
      <c r="R722" s="143">
        <f>调整因子!$F$13</f>
        <v/>
      </c>
      <c r="S722" s="76" t="n">
        <v>1</v>
      </c>
      <c r="T722" s="144">
        <f>IFERROR(P722*R722,0)</f>
        <v/>
      </c>
      <c r="U722" s="144">
        <f>T722*S722</f>
        <v/>
      </c>
      <c r="V722" s="89" t="n"/>
      <c r="W722" s="88" t="inlineStr">
        <is>
          <t>资产管理表</t>
        </is>
      </c>
      <c r="X722" s="88" t="inlineStr">
        <is>
          <t>资产管理表{ID、资产名称、IPv4、IPv6、网络位置、资产类别、规格型号、负责人、资产状态、供应商、备注、创建人、创建时间、更新人、更新时间}</t>
        </is>
      </c>
      <c r="Y722" s="88">
        <f>IF(COUNTIFS(V:V,"*"&amp;H722&amp;"*")&gt;0,"存在","不存在")</f>
        <v/>
      </c>
      <c r="Z722" s="88">
        <f>IF(COUNTIFS(AA:AA,"*"&amp;H722&amp;"*")&gt;0,"存在","不存在")</f>
        <v/>
      </c>
      <c r="AA722" s="70" t="n"/>
    </row>
    <row r="723" hidden="1" ht="21.6" customHeight="1">
      <c r="A723" s="69">
        <f>ROW()-1</f>
        <v/>
      </c>
      <c r="B723" s="53" t="n"/>
      <c r="C723" s="78" t="n">
        <v>2025</v>
      </c>
      <c r="D723" s="78" t="inlineStr">
        <is>
          <t>仲光华</t>
        </is>
      </c>
      <c r="E723" s="53" t="n"/>
      <c r="F723" s="53" t="n"/>
      <c r="G723" s="53" t="n"/>
      <c r="H723" s="81" t="inlineStr">
        <is>
          <t>扫描任务日志表</t>
        </is>
      </c>
      <c r="I723" s="95" t="n"/>
      <c r="J723" s="95" t="n"/>
      <c r="K723" s="95" t="inlineStr">
        <is>
          <t>非ILF,日志表</t>
        </is>
      </c>
      <c r="L723" s="83">
        <f>IF(OR(X723="估算法",X723="算法类",X723="无法识别"),"",IF(V723="",IF(OR(I723="EI",I723="EO",I723="EQ"),0,""),LEN(V723)-LEN(SUBSTITUTE(V723,"、",""))+1))</f>
        <v/>
      </c>
      <c r="M723" s="83">
        <f>IF(OR(X723="估算法",X723="算法类",X723="无法识别"),"",IF(W723="",IF(OR(I723="ILF",I723="EIF"),0,""),LEN(W723)-LEN(SUBSTITUTE(W723,"、",""))+1))</f>
        <v/>
      </c>
      <c r="N723" s="83">
        <f>IF(OR(X723="估算法",X723="算法类",X723="无法识别"),"",IF(X723="",IF(OR(I723="ILF",I723="EIF",I723="EI",I723="EO",I723="EQ"),0,""),LEN(X723)-LEN(SUBSTITUTE(SUBSTITUTE(SUBSTITUTE(SUBSTITUTE(SUBSTITUTE(X723,"|}","--"),"{|","--"),CHAR(10),""),"、",""),"|",""))+IF(AND(OR(I723="EI",I723="EO",I723="EQ"),$AD$1="NESMA"),2,1)))</f>
        <v/>
      </c>
      <c r="O723" s="84">
        <f>IF(I723="EI",IF(OR(X723="估算法",X723="算法类"),"中",IF(X723="无法识别","低",IF(L723&lt;2,IF(N723&lt;16,"低","中"),IF(L723&lt;3,IF(N723&lt;5,"低",IF(N723&lt;16,"中","高")),IF(N723&lt;5,"中","高"))))),IF(OR(I723="EO",I723="EQ"),IF(OR(X723="估算法",X723="算法类"),"中",IF(X723="无法识别","低",IF(L723&lt;2,IF(N723&lt;20,"低","中"),IF(L723&lt;4,IF(N723&lt;6,"低",IF(N723&lt;20,"中","高")),IF(N723&lt;6,"中","高"))))),IF(OR(I723="ILF",I723="EIF"),IF(OR(X723="估算法",X723="算法类",X723="无法识别"),"低",IF(M723&lt;2,IF(N723&lt;51,"低","中"),IF(M723&lt;6,IF(N723&lt;20,"低",IF(N723&lt;51,"中","高")),IF(N723&lt;20,"中","高")))),"不计算")))</f>
        <v/>
      </c>
      <c r="P723" s="142">
        <f>IFERROR(IF(I723="EI",IF(O723="低",3,IF(O723="中",4,6)),IF(I723="EO",IF(O723="低",4,IF(O723="中",5,7)),IF(I723="EQ",IF(O723="低",3,IF(O723="中",4,6)),IF(I723="ILF",IF(O723="低",7,IF(O723="中",10,15)),IF(I723="EIF",IF(O723="低",5,IF(O723="中",7,10)),"不计算")))))*Q723,"不计算")</f>
        <v/>
      </c>
      <c r="Q723" s="142" t="n">
        <v>0</v>
      </c>
      <c r="R723" s="143">
        <f>调整因子!$F$13</f>
        <v/>
      </c>
      <c r="S723" s="70" t="n">
        <v>1</v>
      </c>
      <c r="T723" s="144">
        <f>IFERROR(P723*R723,0)</f>
        <v/>
      </c>
      <c r="U723" s="144">
        <f>T723*S723</f>
        <v/>
      </c>
      <c r="V723" s="89" t="n"/>
      <c r="W723" s="88" t="inlineStr">
        <is>
          <t>扫描任务日志表</t>
        </is>
      </c>
      <c r="X723" s="88" t="inlineStr">
        <is>
          <t>扫描任务日志表{ID、时间戳、日志级别、日志内容、用户ID、IP地址、操作类型、状态码、请求URL、请求方法、响应代码、用户代理、会话ID、请求耗时}</t>
        </is>
      </c>
      <c r="Y723" s="88">
        <f>IF(COUNTIFS(V:V,"*"&amp;H723&amp;"*")&gt;0,"存在","不存在")</f>
        <v/>
      </c>
      <c r="Z723" s="88">
        <f>IF(COUNTIFS(AA:AA,"*"&amp;H723&amp;"*")&gt;0,"存在","不存在")</f>
        <v/>
      </c>
      <c r="AA723" s="101" t="n"/>
    </row>
    <row r="724" hidden="1" ht="21.6" customHeight="1">
      <c r="A724" s="69">
        <f>ROW()-1</f>
        <v/>
      </c>
      <c r="B724" s="53" t="n"/>
      <c r="C724" s="78" t="n">
        <v>2025</v>
      </c>
      <c r="D724" s="78" t="inlineStr">
        <is>
          <t>仲光华</t>
        </is>
      </c>
      <c r="E724" s="53" t="n"/>
      <c r="F724" s="53" t="n"/>
      <c r="G724" s="53" t="n"/>
      <c r="H724" s="81" t="inlineStr">
        <is>
          <t>产品漏洞表</t>
        </is>
      </c>
      <c r="I724" s="76" t="n"/>
      <c r="J724" s="108" t="n"/>
      <c r="K724" s="108" t="inlineStr">
        <is>
          <t>重复数据库表</t>
        </is>
      </c>
      <c r="L724" s="83">
        <f>IF(OR(X724="估算法",X724="算法类",X724="无法识别"),"",IF(V724="",IF(OR(I724="EI",I724="EO",I724="EQ"),0,""),LEN(V724)-LEN(SUBSTITUTE(V724,"、",""))+1))</f>
        <v/>
      </c>
      <c r="M724" s="83">
        <f>IF(OR(X724="估算法",X724="算法类",X724="无法识别"),"",IF(W724="",IF(OR(I724="ILF",I724="EIF"),0,""),LEN(W724)-LEN(SUBSTITUTE(W724,"、",""))+1))</f>
        <v/>
      </c>
      <c r="N724" s="83">
        <f>IF(OR(X724="估算法",X724="算法类",X724="无法识别"),"",IF(X724="",IF(OR(I724="ILF",I724="EIF",I724="EI",I724="EO",I724="EQ"),0,""),LEN(X724)-LEN(SUBSTITUTE(SUBSTITUTE(SUBSTITUTE(SUBSTITUTE(SUBSTITUTE(X724,"|}","--"),"{|","--"),CHAR(10),""),"、",""),"|",""))+IF(AND(OR(I724="EI",I724="EO",I724="EQ"),$AD$1="NESMA"),2,1)))</f>
        <v/>
      </c>
      <c r="O724" s="84">
        <f>IF(I724="EI",IF(OR(X724="估算法",X724="算法类"),"中",IF(X724="无法识别","低",IF(L724&lt;2,IF(N724&lt;16,"低","中"),IF(L724&lt;3,IF(N724&lt;5,"低",IF(N724&lt;16,"中","高")),IF(N724&lt;5,"中","高"))))),IF(OR(I724="EO",I724="EQ"),IF(OR(X724="估算法",X724="算法类"),"中",IF(X724="无法识别","低",IF(L724&lt;2,IF(N724&lt;20,"低","中"),IF(L724&lt;4,IF(N724&lt;6,"低",IF(N724&lt;20,"中","高")),IF(N724&lt;6,"中","高"))))),IF(OR(I724="ILF",I724="EIF"),IF(OR(X724="估算法",X724="算法类",X724="无法识别"),"低",IF(M724&lt;2,IF(N724&lt;51,"低","中"),IF(M724&lt;6,IF(N724&lt;20,"低",IF(N724&lt;51,"中","高")),IF(N724&lt;20,"中","高")))),"不计算")))</f>
        <v/>
      </c>
      <c r="P724" s="142">
        <f>IFERROR(IF(I724="EI",IF(O724="低",3,IF(O724="中",4,6)),IF(I724="EO",IF(O724="低",4,IF(O724="中",5,7)),IF(I724="EQ",IF(O724="低",3,IF(O724="中",4,6)),IF(I724="ILF",IF(O724="低",7,IF(O724="中",10,15)),IF(I724="EIF",IF(O724="低",5,IF(O724="中",7,10)),"不计算")))))*Q724,"不计算")</f>
        <v/>
      </c>
      <c r="Q724" s="142" t="n">
        <v>0</v>
      </c>
      <c r="R724" s="143">
        <f>调整因子!$F$13</f>
        <v/>
      </c>
      <c r="S724" s="70" t="n">
        <v>1</v>
      </c>
      <c r="T724" s="144">
        <f>IFERROR(P724*R724,0)</f>
        <v/>
      </c>
      <c r="U724" s="144">
        <f>T724*S724</f>
        <v/>
      </c>
      <c r="V724" s="89" t="n"/>
      <c r="W724" s="88" t="inlineStr">
        <is>
          <t>产品漏洞表</t>
        </is>
      </c>
      <c r="X724" s="88" t="inlineStr">
        <is>
          <t>产品漏洞表{ID、cveID、cncveID、cnvdID、cnnvdID、漏洞级别、厂商ID、漏洞名称、漏洞描述、解决方案、分数、发现时间、参考链接、备注}</t>
        </is>
      </c>
      <c r="Y724" s="88">
        <f>IF(COUNTIFS(V:V,"*"&amp;H724&amp;"*")&gt;0,"存在","不存在")</f>
        <v/>
      </c>
      <c r="Z724" s="88">
        <f>IF(COUNTIFS(AA:AA,"*"&amp;H724&amp;"*")&gt;0,"存在","不存在")</f>
        <v/>
      </c>
      <c r="AA724" s="70" t="n"/>
    </row>
    <row r="725" hidden="1" ht="21.6" customHeight="1">
      <c r="A725" s="69">
        <f>ROW()-1</f>
        <v/>
      </c>
      <c r="B725" s="53" t="n"/>
      <c r="C725" s="78" t="n">
        <v>2025</v>
      </c>
      <c r="D725" s="78" t="inlineStr">
        <is>
          <t>仲光华</t>
        </is>
      </c>
      <c r="E725" s="53" t="n"/>
      <c r="F725" s="53" t="n"/>
      <c r="G725" s="53" t="n"/>
      <c r="H725" s="81" t="inlineStr">
        <is>
          <t>系统漏洞表</t>
        </is>
      </c>
      <c r="I725" s="76" t="inlineStr">
        <is>
          <t>ILF</t>
        </is>
      </c>
      <c r="J725" s="108" t="n"/>
      <c r="K725" s="108" t="n"/>
      <c r="L725" s="83">
        <f>IF(OR(X725="估算法",X725="算法类",X725="无法识别"),"",IF(V725="",IF(OR(I725="EI",I725="EO",I725="EQ"),0,""),LEN(V725)-LEN(SUBSTITUTE(V725,"、",""))+1))</f>
        <v/>
      </c>
      <c r="M725" s="83">
        <f>IF(OR(X725="估算法",X725="算法类",X725="无法识别"),"",IF(W725="",IF(OR(I725="ILF",I725="EIF"),0,""),LEN(W725)-LEN(SUBSTITUTE(W725,"、",""))+1))</f>
        <v/>
      </c>
      <c r="N725" s="83">
        <f>IF(OR(X725="估算法",X725="算法类",X725="无法识别"),"",IF(X725="",IF(OR(I725="ILF",I725="EIF",I725="EI",I725="EO",I725="EQ"),0,""),LEN(X725)-LEN(SUBSTITUTE(SUBSTITUTE(SUBSTITUTE(SUBSTITUTE(SUBSTITUTE(X725,"|}","--"),"{|","--"),CHAR(10),""),"、",""),"|",""))+IF(AND(OR(I725="EI",I725="EO",I725="EQ"),$AD$1="NESMA"),2,1)))</f>
        <v/>
      </c>
      <c r="O725" s="84">
        <f>IF(I725="EI",IF(OR(X725="估算法",X725="算法类"),"中",IF(X725="无法识别","低",IF(L725&lt;2,IF(N725&lt;16,"低","中"),IF(L725&lt;3,IF(N725&lt;5,"低",IF(N725&lt;16,"中","高")),IF(N725&lt;5,"中","高"))))),IF(OR(I725="EO",I725="EQ"),IF(OR(X725="估算法",X725="算法类"),"中",IF(X725="无法识别","低",IF(L725&lt;2,IF(N725&lt;20,"低","中"),IF(L725&lt;4,IF(N725&lt;6,"低",IF(N725&lt;20,"中","高")),IF(N725&lt;6,"中","高"))))),IF(OR(I725="ILF",I725="EIF"),IF(OR(X725="估算法",X725="算法类",X725="无法识别"),"低",IF(M725&lt;2,IF(N725&lt;51,"低","中"),IF(M725&lt;6,IF(N725&lt;20,"低",IF(N725&lt;51,"中","高")),IF(N725&lt;20,"中","高")))),"不计算")))</f>
        <v/>
      </c>
      <c r="P725" s="142">
        <f>IFERROR(IF(I725="EI",IF(O725="低",3,IF(O725="中",4,6)),IF(I725="EO",IF(O725="低",4,IF(O725="中",5,7)),IF(I725="EQ",IF(O725="低",3,IF(O725="中",4,6)),IF(I725="ILF",IF(O725="低",7,IF(O725="中",10,15)),IF(I725="EIF",IF(O725="低",5,IF(O725="中",7,10)),"不计算")))))*Q725,"不计算")</f>
        <v/>
      </c>
      <c r="Q725" s="142" t="n">
        <v>0</v>
      </c>
      <c r="R725" s="143">
        <f>调整因子!$F$13</f>
        <v/>
      </c>
      <c r="S725" s="76" t="n">
        <v>1</v>
      </c>
      <c r="T725" s="144">
        <f>IFERROR(P725*R725,0)</f>
        <v/>
      </c>
      <c r="U725" s="144">
        <f>T725*S725</f>
        <v/>
      </c>
      <c r="V725" s="89" t="n"/>
      <c r="W725" s="88" t="inlineStr">
        <is>
          <t>系统漏洞表</t>
        </is>
      </c>
      <c r="X725" s="88" t="inlineStr">
        <is>
          <t>系统漏洞表{ID、计划ID、实例ID、节点ID、扫描器ID、资产IP、资产端口、协议、服务名称、服务版本、漏洞描述、cveID、漏洞ID、漏洞名称、漏洞级别、备注}</t>
        </is>
      </c>
      <c r="Y725" s="88">
        <f>IF(COUNTIFS(V:V,"*"&amp;H725&amp;"*")&gt;0,"存在","不存在")</f>
        <v/>
      </c>
      <c r="Z725" s="88">
        <f>IF(COUNTIFS(AA:AA,"*"&amp;H725&amp;"*")&gt;0,"存在","不存在")</f>
        <v/>
      </c>
      <c r="AA725" s="101" t="n"/>
    </row>
    <row r="726" hidden="1" ht="21.6" customHeight="1">
      <c r="A726" s="69">
        <f>ROW()-1</f>
        <v/>
      </c>
      <c r="B726" s="53" t="n"/>
      <c r="C726" s="78" t="n">
        <v>2025</v>
      </c>
      <c r="D726" s="78" t="inlineStr">
        <is>
          <t>仲光华</t>
        </is>
      </c>
      <c r="E726" s="54" t="n"/>
      <c r="F726" s="54" t="n"/>
      <c r="G726" s="54" t="n"/>
      <c r="H726" s="81" t="inlineStr">
        <is>
          <t>弱口令扫描结果表</t>
        </is>
      </c>
      <c r="I726" s="76" t="inlineStr">
        <is>
          <t>ILF</t>
        </is>
      </c>
      <c r="J726" s="108" t="n"/>
      <c r="K726" s="108" t="inlineStr">
        <is>
          <t>数据库表未被本系统所维护</t>
        </is>
      </c>
      <c r="L726" s="83">
        <f>IF(OR(X726="估算法",X726="算法类",X726="无法识别"),"",IF(V726="",IF(OR(I726="EI",I726="EO",I726="EQ"),0,""),LEN(V726)-LEN(SUBSTITUTE(V726,"、",""))+1))</f>
        <v/>
      </c>
      <c r="M726" s="83">
        <f>IF(OR(X726="估算法",X726="算法类",X726="无法识别"),"",IF(W726="",IF(OR(I726="ILF",I726="EIF"),0,""),LEN(W726)-LEN(SUBSTITUTE(W726,"、",""))+1))</f>
        <v/>
      </c>
      <c r="N726" s="83">
        <f>IF(OR(X726="估算法",X726="算法类",X726="无法识别"),"",IF(X726="",IF(OR(I726="ILF",I726="EIF",I726="EI",I726="EO",I726="EQ"),0,""),LEN(X726)-LEN(SUBSTITUTE(SUBSTITUTE(SUBSTITUTE(SUBSTITUTE(SUBSTITUTE(X726,"|}","--"),"{|","--"),CHAR(10),""),"、",""),"|",""))+IF(AND(OR(I726="EI",I726="EO",I726="EQ"),$AD$1="NESMA"),2,1)))</f>
        <v/>
      </c>
      <c r="O726" s="84">
        <f>IF(I726="EI",IF(OR(X726="估算法",X726="算法类"),"中",IF(X726="无法识别","低",IF(L726&lt;2,IF(N726&lt;16,"低","中"),IF(L726&lt;3,IF(N726&lt;5,"低",IF(N726&lt;16,"中","高")),IF(N726&lt;5,"中","高"))))),IF(OR(I726="EO",I726="EQ"),IF(OR(X726="估算法",X726="算法类"),"中",IF(X726="无法识别","低",IF(L726&lt;2,IF(N726&lt;20,"低","中"),IF(L726&lt;4,IF(N726&lt;6,"低",IF(N726&lt;20,"中","高")),IF(N726&lt;6,"中","高"))))),IF(OR(I726="ILF",I726="EIF"),IF(OR(X726="估算法",X726="算法类",X726="无法识别"),"低",IF(M726&lt;2,IF(N726&lt;51,"低","中"),IF(M726&lt;6,IF(N726&lt;20,"低",IF(N726&lt;51,"中","高")),IF(N726&lt;20,"中","高")))),"不计算")))</f>
        <v/>
      </c>
      <c r="P726" s="142">
        <f>IFERROR(IF(I726="EI",IF(O726="低",3,IF(O726="中",4,6)),IF(I726="EO",IF(O726="低",4,IF(O726="中",5,7)),IF(I726="EQ",IF(O726="低",3,IF(O726="中",4,6)),IF(I726="ILF",IF(O726="低",7,IF(O726="中",10,15)),IF(I726="EIF",IF(O726="低",5,IF(O726="中",7,10)),"不计算")))))*Q726,"不计算")</f>
        <v/>
      </c>
      <c r="Q726" s="142" t="n">
        <v>0</v>
      </c>
      <c r="R726" s="143">
        <f>调整因子!$F$13</f>
        <v/>
      </c>
      <c r="S726" s="76" t="n">
        <v>1</v>
      </c>
      <c r="T726" s="144">
        <f>IFERROR(P726*R726,0)</f>
        <v/>
      </c>
      <c r="U726" s="144">
        <f>T726*S726</f>
        <v/>
      </c>
      <c r="V726" s="89" t="n"/>
      <c r="W726" s="88" t="inlineStr">
        <is>
          <t>弱口令扫描结果表</t>
        </is>
      </c>
      <c r="X726" s="88" t="inlineStr">
        <is>
          <t>弱口令扫描结果表{ID、计划ID、实例ID、扫描IP数量、扫描成功数量、扫描失败数量、漏洞总数、弱口令名称、弱口令密码、执行时间、备注}</t>
        </is>
      </c>
      <c r="Y726" s="88">
        <f>IF(COUNTIFS(V:V,"*"&amp;H726&amp;"*")&gt;0,"存在","不存在")</f>
        <v/>
      </c>
      <c r="Z726" s="88">
        <f>IF(COUNTIFS(AA:AA,"*"&amp;H726&amp;"*")&gt;0,"存在","不存在")</f>
        <v/>
      </c>
    </row>
    <row r="727" ht="32.4" customHeight="1">
      <c r="A727" s="69">
        <f>ROW()-1</f>
        <v/>
      </c>
      <c r="B727" s="53" t="n"/>
      <c r="C727" s="78" t="n">
        <v>2025</v>
      </c>
      <c r="D727" s="78" t="inlineStr">
        <is>
          <t>张明峰</t>
        </is>
      </c>
      <c r="E727" s="76" t="inlineStr">
        <is>
          <t>漏管台账管理</t>
        </is>
      </c>
      <c r="F727" s="76" t="inlineStr">
        <is>
          <t>台账数据信息管理</t>
        </is>
      </c>
      <c r="G727" s="81" t="inlineStr">
        <is>
          <t>台账数据存储</t>
        </is>
      </c>
      <c r="H727" s="81" t="inlineStr">
        <is>
          <t>漏管台账记录主表</t>
        </is>
      </c>
      <c r="I727" s="76" t="inlineStr">
        <is>
          <t>ILF</t>
        </is>
      </c>
      <c r="J727" s="108" t="n"/>
      <c r="K727" s="108" t="n"/>
      <c r="L727" s="83">
        <f>IF(OR(X727="估算法",X727="算法类",X727="无法识别"),"",IF(V727="",IF(OR(I727="EI",I727="EO",I727="EQ"),0,""),LEN(V727)-LEN(SUBSTITUTE(V727,"、",""))+1))</f>
        <v/>
      </c>
      <c r="M727" s="83">
        <f>IF(OR(X727="估算法",X727="算法类",X727="无法识别"),"",IF(W727="",IF(OR(I727="ILF",I727="EIF"),0,""),LEN(W727)-LEN(SUBSTITUTE(W727,"、",""))+1))</f>
        <v/>
      </c>
      <c r="N727" s="83">
        <f>IF(OR(X727="估算法",X727="算法类",X727="无法识别"),"",IF(X727="",IF(OR(I727="ILF",I727="EIF",I727="EI",I727="EO",I727="EQ"),0,""),LEN(X727)-LEN(SUBSTITUTE(SUBSTITUTE(SUBSTITUTE(SUBSTITUTE(SUBSTITUTE(X727,"|}","--"),"{|","--"),CHAR(10),""),"、",""),"|",""))+IF(AND(OR(I727="EI",I727="EO",I727="EQ"),$AD$1="NESMA"),2,1)))</f>
        <v/>
      </c>
      <c r="O727" s="84">
        <f>IF(I727="EI",IF(OR(X727="估算法",X727="算法类"),"中",IF(X727="无法识别","低",IF(L727&lt;2,IF(N727&lt;16,"低","中"),IF(L727&lt;3,IF(N727&lt;5,"低",IF(N727&lt;16,"中","高")),IF(N727&lt;5,"中","高"))))),IF(OR(I727="EO",I727="EQ"),IF(OR(X727="估算法",X727="算法类"),"中",IF(X727="无法识别","低",IF(L727&lt;2,IF(N727&lt;20,"低","中"),IF(L727&lt;4,IF(N727&lt;6,"低",IF(N727&lt;20,"中","高")),IF(N727&lt;6,"中","高"))))),IF(OR(I727="ILF",I727="EIF"),IF(OR(X727="估算法",X727="算法类",X727="无法识别"),"低",IF(M727&lt;2,IF(N727&lt;51,"低","中"),IF(M727&lt;6,IF(N727&lt;20,"低",IF(N727&lt;51,"中","高")),IF(N727&lt;20,"中","高")))),"不计算")))</f>
        <v/>
      </c>
      <c r="P727" s="142">
        <f>IFERROR(IF(I727="EI",IF(O727="低",3,IF(O727="中",4,6)),IF(I727="EO",IF(O727="低",4,IF(O727="中",5,7)),IF(I727="EQ",IF(O727="低",3,IF(O727="中",4,6)),IF(I727="ILF",IF(O727="低",7,IF(O727="中",10,15)),IF(I727="EIF",IF(O727="低",5,IF(O727="中",7,10)),"不计算")))))*Q727,"不计算")</f>
        <v/>
      </c>
      <c r="Q727" s="142" t="n">
        <v>1</v>
      </c>
      <c r="R727" s="143">
        <f>调整因子!$F$13</f>
        <v/>
      </c>
      <c r="S727" s="70" t="n">
        <v>1</v>
      </c>
      <c r="T727" s="144">
        <f>IFERROR(P727*R727,0)</f>
        <v/>
      </c>
      <c r="U727" s="144">
        <f>T727*S727</f>
        <v/>
      </c>
      <c r="V727" s="88" t="n"/>
      <c r="W727" s="100" t="inlineStr">
        <is>
          <t>漏管台账记录主表</t>
        </is>
      </c>
      <c r="X727" s="88" t="inlineStr">
        <is>
          <t>漏管台账记录主表{台账记录编号、台账类型编码、台账级别、记录时间、设备哈希、登录账号、登录地址、部侧指令编号、上级平台编码、办件编号、配套文件编号、链式哈希值、链式哈希校验值、扩展内容}</t>
        </is>
      </c>
      <c r="Y727" s="88" t="inlineStr">
        <is>
          <t>表53</t>
        </is>
      </c>
      <c r="Z727" s="88" t="n"/>
    </row>
    <row r="728" ht="54" customHeight="1">
      <c r="A728" s="69">
        <f>ROW()-1</f>
        <v/>
      </c>
      <c r="B728" s="53" t="n"/>
      <c r="C728" s="78" t="n">
        <v>2025</v>
      </c>
      <c r="D728" s="78" t="inlineStr">
        <is>
          <t>张明峰</t>
        </is>
      </c>
      <c r="E728" s="53" t="n"/>
      <c r="F728" s="53" t="n"/>
      <c r="G728" s="53" t="n"/>
      <c r="H728" s="81" t="inlineStr">
        <is>
          <t>台账记录扩展内容表</t>
        </is>
      </c>
      <c r="I728" s="76" t="inlineStr">
        <is>
          <t>ILF</t>
        </is>
      </c>
      <c r="J728" s="108" t="n"/>
      <c r="K728" s="108" t="n"/>
      <c r="L728" s="83">
        <f>IF(OR(X728="估算法",X728="算法类",X728="无法识别"),"",IF(V728="",IF(OR(I728="EI",I728="EO",I728="EQ"),0,""),LEN(V728)-LEN(SUBSTITUTE(V728,"、",""))+1))</f>
        <v/>
      </c>
      <c r="M728" s="83">
        <f>IF(OR(X728="估算法",X728="算法类",X728="无法识别"),"",IF(W728="",IF(OR(I728="ILF",I728="EIF"),0,""),LEN(W728)-LEN(SUBSTITUTE(W728,"、",""))+1))</f>
        <v/>
      </c>
      <c r="N728" s="83">
        <f>IF(OR(X728="估算法",X728="算法类",X728="无法识别"),"",IF(X728="",IF(OR(I728="ILF",I728="EIF",I728="EI",I728="EO",I728="EQ"),0,""),LEN(X728)-LEN(SUBSTITUTE(SUBSTITUTE(SUBSTITUTE(SUBSTITUTE(SUBSTITUTE(X728,"|}","--"),"{|","--"),CHAR(10),""),"、",""),"|",""))+IF(AND(OR(I728="EI",I728="EO",I728="EQ"),$AD$1="NESMA"),2,1)))</f>
        <v/>
      </c>
      <c r="O728" s="84">
        <f>IF(I728="EI",IF(OR(X728="估算法",X728="算法类"),"中",IF(X728="无法识别","低",IF(L728&lt;2,IF(N728&lt;16,"低","中"),IF(L728&lt;3,IF(N728&lt;5,"低",IF(N728&lt;16,"中","高")),IF(N728&lt;5,"中","高"))))),IF(OR(I728="EO",I728="EQ"),IF(OR(X728="估算法",X728="算法类"),"中",IF(X728="无法识别","低",IF(L728&lt;2,IF(N728&lt;20,"低","中"),IF(L728&lt;4,IF(N728&lt;6,"低",IF(N728&lt;20,"中","高")),IF(N728&lt;6,"中","高"))))),IF(OR(I728="ILF",I728="EIF"),IF(OR(X728="估算法",X728="算法类",X728="无法识别"),"低",IF(M728&lt;2,IF(N728&lt;51,"低","中"),IF(M728&lt;6,IF(N728&lt;20,"低",IF(N728&lt;51,"中","高")),IF(N728&lt;20,"中","高")))),"不计算")))</f>
        <v/>
      </c>
      <c r="P728" s="142">
        <f>IFERROR(IF(I728="EI",IF(O728="低",3,IF(O728="中",4,6)),IF(I728="EO",IF(O728="低",4,IF(O728="中",5,7)),IF(I728="EQ",IF(O728="低",3,IF(O728="中",4,6)),IF(I728="ILF",IF(O728="低",7,IF(O728="中",10,15)),IF(I728="EIF",IF(O728="低",5,IF(O728="中",7,10)),"不计算")))))*Q728,"不计算")</f>
        <v/>
      </c>
      <c r="Q728" s="142" t="n">
        <v>1</v>
      </c>
      <c r="R728" s="143">
        <f>调整因子!$F$13</f>
        <v/>
      </c>
      <c r="S728" s="70" t="n">
        <v>1</v>
      </c>
      <c r="T728" s="144">
        <f>IFERROR(P728*R728,0)</f>
        <v/>
      </c>
      <c r="U728" s="144">
        <f>T728*S728</f>
        <v/>
      </c>
      <c r="V728" s="88" t="n"/>
      <c r="W728" s="100" t="inlineStr">
        <is>
          <t>台账记录扩展内容表</t>
        </is>
      </c>
      <c r="X728" s="88" t="inlineStr">
        <is>
          <t>台账记录扩展内容表{台账记录编号、台账类型编码、扫描引擎哈希、任务名称、任务编号、扫描目标、扫描端口、目标文件键名、端口文件键名、任务进度、漏洞数量、漏洞信息编号、漏洞信息状态、利用请求报文、交互序号、操作结果、源工单角色、源工单人员、目标工单角色、目标工单人员、工单编号、工单名称、修复方式、修复描述、修复时间、修复明细、资产数量、碰撞漏洞资产数、碰撞漏洞信息数}</t>
        </is>
      </c>
      <c r="Y728" s="88" t="inlineStr">
        <is>
          <t>表54-57</t>
        </is>
      </c>
      <c r="Z728" s="88" t="n"/>
    </row>
    <row r="729" ht="21.6" customHeight="1">
      <c r="A729" s="69">
        <f>ROW()-1</f>
        <v/>
      </c>
      <c r="B729" s="53" t="n"/>
      <c r="C729" s="78" t="n">
        <v>2025</v>
      </c>
      <c r="D729" s="78" t="inlineStr">
        <is>
          <t>张明峰</t>
        </is>
      </c>
      <c r="E729" s="53" t="n"/>
      <c r="F729" s="53" t="n"/>
      <c r="G729" s="53" t="n"/>
      <c r="H729" s="81" t="inlineStr">
        <is>
          <t>台账链式哈希索引表</t>
        </is>
      </c>
      <c r="I729" s="76" t="inlineStr">
        <is>
          <t>ILF</t>
        </is>
      </c>
      <c r="J729" s="108" t="n"/>
      <c r="K729" s="108" t="n"/>
      <c r="L729" s="83">
        <f>IF(OR(X729="估算法",X729="算法类",X729="无法识别"),"",IF(V729="",IF(OR(I729="EI",I729="EO",I729="EQ"),0,""),LEN(V729)-LEN(SUBSTITUTE(V729,"、",""))+1))</f>
        <v/>
      </c>
      <c r="M729" s="83">
        <f>IF(OR(X729="估算法",X729="算法类",X729="无法识别"),"",IF(W729="",IF(OR(I729="ILF",I729="EIF"),0,""),LEN(W729)-LEN(SUBSTITUTE(W729,"、",""))+1))</f>
        <v/>
      </c>
      <c r="N729" s="83">
        <f>IF(OR(X729="估算法",X729="算法类",X729="无法识别"),"",IF(X729="",IF(OR(I729="ILF",I729="EIF",I729="EI",I729="EO",I729="EQ"),0,""),LEN(X729)-LEN(SUBSTITUTE(SUBSTITUTE(SUBSTITUTE(SUBSTITUTE(SUBSTITUTE(X729,"|}","--"),"{|","--"),CHAR(10),""),"、",""),"|",""))+IF(AND(OR(I729="EI",I729="EO",I729="EQ"),$AD$1="NESMA"),2,1)))</f>
        <v/>
      </c>
      <c r="O729" s="84">
        <f>IF(I729="EI",IF(OR(X729="估算法",X729="算法类"),"中",IF(X729="无法识别","低",IF(L729&lt;2,IF(N729&lt;16,"低","中"),IF(L729&lt;3,IF(N729&lt;5,"低",IF(N729&lt;16,"中","高")),IF(N729&lt;5,"中","高"))))),IF(OR(I729="EO",I729="EQ"),IF(OR(X729="估算法",X729="算法类"),"中",IF(X729="无法识别","低",IF(L729&lt;2,IF(N729&lt;20,"低","中"),IF(L729&lt;4,IF(N729&lt;6,"低",IF(N729&lt;20,"中","高")),IF(N729&lt;6,"中","高"))))),IF(OR(I729="ILF",I729="EIF"),IF(OR(X729="估算法",X729="算法类",X729="无法识别"),"低",IF(M729&lt;2,IF(N729&lt;51,"低","中"),IF(M729&lt;6,IF(N729&lt;20,"低",IF(N729&lt;51,"中","高")),IF(N729&lt;20,"中","高")))),"不计算")))</f>
        <v/>
      </c>
      <c r="P729" s="142">
        <f>IFERROR(IF(I729="EI",IF(O729="低",3,IF(O729="中",4,6)),IF(I729="EO",IF(O729="低",4,IF(O729="中",5,7)),IF(I729="EQ",IF(O729="低",3,IF(O729="中",4,6)),IF(I729="ILF",IF(O729="低",7,IF(O729="中",10,15)),IF(I729="EIF",IF(O729="低",5,IF(O729="中",7,10)),"不计算")))))*Q729,"不计算")</f>
        <v/>
      </c>
      <c r="Q729" s="142" t="n">
        <v>1</v>
      </c>
      <c r="R729" s="143">
        <f>调整因子!$F$13</f>
        <v/>
      </c>
      <c r="S729" s="76" t="n">
        <v>1</v>
      </c>
      <c r="T729" s="144">
        <f>IFERROR(P729*R729,0)</f>
        <v/>
      </c>
      <c r="U729" s="144">
        <f>T729*S729</f>
        <v/>
      </c>
      <c r="V729" s="88" t="n"/>
      <c r="W729" s="100" t="inlineStr">
        <is>
          <t>台账链式哈希索引表</t>
        </is>
      </c>
      <c r="X729" s="88" t="inlineStr">
        <is>
          <t>台账链式哈希索引表{台账记录编号、链式哈希值、链式哈希校验值、前序记录编号、哈希计算时间}</t>
        </is>
      </c>
      <c r="Y729" s="88" t="inlineStr">
        <is>
          <t>表53</t>
        </is>
      </c>
      <c r="Z729" s="88" t="n"/>
    </row>
    <row r="730" ht="21.6" customHeight="1">
      <c r="A730" s="69">
        <f>ROW()-1</f>
        <v/>
      </c>
      <c r="B730" s="53" t="n"/>
      <c r="C730" s="78" t="n">
        <v>2025</v>
      </c>
      <c r="D730" s="78" t="inlineStr">
        <is>
          <t>张明峰</t>
        </is>
      </c>
      <c r="E730" s="53" t="n"/>
      <c r="F730" s="53" t="n"/>
      <c r="G730" s="53" t="n"/>
      <c r="H730" s="81" t="inlineStr">
        <is>
          <t>台账配套文件元数据表</t>
        </is>
      </c>
      <c r="I730" s="76" t="inlineStr">
        <is>
          <t>ILF</t>
        </is>
      </c>
      <c r="J730" s="108" t="n"/>
      <c r="K730" s="108" t="n"/>
      <c r="L730" s="83">
        <f>IF(OR(X730="估算法",X730="算法类",X730="无法识别"),"",IF(V730="",IF(OR(I730="EI",I730="EO",I730="EQ"),0,""),LEN(V730)-LEN(SUBSTITUTE(V730,"、",""))+1))</f>
        <v/>
      </c>
      <c r="M730" s="83">
        <f>IF(OR(X730="估算法",X730="算法类",X730="无法识别"),"",IF(W730="",IF(OR(I730="ILF",I730="EIF"),0,""),LEN(W730)-LEN(SUBSTITUTE(W730,"、",""))+1))</f>
        <v/>
      </c>
      <c r="N730" s="83">
        <f>IF(OR(X730="估算法",X730="算法类",X730="无法识别"),"",IF(X730="",IF(OR(I730="ILF",I730="EIF",I730="EI",I730="EO",I730="EQ"),0,""),LEN(X730)-LEN(SUBSTITUTE(SUBSTITUTE(SUBSTITUTE(SUBSTITUTE(SUBSTITUTE(X730,"|}","--"),"{|","--"),CHAR(10),""),"、",""),"|",""))+IF(AND(OR(I730="EI",I730="EO",I730="EQ"),$AD$1="NESMA"),2,1)))</f>
        <v/>
      </c>
      <c r="O730" s="84">
        <f>IF(I730="EI",IF(OR(X730="估算法",X730="算法类"),"中",IF(X730="无法识别","低",IF(L730&lt;2,IF(N730&lt;16,"低","中"),IF(L730&lt;3,IF(N730&lt;5,"低",IF(N730&lt;16,"中","高")),IF(N730&lt;5,"中","高"))))),IF(OR(I730="EO",I730="EQ"),IF(OR(X730="估算法",X730="算法类"),"中",IF(X730="无法识别","低",IF(L730&lt;2,IF(N730&lt;20,"低","中"),IF(L730&lt;4,IF(N730&lt;6,"低",IF(N730&lt;20,"中","高")),IF(N730&lt;6,"中","高"))))),IF(OR(I730="ILF",I730="EIF"),IF(OR(X730="估算法",X730="算法类",X730="无法识别"),"低",IF(M730&lt;2,IF(N730&lt;51,"低","中"),IF(M730&lt;6,IF(N730&lt;20,"低",IF(N730&lt;51,"中","高")),IF(N730&lt;20,"中","高")))),"不计算")))</f>
        <v/>
      </c>
      <c r="P730" s="142">
        <f>IFERROR(IF(I730="EI",IF(O730="低",3,IF(O730="中",4,6)),IF(I730="EO",IF(O730="低",4,IF(O730="中",5,7)),IF(I730="EQ",IF(O730="低",3,IF(O730="中",4,6)),IF(I730="ILF",IF(O730="低",7,IF(O730="中",10,15)),IF(I730="EIF",IF(O730="低",5,IF(O730="中",7,10)),"不计算")))))*Q730,"不计算")</f>
        <v/>
      </c>
      <c r="Q730" s="142" t="n">
        <v>1</v>
      </c>
      <c r="R730" s="143">
        <f>调整因子!$F$13</f>
        <v/>
      </c>
      <c r="S730" s="70" t="n">
        <v>1</v>
      </c>
      <c r="T730" s="144">
        <f>IFERROR(P730*R730,0)</f>
        <v/>
      </c>
      <c r="U730" s="144">
        <f>T730*S730</f>
        <v/>
      </c>
      <c r="V730" s="88" t="n"/>
      <c r="W730" s="100" t="inlineStr">
        <is>
          <t>台账配套文件元数据表</t>
        </is>
      </c>
      <c r="X730" s="88" t="inlineStr">
        <is>
          <t>台账配套文件元数据表{配套文件编号、部侧指令编号、文件键名、文件路径、文件大小、创建时间}</t>
        </is>
      </c>
      <c r="Y730" s="88" t="inlineStr">
        <is>
          <t>业务场景11</t>
        </is>
      </c>
      <c r="Z730" s="88" t="n"/>
    </row>
    <row r="731" ht="15.6" customHeight="1">
      <c r="A731" s="69">
        <f>ROW()-1</f>
        <v/>
      </c>
      <c r="B731" s="53" t="n"/>
      <c r="C731" s="78" t="n">
        <v>2025</v>
      </c>
      <c r="D731" s="78" t="inlineStr">
        <is>
          <t>张明峰</t>
        </is>
      </c>
      <c r="E731" s="53" t="n"/>
      <c r="F731" s="53" t="n"/>
      <c r="G731" s="54" t="n"/>
      <c r="H731" s="81" t="inlineStr">
        <is>
          <t>台账类型码表</t>
        </is>
      </c>
      <c r="I731" s="76" t="inlineStr">
        <is>
          <t>ILF</t>
        </is>
      </c>
      <c r="J731" s="108" t="n"/>
      <c r="K731" s="108" t="n"/>
      <c r="L731" s="83">
        <f>IF(OR(X731="估算法",X731="算法类",X731="无法识别"),"",IF(V731="",IF(OR(I731="EI",I731="EO",I731="EQ"),0,""),LEN(V731)-LEN(SUBSTITUTE(V731,"、",""))+1))</f>
        <v/>
      </c>
      <c r="M731" s="83">
        <f>IF(OR(X731="估算法",X731="算法类",X731="无法识别"),"",IF(W731="",IF(OR(I731="ILF",I731="EIF"),0,""),LEN(W731)-LEN(SUBSTITUTE(W731,"、",""))+1))</f>
        <v/>
      </c>
      <c r="N731" s="83">
        <f>IF(OR(X731="估算法",X731="算法类",X731="无法识别"),"",IF(X731="",IF(OR(I731="ILF",I731="EIF",I731="EI",I731="EO",I731="EQ"),0,""),LEN(X731)-LEN(SUBSTITUTE(SUBSTITUTE(SUBSTITUTE(SUBSTITUTE(SUBSTITUTE(X731,"|}","--"),"{|","--"),CHAR(10),""),"、",""),"|",""))+IF(AND(OR(I731="EI",I731="EO",I731="EQ"),$AD$1="NESMA"),2,1)))</f>
        <v/>
      </c>
      <c r="O731" s="84">
        <f>IF(I731="EI",IF(OR(X731="估算法",X731="算法类"),"中",IF(X731="无法识别","低",IF(L731&lt;2,IF(N731&lt;16,"低","中"),IF(L731&lt;3,IF(N731&lt;5,"低",IF(N731&lt;16,"中","高")),IF(N731&lt;5,"中","高"))))),IF(OR(I731="EO",I731="EQ"),IF(OR(X731="估算法",X731="算法类"),"中",IF(X731="无法识别","低",IF(L731&lt;2,IF(N731&lt;20,"低","中"),IF(L731&lt;4,IF(N731&lt;6,"低",IF(N731&lt;20,"中","高")),IF(N731&lt;6,"中","高"))))),IF(OR(I731="ILF",I731="EIF"),IF(OR(X731="估算法",X731="算法类",X731="无法识别"),"低",IF(M731&lt;2,IF(N731&lt;51,"低","中"),IF(M731&lt;6,IF(N731&lt;20,"低",IF(N731&lt;51,"中","高")),IF(N731&lt;20,"中","高")))),"不计算")))</f>
        <v/>
      </c>
      <c r="P731" s="142">
        <f>IFERROR(IF(I731="EI",IF(O731="低",3,IF(O731="中",4,6)),IF(I731="EO",IF(O731="低",4,IF(O731="中",5,7)),IF(I731="EQ",IF(O731="低",3,IF(O731="中",4,6)),IF(I731="ILF",IF(O731="低",7,IF(O731="中",10,15)),IF(I731="EIF",IF(O731="低",5,IF(O731="中",7,10)),"不计算")))))*Q731,"不计算")</f>
        <v/>
      </c>
      <c r="Q731" s="142" t="n">
        <v>1</v>
      </c>
      <c r="R731" s="143">
        <f>调整因子!$F$13</f>
        <v/>
      </c>
      <c r="S731" s="70" t="n">
        <v>1</v>
      </c>
      <c r="T731" s="144">
        <f>IFERROR(P731*R731,0)</f>
        <v/>
      </c>
      <c r="U731" s="144">
        <f>T731*S731</f>
        <v/>
      </c>
      <c r="V731" s="88" t="n"/>
      <c r="W731" s="100" t="inlineStr">
        <is>
          <t>台账类型码表</t>
        </is>
      </c>
      <c r="X731" s="88" t="inlineStr">
        <is>
          <t>台账类型码表{台账类型编码、台账类型名称、级别规则、扩展内容结构、启用状态}</t>
        </is>
      </c>
      <c r="Y731" s="88" t="inlineStr">
        <is>
          <t>附录A.10</t>
        </is>
      </c>
      <c r="Z731" s="88" t="n"/>
    </row>
    <row r="732" ht="21.6" customHeight="1">
      <c r="A732" s="69">
        <f>ROW()-1</f>
        <v/>
      </c>
      <c r="B732" s="53" t="n"/>
      <c r="C732" s="78" t="n">
        <v>2025</v>
      </c>
      <c r="D732" s="78" t="inlineStr">
        <is>
          <t>张明峰</t>
        </is>
      </c>
      <c r="E732" s="53" t="n"/>
      <c r="F732" s="53" t="n"/>
      <c r="G732" s="81" t="inlineStr">
        <is>
          <t>部侧接口对接</t>
        </is>
      </c>
      <c r="H732" s="81" t="inlineStr">
        <is>
          <t>部侧台账批量上报请求接口文件</t>
        </is>
      </c>
      <c r="I732" s="76" t="inlineStr">
        <is>
          <t>EIF</t>
        </is>
      </c>
      <c r="J732" s="108" t="n"/>
      <c r="K732" s="108" t="n"/>
      <c r="L732" s="83">
        <f>IF(OR(X732="估算法",X732="算法类",X732="无法识别"),"",IF(V732="",IF(OR(I732="EI",I732="EO",I732="EQ"),0,""),LEN(V732)-LEN(SUBSTITUTE(V732,"、",""))+1))</f>
        <v/>
      </c>
      <c r="M732" s="83">
        <f>IF(OR(X732="估算法",X732="算法类",X732="无法识别"),"",IF(W732="",IF(OR(I732="ILF",I732="EIF"),0,""),LEN(W732)-LEN(SUBSTITUTE(W732,"、",""))+1))</f>
        <v/>
      </c>
      <c r="N732" s="83">
        <f>IF(OR(X732="估算法",X732="算法类",X732="无法识别"),"",IF(X732="",IF(OR(I732="ILF",I732="EIF",I732="EI",I732="EO",I732="EQ"),0,""),LEN(X732)-LEN(SUBSTITUTE(SUBSTITUTE(SUBSTITUTE(SUBSTITUTE(SUBSTITUTE(X732,"|}","--"),"{|","--"),CHAR(10),""),"、",""),"|",""))+IF(AND(OR(I732="EI",I732="EO",I732="EQ"),$AD$1="NESMA"),2,1)))</f>
        <v/>
      </c>
      <c r="O732" s="84">
        <f>IF(I732="EI",IF(OR(X732="估算法",X732="算法类"),"中",IF(X732="无法识别","低",IF(L732&lt;2,IF(N732&lt;16,"低","中"),IF(L732&lt;3,IF(N732&lt;5,"低",IF(N732&lt;16,"中","高")),IF(N732&lt;5,"中","高"))))),IF(OR(I732="EO",I732="EQ"),IF(OR(X732="估算法",X732="算法类"),"中",IF(X732="无法识别","低",IF(L732&lt;2,IF(N732&lt;20,"低","中"),IF(L732&lt;4,IF(N732&lt;6,"低",IF(N732&lt;20,"中","高")),IF(N732&lt;6,"中","高"))))),IF(OR(I732="ILF",I732="EIF"),IF(OR(X732="估算法",X732="算法类",X732="无法识别"),"低",IF(M732&lt;2,IF(N732&lt;51,"低","中"),IF(M732&lt;6,IF(N732&lt;20,"低",IF(N732&lt;51,"中","高")),IF(N732&lt;20,"中","高")))),"不计算")))</f>
        <v/>
      </c>
      <c r="P732" s="142">
        <f>IFERROR(IF(I732="EI",IF(O732="低",3,IF(O732="中",4,6)),IF(I732="EO",IF(O732="低",4,IF(O732="中",5,7)),IF(I732="EQ",IF(O732="低",3,IF(O732="中",4,6)),IF(I732="ILF",IF(O732="低",7,IF(O732="中",10,15)),IF(I732="EIF",IF(O732="低",5,IF(O732="中",7,10)),"不计算")))))*Q732,"不计算")</f>
        <v/>
      </c>
      <c r="Q732" s="142" t="n">
        <v>1</v>
      </c>
      <c r="R732" s="143">
        <f>调整因子!$F$13</f>
        <v/>
      </c>
      <c r="S732" s="76" t="n">
        <v>1</v>
      </c>
      <c r="T732" s="144">
        <f>IFERROR(P732*R732,0)</f>
        <v/>
      </c>
      <c r="U732" s="144">
        <f>T732*S732</f>
        <v/>
      </c>
      <c r="V732" s="88" t="n"/>
      <c r="W732" s="100" t="inlineStr">
        <is>
          <t>部侧台账批量上报请求接口文件</t>
        </is>
      </c>
      <c r="X732" s="88" t="inlineStr">
        <is>
          <t>部侧台账批量上报请求接口文件{文件编号、部侧指令编号、请求序号、记录条数、文件路径、上传时间}</t>
        </is>
      </c>
      <c r="Y732" s="88" t="n"/>
      <c r="Z732" s="88" t="n"/>
      <c r="AA732" t="inlineStr">
        <is>
          <t>EIF</t>
        </is>
      </c>
    </row>
    <row r="733" ht="21.6" customHeight="1">
      <c r="A733" s="69">
        <f>ROW()-1</f>
        <v/>
      </c>
      <c r="B733" s="53" t="n"/>
      <c r="C733" s="78" t="n">
        <v>2025</v>
      </c>
      <c r="D733" s="78" t="inlineStr">
        <is>
          <t>张明峰</t>
        </is>
      </c>
      <c r="E733" s="53" t="n"/>
      <c r="F733" s="53" t="n"/>
      <c r="G733" s="54" t="n"/>
      <c r="H733" s="81" t="inlineStr">
        <is>
          <t>部侧台账批量上报响应接口文件</t>
        </is>
      </c>
      <c r="I733" s="76" t="inlineStr">
        <is>
          <t>EIF</t>
        </is>
      </c>
      <c r="J733" s="108" t="n"/>
      <c r="K733" s="108" t="n"/>
      <c r="L733" s="83">
        <f>IF(OR(X733="估算法",X733="算法类",X733="无法识别"),"",IF(V733="",IF(OR(I733="EI",I733="EO",I733="EQ"),0,""),LEN(V733)-LEN(SUBSTITUTE(V733,"、",""))+1))</f>
        <v/>
      </c>
      <c r="M733" s="83">
        <f>IF(OR(X733="估算法",X733="算法类",X733="无法识别"),"",IF(W733="",IF(OR(I733="ILF",I733="EIF"),0,""),LEN(W733)-LEN(SUBSTITUTE(W733,"、",""))+1))</f>
        <v/>
      </c>
      <c r="N733" s="83">
        <f>IF(OR(X733="估算法",X733="算法类",X733="无法识别"),"",IF(X733="",IF(OR(I733="ILF",I733="EIF",I733="EI",I733="EO",I733="EQ"),0,""),LEN(X733)-LEN(SUBSTITUTE(SUBSTITUTE(SUBSTITUTE(SUBSTITUTE(SUBSTITUTE(X733,"|}","--"),"{|","--"),CHAR(10),""),"、",""),"|",""))+IF(AND(OR(I733="EI",I733="EO",I733="EQ"),$AD$1="NESMA"),2,1)))</f>
        <v/>
      </c>
      <c r="O733" s="84">
        <f>IF(I733="EI",IF(OR(X733="估算法",X733="算法类"),"中",IF(X733="无法识别","低",IF(L733&lt;2,IF(N733&lt;16,"低","中"),IF(L733&lt;3,IF(N733&lt;5,"低",IF(N733&lt;16,"中","高")),IF(N733&lt;5,"中","高"))))),IF(OR(I733="EO",I733="EQ"),IF(OR(X733="估算法",X733="算法类"),"中",IF(X733="无法识别","低",IF(L733&lt;2,IF(N733&lt;20,"低","中"),IF(L733&lt;4,IF(N733&lt;6,"低",IF(N733&lt;20,"中","高")),IF(N733&lt;6,"中","高"))))),IF(OR(I733="ILF",I733="EIF"),IF(OR(X733="估算法",X733="算法类",X733="无法识别"),"低",IF(M733&lt;2,IF(N733&lt;51,"低","中"),IF(M733&lt;6,IF(N733&lt;20,"低",IF(N733&lt;51,"中","高")),IF(N733&lt;20,"中","高")))),"不计算")))</f>
        <v/>
      </c>
      <c r="P733" s="142">
        <f>IFERROR(IF(I733="EI",IF(O733="低",3,IF(O733="中",4,6)),IF(I733="EO",IF(O733="低",4,IF(O733="中",5,7)),IF(I733="EQ",IF(O733="低",3,IF(O733="中",4,6)),IF(I733="ILF",IF(O733="低",7,IF(O733="中",10,15)),IF(I733="EIF",IF(O733="低",5,IF(O733="中",7,10)),"不计算")))))*Q733,"不计算")</f>
        <v/>
      </c>
      <c r="Q733" s="142" t="n">
        <v>1</v>
      </c>
      <c r="R733" s="143">
        <f>调整因子!$F$13</f>
        <v/>
      </c>
      <c r="S733" s="76" t="n">
        <v>1</v>
      </c>
      <c r="T733" s="144">
        <f>IFERROR(P733*R733,0)</f>
        <v/>
      </c>
      <c r="U733" s="144">
        <f>T733*S733</f>
        <v/>
      </c>
      <c r="V733" s="88" t="n"/>
      <c r="W733" s="100" t="inlineStr">
        <is>
          <t>部侧台账批量上报响应接口文件</t>
        </is>
      </c>
      <c r="X733" s="88" t="inlineStr">
        <is>
          <t>部侧台账批量上报响应接口文件{文件编号、部侧指令编号、响应码、响应说明、响应时间}</t>
        </is>
      </c>
      <c r="Y733" s="88" t="n"/>
      <c r="Z733" s="88" t="n"/>
      <c r="AA733" t="inlineStr">
        <is>
          <t>EIF</t>
        </is>
      </c>
    </row>
    <row r="734" ht="32.4" customHeight="1">
      <c r="A734" s="69">
        <f>ROW()-1</f>
        <v/>
      </c>
      <c r="B734" s="53" t="n"/>
      <c r="C734" s="78" t="n">
        <v>2025</v>
      </c>
      <c r="D734" s="78" t="inlineStr">
        <is>
          <t>张明峰</t>
        </is>
      </c>
      <c r="E734" s="53" t="n"/>
      <c r="F734" s="53" t="n"/>
      <c r="G734" s="81" t="inlineStr">
        <is>
          <t>台账采集写入</t>
        </is>
      </c>
      <c r="H734" s="81" t="inlineStr">
        <is>
          <t>接收业务事件写入台账记录</t>
        </is>
      </c>
      <c r="I734" s="76" t="inlineStr">
        <is>
          <t>EI</t>
        </is>
      </c>
      <c r="J734" s="108" t="n"/>
      <c r="K734" s="108" t="n"/>
      <c r="L734" s="83">
        <f>IF(OR(X734="估算法",X734="算法类",X734="无法识别"),"",IF(V734="",IF(OR(I734="EI",I734="EO",I734="EQ"),0,""),LEN(V734)-LEN(SUBSTITUTE(V734,"、",""))+1))</f>
        <v/>
      </c>
      <c r="M734" s="83">
        <f>IF(OR(X734="估算法",X734="算法类",X734="无法识别"),"",IF(W734="",IF(OR(I734="ILF",I734="EIF"),0,""),LEN(W734)-LEN(SUBSTITUTE(W734,"、",""))+1))</f>
        <v/>
      </c>
      <c r="N734" s="83">
        <f>IF(OR(X734="估算法",X734="算法类",X734="无法识别"),"",IF(X734="",IF(OR(I734="ILF",I734="EIF",I734="EI",I734="EO",I734="EQ"),0,""),LEN(X734)-LEN(SUBSTITUTE(SUBSTITUTE(SUBSTITUTE(SUBSTITUTE(SUBSTITUTE(X734,"|}","--"),"{|","--"),CHAR(10),""),"、",""),"|",""))+IF(AND(OR(I734="EI",I734="EO",I734="EQ"),$AD$1="NESMA"),2,1)))</f>
        <v/>
      </c>
      <c r="O734" s="84">
        <f>IF(I734="EI",IF(OR(X734="估算法",X734="算法类"),"中",IF(X734="无法识别","低",IF(L734&lt;2,IF(N734&lt;16,"低","中"),IF(L734&lt;3,IF(N734&lt;5,"低",IF(N734&lt;16,"中","高")),IF(N734&lt;5,"中","高"))))),IF(OR(I734="EO",I734="EQ"),IF(OR(X734="估算法",X734="算法类"),"中",IF(X734="无法识别","低",IF(L734&lt;2,IF(N734&lt;20,"低","中"),IF(L734&lt;4,IF(N734&lt;6,"低",IF(N734&lt;20,"中","高")),IF(N734&lt;6,"中","高"))))),IF(OR(I734="ILF",I734="EIF"),IF(OR(X734="估算法",X734="算法类",X734="无法识别"),"低",IF(M734&lt;2,IF(N734&lt;51,"低","中"),IF(M734&lt;6,IF(N734&lt;20,"低",IF(N734&lt;51,"中","高")),IF(N734&lt;20,"中","高")))),"不计算")))</f>
        <v/>
      </c>
      <c r="P734" s="142">
        <f>IFERROR(IF(I734="EI",IF(O734="低",3,IF(O734="中",4,6)),IF(I734="EO",IF(O734="低",4,IF(O734="中",5,7)),IF(I734="EQ",IF(O734="低",3,IF(O734="中",4,6)),IF(I734="ILF",IF(O734="低",7,IF(O734="中",10,15)),IF(I734="EIF",IF(O734="低",5,IF(O734="中",7,10)),"不计算")))))*Q734,"不计算")</f>
        <v/>
      </c>
      <c r="Q734" s="142" t="n">
        <v>1</v>
      </c>
      <c r="R734" s="143">
        <f>调整因子!$F$13</f>
        <v/>
      </c>
      <c r="S734" s="70" t="n">
        <v>1</v>
      </c>
      <c r="T734" s="144">
        <f>IFERROR(P734*R734,0)</f>
        <v/>
      </c>
      <c r="U734" s="144">
        <f>T734*S734</f>
        <v/>
      </c>
      <c r="V734" s="88" t="inlineStr">
        <is>
          <t>漏管台账记录主表、台账记录扩展内容表</t>
        </is>
      </c>
      <c r="W734" s="100" t="n"/>
      <c r="X734" s="88" t="inlineStr">
        <is>
          <t>漏管台账记录主表{台账类型编码、台账级别、记录时间、设备哈希、登录账号、登录地址|台账记录编号}
台账记录扩展内容表{台账记录编号、扩展内容|台账记录编号、扩展内容}</t>
        </is>
      </c>
      <c r="Y734" s="88" t="n"/>
      <c r="Z734" s="88" t="n"/>
    </row>
    <row r="735" ht="15.6" customHeight="1">
      <c r="A735" s="69">
        <f>ROW()-1</f>
        <v/>
      </c>
      <c r="B735" s="53" t="n"/>
      <c r="C735" s="78" t="n">
        <v>2025</v>
      </c>
      <c r="D735" s="78" t="inlineStr">
        <is>
          <t>张明峰</t>
        </is>
      </c>
      <c r="E735" s="53" t="n"/>
      <c r="F735" s="53" t="n"/>
      <c r="G735" s="53" t="n"/>
      <c r="H735" s="81" t="inlineStr">
        <is>
          <t>组装台账批量上报头信息</t>
        </is>
      </c>
      <c r="I735" s="76" t="inlineStr">
        <is>
          <t>EI</t>
        </is>
      </c>
      <c r="J735" s="108" t="n"/>
      <c r="K735" s="108" t="n"/>
      <c r="L735" s="83">
        <f>IF(OR(X735="估算法",X735="算法类",X735="无法识别"),"",IF(V735="",IF(OR(I735="EI",I735="EO",I735="EQ"),0,""),LEN(V735)-LEN(SUBSTITUTE(V735,"、",""))+1))</f>
        <v/>
      </c>
      <c r="M735" s="83">
        <f>IF(OR(X735="估算法",X735="算法类",X735="无法识别"),"",IF(W735="",IF(OR(I735="ILF",I735="EIF"),0,""),LEN(W735)-LEN(SUBSTITUTE(W735,"、",""))+1))</f>
        <v/>
      </c>
      <c r="N735" s="83">
        <f>IF(OR(X735="估算法",X735="算法类",X735="无法识别"),"",IF(X735="",IF(OR(I735="ILF",I735="EIF",I735="EI",I735="EO",I735="EQ"),0,""),LEN(X735)-LEN(SUBSTITUTE(SUBSTITUTE(SUBSTITUTE(SUBSTITUTE(SUBSTITUTE(X735,"|}","--"),"{|","--"),CHAR(10),""),"、",""),"|",""))+IF(AND(OR(I735="EI",I735="EO",I735="EQ"),$AD$1="NESMA"),2,1)))</f>
        <v/>
      </c>
      <c r="O735" s="84">
        <f>IF(I735="EI",IF(OR(X735="估算法",X735="算法类"),"中",IF(X735="无法识别","低",IF(L735&lt;2,IF(N735&lt;16,"低","中"),IF(L735&lt;3,IF(N735&lt;5,"低",IF(N735&lt;16,"中","高")),IF(N735&lt;5,"中","高"))))),IF(OR(I735="EO",I735="EQ"),IF(OR(X735="估算法",X735="算法类"),"中",IF(X735="无法识别","低",IF(L735&lt;2,IF(N735&lt;20,"低","中"),IF(L735&lt;4,IF(N735&lt;6,"低",IF(N735&lt;20,"中","高")),IF(N735&lt;6,"中","高"))))),IF(OR(I735="ILF",I735="EIF"),IF(OR(X735="估算法",X735="算法类",X735="无法识别"),"低",IF(M735&lt;2,IF(N735&lt;51,"低","中"),IF(M735&lt;6,IF(N735&lt;20,"低",IF(N735&lt;51,"中","高")),IF(N735&lt;20,"中","高")))),"不计算")))</f>
        <v/>
      </c>
      <c r="P735" s="142">
        <f>IFERROR(IF(I735="EI",IF(O735="低",3,IF(O735="中",4,6)),IF(I735="EO",IF(O735="低",4,IF(O735="中",5,7)),IF(I735="EQ",IF(O735="低",3,IF(O735="中",4,6)),IF(I735="ILF",IF(O735="低",7,IF(O735="中",10,15)),IF(I735="EIF",IF(O735="低",5,IF(O735="中",7,10)),"不计算")))))*Q735,"不计算")</f>
        <v/>
      </c>
      <c r="Q735" s="142" t="n">
        <v>1</v>
      </c>
      <c r="R735" s="143">
        <f>调整因子!$F$13</f>
        <v/>
      </c>
      <c r="S735" s="70" t="n">
        <v>1</v>
      </c>
      <c r="T735" s="144">
        <f>IFERROR(P735*R735,0)</f>
        <v/>
      </c>
      <c r="U735" s="144">
        <f>T735*S735</f>
        <v/>
      </c>
      <c r="V735" s="89" t="inlineStr">
        <is>
          <t>漏管台账记录主表</t>
        </is>
      </c>
      <c r="W735" s="88" t="n"/>
      <c r="X735" s="88" t="inlineStr">
        <is>
          <t>漏管台账记录主表{请求序号、记录条数、记录时间|批次编号、台账记录编号}</t>
        </is>
      </c>
      <c r="Y735" s="88" t="n"/>
      <c r="Z735" s="88" t="n"/>
    </row>
    <row r="736" ht="21.6" customHeight="1">
      <c r="A736" s="69">
        <f>ROW()-1</f>
        <v/>
      </c>
      <c r="B736" s="53" t="n"/>
      <c r="C736" s="78" t="n">
        <v>2025</v>
      </c>
      <c r="D736" s="78" t="inlineStr">
        <is>
          <t>张明峰</t>
        </is>
      </c>
      <c r="E736" s="53" t="n"/>
      <c r="F736" s="53" t="n"/>
      <c r="G736" s="53" t="n"/>
      <c r="H736" s="81" t="inlineStr">
        <is>
          <t>关联部侧指令编号与办件编号</t>
        </is>
      </c>
      <c r="I736" s="76" t="inlineStr">
        <is>
          <t>EI</t>
        </is>
      </c>
      <c r="J736" s="108" t="n"/>
      <c r="K736" s="108" t="n"/>
      <c r="L736" s="83">
        <f>IF(OR(X736="估算法",X736="算法类",X736="无法识别"),"",IF(V736="",IF(OR(I736="EI",I736="EO",I736="EQ"),0,""),LEN(V736)-LEN(SUBSTITUTE(V736,"、",""))+1))</f>
        <v/>
      </c>
      <c r="M736" s="83">
        <f>IF(OR(X736="估算法",X736="算法类",X736="无法识别"),"",IF(W736="",IF(OR(I736="ILF",I736="EIF"),0,""),LEN(W736)-LEN(SUBSTITUTE(W736,"、",""))+1))</f>
        <v/>
      </c>
      <c r="N736" s="83">
        <f>IF(OR(X736="估算法",X736="算法类",X736="无法识别"),"",IF(X736="",IF(OR(I736="ILF",I736="EIF",I736="EI",I736="EO",I736="EQ"),0,""),LEN(X736)-LEN(SUBSTITUTE(SUBSTITUTE(SUBSTITUTE(SUBSTITUTE(SUBSTITUTE(X736,"|}","--"),"{|","--"),CHAR(10),""),"、",""),"|",""))+IF(AND(OR(I736="EI",I736="EO",I736="EQ"),$AD$1="NESMA"),2,1)))</f>
        <v/>
      </c>
      <c r="O736" s="84">
        <f>IF(I736="EI",IF(OR(X736="估算法",X736="算法类"),"中",IF(X736="无法识别","低",IF(L736&lt;2,IF(N736&lt;16,"低","中"),IF(L736&lt;3,IF(N736&lt;5,"低",IF(N736&lt;16,"中","高")),IF(N736&lt;5,"中","高"))))),IF(OR(I736="EO",I736="EQ"),IF(OR(X736="估算法",X736="算法类"),"中",IF(X736="无法识别","低",IF(L736&lt;2,IF(N736&lt;20,"低","中"),IF(L736&lt;4,IF(N736&lt;6,"低",IF(N736&lt;20,"中","高")),IF(N736&lt;6,"中","高"))))),IF(OR(I736="ILF",I736="EIF"),IF(OR(X736="估算法",X736="算法类",X736="无法识别"),"低",IF(M736&lt;2,IF(N736&lt;51,"低","中"),IF(M736&lt;6,IF(N736&lt;20,"低",IF(N736&lt;51,"中","高")),IF(N736&lt;20,"中","高")))),"不计算")))</f>
        <v/>
      </c>
      <c r="P736" s="142">
        <f>IFERROR(IF(I736="EI",IF(O736="低",3,IF(O736="中",4,6)),IF(I736="EO",IF(O736="低",4,IF(O736="中",5,7)),IF(I736="EQ",IF(O736="低",3,IF(O736="中",4,6)),IF(I736="ILF",IF(O736="低",7,IF(O736="中",10,15)),IF(I736="EIF",IF(O736="低",5,IF(O736="中",7,10)),"不计算")))))*Q736,"不计算")</f>
        <v/>
      </c>
      <c r="Q736" s="142" t="n">
        <v>1</v>
      </c>
      <c r="R736" s="143">
        <f>调整因子!$F$13</f>
        <v/>
      </c>
      <c r="S736" s="76" t="n">
        <v>1</v>
      </c>
      <c r="T736" s="144">
        <f>IFERROR(P736*R736,0)</f>
        <v/>
      </c>
      <c r="U736" s="144">
        <f>T736*S736</f>
        <v/>
      </c>
      <c r="V736" s="89" t="inlineStr">
        <is>
          <t>漏管台账记录主表</t>
        </is>
      </c>
      <c r="W736" s="88" t="n"/>
      <c r="X736" s="88" t="inlineStr">
        <is>
          <t>漏管台账记录主表{部侧指令编号、上级平台编码、办件编号|台账记录编号、部侧指令编号、办件编号}</t>
        </is>
      </c>
      <c r="Y736" s="88" t="n"/>
      <c r="Z736" s="88" t="n"/>
    </row>
    <row r="737" ht="21.6" customHeight="1">
      <c r="A737" s="69">
        <f>ROW()-1</f>
        <v/>
      </c>
      <c r="B737" s="53" t="n"/>
      <c r="C737" s="78" t="n">
        <v>2025</v>
      </c>
      <c r="D737" s="78" t="inlineStr">
        <is>
          <t>张明峰</t>
        </is>
      </c>
      <c r="E737" s="53" t="n"/>
      <c r="F737" s="53" t="n"/>
      <c r="G737" s="53" t="n"/>
      <c r="H737" s="81" t="inlineStr">
        <is>
          <t>计算并写入链式防篡改哈希</t>
        </is>
      </c>
      <c r="I737" s="76" t="inlineStr">
        <is>
          <t>EI</t>
        </is>
      </c>
      <c r="J737" s="108" t="n"/>
      <c r="K737" s="108" t="n"/>
      <c r="L737" s="83">
        <f>IF(OR(X737="估算法",X737="算法类",X737="无法识别"),"",IF(V737="",IF(OR(I737="EI",I737="EO",I737="EQ"),0,""),LEN(V737)-LEN(SUBSTITUTE(V737,"、",""))+1))</f>
        <v/>
      </c>
      <c r="M737" s="83">
        <f>IF(OR(X737="估算法",X737="算法类",X737="无法识别"),"",IF(W737="",IF(OR(I737="ILF",I737="EIF"),0,""),LEN(W737)-LEN(SUBSTITUTE(W737,"、",""))+1))</f>
        <v/>
      </c>
      <c r="N737" s="83">
        <f>IF(OR(X737="估算法",X737="算法类",X737="无法识别"),"",IF(X737="",IF(OR(I737="ILF",I737="EIF",I737="EI",I737="EO",I737="EQ"),0,""),LEN(X737)-LEN(SUBSTITUTE(SUBSTITUTE(SUBSTITUTE(SUBSTITUTE(SUBSTITUTE(X737,"|}","--"),"{|","--"),CHAR(10),""),"、",""),"|",""))+IF(AND(OR(I737="EI",I737="EO",I737="EQ"),$AD$1="NESMA"),2,1)))</f>
        <v/>
      </c>
      <c r="O737" s="84">
        <f>IF(I737="EI",IF(OR(X737="估算法",X737="算法类"),"中",IF(X737="无法识别","低",IF(L737&lt;2,IF(N737&lt;16,"低","中"),IF(L737&lt;3,IF(N737&lt;5,"低",IF(N737&lt;16,"中","高")),IF(N737&lt;5,"中","高"))))),IF(OR(I737="EO",I737="EQ"),IF(OR(X737="估算法",X737="算法类"),"中",IF(X737="无法识别","低",IF(L737&lt;2,IF(N737&lt;20,"低","中"),IF(L737&lt;4,IF(N737&lt;6,"低",IF(N737&lt;20,"中","高")),IF(N737&lt;6,"中","高"))))),IF(OR(I737="ILF",I737="EIF"),IF(OR(X737="估算法",X737="算法类",X737="无法识别"),"低",IF(M737&lt;2,IF(N737&lt;51,"低","中"),IF(M737&lt;6,IF(N737&lt;20,"低",IF(N737&lt;51,"中","高")),IF(N737&lt;20,"中","高")))),"不计算")))</f>
        <v/>
      </c>
      <c r="P737" s="142">
        <f>IFERROR(IF(I737="EI",IF(O737="低",3,IF(O737="中",4,6)),IF(I737="EO",IF(O737="低",4,IF(O737="中",5,7)),IF(I737="EQ",IF(O737="低",3,IF(O737="中",4,6)),IF(I737="ILF",IF(O737="低",7,IF(O737="中",10,15)),IF(I737="EIF",IF(O737="低",5,IF(O737="中",7,10)),"不计算")))))*Q737,"不计算")</f>
        <v/>
      </c>
      <c r="Q737" s="142" t="n">
        <v>1</v>
      </c>
      <c r="R737" s="143">
        <f>调整因子!$F$13</f>
        <v/>
      </c>
      <c r="S737" s="70" t="n">
        <v>1</v>
      </c>
      <c r="T737" s="144">
        <f>IFERROR(P737*R737,0)</f>
        <v/>
      </c>
      <c r="U737" s="144">
        <f>T737*S737</f>
        <v/>
      </c>
      <c r="V737" s="89" t="inlineStr">
        <is>
          <t>漏管台账记录主表、台账链式哈希索引表</t>
        </is>
      </c>
      <c r="W737" s="88" t="n"/>
      <c r="X737" s="88" t="inlineStr">
        <is>
          <t>漏管台账记录主表{台账记录编号、链式哈希值|链式哈希值、链式哈希校验值}
台账链式哈希索引表{台账记录编号、前序记录编号|链式哈希值、哈希计算时间}</t>
        </is>
      </c>
      <c r="Y737" s="88" t="n"/>
      <c r="Z737" s="88" t="n"/>
    </row>
    <row r="738" ht="21.6" customHeight="1">
      <c r="A738" s="69">
        <f>ROW()-1</f>
        <v/>
      </c>
      <c r="B738" s="53" t="n"/>
      <c r="C738" s="78" t="n">
        <v>2025</v>
      </c>
      <c r="D738" s="78" t="inlineStr">
        <is>
          <t>张明峰</t>
        </is>
      </c>
      <c r="E738" s="53" t="n"/>
      <c r="F738" s="53" t="n"/>
      <c r="G738" s="53" t="n"/>
      <c r="H738" s="81" t="inlineStr">
        <is>
          <t>工单回传时携带台账批量数据</t>
        </is>
      </c>
      <c r="I738" s="76" t="inlineStr">
        <is>
          <t>EO</t>
        </is>
      </c>
      <c r="J738" s="108" t="n"/>
      <c r="K738" s="108" t="n"/>
      <c r="L738" s="83">
        <f>IF(OR(X738="估算法",X738="算法类",X738="无法识别"),"",IF(V738="",IF(OR(I738="EI",I738="EO",I738="EQ"),0,""),LEN(V738)-LEN(SUBSTITUTE(V738,"、",""))+1))</f>
        <v/>
      </c>
      <c r="M738" s="83">
        <f>IF(OR(X738="估算法",X738="算法类",X738="无法识别"),"",IF(W738="",IF(OR(I738="ILF",I738="EIF"),0,""),LEN(W738)-LEN(SUBSTITUTE(W738,"、",""))+1))</f>
        <v/>
      </c>
      <c r="N738" s="83">
        <f>IF(OR(X738="估算法",X738="算法类",X738="无法识别"),"",IF(X738="",IF(OR(I738="ILF",I738="EIF",I738="EI",I738="EO",I738="EQ"),0,""),LEN(X738)-LEN(SUBSTITUTE(SUBSTITUTE(SUBSTITUTE(SUBSTITUTE(SUBSTITUTE(X738,"|}","--"),"{|","--"),CHAR(10),""),"、",""),"|",""))+IF(AND(OR(I738="EI",I738="EO",I738="EQ"),$AD$1="NESMA"),2,1)))</f>
        <v/>
      </c>
      <c r="O738" s="84">
        <f>IF(I738="EI",IF(OR(X738="估算法",X738="算法类"),"中",IF(X738="无法识别","低",IF(L738&lt;2,IF(N738&lt;16,"低","中"),IF(L738&lt;3,IF(N738&lt;5,"低",IF(N738&lt;16,"中","高")),IF(N738&lt;5,"中","高"))))),IF(OR(I738="EO",I738="EQ"),IF(OR(X738="估算法",X738="算法类"),"中",IF(X738="无法识别","低",IF(L738&lt;2,IF(N738&lt;20,"低","中"),IF(L738&lt;4,IF(N738&lt;6,"低",IF(N738&lt;20,"中","高")),IF(N738&lt;6,"中","高"))))),IF(OR(I738="ILF",I738="EIF"),IF(OR(X738="估算法",X738="算法类",X738="无法识别"),"低",IF(M738&lt;2,IF(N738&lt;51,"低","中"),IF(M738&lt;6,IF(N738&lt;20,"低",IF(N738&lt;51,"中","高")),IF(N738&lt;20,"中","高")))),"不计算")))</f>
        <v/>
      </c>
      <c r="P738" s="142">
        <f>IFERROR(IF(I738="EI",IF(O738="低",3,IF(O738="中",4,6)),IF(I738="EO",IF(O738="低",4,IF(O738="中",5,7)),IF(I738="EQ",IF(O738="低",3,IF(O738="中",4,6)),IF(I738="ILF",IF(O738="低",7,IF(O738="中",10,15)),IF(I738="EIF",IF(O738="低",5,IF(O738="中",7,10)),"不计算")))))*Q738,"不计算")</f>
        <v/>
      </c>
      <c r="Q738" s="142" t="n">
        <v>1</v>
      </c>
      <c r="R738" s="143">
        <f>调整因子!$F$13</f>
        <v/>
      </c>
      <c r="S738" s="70" t="n">
        <v>1</v>
      </c>
      <c r="T738" s="144">
        <f>IFERROR(P738*R738,0)</f>
        <v/>
      </c>
      <c r="U738" s="144">
        <f>T738*S738</f>
        <v/>
      </c>
      <c r="V738" s="89" t="inlineStr">
        <is>
          <t>漏管台账记录主表、台账上报批次表</t>
        </is>
      </c>
      <c r="W738" s="88" t="n"/>
      <c r="X738" s="88" t="inlineStr">
        <is>
          <t>漏管台账记录主表{部侧指令编号、办件编号|台账记录编号、台账类型编码}
台账上报批次表{|批次编号、记录条数}</t>
        </is>
      </c>
      <c r="Y738" s="88" t="n"/>
      <c r="Z738" s="88" t="n"/>
    </row>
    <row r="739" ht="21.6" customHeight="1">
      <c r="A739" s="69">
        <f>ROW()-1</f>
        <v/>
      </c>
      <c r="B739" s="53" t="n"/>
      <c r="C739" s="78" t="n">
        <v>2025</v>
      </c>
      <c r="D739" s="78" t="inlineStr">
        <is>
          <t>张明峰</t>
        </is>
      </c>
      <c r="E739" s="53" t="n"/>
      <c r="F739" s="53" t="n"/>
      <c r="G739" s="54" t="n"/>
      <c r="H739" s="81" t="inlineStr">
        <is>
          <t>常态化上报平台运行类台账</t>
        </is>
      </c>
      <c r="I739" s="76" t="inlineStr">
        <is>
          <t>EO</t>
        </is>
      </c>
      <c r="J739" s="108" t="n"/>
      <c r="K739" s="108" t="n"/>
      <c r="L739" s="83">
        <f>IF(OR(X739="估算法",X739="算法类",X739="无法识别"),"",IF(V739="",IF(OR(I739="EI",I739="EO",I739="EQ"),0,""),LEN(V739)-LEN(SUBSTITUTE(V739,"、",""))+1))</f>
        <v/>
      </c>
      <c r="M739" s="83">
        <f>IF(OR(X739="估算法",X739="算法类",X739="无法识别"),"",IF(W739="",IF(OR(I739="ILF",I739="EIF"),0,""),LEN(W739)-LEN(SUBSTITUTE(W739,"、",""))+1))</f>
        <v/>
      </c>
      <c r="N739" s="83">
        <f>IF(OR(X739="估算法",X739="算法类",X739="无法识别"),"",IF(X739="",IF(OR(I739="ILF",I739="EIF",I739="EI",I739="EO",I739="EQ"),0,""),LEN(X739)-LEN(SUBSTITUTE(SUBSTITUTE(SUBSTITUTE(SUBSTITUTE(SUBSTITUTE(X739,"|}","--"),"{|","--"),CHAR(10),""),"、",""),"|",""))+IF(AND(OR(I739="EI",I739="EO",I739="EQ"),$AD$1="NESMA"),2,1)))</f>
        <v/>
      </c>
      <c r="O739" s="84">
        <f>IF(I739="EI",IF(OR(X739="估算法",X739="算法类"),"中",IF(X739="无法识别","低",IF(L739&lt;2,IF(N739&lt;16,"低","中"),IF(L739&lt;3,IF(N739&lt;5,"低",IF(N739&lt;16,"中","高")),IF(N739&lt;5,"中","高"))))),IF(OR(I739="EO",I739="EQ"),IF(OR(X739="估算法",X739="算法类"),"中",IF(X739="无法识别","低",IF(L739&lt;2,IF(N739&lt;20,"低","中"),IF(L739&lt;4,IF(N739&lt;6,"低",IF(N739&lt;20,"中","高")),IF(N739&lt;6,"中","高"))))),IF(OR(I739="ILF",I739="EIF"),IF(OR(X739="估算法",X739="算法类",X739="无法识别"),"低",IF(M739&lt;2,IF(N739&lt;51,"低","中"),IF(M739&lt;6,IF(N739&lt;20,"低",IF(N739&lt;51,"中","高")),IF(N739&lt;20,"中","高")))),"不计算")))</f>
        <v/>
      </c>
      <c r="P739" s="142">
        <f>IFERROR(IF(I739="EI",IF(O739="低",3,IF(O739="中",4,6)),IF(I739="EO",IF(O739="低",4,IF(O739="中",5,7)),IF(I739="EQ",IF(O739="低",3,IF(O739="中",4,6)),IF(I739="ILF",IF(O739="低",7,IF(O739="中",10,15)),IF(I739="EIF",IF(O739="低",5,IF(O739="中",7,10)),"不计算")))))*Q739,"不计算")</f>
        <v/>
      </c>
      <c r="Q739" s="142" t="n">
        <v>1</v>
      </c>
      <c r="R739" s="143">
        <f>调整因子!$F$13</f>
        <v/>
      </c>
      <c r="S739" s="76" t="n">
        <v>1</v>
      </c>
      <c r="T739" s="144">
        <f>IFERROR(P739*R739,0)</f>
        <v/>
      </c>
      <c r="U739" s="144">
        <f>T739*S739</f>
        <v/>
      </c>
      <c r="V739" s="89" t="inlineStr">
        <is>
          <t>漏管台账记录主表</t>
        </is>
      </c>
      <c r="W739" s="88" t="n"/>
      <c r="X739" s="88" t="inlineStr">
        <is>
          <t>漏管台账记录主表{台账类型编码、记录时间|台账记录编号、台账类型编码、台账级别}</t>
        </is>
      </c>
      <c r="Y739" s="88" t="n"/>
      <c r="Z739" s="88" t="n"/>
    </row>
    <row r="740" ht="21.6" customHeight="1">
      <c r="A740" s="69">
        <f>ROW()-1</f>
        <v/>
      </c>
      <c r="B740" s="53" t="n"/>
      <c r="C740" s="78" t="n">
        <v>2025</v>
      </c>
      <c r="D740" s="78" t="inlineStr">
        <is>
          <t>张明峰</t>
        </is>
      </c>
      <c r="E740" s="53" t="n"/>
      <c r="F740" s="53" t="n"/>
      <c r="G740" s="81" t="inlineStr">
        <is>
          <t>台账上报输出</t>
        </is>
      </c>
      <c r="H740" s="81" t="inlineStr">
        <is>
          <t>向部侧上报台账批量数据</t>
        </is>
      </c>
      <c r="I740" s="76" t="inlineStr">
        <is>
          <t>EO</t>
        </is>
      </c>
      <c r="J740" s="108" t="n"/>
      <c r="K740" s="108" t="n"/>
      <c r="L740" s="83">
        <f>IF(OR(X740="估算法",X740="算法类",X740="无法识别"),"",IF(V740="",IF(OR(I740="EI",I740="EO",I740="EQ"),0,""),LEN(V740)-LEN(SUBSTITUTE(V740,"、",""))+1))</f>
        <v/>
      </c>
      <c r="M740" s="83">
        <f>IF(OR(X740="估算法",X740="算法类",X740="无法识别"),"",IF(W740="",IF(OR(I740="ILF",I740="EIF"),0,""),LEN(W740)-LEN(SUBSTITUTE(W740,"、",""))+1))</f>
        <v/>
      </c>
      <c r="N740" s="83">
        <f>IF(OR(X740="估算法",X740="算法类",X740="无法识别"),"",IF(X740="",IF(OR(I740="ILF",I740="EIF",I740="EI",I740="EO",I740="EQ"),0,""),LEN(X740)-LEN(SUBSTITUTE(SUBSTITUTE(SUBSTITUTE(SUBSTITUTE(SUBSTITUTE(X740,"|}","--"),"{|","--"),CHAR(10),""),"、",""),"|",""))+IF(AND(OR(I740="EI",I740="EO",I740="EQ"),$AD$1="NESMA"),2,1)))</f>
        <v/>
      </c>
      <c r="O740" s="84">
        <f>IF(I740="EI",IF(OR(X740="估算法",X740="算法类"),"中",IF(X740="无法识别","低",IF(L740&lt;2,IF(N740&lt;16,"低","中"),IF(L740&lt;3,IF(N740&lt;5,"低",IF(N740&lt;16,"中","高")),IF(N740&lt;5,"中","高"))))),IF(OR(I740="EO",I740="EQ"),IF(OR(X740="估算法",X740="算法类"),"中",IF(X740="无法识别","低",IF(L740&lt;2,IF(N740&lt;20,"低","中"),IF(L740&lt;4,IF(N740&lt;6,"低",IF(N740&lt;20,"中","高")),IF(N740&lt;6,"中","高"))))),IF(OR(I740="ILF",I740="EIF"),IF(OR(X740="估算法",X740="算法类",X740="无法识别"),"低",IF(M740&lt;2,IF(N740&lt;51,"低","中"),IF(M740&lt;6,IF(N740&lt;20,"低",IF(N740&lt;51,"中","高")),IF(N740&lt;20,"中","高")))),"不计算")))</f>
        <v/>
      </c>
      <c r="P740" s="142">
        <f>IFERROR(IF(I740="EI",IF(O740="低",3,IF(O740="中",4,6)),IF(I740="EO",IF(O740="低",4,IF(O740="中",5,7)),IF(I740="EQ",IF(O740="低",3,IF(O740="中",4,6)),IF(I740="ILF",IF(O740="低",7,IF(O740="中",10,15)),IF(I740="EIF",IF(O740="低",5,IF(O740="中",7,10)),"不计算")))))*Q740,"不计算")</f>
        <v/>
      </c>
      <c r="Q740" s="142" t="n">
        <v>1</v>
      </c>
      <c r="R740" s="143">
        <f>调整因子!$F$13</f>
        <v/>
      </c>
      <c r="S740" s="76" t="n">
        <v>1</v>
      </c>
      <c r="T740" s="144">
        <f>IFERROR(P740*R740,0)</f>
        <v/>
      </c>
      <c r="U740" s="144">
        <f>T740*S740</f>
        <v/>
      </c>
      <c r="V740" s="88" t="inlineStr">
        <is>
          <t>漏管台账记录主表、部侧台账批量上报请求接口文件</t>
        </is>
      </c>
      <c r="W740" s="100" t="n"/>
      <c r="X740" s="88" t="inlineStr">
        <is>
          <t>漏管台账记录主表{台账记录编号、台账类型编码|上报状态}
部侧台账批量上报请求接口文件{|文件编号、文件路径、上传时间}</t>
        </is>
      </c>
      <c r="Y740" s="88" t="n"/>
      <c r="Z740" s="88" t="n"/>
    </row>
    <row r="741" ht="32.4" customHeight="1">
      <c r="A741" s="69">
        <f>ROW()-1</f>
        <v/>
      </c>
      <c r="B741" s="53" t="n"/>
      <c r="C741" s="78" t="n">
        <v>2025</v>
      </c>
      <c r="D741" s="78" t="inlineStr">
        <is>
          <t>张明峰</t>
        </is>
      </c>
      <c r="E741" s="53" t="n"/>
      <c r="F741" s="53" t="n"/>
      <c r="G741" s="81" t="inlineStr">
        <is>
          <t>部侧接口对接</t>
        </is>
      </c>
      <c r="H741" s="81" t="inlineStr">
        <is>
          <t>响应部侧测试类台账查询</t>
        </is>
      </c>
      <c r="I741" s="76" t="inlineStr">
        <is>
          <t>EO</t>
        </is>
      </c>
      <c r="J741" s="108" t="n"/>
      <c r="K741" s="108" t="n"/>
      <c r="L741" s="83">
        <f>IF(OR(X741="估算法",X741="算法类",X741="无法识别"),"",IF(V741="",IF(OR(I741="EI",I741="EO",I741="EQ"),0,""),LEN(V741)-LEN(SUBSTITUTE(V741,"、",""))+1))</f>
        <v/>
      </c>
      <c r="M741" s="83">
        <f>IF(OR(X741="估算法",X741="算法类",X741="无法识别"),"",IF(W741="",IF(OR(I741="ILF",I741="EIF"),0,""),LEN(W741)-LEN(SUBSTITUTE(W741,"、",""))+1))</f>
        <v/>
      </c>
      <c r="N741" s="83">
        <f>IF(OR(X741="估算法",X741="算法类",X741="无法识别"),"",IF(X741="",IF(OR(I741="ILF",I741="EIF",I741="EI",I741="EO",I741="EQ"),0,""),LEN(X741)-LEN(SUBSTITUTE(SUBSTITUTE(SUBSTITUTE(SUBSTITUTE(SUBSTITUTE(X741,"|}","--"),"{|","--"),CHAR(10),""),"、",""),"|",""))+IF(AND(OR(I741="EI",I741="EO",I741="EQ"),$AD$1="NESMA"),2,1)))</f>
        <v/>
      </c>
      <c r="O741" s="84">
        <f>IF(I741="EI",IF(OR(X741="估算法",X741="算法类"),"中",IF(X741="无法识别","低",IF(L741&lt;2,IF(N741&lt;16,"低","中"),IF(L741&lt;3,IF(N741&lt;5,"低",IF(N741&lt;16,"中","高")),IF(N741&lt;5,"中","高"))))),IF(OR(I741="EO",I741="EQ"),IF(OR(X741="估算法",X741="算法类"),"中",IF(X741="无法识别","低",IF(L741&lt;2,IF(N741&lt;20,"低","中"),IF(L741&lt;4,IF(N741&lt;6,"低",IF(N741&lt;20,"中","高")),IF(N741&lt;6,"中","高"))))),IF(OR(I741="ILF",I741="EIF"),IF(OR(X741="估算法",X741="算法类",X741="无法识别"),"低",IF(M741&lt;2,IF(N741&lt;51,"低","中"),IF(M741&lt;6,IF(N741&lt;20,"低",IF(N741&lt;51,"中","高")),IF(N741&lt;20,"中","高")))),"不计算")))</f>
        <v/>
      </c>
      <c r="P741" s="142">
        <f>IFERROR(IF(I741="EI",IF(O741="低",3,IF(O741="中",4,6)),IF(I741="EO",IF(O741="低",4,IF(O741="中",5,7)),IF(I741="EQ",IF(O741="低",3,IF(O741="中",4,6)),IF(I741="ILF",IF(O741="低",7,IF(O741="中",10,15)),IF(I741="EIF",IF(O741="低",5,IF(O741="中",7,10)),"不计算")))))*Q741,"不计算")</f>
        <v/>
      </c>
      <c r="Q741" s="142" t="n">
        <v>1</v>
      </c>
      <c r="R741" s="143">
        <f>调整因子!$F$13</f>
        <v/>
      </c>
      <c r="S741" s="70" t="n">
        <v>1</v>
      </c>
      <c r="T741" s="144">
        <f>IFERROR(P741*R741,0)</f>
        <v/>
      </c>
      <c r="U741" s="144">
        <f>T741*S741</f>
        <v/>
      </c>
      <c r="V741" s="88" t="inlineStr">
        <is>
          <t>漏管台账记录主表、部侧测试台账查询记录表</t>
        </is>
      </c>
      <c r="W741" s="100" t="n"/>
      <c r="X741" s="88" t="inlineStr">
        <is>
          <t>漏管台账记录主表{台账类型编码、记录时间|台账记录编号、台账类型编码、扩展内容}
部侧测试台账查询记录表{测试类型|查询编号、响应状态、返回条数}</t>
        </is>
      </c>
      <c r="Y741" s="88" t="inlineStr">
        <is>
          <t>测试类型3/6</t>
        </is>
      </c>
      <c r="Z741" s="88" t="n"/>
    </row>
    <row r="742" ht="21.6" customHeight="1">
      <c r="A742" s="69">
        <f>ROW()-1</f>
        <v/>
      </c>
      <c r="B742" s="53" t="n"/>
      <c r="C742" s="78" t="n">
        <v>2025</v>
      </c>
      <c r="D742" s="78" t="inlineStr">
        <is>
          <t>张明峰</t>
        </is>
      </c>
      <c r="E742" s="53" t="n"/>
      <c r="F742" s="53" t="n"/>
      <c r="G742" s="81" t="inlineStr">
        <is>
          <t>台账配套文件</t>
        </is>
      </c>
      <c r="H742" s="81" t="inlineStr">
        <is>
          <t>打包业务场景十一台账配套文件</t>
        </is>
      </c>
      <c r="I742" s="76" t="inlineStr">
        <is>
          <t>EO</t>
        </is>
      </c>
      <c r="J742" s="108" t="n"/>
      <c r="K742" s="108" t="n"/>
      <c r="L742" s="83">
        <f>IF(OR(X742="估算法",X742="算法类",X742="无法识别"),"",IF(V742="",IF(OR(I742="EI",I742="EO",I742="EQ"),0,""),LEN(V742)-LEN(SUBSTITUTE(V742,"、",""))+1))</f>
        <v/>
      </c>
      <c r="M742" s="83">
        <f>IF(OR(X742="估算法",X742="算法类",X742="无法识别"),"",IF(W742="",IF(OR(I742="ILF",I742="EIF"),0,""),LEN(W742)-LEN(SUBSTITUTE(W742,"、",""))+1))</f>
        <v/>
      </c>
      <c r="N742" s="83">
        <f>IF(OR(X742="估算法",X742="算法类",X742="无法识别"),"",IF(X742="",IF(OR(I742="ILF",I742="EIF",I742="EI",I742="EO",I742="EQ"),0,""),LEN(X742)-LEN(SUBSTITUTE(SUBSTITUTE(SUBSTITUTE(SUBSTITUTE(SUBSTITUTE(X742,"|}","--"),"{|","--"),CHAR(10),""),"、",""),"|",""))+IF(AND(OR(I742="EI",I742="EO",I742="EQ"),$AD$1="NESMA"),2,1)))</f>
        <v/>
      </c>
      <c r="O742" s="84">
        <f>IF(I742="EI",IF(OR(X742="估算法",X742="算法类"),"中",IF(X742="无法识别","低",IF(L742&lt;2,IF(N742&lt;16,"低","中"),IF(L742&lt;3,IF(N742&lt;5,"低",IF(N742&lt;16,"中","高")),IF(N742&lt;5,"中","高"))))),IF(OR(I742="EO",I742="EQ"),IF(OR(X742="估算法",X742="算法类"),"中",IF(X742="无法识别","低",IF(L742&lt;2,IF(N742&lt;20,"低","中"),IF(L742&lt;4,IF(N742&lt;6,"低",IF(N742&lt;20,"中","高")),IF(N742&lt;6,"中","高"))))),IF(OR(I742="ILF",I742="EIF"),IF(OR(X742="估算法",X742="算法类",X742="无法识别"),"低",IF(M742&lt;2,IF(N742&lt;51,"低","中"),IF(M742&lt;6,IF(N742&lt;20,"低",IF(N742&lt;51,"中","高")),IF(N742&lt;20,"中","高")))),"不计算")))</f>
        <v/>
      </c>
      <c r="P742" s="142">
        <f>IFERROR(IF(I742="EI",IF(O742="低",3,IF(O742="中",4,6)),IF(I742="EO",IF(O742="低",4,IF(O742="中",5,7)),IF(I742="EQ",IF(O742="低",3,IF(O742="中",4,6)),IF(I742="ILF",IF(O742="低",7,IF(O742="中",10,15)),IF(I742="EIF",IF(O742="低",5,IF(O742="中",7,10)),"不计算")))))*Q742,"不计算")</f>
        <v/>
      </c>
      <c r="Q742" s="142" t="n">
        <v>1</v>
      </c>
      <c r="R742" s="143">
        <f>调整因子!$F$13</f>
        <v/>
      </c>
      <c r="S742" s="70" t="n">
        <v>1</v>
      </c>
      <c r="T742" s="144">
        <f>IFERROR(P742*R742,0)</f>
        <v/>
      </c>
      <c r="U742" s="144">
        <f>T742*S742</f>
        <v/>
      </c>
      <c r="V742" s="88" t="inlineStr">
        <is>
          <t>业务场景十一台账文件表、漏管台账记录主表</t>
        </is>
      </c>
      <c r="W742" s="100" t="n"/>
      <c r="X742" s="88" t="inlineStr">
        <is>
          <t>漏管台账记录主表{台账记录编号、配套文件编号|配套文件编号}
业务场景十一台账文件表{|配套文件编号、文件键名、记录条数、文件路径}</t>
        </is>
      </c>
      <c r="Y742" s="88" t="n"/>
      <c r="Z742" s="88" t="n"/>
    </row>
    <row r="743" ht="21.6" customHeight="1">
      <c r="A743" s="69">
        <f>ROW()-1</f>
        <v/>
      </c>
      <c r="B743" s="53" t="n"/>
      <c r="C743" s="78" t="n">
        <v>2025</v>
      </c>
      <c r="D743" s="78" t="inlineStr">
        <is>
          <t>张明峰</t>
        </is>
      </c>
      <c r="E743" s="53" t="n"/>
      <c r="F743" s="53" t="n"/>
      <c r="G743" s="53" t="n"/>
      <c r="H743" s="81" t="inlineStr">
        <is>
          <t>维护配套文件与部侧指令传输关联</t>
        </is>
      </c>
      <c r="I743" s="76" t="inlineStr">
        <is>
          <t>EI</t>
        </is>
      </c>
      <c r="J743" s="108" t="n"/>
      <c r="K743" s="108" t="n"/>
      <c r="L743" s="83">
        <f>IF(OR(X743="估算法",X743="算法类",X743="无法识别"),"",IF(V743="",IF(OR(I743="EI",I743="EO",I743="EQ"),0,""),LEN(V743)-LEN(SUBSTITUTE(V743,"、",""))+1))</f>
        <v/>
      </c>
      <c r="M743" s="83">
        <f>IF(OR(X743="估算法",X743="算法类",X743="无法识别"),"",IF(W743="",IF(OR(I743="ILF",I743="EIF"),0,""),LEN(W743)-LEN(SUBSTITUTE(W743,"、",""))+1))</f>
        <v/>
      </c>
      <c r="N743" s="83">
        <f>IF(OR(X743="估算法",X743="算法类",X743="无法识别"),"",IF(X743="",IF(OR(I743="ILF",I743="EIF",I743="EI",I743="EO",I743="EQ"),0,""),LEN(X743)-LEN(SUBSTITUTE(SUBSTITUTE(SUBSTITUTE(SUBSTITUTE(SUBSTITUTE(X743,"|}","--"),"{|","--"),CHAR(10),""),"、",""),"|",""))+IF(AND(OR(I743="EI",I743="EO",I743="EQ"),$AD$1="NESMA"),2,1)))</f>
        <v/>
      </c>
      <c r="O743" s="84">
        <f>IF(I743="EI",IF(OR(X743="估算法",X743="算法类"),"中",IF(X743="无法识别","低",IF(L743&lt;2,IF(N743&lt;16,"低","中"),IF(L743&lt;3,IF(N743&lt;5,"低",IF(N743&lt;16,"中","高")),IF(N743&lt;5,"中","高"))))),IF(OR(I743="EO",I743="EQ"),IF(OR(X743="估算法",X743="算法类"),"中",IF(X743="无法识别","低",IF(L743&lt;2,IF(N743&lt;20,"低","中"),IF(L743&lt;4,IF(N743&lt;6,"低",IF(N743&lt;20,"中","高")),IF(N743&lt;6,"中","高"))))),IF(OR(I743="ILF",I743="EIF"),IF(OR(X743="估算法",X743="算法类",X743="无法识别"),"低",IF(M743&lt;2,IF(N743&lt;51,"低","中"),IF(M743&lt;6,IF(N743&lt;20,"低",IF(N743&lt;51,"中","高")),IF(N743&lt;20,"中","高")))),"不计算")))</f>
        <v/>
      </c>
      <c r="P743" s="142">
        <f>IFERROR(IF(I743="EI",IF(O743="低",3,IF(O743="中",4,6)),IF(I743="EO",IF(O743="低",4,IF(O743="中",5,7)),IF(I743="EQ",IF(O743="低",3,IF(O743="中",4,6)),IF(I743="ILF",IF(O743="低",7,IF(O743="中",10,15)),IF(I743="EIF",IF(O743="低",5,IF(O743="中",7,10)),"不计算")))))*Q743,"不计算")</f>
        <v/>
      </c>
      <c r="Q743" s="142" t="n">
        <v>1</v>
      </c>
      <c r="R743" s="143">
        <f>调整因子!$F$13</f>
        <v/>
      </c>
      <c r="S743" s="76" t="n">
        <v>1</v>
      </c>
      <c r="T743" s="144">
        <f>IFERROR(P743*R743,0)</f>
        <v/>
      </c>
      <c r="U743" s="144">
        <f>T743*S743</f>
        <v/>
      </c>
      <c r="V743" s="88" t="inlineStr">
        <is>
          <t>台账配套文件元数据表</t>
        </is>
      </c>
      <c r="W743" s="100" t="n"/>
      <c r="X743" s="88" t="inlineStr">
        <is>
          <t>台账配套文件元数据表{配套文件编号、部侧指令编号、文件键名|配套文件编号、文件路径}</t>
        </is>
      </c>
      <c r="Y743" s="88" t="n"/>
      <c r="Z743" s="88" t="n"/>
    </row>
    <row r="744" ht="21.6" customHeight="1">
      <c r="A744" s="69">
        <f>ROW()-1</f>
        <v/>
      </c>
      <c r="B744" s="53" t="n"/>
      <c r="C744" s="78" t="n">
        <v>2025</v>
      </c>
      <c r="D744" s="78" t="inlineStr">
        <is>
          <t>张明峰</t>
        </is>
      </c>
      <c r="E744" s="53" t="n"/>
      <c r="F744" s="53" t="n"/>
      <c r="G744" s="53" t="n"/>
      <c r="H744" s="81" t="inlineStr">
        <is>
          <t>关联配套文件编号与台账记录</t>
        </is>
      </c>
      <c r="I744" s="76" t="inlineStr">
        <is>
          <t>EI</t>
        </is>
      </c>
      <c r="J744" s="108" t="n"/>
      <c r="K744" s="108" t="n"/>
      <c r="L744" s="83">
        <f>IF(OR(X744="估算法",X744="算法类",X744="无法识别"),"",IF(V744="",IF(OR(I744="EI",I744="EO",I744="EQ"),0,""),LEN(V744)-LEN(SUBSTITUTE(V744,"、",""))+1))</f>
        <v/>
      </c>
      <c r="M744" s="83">
        <f>IF(OR(X744="估算法",X744="算法类",X744="无法识别"),"",IF(W744="",IF(OR(I744="ILF",I744="EIF"),0,""),LEN(W744)-LEN(SUBSTITUTE(W744,"、",""))+1))</f>
        <v/>
      </c>
      <c r="N744" s="83">
        <f>IF(OR(X744="估算法",X744="算法类",X744="无法识别"),"",IF(X744="",IF(OR(I744="ILF",I744="EIF",I744="EI",I744="EO",I744="EQ"),0,""),LEN(X744)-LEN(SUBSTITUTE(SUBSTITUTE(SUBSTITUTE(SUBSTITUTE(SUBSTITUTE(X744,"|}","--"),"{|","--"),CHAR(10),""),"、",""),"|",""))+IF(AND(OR(I744="EI",I744="EO",I744="EQ"),$AD$1="NESMA"),2,1)))</f>
        <v/>
      </c>
      <c r="O744" s="84">
        <f>IF(I744="EI",IF(OR(X744="估算法",X744="算法类"),"中",IF(X744="无法识别","低",IF(L744&lt;2,IF(N744&lt;16,"低","中"),IF(L744&lt;3,IF(N744&lt;5,"低",IF(N744&lt;16,"中","高")),IF(N744&lt;5,"中","高"))))),IF(OR(I744="EO",I744="EQ"),IF(OR(X744="估算法",X744="算法类"),"中",IF(X744="无法识别","低",IF(L744&lt;2,IF(N744&lt;20,"低","中"),IF(L744&lt;4,IF(N744&lt;6,"低",IF(N744&lt;20,"中","高")),IF(N744&lt;6,"中","高"))))),IF(OR(I744="ILF",I744="EIF"),IF(OR(X744="估算法",X744="算法类",X744="无法识别"),"低",IF(M744&lt;2,IF(N744&lt;51,"低","中"),IF(M744&lt;6,IF(N744&lt;20,"低",IF(N744&lt;51,"中","高")),IF(N744&lt;20,"中","高")))),"不计算")))</f>
        <v/>
      </c>
      <c r="P744" s="142">
        <f>IFERROR(IF(I744="EI",IF(O744="低",3,IF(O744="中",4,6)),IF(I744="EO",IF(O744="低",4,IF(O744="中",5,7)),IF(I744="EQ",IF(O744="低",3,IF(O744="中",4,6)),IF(I744="ILF",IF(O744="低",7,IF(O744="中",10,15)),IF(I744="EIF",IF(O744="低",5,IF(O744="中",7,10)),"不计算")))))*Q744,"不计算")</f>
        <v/>
      </c>
      <c r="Q744" s="142" t="n">
        <v>1</v>
      </c>
      <c r="R744" s="143">
        <f>调整因子!$F$13</f>
        <v/>
      </c>
      <c r="S744" s="70" t="n">
        <v>1</v>
      </c>
      <c r="T744" s="144">
        <f>IFERROR(P744*R744,0)</f>
        <v/>
      </c>
      <c r="U744" s="144">
        <f>T744*S744</f>
        <v/>
      </c>
      <c r="V744" s="88" t="inlineStr">
        <is>
          <t>漏管台账记录主表、台账配套文件元数据表</t>
        </is>
      </c>
      <c r="W744" s="100" t="n"/>
      <c r="X744" s="88" t="inlineStr">
        <is>
          <t>漏管台账记录主表{台账记录编号、配套文件编号|配套文件编号}
台账配套文件元数据表{配套文件编号|部侧指令编号、文件键名}</t>
        </is>
      </c>
      <c r="Y744" s="88" t="n"/>
      <c r="Z744" s="88" t="n"/>
    </row>
    <row r="745" ht="21.6" customHeight="1">
      <c r="A745" s="69">
        <f>ROW()-1</f>
        <v/>
      </c>
      <c r="B745" s="53" t="n"/>
      <c r="C745" s="78" t="n">
        <v>2025</v>
      </c>
      <c r="D745" s="78" t="inlineStr">
        <is>
          <t>张明峰</t>
        </is>
      </c>
      <c r="E745" s="53" t="n"/>
      <c r="F745" s="53" t="n"/>
      <c r="G745" s="54" t="n"/>
      <c r="H745" s="81" t="inlineStr">
        <is>
          <t>业务场景十一台账文件表</t>
        </is>
      </c>
      <c r="I745" s="76" t="inlineStr">
        <is>
          <t>ILF</t>
        </is>
      </c>
      <c r="J745" s="108" t="n"/>
      <c r="K745" s="108" t="n"/>
      <c r="L745" s="83">
        <f>IF(OR(X745="估算法",X745="算法类",X745="无法识别"),"",IF(V745="",IF(OR(I745="EI",I745="EO",I745="EQ"),0,""),LEN(V745)-LEN(SUBSTITUTE(V745,"、",""))+1))</f>
        <v/>
      </c>
      <c r="M745" s="83">
        <f>IF(OR(X745="估算法",X745="算法类",X745="无法识别"),"",IF(W745="",IF(OR(I745="ILF",I745="EIF"),0,""),LEN(W745)-LEN(SUBSTITUTE(W745,"、",""))+1))</f>
        <v/>
      </c>
      <c r="N745" s="83">
        <f>IF(OR(X745="估算法",X745="算法类",X745="无法识别"),"",IF(X745="",IF(OR(I745="ILF",I745="EIF",I745="EI",I745="EO",I745="EQ"),0,""),LEN(X745)-LEN(SUBSTITUTE(SUBSTITUTE(SUBSTITUTE(SUBSTITUTE(SUBSTITUTE(X745,"|}","--"),"{|","--"),CHAR(10),""),"、",""),"|",""))+IF(AND(OR(I745="EI",I745="EO",I745="EQ"),$AD$1="NESMA"),2,1)))</f>
        <v/>
      </c>
      <c r="O745" s="84">
        <f>IF(I745="EI",IF(OR(X745="估算法",X745="算法类"),"中",IF(X745="无法识别","低",IF(L745&lt;2,IF(N745&lt;16,"低","中"),IF(L745&lt;3,IF(N745&lt;5,"低",IF(N745&lt;16,"中","高")),IF(N745&lt;5,"中","高"))))),IF(OR(I745="EO",I745="EQ"),IF(OR(X745="估算法",X745="算法类"),"中",IF(X745="无法识别","低",IF(L745&lt;2,IF(N745&lt;20,"低","中"),IF(L745&lt;4,IF(N745&lt;6,"低",IF(N745&lt;20,"中","高")),IF(N745&lt;6,"中","高"))))),IF(OR(I745="ILF",I745="EIF"),IF(OR(X745="估算法",X745="算法类",X745="无法识别"),"低",IF(M745&lt;2,IF(N745&lt;51,"低","中"),IF(M745&lt;6,IF(N745&lt;20,"低",IF(N745&lt;51,"中","高")),IF(N745&lt;20,"中","高")))),"不计算")))</f>
        <v/>
      </c>
      <c r="P745" s="142">
        <f>IFERROR(IF(I745="EI",IF(O745="低",3,IF(O745="中",4,6)),IF(I745="EO",IF(O745="低",4,IF(O745="中",5,7)),IF(I745="EQ",IF(O745="低",3,IF(O745="中",4,6)),IF(I745="ILF",IF(O745="低",7,IF(O745="中",10,15)),IF(I745="EIF",IF(O745="低",5,IF(O745="中",7,10)),"不计算")))))*Q745,"不计算")</f>
        <v/>
      </c>
      <c r="Q745" s="142" t="n">
        <v>1</v>
      </c>
      <c r="R745" s="143">
        <f>调整因子!$F$13</f>
        <v/>
      </c>
      <c r="S745" s="70" t="n">
        <v>1</v>
      </c>
      <c r="T745" s="144">
        <f>IFERROR(P745*R745,0)</f>
        <v/>
      </c>
      <c r="U745" s="144">
        <f>T745*S745</f>
        <v/>
      </c>
      <c r="V745" s="88" t="n"/>
      <c r="W745" s="100" t="inlineStr">
        <is>
          <t>业务场景十一台账文件表</t>
        </is>
      </c>
      <c r="X745" s="88" t="inlineStr">
        <is>
          <t>业务场景十一台账文件表{配套文件编号、部侧指令编号、文件键名、记录条数、文件路径、创建时间}</t>
        </is>
      </c>
      <c r="Y745" s="88" t="n"/>
      <c r="Z745" s="88" t="n"/>
    </row>
    <row r="746" ht="21.6" customHeight="1">
      <c r="A746" s="69">
        <f>ROW()-1</f>
        <v/>
      </c>
      <c r="B746" s="53" t="n"/>
      <c r="C746" s="78" t="n">
        <v>2025</v>
      </c>
      <c r="D746" s="78" t="inlineStr">
        <is>
          <t>张明峰</t>
        </is>
      </c>
      <c r="E746" s="53" t="n"/>
      <c r="F746" s="53" t="n"/>
      <c r="G746" s="81" t="inlineStr">
        <is>
          <t>台账统计</t>
        </is>
      </c>
      <c r="H746" s="81" t="inlineStr">
        <is>
          <t>按台账类型统计周期内记录数量</t>
        </is>
      </c>
      <c r="I746" s="76" t="inlineStr">
        <is>
          <t>EO</t>
        </is>
      </c>
      <c r="J746" s="108" t="n"/>
      <c r="K746" s="108" t="n"/>
      <c r="L746" s="83">
        <f>IF(OR(X746="估算法",X746="算法类",X746="无法识别"),"",IF(V746="",IF(OR(I746="EI",I746="EO",I746="EQ"),0,""),LEN(V746)-LEN(SUBSTITUTE(V746,"、",""))+1))</f>
        <v/>
      </c>
      <c r="M746" s="83">
        <f>IF(OR(X746="估算法",X746="算法类",X746="无法识别"),"",IF(W746="",IF(OR(I746="ILF",I746="EIF"),0,""),LEN(W746)-LEN(SUBSTITUTE(W746,"、",""))+1))</f>
        <v/>
      </c>
      <c r="N746" s="83">
        <f>IF(OR(X746="估算法",X746="算法类",X746="无法识别"),"",IF(X746="",IF(OR(I746="ILF",I746="EIF",I746="EI",I746="EO",I746="EQ"),0,""),LEN(X746)-LEN(SUBSTITUTE(SUBSTITUTE(SUBSTITUTE(SUBSTITUTE(SUBSTITUTE(X746,"|}","--"),"{|","--"),CHAR(10),""),"、",""),"|",""))+IF(AND(OR(I746="EI",I746="EO",I746="EQ"),$AD$1="NESMA"),2,1)))</f>
        <v/>
      </c>
      <c r="O746" s="84">
        <f>IF(I746="EI",IF(OR(X746="估算法",X746="算法类"),"中",IF(X746="无法识别","低",IF(L746&lt;2,IF(N746&lt;16,"低","中"),IF(L746&lt;3,IF(N746&lt;5,"低",IF(N746&lt;16,"中","高")),IF(N746&lt;5,"中","高"))))),IF(OR(I746="EO",I746="EQ"),IF(OR(X746="估算法",X746="算法类"),"中",IF(X746="无法识别","低",IF(L746&lt;2,IF(N746&lt;20,"低","中"),IF(L746&lt;4,IF(N746&lt;6,"低",IF(N746&lt;20,"中","高")),IF(N746&lt;6,"中","高"))))),IF(OR(I746="ILF",I746="EIF"),IF(OR(X746="估算法",X746="算法类",X746="无法识别"),"低",IF(M746&lt;2,IF(N746&lt;51,"低","中"),IF(M746&lt;6,IF(N746&lt;20,"低",IF(N746&lt;51,"中","高")),IF(N746&lt;20,"中","高")))),"不计算")))</f>
        <v/>
      </c>
      <c r="P746" s="142">
        <f>IFERROR(IF(I746="EI",IF(O746="低",3,IF(O746="中",4,6)),IF(I746="EO",IF(O746="低",4,IF(O746="中",5,7)),IF(I746="EQ",IF(O746="低",3,IF(O746="中",4,6)),IF(I746="ILF",IF(O746="低",7,IF(O746="中",10,15)),IF(I746="EIF",IF(O746="低",5,IF(O746="中",7,10)),"不计算")))))*Q746,"不计算")</f>
        <v/>
      </c>
      <c r="Q746" s="142" t="n">
        <v>1</v>
      </c>
      <c r="R746" s="143">
        <f>调整因子!$F$13</f>
        <v/>
      </c>
      <c r="S746" s="76" t="n">
        <v>1</v>
      </c>
      <c r="T746" s="144">
        <f>IFERROR(P746*R746,0)</f>
        <v/>
      </c>
      <c r="U746" s="144">
        <f>T746*S746</f>
        <v/>
      </c>
      <c r="V746" s="88" t="inlineStr">
        <is>
          <t>任务统计对象表、漏管台账记录主表</t>
        </is>
      </c>
      <c r="W746" s="100" t="n"/>
      <c r="X746" s="88" t="inlineStr">
        <is>
          <t>漏管台账记录主表{台账类型编码、记录时间|台账类型编码}
任务统计对象表{|统计周期、台账类型编码、发送数量}</t>
        </is>
      </c>
      <c r="Y746" s="88" t="inlineStr">
        <is>
          <t>表51</t>
        </is>
      </c>
      <c r="Z746" s="88" t="n"/>
    </row>
    <row r="747" ht="15.6" customHeight="1">
      <c r="A747" s="69">
        <f>ROW()-1</f>
        <v/>
      </c>
      <c r="B747" s="53" t="n"/>
      <c r="C747" s="78" t="n">
        <v>2025</v>
      </c>
      <c r="D747" s="78" t="inlineStr">
        <is>
          <t>张明峰</t>
        </is>
      </c>
      <c r="E747" s="53" t="n"/>
      <c r="F747" s="53" t="n"/>
      <c r="G747" s="53" t="n"/>
      <c r="H747" s="81" t="inlineStr">
        <is>
          <t>按指令类型统计本地收发数量</t>
        </is>
      </c>
      <c r="I747" s="76" t="inlineStr">
        <is>
          <t>EO</t>
        </is>
      </c>
      <c r="J747" s="110" t="n"/>
      <c r="K747" s="108" t="n"/>
      <c r="L747" s="83">
        <f>IF(OR(X747="估算法",X747="算法类",X747="无法识别"),"",IF(V747="",IF(OR(I747="EI",I747="EO",I747="EQ"),0,""),LEN(V747)-LEN(SUBSTITUTE(V747,"、",""))+1))</f>
        <v/>
      </c>
      <c r="M747" s="83">
        <f>IF(OR(X747="估算法",X747="算法类",X747="无法识别"),"",IF(W747="",IF(OR(I747="ILF",I747="EIF"),0,""),LEN(W747)-LEN(SUBSTITUTE(W747,"、",""))+1))</f>
        <v/>
      </c>
      <c r="N747" s="83">
        <f>IF(OR(X747="估算法",X747="算法类",X747="无法识别"),"",IF(X747="",IF(OR(I747="ILF",I747="EIF",I747="EI",I747="EO",I747="EQ"),0,""),LEN(X747)-LEN(SUBSTITUTE(SUBSTITUTE(SUBSTITUTE(SUBSTITUTE(SUBSTITUTE(X747,"|}","--"),"{|","--"),CHAR(10),""),"、",""),"|",""))+IF(AND(OR(I747="EI",I747="EO",I747="EQ"),$AD$1="NESMA"),2,1)))</f>
        <v/>
      </c>
      <c r="O747" s="84">
        <f>IF(I747="EI",IF(OR(X747="估算法",X747="算法类"),"中",IF(X747="无法识别","低",IF(L747&lt;2,IF(N747&lt;16,"低","中"),IF(L747&lt;3,IF(N747&lt;5,"低",IF(N747&lt;16,"中","高")),IF(N747&lt;5,"中","高"))))),IF(OR(I747="EO",I747="EQ"),IF(OR(X747="估算法",X747="算法类"),"中",IF(X747="无法识别","低",IF(L747&lt;2,IF(N747&lt;20,"低","中"),IF(L747&lt;4,IF(N747&lt;6,"低",IF(N747&lt;20,"中","高")),IF(N747&lt;6,"中","高"))))),IF(OR(I747="ILF",I747="EIF"),IF(OR(X747="估算法",X747="算法类",X747="无法识别"),"低",IF(M747&lt;2,IF(N747&lt;51,"低","中"),IF(M747&lt;6,IF(N747&lt;20,"低",IF(N747&lt;51,"中","高")),IF(N747&lt;20,"中","高")))),"不计算")))</f>
        <v/>
      </c>
      <c r="P747" s="142">
        <f>IFERROR(IF(I747="EI",IF(O747="低",3,IF(O747="中",4,6)),IF(I747="EO",IF(O747="低",4,IF(O747="中",5,7)),IF(I747="EQ",IF(O747="低",3,IF(O747="中",4,6)),IF(I747="ILF",IF(O747="低",7,IF(O747="中",10,15)),IF(I747="EIF",IF(O747="低",5,IF(O747="中",7,10)),"不计算")))))*Q747,"不计算")</f>
        <v/>
      </c>
      <c r="Q747" s="142" t="n">
        <v>1</v>
      </c>
      <c r="R747" s="143">
        <f>调整因子!$F$13</f>
        <v/>
      </c>
      <c r="S747" s="76" t="n">
        <v>1</v>
      </c>
      <c r="T747" s="144">
        <f>IFERROR(P747*R747,0)</f>
        <v/>
      </c>
      <c r="U747" s="144">
        <f>T747*S747</f>
        <v/>
      </c>
      <c r="V747" s="88" t="inlineStr">
        <is>
          <t>任务统计对象表</t>
        </is>
      </c>
      <c r="W747" s="100" t="n"/>
      <c r="X747" s="88" t="inlineStr">
        <is>
          <t>任务统计对象表{统计周期、指令类型|发送数量、接收数量}</t>
        </is>
      </c>
      <c r="Y747" s="88" t="inlineStr">
        <is>
          <t>表51</t>
        </is>
      </c>
      <c r="Z747" s="88" t="n"/>
    </row>
    <row r="748" ht="21.6" customHeight="1">
      <c r="A748" s="69">
        <f>ROW()-1</f>
        <v/>
      </c>
      <c r="B748" s="53" t="n"/>
      <c r="C748" s="78" t="n">
        <v>2025</v>
      </c>
      <c r="D748" s="78" t="inlineStr">
        <is>
          <t>张明峰</t>
        </is>
      </c>
      <c r="E748" s="53" t="n"/>
      <c r="F748" s="53" t="n"/>
      <c r="G748" s="54" t="n"/>
      <c r="H748" s="81" t="inlineStr">
        <is>
          <t>任务统计对象表</t>
        </is>
      </c>
      <c r="I748" s="76" t="inlineStr">
        <is>
          <t>ILF</t>
        </is>
      </c>
      <c r="J748" s="108" t="n"/>
      <c r="K748" s="108" t="n"/>
      <c r="L748" s="83">
        <f>IF(OR(X748="估算法",X748="算法类",X748="无法识别"),"",IF(V748="",IF(OR(I748="EI",I748="EO",I748="EQ"),0,""),LEN(V748)-LEN(SUBSTITUTE(V748,"、",""))+1))</f>
        <v/>
      </c>
      <c r="M748" s="83">
        <f>IF(OR(X748="估算法",X748="算法类",X748="无法识别"),"",IF(W748="",IF(OR(I748="ILF",I748="EIF"),0,""),LEN(W748)-LEN(SUBSTITUTE(W748,"、",""))+1))</f>
        <v/>
      </c>
      <c r="N748" s="83">
        <f>IF(OR(X748="估算法",X748="算法类",X748="无法识别"),"",IF(X748="",IF(OR(I748="ILF",I748="EIF",I748="EI",I748="EO",I748="EQ"),0,""),LEN(X748)-LEN(SUBSTITUTE(SUBSTITUTE(SUBSTITUTE(SUBSTITUTE(SUBSTITUTE(X748,"|}","--"),"{|","--"),CHAR(10),""),"、",""),"|",""))+IF(AND(OR(I748="EI",I748="EO",I748="EQ"),$AD$1="NESMA"),2,1)))</f>
        <v/>
      </c>
      <c r="O748" s="84">
        <f>IF(I748="EI",IF(OR(X748="估算法",X748="算法类"),"中",IF(X748="无法识别","低",IF(L748&lt;2,IF(N748&lt;16,"低","中"),IF(L748&lt;3,IF(N748&lt;5,"低",IF(N748&lt;16,"中","高")),IF(N748&lt;5,"中","高"))))),IF(OR(I748="EO",I748="EQ"),IF(OR(X748="估算法",X748="算法类"),"中",IF(X748="无法识别","低",IF(L748&lt;2,IF(N748&lt;20,"低","中"),IF(L748&lt;4,IF(N748&lt;6,"低",IF(N748&lt;20,"中","高")),IF(N748&lt;6,"中","高"))))),IF(OR(I748="ILF",I748="EIF"),IF(OR(X748="估算法",X748="算法类",X748="无法识别"),"低",IF(M748&lt;2,IF(N748&lt;51,"低","中"),IF(M748&lt;6,IF(N748&lt;20,"低",IF(N748&lt;51,"中","高")),IF(N748&lt;20,"中","高")))),"不计算")))</f>
        <v/>
      </c>
      <c r="P748" s="142">
        <f>IFERROR(IF(I748="EI",IF(O748="低",3,IF(O748="中",4,6)),IF(I748="EO",IF(O748="低",4,IF(O748="中",5,7)),IF(I748="EQ",IF(O748="低",3,IF(O748="中",4,6)),IF(I748="ILF",IF(O748="低",7,IF(O748="中",10,15)),IF(I748="EIF",IF(O748="低",5,IF(O748="中",7,10)),"不计算")))))*Q748,"不计算")</f>
        <v/>
      </c>
      <c r="Q748" s="142" t="n">
        <v>1</v>
      </c>
      <c r="R748" s="143">
        <f>调整因子!$F$13</f>
        <v/>
      </c>
      <c r="S748" s="70" t="n">
        <v>1</v>
      </c>
      <c r="T748" s="144">
        <f>IFERROR(P748*R748,0)</f>
        <v/>
      </c>
      <c r="U748" s="144">
        <f>T748*S748</f>
        <v/>
      </c>
      <c r="V748" s="89" t="n"/>
      <c r="W748" s="88" t="inlineStr">
        <is>
          <t>任务统计对象表</t>
        </is>
      </c>
      <c r="X748" s="88" t="inlineStr">
        <is>
          <t>任务统计对象表{统计编号、统计周期、台账类型编码、指令类型、发送数量、接收数量}</t>
        </is>
      </c>
      <c r="Y748" s="88" t="inlineStr">
        <is>
          <t>表51</t>
        </is>
      </c>
      <c r="Z748" s="88" t="n"/>
    </row>
    <row r="749" ht="15.6" customHeight="1">
      <c r="A749" s="69">
        <f>ROW()-1</f>
        <v/>
      </c>
      <c r="B749" s="53" t="n"/>
      <c r="C749" s="78" t="n">
        <v>2025</v>
      </c>
      <c r="D749" s="78" t="inlineStr">
        <is>
          <t>张明峰</t>
        </is>
      </c>
      <c r="E749" s="53" t="n"/>
      <c r="F749" s="53" t="n"/>
      <c r="G749" s="81" t="inlineStr">
        <is>
          <t>部侧接口对接</t>
        </is>
      </c>
      <c r="H749" s="81" t="inlineStr">
        <is>
          <t>部侧测试台账查询记录表</t>
        </is>
      </c>
      <c r="I749" s="76" t="inlineStr">
        <is>
          <t>ILF</t>
        </is>
      </c>
      <c r="J749" s="108" t="n"/>
      <c r="K749" s="108" t="n"/>
      <c r="L749" s="83">
        <f>IF(OR(X749="估算法",X749="算法类",X749="无法识别"),"",IF(V749="",IF(OR(I749="EI",I749="EO",I749="EQ"),0,""),LEN(V749)-LEN(SUBSTITUTE(V749,"、",""))+1))</f>
        <v/>
      </c>
      <c r="M749" s="83">
        <f>IF(OR(X749="估算法",X749="算法类",X749="无法识别"),"",IF(W749="",IF(OR(I749="ILF",I749="EIF"),0,""),LEN(W749)-LEN(SUBSTITUTE(W749,"、",""))+1))</f>
        <v/>
      </c>
      <c r="N749" s="83">
        <f>IF(OR(X749="估算法",X749="算法类",X749="无法识别"),"",IF(X749="",IF(OR(I749="ILF",I749="EIF",I749="EI",I749="EO",I749="EQ"),0,""),LEN(X749)-LEN(SUBSTITUTE(SUBSTITUTE(SUBSTITUTE(SUBSTITUTE(SUBSTITUTE(X749,"|}","--"),"{|","--"),CHAR(10),""),"、",""),"|",""))+IF(AND(OR(I749="EI",I749="EO",I749="EQ"),$AD$1="NESMA"),2,1)))</f>
        <v/>
      </c>
      <c r="O749" s="84">
        <f>IF(I749="EI",IF(OR(X749="估算法",X749="算法类"),"中",IF(X749="无法识别","低",IF(L749&lt;2,IF(N749&lt;16,"低","中"),IF(L749&lt;3,IF(N749&lt;5,"低",IF(N749&lt;16,"中","高")),IF(N749&lt;5,"中","高"))))),IF(OR(I749="EO",I749="EQ"),IF(OR(X749="估算法",X749="算法类"),"中",IF(X749="无法识别","低",IF(L749&lt;2,IF(N749&lt;20,"低","中"),IF(L749&lt;4,IF(N749&lt;6,"低",IF(N749&lt;20,"中","高")),IF(N749&lt;6,"中","高"))))),IF(OR(I749="ILF",I749="EIF"),IF(OR(X749="估算法",X749="算法类",X749="无法识别"),"低",IF(M749&lt;2,IF(N749&lt;51,"低","中"),IF(M749&lt;6,IF(N749&lt;20,"低",IF(N749&lt;51,"中","高")),IF(N749&lt;20,"中","高")))),"不计算")))</f>
        <v/>
      </c>
      <c r="P749" s="142">
        <f>IFERROR(IF(I749="EI",IF(O749="低",3,IF(O749="中",4,6)),IF(I749="EO",IF(O749="低",4,IF(O749="中",5,7)),IF(I749="EQ",IF(O749="低",3,IF(O749="中",4,6)),IF(I749="ILF",IF(O749="低",7,IF(O749="中",10,15)),IF(I749="EIF",IF(O749="低",5,IF(O749="中",7,10)),"不计算")))))*Q749,"不计算")</f>
        <v/>
      </c>
      <c r="Q749" s="142" t="n">
        <v>1</v>
      </c>
      <c r="R749" s="143">
        <f>调整因子!$F$13</f>
        <v/>
      </c>
      <c r="S749" s="70" t="n">
        <v>1</v>
      </c>
      <c r="T749" s="144">
        <f>IFERROR(P749*R749,0)</f>
        <v/>
      </c>
      <c r="U749" s="144">
        <f>T749*S749</f>
        <v/>
      </c>
      <c r="V749" s="89" t="n"/>
      <c r="W749" s="88" t="inlineStr">
        <is>
          <t>部侧测试台账查询记录表</t>
        </is>
      </c>
      <c r="X749" s="88" t="inlineStr">
        <is>
          <t>部侧测试台账查询记录表{查询编号、测试类型、查询时间、响应状态、返回条数}</t>
        </is>
      </c>
      <c r="Y749" s="88" t="n"/>
      <c r="Z749" s="88" t="n"/>
    </row>
    <row r="750" ht="15.6" customHeight="1">
      <c r="A750" s="69">
        <f>ROW()-1</f>
        <v/>
      </c>
      <c r="B750" s="53" t="n"/>
      <c r="C750" s="78" t="n">
        <v>2025</v>
      </c>
      <c r="D750" s="78" t="inlineStr">
        <is>
          <t>张明峰</t>
        </is>
      </c>
      <c r="E750" s="53" t="n"/>
      <c r="F750" s="53" t="n"/>
      <c r="G750" s="53" t="n"/>
      <c r="H750" s="81" t="inlineStr">
        <is>
          <t>重试失败的上报批次</t>
        </is>
      </c>
      <c r="I750" s="76" t="inlineStr">
        <is>
          <t>EI</t>
        </is>
      </c>
      <c r="J750" s="108" t="n"/>
      <c r="K750" s="108" t="n"/>
      <c r="L750" s="83">
        <f>IF(OR(X750="估算法",X750="算法类",X750="无法识别"),"",IF(V750="",IF(OR(I750="EI",I750="EO",I750="EQ"),0,""),LEN(V750)-LEN(SUBSTITUTE(V750,"、",""))+1))</f>
        <v/>
      </c>
      <c r="M750" s="83">
        <f>IF(OR(X750="估算法",X750="算法类",X750="无法识别"),"",IF(W750="",IF(OR(I750="ILF",I750="EIF"),0,""),LEN(W750)-LEN(SUBSTITUTE(W750,"、",""))+1))</f>
        <v/>
      </c>
      <c r="N750" s="83">
        <f>IF(OR(X750="估算法",X750="算法类",X750="无法识别"),"",IF(X750="",IF(OR(I750="ILF",I750="EIF",I750="EI",I750="EO",I750="EQ"),0,""),LEN(X750)-LEN(SUBSTITUTE(SUBSTITUTE(SUBSTITUTE(SUBSTITUTE(SUBSTITUTE(X750,"|}","--"),"{|","--"),CHAR(10),""),"、",""),"|",""))+IF(AND(OR(I750="EI",I750="EO",I750="EQ"),$AD$1="NESMA"),2,1)))</f>
        <v/>
      </c>
      <c r="O750" s="84">
        <f>IF(I750="EI",IF(OR(X750="估算法",X750="算法类"),"中",IF(X750="无法识别","低",IF(L750&lt;2,IF(N750&lt;16,"低","中"),IF(L750&lt;3,IF(N750&lt;5,"低",IF(N750&lt;16,"中","高")),IF(N750&lt;5,"中","高"))))),IF(OR(I750="EO",I750="EQ"),IF(OR(X750="估算法",X750="算法类"),"中",IF(X750="无法识别","低",IF(L750&lt;2,IF(N750&lt;20,"低","中"),IF(L750&lt;4,IF(N750&lt;6,"低",IF(N750&lt;20,"中","高")),IF(N750&lt;6,"中","高"))))),IF(OR(I750="ILF",I750="EIF"),IF(OR(X750="估算法",X750="算法类",X750="无法识别"),"低",IF(M750&lt;2,IF(N750&lt;51,"低","中"),IF(M750&lt;6,IF(N750&lt;20,"低",IF(N750&lt;51,"中","高")),IF(N750&lt;20,"中","高")))),"不计算")))</f>
        <v/>
      </c>
      <c r="P750" s="142">
        <f>IFERROR(IF(I750="EI",IF(O750="低",3,IF(O750="中",4,6)),IF(I750="EO",IF(O750="低",4,IF(O750="中",5,7)),IF(I750="EQ",IF(O750="低",3,IF(O750="中",4,6)),IF(I750="ILF",IF(O750="低",7,IF(O750="中",10,15)),IF(I750="EIF",IF(O750="低",5,IF(O750="中",7,10)),"不计算")))))*Q750,"不计算")</f>
        <v/>
      </c>
      <c r="Q750" s="142" t="n">
        <v>1</v>
      </c>
      <c r="R750" s="143">
        <f>调整因子!$F$13</f>
        <v/>
      </c>
      <c r="S750" s="76" t="n">
        <v>1</v>
      </c>
      <c r="T750" s="144">
        <f>IFERROR(P750*R750,0)</f>
        <v/>
      </c>
      <c r="U750" s="144">
        <f>T750*S750</f>
        <v/>
      </c>
      <c r="V750" s="89" t="inlineStr">
        <is>
          <t>台账上报批次表、部侧台账批量上报请求接口文件</t>
        </is>
      </c>
      <c r="W750" s="88" t="n"/>
      <c r="X750" s="88" t="inlineStr">
        <is>
          <t>台账上报批次表{批次编号|上报状态、失败原因}</t>
        </is>
      </c>
      <c r="Y750" s="88" t="n"/>
      <c r="Z750" s="88" t="n"/>
    </row>
    <row r="751" ht="21.6" customHeight="1">
      <c r="A751" s="69">
        <f>ROW()-1</f>
        <v/>
      </c>
      <c r="B751" s="53" t="n"/>
      <c r="C751" s="78" t="n">
        <v>2025</v>
      </c>
      <c r="D751" s="78" t="inlineStr">
        <is>
          <t>张明峰</t>
        </is>
      </c>
      <c r="E751" s="53" t="n"/>
      <c r="F751" s="53" t="n"/>
      <c r="G751" s="54" t="n"/>
      <c r="H751" s="81" t="inlineStr">
        <is>
          <t>解析部侧台账批量上报响应</t>
        </is>
      </c>
      <c r="I751" s="76" t="inlineStr">
        <is>
          <t>EI</t>
        </is>
      </c>
      <c r="J751" s="108" t="n"/>
      <c r="K751" s="108" t="n"/>
      <c r="L751" s="83">
        <f>IF(OR(X751="估算法",X751="算法类",X751="无法识别"),"",IF(V751="",IF(OR(I751="EI",I751="EO",I751="EQ"),0,""),LEN(V751)-LEN(SUBSTITUTE(V751,"、",""))+1))</f>
        <v/>
      </c>
      <c r="M751" s="83">
        <f>IF(OR(X751="估算法",X751="算法类",X751="无法识别"),"",IF(W751="",IF(OR(I751="ILF",I751="EIF"),0,""),LEN(W751)-LEN(SUBSTITUTE(W751,"、",""))+1))</f>
        <v/>
      </c>
      <c r="N751" s="83">
        <f>IF(OR(X751="估算法",X751="算法类",X751="无法识别"),"",IF(X751="",IF(OR(I751="ILF",I751="EIF",I751="EI",I751="EO",I751="EQ"),0,""),LEN(X751)-LEN(SUBSTITUTE(SUBSTITUTE(SUBSTITUTE(SUBSTITUTE(SUBSTITUTE(X751,"|}","--"),"{|","--"),CHAR(10),""),"、",""),"|",""))+IF(AND(OR(I751="EI",I751="EO",I751="EQ"),$AD$1="NESMA"),2,1)))</f>
        <v/>
      </c>
      <c r="O751" s="84">
        <f>IF(I751="EI",IF(OR(X751="估算法",X751="算法类"),"中",IF(X751="无法识别","低",IF(L751&lt;2,IF(N751&lt;16,"低","中"),IF(L751&lt;3,IF(N751&lt;5,"低",IF(N751&lt;16,"中","高")),IF(N751&lt;5,"中","高"))))),IF(OR(I751="EO",I751="EQ"),IF(OR(X751="估算法",X751="算法类"),"中",IF(X751="无法识别","低",IF(L751&lt;2,IF(N751&lt;20,"低","中"),IF(L751&lt;4,IF(N751&lt;6,"低",IF(N751&lt;20,"中","高")),IF(N751&lt;6,"中","高"))))),IF(OR(I751="ILF",I751="EIF"),IF(OR(X751="估算法",X751="算法类",X751="无法识别"),"低",IF(M751&lt;2,IF(N751&lt;51,"低","中"),IF(M751&lt;6,IF(N751&lt;20,"低",IF(N751&lt;51,"中","高")),IF(N751&lt;20,"中","高")))),"不计算")))</f>
        <v/>
      </c>
      <c r="P751" s="142">
        <f>IFERROR(IF(I751="EI",IF(O751="低",3,IF(O751="中",4,6)),IF(I751="EO",IF(O751="低",4,IF(O751="中",5,7)),IF(I751="EQ",IF(O751="低",3,IF(O751="中",4,6)),IF(I751="ILF",IF(O751="低",7,IF(O751="中",10,15)),IF(I751="EIF",IF(O751="低",5,IF(O751="中",7,10)),"不计算")))))*Q751,"不计算")</f>
        <v/>
      </c>
      <c r="Q751" s="142" t="n">
        <v>1</v>
      </c>
      <c r="R751" s="143">
        <f>调整因子!$F$13</f>
        <v/>
      </c>
      <c r="S751" s="70" t="n">
        <v>1</v>
      </c>
      <c r="T751" s="144">
        <f>IFERROR(P751*R751,0)</f>
        <v/>
      </c>
      <c r="U751" s="144">
        <f>T751*S751</f>
        <v/>
      </c>
      <c r="V751" s="89" t="inlineStr">
        <is>
          <t>部侧台账批量上报响应接口文件、台账上报历史表</t>
        </is>
      </c>
      <c r="W751" s="88" t="n"/>
      <c r="X751" s="88" t="inlineStr">
        <is>
          <t>部侧台账批量上报响应接口文件{文件编号|响应码、响应说明}
台账上报历史表{批次编号|响应码}</t>
        </is>
      </c>
      <c r="Y751" s="88" t="n"/>
      <c r="Z751" s="88" t="n"/>
    </row>
    <row r="752" ht="21.6" customHeight="1">
      <c r="A752" s="69">
        <f>ROW()-1</f>
        <v/>
      </c>
      <c r="B752" s="53" t="n"/>
      <c r="C752" s="78" t="n">
        <v>2025</v>
      </c>
      <c r="D752" s="78" t="inlineStr">
        <is>
          <t>张明峰</t>
        </is>
      </c>
      <c r="E752" s="53" t="n"/>
      <c r="F752" s="53" t="n"/>
      <c r="G752" s="81" t="inlineStr">
        <is>
          <t>漏管平台系统台账</t>
        </is>
      </c>
      <c r="H752" s="81" t="inlineStr">
        <is>
          <t>采集登录与管理操作生成维护类台账</t>
        </is>
      </c>
      <c r="I752" s="76" t="inlineStr">
        <is>
          <t>EI</t>
        </is>
      </c>
      <c r="J752" s="108" t="n"/>
      <c r="K752" s="108" t="n"/>
      <c r="L752" s="83">
        <f>IF(OR(X752="估算法",X752="算法类",X752="无法识别"),"",IF(V752="",IF(OR(I752="EI",I752="EO",I752="EQ"),0,""),LEN(V752)-LEN(SUBSTITUTE(V752,"、",""))+1))</f>
        <v/>
      </c>
      <c r="M752" s="83">
        <f>IF(OR(X752="估算法",X752="算法类",X752="无法识别"),"",IF(W752="",IF(OR(I752="ILF",I752="EIF"),0,""),LEN(W752)-LEN(SUBSTITUTE(W752,"、",""))+1))</f>
        <v/>
      </c>
      <c r="N752" s="83">
        <f>IF(OR(X752="估算法",X752="算法类",X752="无法识别"),"",IF(X752="",IF(OR(I752="ILF",I752="EIF",I752="EI",I752="EO",I752="EQ"),0,""),LEN(X752)-LEN(SUBSTITUTE(SUBSTITUTE(SUBSTITUTE(SUBSTITUTE(SUBSTITUTE(X752,"|}","--"),"{|","--"),CHAR(10),""),"、",""),"|",""))+IF(AND(OR(I752="EI",I752="EO",I752="EQ"),$AD$1="NESMA"),2,1)))</f>
        <v/>
      </c>
      <c r="O752" s="84">
        <f>IF(I752="EI",IF(OR(X752="估算法",X752="算法类"),"中",IF(X752="无法识别","低",IF(L752&lt;2,IF(N752&lt;16,"低","中"),IF(L752&lt;3,IF(N752&lt;5,"低",IF(N752&lt;16,"中","高")),IF(N752&lt;5,"中","高"))))),IF(OR(I752="EO",I752="EQ"),IF(OR(X752="估算法",X752="算法类"),"中",IF(X752="无法识别","低",IF(L752&lt;2,IF(N752&lt;20,"低","中"),IF(L752&lt;4,IF(N752&lt;6,"低",IF(N752&lt;20,"中","高")),IF(N752&lt;6,"中","高"))))),IF(OR(I752="ILF",I752="EIF"),IF(OR(X752="估算法",X752="算法类",X752="无法识别"),"低",IF(M752&lt;2,IF(N752&lt;51,"低","中"),IF(M752&lt;6,IF(N752&lt;20,"低",IF(N752&lt;51,"中","高")),IF(N752&lt;20,"中","高")))),"不计算")))</f>
        <v/>
      </c>
      <c r="P752" s="142">
        <f>IFERROR(IF(I752="EI",IF(O752="低",3,IF(O752="中",4,6)),IF(I752="EO",IF(O752="低",4,IF(O752="中",5,7)),IF(I752="EQ",IF(O752="低",3,IF(O752="中",4,6)),IF(I752="ILF",IF(O752="低",7,IF(O752="中",10,15)),IF(I752="EIF",IF(O752="低",5,IF(O752="中",7,10)),"不计算")))))*Q752,"不计算")</f>
        <v/>
      </c>
      <c r="Q752" s="142" t="n">
        <v>1</v>
      </c>
      <c r="R752" s="143">
        <f>调整因子!$F$13</f>
        <v/>
      </c>
      <c r="S752" s="70" t="n">
        <v>1</v>
      </c>
      <c r="T752" s="144">
        <f>IFERROR(P752*R752,0)</f>
        <v/>
      </c>
      <c r="U752" s="144">
        <f>T752*S752</f>
        <v/>
      </c>
      <c r="V752" s="89" t="inlineStr">
        <is>
          <t>漏管平台维护台账表</t>
        </is>
      </c>
      <c r="W752" s="88" t="n"/>
      <c r="X752" s="88" t="inlineStr">
        <is>
          <t>漏管平台维护台账表{登录账号、登录地址、设备哈希、操作动作|台账记录编号、台账类型编码、记录时间}</t>
        </is>
      </c>
      <c r="Y752" s="88" t="inlineStr">
        <is>
          <t>类型1010</t>
        </is>
      </c>
      <c r="Z752" s="88" t="n"/>
    </row>
    <row r="753" ht="21.6" customHeight="1">
      <c r="A753" s="69">
        <f>ROW()-1</f>
        <v/>
      </c>
      <c r="B753" s="53" t="n"/>
      <c r="C753" s="78" t="n">
        <v>2025</v>
      </c>
      <c r="D753" s="78" t="inlineStr">
        <is>
          <t>张明峰</t>
        </is>
      </c>
      <c r="E753" s="53" t="n"/>
      <c r="F753" s="53" t="n"/>
      <c r="G753" s="53" t="n"/>
      <c r="H753" s="81" t="inlineStr">
        <is>
          <t>定时采集时钟同步生成运行类台账</t>
        </is>
      </c>
      <c r="I753" s="76" t="inlineStr">
        <is>
          <t>EI</t>
        </is>
      </c>
      <c r="J753" s="108" t="n"/>
      <c r="K753" s="108" t="n"/>
      <c r="L753" s="83">
        <f>IF(OR(X753="估算法",X753="算法类",X753="无法识别"),"",IF(V753="",IF(OR(I753="EI",I753="EO",I753="EQ"),0,""),LEN(V753)-LEN(SUBSTITUTE(V753,"、",""))+1))</f>
        <v/>
      </c>
      <c r="M753" s="83">
        <f>IF(OR(X753="估算法",X753="算法类",X753="无法识别"),"",IF(W753="",IF(OR(I753="ILF",I753="EIF"),0,""),LEN(W753)-LEN(SUBSTITUTE(W753,"、",""))+1))</f>
        <v/>
      </c>
      <c r="N753" s="83">
        <f>IF(OR(X753="估算法",X753="算法类",X753="无法识别"),"",IF(X753="",IF(OR(I753="ILF",I753="EIF",I753="EI",I753="EO",I753="EQ"),0,""),LEN(X753)-LEN(SUBSTITUTE(SUBSTITUTE(SUBSTITUTE(SUBSTITUTE(SUBSTITUTE(X753,"|}","--"),"{|","--"),CHAR(10),""),"、",""),"|",""))+IF(AND(OR(I753="EI",I753="EO",I753="EQ"),$AD$1="NESMA"),2,1)))</f>
        <v/>
      </c>
      <c r="O753" s="84">
        <f>IF(I753="EI",IF(OR(X753="估算法",X753="算法类"),"中",IF(X753="无法识别","低",IF(L753&lt;2,IF(N753&lt;16,"低","中"),IF(L753&lt;3,IF(N753&lt;5,"低",IF(N753&lt;16,"中","高")),IF(N753&lt;5,"中","高"))))),IF(OR(I753="EO",I753="EQ"),IF(OR(X753="估算法",X753="算法类"),"中",IF(X753="无法识别","低",IF(L753&lt;2,IF(N753&lt;20,"低","中"),IF(L753&lt;4,IF(N753&lt;6,"低",IF(N753&lt;20,"中","高")),IF(N753&lt;6,"中","高"))))),IF(OR(I753="ILF",I753="EIF"),IF(OR(X753="估算法",X753="算法类",X753="无法识别"),"低",IF(M753&lt;2,IF(N753&lt;51,"低","中"),IF(M753&lt;6,IF(N753&lt;20,"低",IF(N753&lt;51,"中","高")),IF(N753&lt;20,"中","高")))),"不计算")))</f>
        <v/>
      </c>
      <c r="P753" s="142">
        <f>IFERROR(IF(I753="EI",IF(O753="低",3,IF(O753="中",4,6)),IF(I753="EO",IF(O753="低",4,IF(O753="中",5,7)),IF(I753="EQ",IF(O753="低",3,IF(O753="中",4,6)),IF(I753="ILF",IF(O753="低",7,IF(O753="中",10,15)),IF(I753="EIF",IF(O753="低",5,IF(O753="中",7,10)),"不计算")))))*Q753,"不计算")</f>
        <v/>
      </c>
      <c r="Q753" s="142" t="n">
        <v>1</v>
      </c>
      <c r="R753" s="143">
        <f>调整因子!$F$13</f>
        <v/>
      </c>
      <c r="S753" s="76" t="n">
        <v>1</v>
      </c>
      <c r="T753" s="144">
        <f>IFERROR(P753*R753,0)</f>
        <v/>
      </c>
      <c r="U753" s="144">
        <f>T753*S753</f>
        <v/>
      </c>
      <c r="V753" s="88" t="inlineStr">
        <is>
          <t>漏管平台运行台账表</t>
        </is>
      </c>
      <c r="W753" s="100" t="n"/>
      <c r="X753" s="88" t="inlineStr">
        <is>
          <t>漏管平台运行台账表{时钟同步状态、时钟同步来源、设备哈希|台账记录编号、台账类型编码、记录时间}</t>
        </is>
      </c>
      <c r="Y753" s="88" t="inlineStr">
        <is>
          <t>类型1000，每10分钟</t>
        </is>
      </c>
      <c r="Z753" s="88" t="n"/>
    </row>
    <row r="754" ht="21.6" customHeight="1">
      <c r="A754" s="69">
        <f>ROW()-1</f>
        <v/>
      </c>
      <c r="B754" s="53" t="n"/>
      <c r="C754" s="78" t="n">
        <v>2025</v>
      </c>
      <c r="D754" s="78" t="inlineStr">
        <is>
          <t>张明峰</t>
        </is>
      </c>
      <c r="E754" s="53" t="n"/>
      <c r="F754" s="53" t="n"/>
      <c r="G754" s="53" t="n"/>
      <c r="H754" s="81" t="inlineStr">
        <is>
          <t>将运行类台账纳入批量上报</t>
        </is>
      </c>
      <c r="I754" s="76" t="inlineStr">
        <is>
          <t>EO</t>
        </is>
      </c>
      <c r="J754" s="108" t="n"/>
      <c r="K754" s="108" t="n"/>
      <c r="L754" s="83">
        <f>IF(OR(X754="估算法",X754="算法类",X754="无法识别"),"",IF(V754="",IF(OR(I754="EI",I754="EO",I754="EQ"),0,""),LEN(V754)-LEN(SUBSTITUTE(V754,"、",""))+1))</f>
        <v/>
      </c>
      <c r="M754" s="83">
        <f>IF(OR(X754="估算法",X754="算法类",X754="无法识别"),"",IF(W754="",IF(OR(I754="ILF",I754="EIF"),0,""),LEN(W754)-LEN(SUBSTITUTE(W754,"、",""))+1))</f>
        <v/>
      </c>
      <c r="N754" s="83">
        <f>IF(OR(X754="估算法",X754="算法类",X754="无法识别"),"",IF(X754="",IF(OR(I754="ILF",I754="EIF",I754="EI",I754="EO",I754="EQ"),0,""),LEN(X754)-LEN(SUBSTITUTE(SUBSTITUTE(SUBSTITUTE(SUBSTITUTE(SUBSTITUTE(X754,"|}","--"),"{|","--"),CHAR(10),""),"、",""),"|",""))+IF(AND(OR(I754="EI",I754="EO",I754="EQ"),$AD$1="NESMA"),2,1)))</f>
        <v/>
      </c>
      <c r="O754" s="84">
        <f>IF(I754="EI",IF(OR(X754="估算法",X754="算法类"),"中",IF(X754="无法识别","低",IF(L754&lt;2,IF(N754&lt;16,"低","中"),IF(L754&lt;3,IF(N754&lt;5,"低",IF(N754&lt;16,"中","高")),IF(N754&lt;5,"中","高"))))),IF(OR(I754="EO",I754="EQ"),IF(OR(X754="估算法",X754="算法类"),"中",IF(X754="无法识别","低",IF(L754&lt;2,IF(N754&lt;20,"低","中"),IF(L754&lt;4,IF(N754&lt;6,"低",IF(N754&lt;20,"中","高")),IF(N754&lt;6,"中","高"))))),IF(OR(I754="ILF",I754="EIF"),IF(OR(X754="估算法",X754="算法类",X754="无法识别"),"低",IF(M754&lt;2,IF(N754&lt;51,"低","中"),IF(M754&lt;6,IF(N754&lt;20,"低",IF(N754&lt;51,"中","高")),IF(N754&lt;20,"中","高")))),"不计算")))</f>
        <v/>
      </c>
      <c r="P754" s="142">
        <f>IFERROR(IF(I754="EI",IF(O754="低",3,IF(O754="中",4,6)),IF(I754="EO",IF(O754="低",4,IF(O754="中",5,7)),IF(I754="EQ",IF(O754="低",3,IF(O754="中",4,6)),IF(I754="ILF",IF(O754="低",7,IF(O754="中",10,15)),IF(I754="EIF",IF(O754="低",5,IF(O754="中",7,10)),"不计算")))))*Q754,"不计算")</f>
        <v/>
      </c>
      <c r="Q754" s="142" t="n">
        <v>1</v>
      </c>
      <c r="R754" s="143">
        <f>调整因子!$F$13</f>
        <v/>
      </c>
      <c r="S754" s="76" t="n">
        <v>1</v>
      </c>
      <c r="T754" s="144">
        <f>IFERROR(P754*R754,0)</f>
        <v/>
      </c>
      <c r="U754" s="144">
        <f>T754*S754</f>
        <v/>
      </c>
      <c r="V754" s="88" t="inlineStr">
        <is>
          <t>漏管平台运行台账表、漏管台账记录主表</t>
        </is>
      </c>
      <c r="W754" s="100" t="n"/>
      <c r="X754" s="88" t="inlineStr">
        <is>
          <t>漏管平台运行台账表{台账记录编号|上报状态}
漏管台账记录主表{|台账记录编号、台账类型编码}</t>
        </is>
      </c>
      <c r="Y754" s="88" t="n"/>
      <c r="Z754" s="88" t="n"/>
    </row>
    <row r="755" ht="15.6" customHeight="1">
      <c r="A755" s="69">
        <f>ROW()-1</f>
        <v/>
      </c>
      <c r="B755" s="53" t="n"/>
      <c r="C755" s="78" t="n">
        <v>2025</v>
      </c>
      <c r="D755" s="78" t="inlineStr">
        <is>
          <t>张明峰</t>
        </is>
      </c>
      <c r="E755" s="53" t="n"/>
      <c r="F755" s="53" t="n"/>
      <c r="G755" s="53" t="n"/>
      <c r="H755" s="81" t="inlineStr">
        <is>
          <t>查询漏管平台维护类台账</t>
        </is>
      </c>
      <c r="I755" s="76" t="inlineStr">
        <is>
          <t>EQ</t>
        </is>
      </c>
      <c r="J755" s="108" t="n"/>
      <c r="K755" s="108" t="n"/>
      <c r="L755" s="83">
        <f>IF(OR(X755="估算法",X755="算法类",X755="无法识别"),"",IF(V755="",IF(OR(I755="EI",I755="EO",I755="EQ"),0,""),LEN(V755)-LEN(SUBSTITUTE(V755,"、",""))+1))</f>
        <v/>
      </c>
      <c r="M755" s="83">
        <f>IF(OR(X755="估算法",X755="算法类",X755="无法识别"),"",IF(W755="",IF(OR(I755="ILF",I755="EIF"),0,""),LEN(W755)-LEN(SUBSTITUTE(W755,"、",""))+1))</f>
        <v/>
      </c>
      <c r="N755" s="83">
        <f>IF(OR(X755="估算法",X755="算法类",X755="无法识别"),"",IF(X755="",IF(OR(I755="ILF",I755="EIF",I755="EI",I755="EO",I755="EQ"),0,""),LEN(X755)-LEN(SUBSTITUTE(SUBSTITUTE(SUBSTITUTE(SUBSTITUTE(SUBSTITUTE(X755,"|}","--"),"{|","--"),CHAR(10),""),"、",""),"|",""))+IF(AND(OR(I755="EI",I755="EO",I755="EQ"),$AD$1="NESMA"),2,1)))</f>
        <v/>
      </c>
      <c r="O755" s="84">
        <f>IF(I755="EI",IF(OR(X755="估算法",X755="算法类"),"中",IF(X755="无法识别","低",IF(L755&lt;2,IF(N755&lt;16,"低","中"),IF(L755&lt;3,IF(N755&lt;5,"低",IF(N755&lt;16,"中","高")),IF(N755&lt;5,"中","高"))))),IF(OR(I755="EO",I755="EQ"),IF(OR(X755="估算法",X755="算法类"),"中",IF(X755="无法识别","低",IF(L755&lt;2,IF(N755&lt;20,"低","中"),IF(L755&lt;4,IF(N755&lt;6,"低",IF(N755&lt;20,"中","高")),IF(N755&lt;6,"中","高"))))),IF(OR(I755="ILF",I755="EIF"),IF(OR(X755="估算法",X755="算法类",X755="无法识别"),"低",IF(M755&lt;2,IF(N755&lt;51,"低","中"),IF(M755&lt;6,IF(N755&lt;20,"低",IF(N755&lt;51,"中","高")),IF(N755&lt;20,"中","高")))),"不计算")))</f>
        <v/>
      </c>
      <c r="P755" s="142">
        <f>IFERROR(IF(I755="EI",IF(O755="低",3,IF(O755="中",4,6)),IF(I755="EO",IF(O755="低",4,IF(O755="中",5,7)),IF(I755="EQ",IF(O755="低",3,IF(O755="中",4,6)),IF(I755="ILF",IF(O755="低",7,IF(O755="中",10,15)),IF(I755="EIF",IF(O755="低",5,IF(O755="中",7,10)),"不计算")))))*Q755,"不计算")</f>
        <v/>
      </c>
      <c r="Q755" s="142" t="n">
        <v>1</v>
      </c>
      <c r="R755" s="143">
        <f>调整因子!$F$13</f>
        <v/>
      </c>
      <c r="S755" s="70" t="n">
        <v>1</v>
      </c>
      <c r="T755" s="144">
        <f>IFERROR(P755*R755,0)</f>
        <v/>
      </c>
      <c r="U755" s="144">
        <f>T755*S755</f>
        <v/>
      </c>
      <c r="V755" s="88" t="inlineStr">
        <is>
          <t>漏管平台维护台账表</t>
        </is>
      </c>
      <c r="W755" s="100" t="n"/>
      <c r="X755" s="88" t="inlineStr">
        <is>
          <t>漏管平台维护台账表{记录时间、登录账号|台账记录编号、操作动作、操作说明}</t>
        </is>
      </c>
      <c r="Y755" s="88" t="n"/>
      <c r="Z755" s="88" t="n"/>
    </row>
    <row r="756" ht="15.6" customHeight="1">
      <c r="A756" s="69">
        <f>ROW()-1</f>
        <v/>
      </c>
      <c r="B756" s="53" t="n"/>
      <c r="C756" s="78" t="n">
        <v>2025</v>
      </c>
      <c r="D756" s="78" t="inlineStr">
        <is>
          <t>张明峰</t>
        </is>
      </c>
      <c r="E756" s="53" t="n"/>
      <c r="F756" s="53" t="n"/>
      <c r="G756" s="53" t="n"/>
      <c r="H756" s="81" t="inlineStr">
        <is>
          <t>查看漏管平台维护类台账摘要</t>
        </is>
      </c>
      <c r="I756" s="76" t="inlineStr">
        <is>
          <t>EQ</t>
        </is>
      </c>
      <c r="J756" s="108" t="n"/>
      <c r="K756" s="108" t="n"/>
      <c r="L756" s="83">
        <f>IF(OR(X756="估算法",X756="算法类",X756="无法识别"),"",IF(V756="",IF(OR(I756="EI",I756="EO",I756="EQ"),0,""),LEN(V756)-LEN(SUBSTITUTE(V756,"、",""))+1))</f>
        <v/>
      </c>
      <c r="M756" s="83">
        <f>IF(OR(X756="估算法",X756="算法类",X756="无法识别"),"",IF(W756="",IF(OR(I756="ILF",I756="EIF"),0,""),LEN(W756)-LEN(SUBSTITUTE(W756,"、",""))+1))</f>
        <v/>
      </c>
      <c r="N756" s="83">
        <f>IF(OR(X756="估算法",X756="算法类",X756="无法识别"),"",IF(X756="",IF(OR(I756="ILF",I756="EIF",I756="EI",I756="EO",I756="EQ"),0,""),LEN(X756)-LEN(SUBSTITUTE(SUBSTITUTE(SUBSTITUTE(SUBSTITUTE(SUBSTITUTE(X756,"|}","--"),"{|","--"),CHAR(10),""),"、",""),"|",""))+IF(AND(OR(I756="EI",I756="EO",I756="EQ"),$AD$1="NESMA"),2,1)))</f>
        <v/>
      </c>
      <c r="O756" s="84">
        <f>IF(I756="EI",IF(OR(X756="估算法",X756="算法类"),"中",IF(X756="无法识别","低",IF(L756&lt;2,IF(N756&lt;16,"低","中"),IF(L756&lt;3,IF(N756&lt;5,"低",IF(N756&lt;16,"中","高")),IF(N756&lt;5,"中","高"))))),IF(OR(I756="EO",I756="EQ"),IF(OR(X756="估算法",X756="算法类"),"中",IF(X756="无法识别","低",IF(L756&lt;2,IF(N756&lt;20,"低","中"),IF(L756&lt;4,IF(N756&lt;6,"低",IF(N756&lt;20,"中","高")),IF(N756&lt;6,"中","高"))))),IF(OR(I756="ILF",I756="EIF"),IF(OR(X756="估算法",X756="算法类",X756="无法识别"),"低",IF(M756&lt;2,IF(N756&lt;51,"低","中"),IF(M756&lt;6,IF(N756&lt;20,"低",IF(N756&lt;51,"中","高")),IF(N756&lt;20,"中","高")))),"不计算")))</f>
        <v/>
      </c>
      <c r="P756" s="142">
        <f>IFERROR(IF(I756="EI",IF(O756="低",3,IF(O756="中",4,6)),IF(I756="EO",IF(O756="低",4,IF(O756="中",5,7)),IF(I756="EQ",IF(O756="低",3,IF(O756="中",4,6)),IF(I756="ILF",IF(O756="低",7,IF(O756="中",10,15)),IF(I756="EIF",IF(O756="低",5,IF(O756="中",7,10)),"不计算")))))*Q756,"不计算")</f>
        <v/>
      </c>
      <c r="Q756" s="142" t="n">
        <v>1</v>
      </c>
      <c r="R756" s="143">
        <f>调整因子!$F$13</f>
        <v/>
      </c>
      <c r="S756" s="70" t="n">
        <v>1</v>
      </c>
      <c r="T756" s="144">
        <f>IFERROR(P756*R756,0)</f>
        <v/>
      </c>
      <c r="U756" s="144">
        <f>T756*S756</f>
        <v/>
      </c>
      <c r="V756" s="88" t="inlineStr">
        <is>
          <t>漏管平台维护台账表</t>
        </is>
      </c>
      <c r="W756" s="100" t="n"/>
      <c r="X756" s="88" t="inlineStr">
        <is>
          <t>漏管平台维护台账表{台账记录编号|台账类型编码、记录时间、操作动作}</t>
        </is>
      </c>
      <c r="Y756" s="88" t="n"/>
      <c r="Z756" s="88" t="n"/>
    </row>
    <row r="757" ht="15.6" customHeight="1">
      <c r="A757" s="69">
        <f>ROW()-1</f>
        <v/>
      </c>
      <c r="B757" s="53" t="n"/>
      <c r="C757" s="78" t="n">
        <v>2025</v>
      </c>
      <c r="D757" s="78" t="inlineStr">
        <is>
          <t>张明峰</t>
        </is>
      </c>
      <c r="E757" s="53" t="n"/>
      <c r="F757" s="53" t="n"/>
      <c r="G757" s="53" t="n"/>
      <c r="H757" s="81" t="inlineStr">
        <is>
          <t>导出漏管平台维护类台账</t>
        </is>
      </c>
      <c r="I757" s="76" t="inlineStr">
        <is>
          <t>EO</t>
        </is>
      </c>
      <c r="J757" s="108" t="n"/>
      <c r="K757" s="108" t="n"/>
      <c r="L757" s="83">
        <f>IF(OR(X757="估算法",X757="算法类",X757="无法识别"),"",IF(V757="",IF(OR(I757="EI",I757="EO",I757="EQ"),0,""),LEN(V757)-LEN(SUBSTITUTE(V757,"、",""))+1))</f>
        <v/>
      </c>
      <c r="M757" s="83">
        <f>IF(OR(X757="估算法",X757="算法类",X757="无法识别"),"",IF(W757="",IF(OR(I757="ILF",I757="EIF"),0,""),LEN(W757)-LEN(SUBSTITUTE(W757,"、",""))+1))</f>
        <v/>
      </c>
      <c r="N757" s="83">
        <f>IF(OR(X757="估算法",X757="算法类",X757="无法识别"),"",IF(X757="",IF(OR(I757="ILF",I757="EIF",I757="EI",I757="EO",I757="EQ"),0,""),LEN(X757)-LEN(SUBSTITUTE(SUBSTITUTE(SUBSTITUTE(SUBSTITUTE(SUBSTITUTE(X757,"|}","--"),"{|","--"),CHAR(10),""),"、",""),"|",""))+IF(AND(OR(I757="EI",I757="EO",I757="EQ"),$AD$1="NESMA"),2,1)))</f>
        <v/>
      </c>
      <c r="O757" s="84">
        <f>IF(I757="EI",IF(OR(X757="估算法",X757="算法类"),"中",IF(X757="无法识别","低",IF(L757&lt;2,IF(N757&lt;16,"低","中"),IF(L757&lt;3,IF(N757&lt;5,"低",IF(N757&lt;16,"中","高")),IF(N757&lt;5,"中","高"))))),IF(OR(I757="EO",I757="EQ"),IF(OR(X757="估算法",X757="算法类"),"中",IF(X757="无法识别","低",IF(L757&lt;2,IF(N757&lt;20,"低","中"),IF(L757&lt;4,IF(N757&lt;6,"低",IF(N757&lt;20,"中","高")),IF(N757&lt;6,"中","高"))))),IF(OR(I757="ILF",I757="EIF"),IF(OR(X757="估算法",X757="算法类",X757="无法识别"),"低",IF(M757&lt;2,IF(N757&lt;51,"低","中"),IF(M757&lt;6,IF(N757&lt;20,"低",IF(N757&lt;51,"中","高")),IF(N757&lt;20,"中","高")))),"不计算")))</f>
        <v/>
      </c>
      <c r="P757" s="142">
        <f>IFERROR(IF(I757="EI",IF(O757="低",3,IF(O757="中",4,6)),IF(I757="EO",IF(O757="低",4,IF(O757="中",5,7)),IF(I757="EQ",IF(O757="低",3,IF(O757="中",4,6)),IF(I757="ILF",IF(O757="低",7,IF(O757="中",10,15)),IF(I757="EIF",IF(O757="低",5,IF(O757="中",7,10)),"不计算")))))*Q757,"不计算")</f>
        <v/>
      </c>
      <c r="Q757" s="142" t="n">
        <v>1</v>
      </c>
      <c r="R757" s="143">
        <f>调整因子!$F$13</f>
        <v/>
      </c>
      <c r="S757" s="76" t="n">
        <v>1</v>
      </c>
      <c r="T757" s="144">
        <f>IFERROR(P757*R757,0)</f>
        <v/>
      </c>
      <c r="U757" s="144">
        <f>T757*S757</f>
        <v/>
      </c>
      <c r="V757" s="88" t="inlineStr">
        <is>
          <t>漏管平台维护台账表</t>
        </is>
      </c>
      <c r="W757" s="100" t="n"/>
      <c r="X757" s="88" t="inlineStr">
        <is>
          <t>漏管平台维护台账表{记录时间|导出文件路径}</t>
        </is>
      </c>
      <c r="Y757" s="88" t="n"/>
      <c r="Z757" s="88" t="n"/>
    </row>
    <row r="758" ht="21.6" customHeight="1">
      <c r="A758" s="69">
        <f>ROW()-1</f>
        <v/>
      </c>
      <c r="B758" s="53" t="n"/>
      <c r="C758" s="78" t="n">
        <v>2025</v>
      </c>
      <c r="D758" s="78" t="inlineStr">
        <is>
          <t>张明峰</t>
        </is>
      </c>
      <c r="E758" s="53" t="n"/>
      <c r="F758" s="53" t="n"/>
      <c r="G758" s="53" t="n"/>
      <c r="H758" s="81" t="inlineStr">
        <is>
          <t>漏管平台维护台账表</t>
        </is>
      </c>
      <c r="I758" s="76" t="inlineStr">
        <is>
          <t>ILF</t>
        </is>
      </c>
      <c r="J758" s="108" t="n"/>
      <c r="K758" s="108" t="n"/>
      <c r="L758" s="83">
        <f>IF(OR(X758="估算法",X758="算法类",X758="无法识别"),"",IF(V758="",IF(OR(I758="EI",I758="EO",I758="EQ"),0,""),LEN(V758)-LEN(SUBSTITUTE(V758,"、",""))+1))</f>
        <v/>
      </c>
      <c r="M758" s="83">
        <f>IF(OR(X758="估算法",X758="算法类",X758="无法识别"),"",IF(W758="",IF(OR(I758="ILF",I758="EIF"),0,""),LEN(W758)-LEN(SUBSTITUTE(W758,"、",""))+1))</f>
        <v/>
      </c>
      <c r="N758" s="83">
        <f>IF(OR(X758="估算法",X758="算法类",X758="无法识别"),"",IF(X758="",IF(OR(I758="ILF",I758="EIF",I758="EI",I758="EO",I758="EQ"),0,""),LEN(X758)-LEN(SUBSTITUTE(SUBSTITUTE(SUBSTITUTE(SUBSTITUTE(SUBSTITUTE(X758,"|}","--"),"{|","--"),CHAR(10),""),"、",""),"|",""))+IF(AND(OR(I758="EI",I758="EO",I758="EQ"),$AD$1="NESMA"),2,1)))</f>
        <v/>
      </c>
      <c r="O758" s="84">
        <f>IF(I758="EI",IF(OR(X758="估算法",X758="算法类"),"中",IF(X758="无法识别","低",IF(L758&lt;2,IF(N758&lt;16,"低","中"),IF(L758&lt;3,IF(N758&lt;5,"低",IF(N758&lt;16,"中","高")),IF(N758&lt;5,"中","高"))))),IF(OR(I758="EO",I758="EQ"),IF(OR(X758="估算法",X758="算法类"),"中",IF(X758="无法识别","低",IF(L758&lt;2,IF(N758&lt;20,"低","中"),IF(L758&lt;4,IF(N758&lt;6,"低",IF(N758&lt;20,"中","高")),IF(N758&lt;6,"中","高"))))),IF(OR(I758="ILF",I758="EIF"),IF(OR(X758="估算法",X758="算法类",X758="无法识别"),"低",IF(M758&lt;2,IF(N758&lt;51,"低","中"),IF(M758&lt;6,IF(N758&lt;20,"低",IF(N758&lt;51,"中","高")),IF(N758&lt;20,"中","高")))),"不计算")))</f>
        <v/>
      </c>
      <c r="P758" s="142">
        <f>IFERROR(IF(I758="EI",IF(O758="低",3,IF(O758="中",4,6)),IF(I758="EO",IF(O758="低",4,IF(O758="中",5,7)),IF(I758="EQ",IF(O758="低",3,IF(O758="中",4,6)),IF(I758="ILF",IF(O758="低",7,IF(O758="中",10,15)),IF(I758="EIF",IF(O758="低",5,IF(O758="中",7,10)),"不计算")))))*Q758,"不计算")</f>
        <v/>
      </c>
      <c r="Q758" s="142" t="n">
        <v>1</v>
      </c>
      <c r="R758" s="143">
        <f>调整因子!$F$13</f>
        <v/>
      </c>
      <c r="S758" s="70" t="n">
        <v>1</v>
      </c>
      <c r="T758" s="144">
        <f>IFERROR(P758*R758,0)</f>
        <v/>
      </c>
      <c r="U758" s="144">
        <f>T758*S758</f>
        <v/>
      </c>
      <c r="V758" s="88" t="n"/>
      <c r="W758" s="100" t="inlineStr">
        <is>
          <t>漏管平台维护台账表</t>
        </is>
      </c>
      <c r="X758" s="88" t="inlineStr">
        <is>
          <t>漏管平台维护台账表{台账记录编号、台账类型编码、台账级别、记录时间、登录账号、登录地址、设备哈希、操作动作、操作说明}</t>
        </is>
      </c>
      <c r="Y758" s="88" t="n"/>
      <c r="Z758" s="88" t="n"/>
    </row>
    <row r="759" ht="15.6" customHeight="1">
      <c r="A759" s="69">
        <f>ROW()-1</f>
        <v/>
      </c>
      <c r="B759" s="53" t="n"/>
      <c r="C759" s="78" t="n">
        <v>2025</v>
      </c>
      <c r="D759" s="78" t="inlineStr">
        <is>
          <t>张明峰</t>
        </is>
      </c>
      <c r="E759" s="53" t="n"/>
      <c r="F759" s="53" t="n"/>
      <c r="G759" s="53" t="n"/>
      <c r="H759" s="81" t="inlineStr">
        <is>
          <t>查询漏管平台运行类台账</t>
        </is>
      </c>
      <c r="I759" s="76" t="inlineStr">
        <is>
          <t>EQ</t>
        </is>
      </c>
      <c r="J759" s="108" t="n"/>
      <c r="K759" s="108" t="n"/>
      <c r="L759" s="83">
        <f>IF(OR(X759="估算法",X759="算法类",X759="无法识别"),"",IF(V759="",IF(OR(I759="EI",I759="EO",I759="EQ"),0,""),LEN(V759)-LEN(SUBSTITUTE(V759,"、",""))+1))</f>
        <v/>
      </c>
      <c r="M759" s="83">
        <f>IF(OR(X759="估算法",X759="算法类",X759="无法识别"),"",IF(W759="",IF(OR(I759="ILF",I759="EIF"),0,""),LEN(W759)-LEN(SUBSTITUTE(W759,"、",""))+1))</f>
        <v/>
      </c>
      <c r="N759" s="83">
        <f>IF(OR(X759="估算法",X759="算法类",X759="无法识别"),"",IF(X759="",IF(OR(I759="ILF",I759="EIF",I759="EI",I759="EO",I759="EQ"),0,""),LEN(X759)-LEN(SUBSTITUTE(SUBSTITUTE(SUBSTITUTE(SUBSTITUTE(SUBSTITUTE(X759,"|}","--"),"{|","--"),CHAR(10),""),"、",""),"|",""))+IF(AND(OR(I759="EI",I759="EO",I759="EQ"),$AD$1="NESMA"),2,1)))</f>
        <v/>
      </c>
      <c r="O759" s="84">
        <f>IF(I759="EI",IF(OR(X759="估算法",X759="算法类"),"中",IF(X759="无法识别","低",IF(L759&lt;2,IF(N759&lt;16,"低","中"),IF(L759&lt;3,IF(N759&lt;5,"低",IF(N759&lt;16,"中","高")),IF(N759&lt;5,"中","高"))))),IF(OR(I759="EO",I759="EQ"),IF(OR(X759="估算法",X759="算法类"),"中",IF(X759="无法识别","低",IF(L759&lt;2,IF(N759&lt;20,"低","中"),IF(L759&lt;4,IF(N759&lt;6,"低",IF(N759&lt;20,"中","高")),IF(N759&lt;6,"中","高"))))),IF(OR(I759="ILF",I759="EIF"),IF(OR(X759="估算法",X759="算法类",X759="无法识别"),"低",IF(M759&lt;2,IF(N759&lt;51,"低","中"),IF(M759&lt;6,IF(N759&lt;20,"低",IF(N759&lt;51,"中","高")),IF(N759&lt;20,"中","高")))),"不计算")))</f>
        <v/>
      </c>
      <c r="P759" s="142">
        <f>IFERROR(IF(I759="EI",IF(O759="低",3,IF(O759="中",4,6)),IF(I759="EO",IF(O759="低",4,IF(O759="中",5,7)),IF(I759="EQ",IF(O759="低",3,IF(O759="中",4,6)),IF(I759="ILF",IF(O759="低",7,IF(O759="中",10,15)),IF(I759="EIF",IF(O759="低",5,IF(O759="中",7,10)),"不计算")))))*Q759,"不计算")</f>
        <v/>
      </c>
      <c r="Q759" s="142" t="n">
        <v>1</v>
      </c>
      <c r="R759" s="143">
        <f>调整因子!$F$13</f>
        <v/>
      </c>
      <c r="S759" s="70" t="n">
        <v>1</v>
      </c>
      <c r="T759" s="144">
        <f>IFERROR(P759*R759,0)</f>
        <v/>
      </c>
      <c r="U759" s="144">
        <f>T759*S759</f>
        <v/>
      </c>
      <c r="V759" s="88" t="inlineStr">
        <is>
          <t>漏管平台运行台账表</t>
        </is>
      </c>
      <c r="W759" s="100" t="n"/>
      <c r="X759" s="88" t="inlineStr">
        <is>
          <t>漏管平台运行台账表{记录时间|台账记录编号、时钟同步状态、时钟同步来源}</t>
        </is>
      </c>
      <c r="Y759" s="88" t="n"/>
      <c r="Z759" s="88" t="n"/>
    </row>
    <row r="760" ht="15.6" customHeight="1">
      <c r="A760" s="69">
        <f>ROW()-1</f>
        <v/>
      </c>
      <c r="B760" s="53" t="n"/>
      <c r="C760" s="78" t="n">
        <v>2025</v>
      </c>
      <c r="D760" s="78" t="inlineStr">
        <is>
          <t>张明峰</t>
        </is>
      </c>
      <c r="E760" s="53" t="n"/>
      <c r="F760" s="53" t="n"/>
      <c r="G760" s="53" t="n"/>
      <c r="H760" s="81" t="inlineStr">
        <is>
          <t>查看漏管平台运行类台账摘要</t>
        </is>
      </c>
      <c r="I760" s="76" t="inlineStr">
        <is>
          <t>EQ</t>
        </is>
      </c>
      <c r="J760" s="108" t="n"/>
      <c r="K760" s="108" t="n"/>
      <c r="L760" s="83">
        <f>IF(OR(X760="估算法",X760="算法类",X760="无法识别"),"",IF(V760="",IF(OR(I760="EI",I760="EO",I760="EQ"),0,""),LEN(V760)-LEN(SUBSTITUTE(V760,"、",""))+1))</f>
        <v/>
      </c>
      <c r="M760" s="83">
        <f>IF(OR(X760="估算法",X760="算法类",X760="无法识别"),"",IF(W760="",IF(OR(I760="ILF",I760="EIF"),0,""),LEN(W760)-LEN(SUBSTITUTE(W760,"、",""))+1))</f>
        <v/>
      </c>
      <c r="N760" s="83">
        <f>IF(OR(X760="估算法",X760="算法类",X760="无法识别"),"",IF(X760="",IF(OR(I760="ILF",I760="EIF",I760="EI",I760="EO",I760="EQ"),0,""),LEN(X760)-LEN(SUBSTITUTE(SUBSTITUTE(SUBSTITUTE(SUBSTITUTE(SUBSTITUTE(X760,"|}","--"),"{|","--"),CHAR(10),""),"、",""),"|",""))+IF(AND(OR(I760="EI",I760="EO",I760="EQ"),$AD$1="NESMA"),2,1)))</f>
        <v/>
      </c>
      <c r="O760" s="84">
        <f>IF(I760="EI",IF(OR(X760="估算法",X760="算法类"),"中",IF(X760="无法识别","低",IF(L760&lt;2,IF(N760&lt;16,"低","中"),IF(L760&lt;3,IF(N760&lt;5,"低",IF(N760&lt;16,"中","高")),IF(N760&lt;5,"中","高"))))),IF(OR(I760="EO",I760="EQ"),IF(OR(X760="估算法",X760="算法类"),"中",IF(X760="无法识别","低",IF(L760&lt;2,IF(N760&lt;20,"低","中"),IF(L760&lt;4,IF(N760&lt;6,"低",IF(N760&lt;20,"中","高")),IF(N760&lt;6,"中","高"))))),IF(OR(I760="ILF",I760="EIF"),IF(OR(X760="估算法",X760="算法类",X760="无法识别"),"低",IF(M760&lt;2,IF(N760&lt;51,"低","中"),IF(M760&lt;6,IF(N760&lt;20,"低",IF(N760&lt;51,"中","高")),IF(N760&lt;20,"中","高")))),"不计算")))</f>
        <v/>
      </c>
      <c r="P760" s="142">
        <f>IFERROR(IF(I760="EI",IF(O760="低",3,IF(O760="中",4,6)),IF(I760="EO",IF(O760="低",4,IF(O760="中",5,7)),IF(I760="EQ",IF(O760="低",3,IF(O760="中",4,6)),IF(I760="ILF",IF(O760="低",7,IF(O760="中",10,15)),IF(I760="EIF",IF(O760="低",5,IF(O760="中",7,10)),"不计算")))))*Q760,"不计算")</f>
        <v/>
      </c>
      <c r="Q760" s="142" t="n">
        <v>1</v>
      </c>
      <c r="R760" s="143">
        <f>调整因子!$F$13</f>
        <v/>
      </c>
      <c r="S760" s="76" t="n">
        <v>1</v>
      </c>
      <c r="T760" s="144">
        <f>IFERROR(P760*R760,0)</f>
        <v/>
      </c>
      <c r="U760" s="144">
        <f>T760*S760</f>
        <v/>
      </c>
      <c r="V760" s="88" t="inlineStr">
        <is>
          <t>漏管平台运行台账表</t>
        </is>
      </c>
      <c r="W760" s="100" t="n"/>
      <c r="X760" s="88" t="inlineStr">
        <is>
          <t>漏管平台运行台账表{台账记录编号|台账类型编码、记录时间、时钟同步状态}</t>
        </is>
      </c>
      <c r="Y760" s="88" t="n"/>
      <c r="Z760" s="88" t="n"/>
    </row>
    <row r="761" ht="15.6" customHeight="1">
      <c r="A761" s="69">
        <f>ROW()-1</f>
        <v/>
      </c>
      <c r="B761" s="53" t="n"/>
      <c r="C761" s="78" t="n">
        <v>2025</v>
      </c>
      <c r="D761" s="78" t="inlineStr">
        <is>
          <t>张明峰</t>
        </is>
      </c>
      <c r="E761" s="53" t="n"/>
      <c r="F761" s="53" t="n"/>
      <c r="G761" s="53" t="n"/>
      <c r="H761" s="81" t="inlineStr">
        <is>
          <t>导出漏管平台运行类台账</t>
        </is>
      </c>
      <c r="I761" s="76" t="inlineStr">
        <is>
          <t>EO</t>
        </is>
      </c>
      <c r="J761" s="108" t="n"/>
      <c r="K761" s="108" t="n"/>
      <c r="L761" s="83">
        <f>IF(OR(X761="估算法",X761="算法类",X761="无法识别"),"",IF(V761="",IF(OR(I761="EI",I761="EO",I761="EQ"),0,""),LEN(V761)-LEN(SUBSTITUTE(V761,"、",""))+1))</f>
        <v/>
      </c>
      <c r="M761" s="83">
        <f>IF(OR(X761="估算法",X761="算法类",X761="无法识别"),"",IF(W761="",IF(OR(I761="ILF",I761="EIF"),0,""),LEN(W761)-LEN(SUBSTITUTE(W761,"、",""))+1))</f>
        <v/>
      </c>
      <c r="N761" s="83">
        <f>IF(OR(X761="估算法",X761="算法类",X761="无法识别"),"",IF(X761="",IF(OR(I761="ILF",I761="EIF",I761="EI",I761="EO",I761="EQ"),0,""),LEN(X761)-LEN(SUBSTITUTE(SUBSTITUTE(SUBSTITUTE(SUBSTITUTE(SUBSTITUTE(X761,"|}","--"),"{|","--"),CHAR(10),""),"、",""),"|",""))+IF(AND(OR(I761="EI",I761="EO",I761="EQ"),$AD$1="NESMA"),2,1)))</f>
        <v/>
      </c>
      <c r="O761" s="84">
        <f>IF(I761="EI",IF(OR(X761="估算法",X761="算法类"),"中",IF(X761="无法识别","低",IF(L761&lt;2,IF(N761&lt;16,"低","中"),IF(L761&lt;3,IF(N761&lt;5,"低",IF(N761&lt;16,"中","高")),IF(N761&lt;5,"中","高"))))),IF(OR(I761="EO",I761="EQ"),IF(OR(X761="估算法",X761="算法类"),"中",IF(X761="无法识别","低",IF(L761&lt;2,IF(N761&lt;20,"低","中"),IF(L761&lt;4,IF(N761&lt;6,"低",IF(N761&lt;20,"中","高")),IF(N761&lt;6,"中","高"))))),IF(OR(I761="ILF",I761="EIF"),IF(OR(X761="估算法",X761="算法类",X761="无法识别"),"低",IF(M761&lt;2,IF(N761&lt;51,"低","中"),IF(M761&lt;6,IF(N761&lt;20,"低",IF(N761&lt;51,"中","高")),IF(N761&lt;20,"中","高")))),"不计算")))</f>
        <v/>
      </c>
      <c r="P761" s="142">
        <f>IFERROR(IF(I761="EI",IF(O761="低",3,IF(O761="中",4,6)),IF(I761="EO",IF(O761="低",4,IF(O761="中",5,7)),IF(I761="EQ",IF(O761="低",3,IF(O761="中",4,6)),IF(I761="ILF",IF(O761="低",7,IF(O761="中",10,15)),IF(I761="EIF",IF(O761="低",5,IF(O761="中",7,10)),"不计算")))))*Q761,"不计算")</f>
        <v/>
      </c>
      <c r="Q761" s="142" t="n">
        <v>1</v>
      </c>
      <c r="R761" s="143">
        <f>调整因子!$F$13</f>
        <v/>
      </c>
      <c r="S761" s="76" t="n">
        <v>1</v>
      </c>
      <c r="T761" s="144">
        <f>IFERROR(P761*R761,0)</f>
        <v/>
      </c>
      <c r="U761" s="144">
        <f>T761*S761</f>
        <v/>
      </c>
      <c r="V761" s="89" t="inlineStr">
        <is>
          <t>漏管平台运行台账表</t>
        </is>
      </c>
      <c r="W761" s="88" t="n"/>
      <c r="X761" s="88" t="inlineStr">
        <is>
          <t>漏管平台运行台账表{记录时间|导出文件路径}</t>
        </is>
      </c>
      <c r="Y761" s="88" t="n"/>
      <c r="Z761" s="88" t="n"/>
    </row>
    <row r="762" ht="21.6" customHeight="1">
      <c r="A762" s="69">
        <f>ROW()-1</f>
        <v/>
      </c>
      <c r="B762" s="53" t="n"/>
      <c r="C762" s="78" t="n">
        <v>2025</v>
      </c>
      <c r="D762" s="78" t="inlineStr">
        <is>
          <t>张明峰</t>
        </is>
      </c>
      <c r="E762" s="53" t="n"/>
      <c r="F762" s="53" t="n"/>
      <c r="G762" s="54" t="n"/>
      <c r="H762" s="81" t="inlineStr">
        <is>
          <t>漏管平台运行台账表</t>
        </is>
      </c>
      <c r="I762" s="76" t="inlineStr">
        <is>
          <t>ILF</t>
        </is>
      </c>
      <c r="J762" s="108" t="n"/>
      <c r="K762" s="108" t="n"/>
      <c r="L762" s="83">
        <f>IF(OR(X762="估算法",X762="算法类",X762="无法识别"),"",IF(V762="",IF(OR(I762="EI",I762="EO",I762="EQ"),0,""),LEN(V762)-LEN(SUBSTITUTE(V762,"、",""))+1))</f>
        <v/>
      </c>
      <c r="M762" s="83">
        <f>IF(OR(X762="估算法",X762="算法类",X762="无法识别"),"",IF(W762="",IF(OR(I762="ILF",I762="EIF"),0,""),LEN(W762)-LEN(SUBSTITUTE(W762,"、",""))+1))</f>
        <v/>
      </c>
      <c r="N762" s="83">
        <f>IF(OR(X762="估算法",X762="算法类",X762="无法识别"),"",IF(X762="",IF(OR(I762="ILF",I762="EIF",I762="EI",I762="EO",I762="EQ"),0,""),LEN(X762)-LEN(SUBSTITUTE(SUBSTITUTE(SUBSTITUTE(SUBSTITUTE(SUBSTITUTE(X762,"|}","--"),"{|","--"),CHAR(10),""),"、",""),"|",""))+IF(AND(OR(I762="EI",I762="EO",I762="EQ"),$AD$1="NESMA"),2,1)))</f>
        <v/>
      </c>
      <c r="O762" s="84">
        <f>IF(I762="EI",IF(OR(X762="估算法",X762="算法类"),"中",IF(X762="无法识别","低",IF(L762&lt;2,IF(N762&lt;16,"低","中"),IF(L762&lt;3,IF(N762&lt;5,"低",IF(N762&lt;16,"中","高")),IF(N762&lt;5,"中","高"))))),IF(OR(I762="EO",I762="EQ"),IF(OR(X762="估算法",X762="算法类"),"中",IF(X762="无法识别","低",IF(L762&lt;2,IF(N762&lt;20,"低","中"),IF(L762&lt;4,IF(N762&lt;6,"低",IF(N762&lt;20,"中","高")),IF(N762&lt;6,"中","高"))))),IF(OR(I762="ILF",I762="EIF"),IF(OR(X762="估算法",X762="算法类",X762="无法识别"),"低",IF(M762&lt;2,IF(N762&lt;51,"低","中"),IF(M762&lt;6,IF(N762&lt;20,"低",IF(N762&lt;51,"中","高")),IF(N762&lt;20,"中","高")))),"不计算")))</f>
        <v/>
      </c>
      <c r="P762" s="142">
        <f>IFERROR(IF(I762="EI",IF(O762="低",3,IF(O762="中",4,6)),IF(I762="EO",IF(O762="低",4,IF(O762="中",5,7)),IF(I762="EQ",IF(O762="低",3,IF(O762="中",4,6)),IF(I762="ILF",IF(O762="低",7,IF(O762="中",10,15)),IF(I762="EIF",IF(O762="低",5,IF(O762="中",7,10)),"不计算")))))*Q762,"不计算")</f>
        <v/>
      </c>
      <c r="Q762" s="142" t="n">
        <v>1</v>
      </c>
      <c r="R762" s="143">
        <f>调整因子!$F$13</f>
        <v/>
      </c>
      <c r="S762" s="70" t="n">
        <v>1</v>
      </c>
      <c r="T762" s="144">
        <f>IFERROR(P762*R762,0)</f>
        <v/>
      </c>
      <c r="U762" s="144">
        <f>T762*S762</f>
        <v/>
      </c>
      <c r="V762" s="89" t="n"/>
      <c r="W762" s="88" t="inlineStr">
        <is>
          <t>漏管平台运行台账表</t>
        </is>
      </c>
      <c r="X762" s="88" t="inlineStr">
        <is>
          <t>漏管平台运行台账表{台账记录编号、台账类型编码、台账级别、记录时间、时钟同步状态、时钟同步来源、设备哈希}</t>
        </is>
      </c>
      <c r="Y762" s="88" t="n"/>
      <c r="Z762" s="88" t="n"/>
    </row>
    <row r="763" ht="21.6" customHeight="1">
      <c r="A763" s="69">
        <f>ROW()-1</f>
        <v/>
      </c>
      <c r="B763" s="53" t="n"/>
      <c r="C763" s="78" t="n">
        <v>2025</v>
      </c>
      <c r="D763" s="78" t="inlineStr">
        <is>
          <t>张明峰</t>
        </is>
      </c>
      <c r="E763" s="53" t="n"/>
      <c r="F763" s="53" t="n"/>
      <c r="G763" s="81" t="inlineStr">
        <is>
          <t>系统漏洞排查台账</t>
        </is>
      </c>
      <c r="H763" s="81" t="inlineStr">
        <is>
          <t>后台记录排查任务下发审计</t>
        </is>
      </c>
      <c r="I763" s="76" t="inlineStr">
        <is>
          <t>EI</t>
        </is>
      </c>
      <c r="J763" s="108" t="n"/>
      <c r="K763" s="108" t="n"/>
      <c r="L763" s="83">
        <f>IF(OR(X763="估算法",X763="算法类",X763="无法识别"),"",IF(V763="",IF(OR(I763="EI",I763="EO",I763="EQ"),0,""),LEN(V763)-LEN(SUBSTITUTE(V763,"、",""))+1))</f>
        <v/>
      </c>
      <c r="M763" s="83">
        <f>IF(OR(X763="估算法",X763="算法类",X763="无法识别"),"",IF(W763="",IF(OR(I763="ILF",I763="EIF"),0,""),LEN(W763)-LEN(SUBSTITUTE(W763,"、",""))+1))</f>
        <v/>
      </c>
      <c r="N763" s="83">
        <f>IF(OR(X763="估算法",X763="算法类",X763="无法识别"),"",IF(X763="",IF(OR(I763="ILF",I763="EIF",I763="EI",I763="EO",I763="EQ"),0,""),LEN(X763)-LEN(SUBSTITUTE(SUBSTITUTE(SUBSTITUTE(SUBSTITUTE(SUBSTITUTE(X763,"|}","--"),"{|","--"),CHAR(10),""),"、",""),"|",""))+IF(AND(OR(I763="EI",I763="EO",I763="EQ"),$AD$1="NESMA"),2,1)))</f>
        <v/>
      </c>
      <c r="O763" s="84">
        <f>IF(I763="EI",IF(OR(X763="估算法",X763="算法类"),"中",IF(X763="无法识别","低",IF(L763&lt;2,IF(N763&lt;16,"低","中"),IF(L763&lt;3,IF(N763&lt;5,"低",IF(N763&lt;16,"中","高")),IF(N763&lt;5,"中","高"))))),IF(OR(I763="EO",I763="EQ"),IF(OR(X763="估算法",X763="算法类"),"中",IF(X763="无法识别","低",IF(L763&lt;2,IF(N763&lt;20,"低","中"),IF(L763&lt;4,IF(N763&lt;6,"低",IF(N763&lt;20,"中","高")),IF(N763&lt;6,"中","高"))))),IF(OR(I763="ILF",I763="EIF"),IF(OR(X763="估算法",X763="算法类",X763="无法识别"),"低",IF(M763&lt;2,IF(N763&lt;51,"低","中"),IF(M763&lt;6,IF(N763&lt;20,"低",IF(N763&lt;51,"中","高")),IF(N763&lt;20,"中","高")))),"不计算")))</f>
        <v/>
      </c>
      <c r="P763" s="142">
        <f>IFERROR(IF(I763="EI",IF(O763="低",3,IF(O763="中",4,6)),IF(I763="EO",IF(O763="低",4,IF(O763="中",5,7)),IF(I763="EQ",IF(O763="低",3,IF(O763="中",4,6)),IF(I763="ILF",IF(O763="低",7,IF(O763="中",10,15)),IF(I763="EIF",IF(O763="低",5,IF(O763="中",7,10)),"不计算")))))*Q763,"不计算")</f>
        <v/>
      </c>
      <c r="Q763" s="142" t="n">
        <v>1</v>
      </c>
      <c r="R763" s="143">
        <f>调整因子!$F$13</f>
        <v/>
      </c>
      <c r="S763" s="70" t="n">
        <v>1</v>
      </c>
      <c r="T763" s="144">
        <f>IFERROR(P763*R763,0)</f>
        <v/>
      </c>
      <c r="U763" s="144">
        <f>T763*S763</f>
        <v/>
      </c>
      <c r="V763" s="89" t="inlineStr">
        <is>
          <t>系统漏洞排查弱口令台账表</t>
        </is>
      </c>
      <c r="W763" s="88" t="n"/>
      <c r="X763" s="88" t="inlineStr">
        <is>
          <t>系统漏洞排查弱口令台账表{扫描引擎哈希、任务名称、任务编号、扫描目标|台账记录编号、记录时间}</t>
        </is>
      </c>
      <c r="Y763" s="88" t="inlineStr">
        <is>
          <t>表54，类型1020</t>
        </is>
      </c>
      <c r="Z763" s="88" t="n"/>
    </row>
    <row r="764" ht="15.6" customHeight="1">
      <c r="A764" s="69">
        <f>ROW()-1</f>
        <v/>
      </c>
      <c r="B764" s="53" t="n"/>
      <c r="C764" s="78" t="n">
        <v>2025</v>
      </c>
      <c r="D764" s="78" t="inlineStr">
        <is>
          <t>张明峰</t>
        </is>
      </c>
      <c r="E764" s="53" t="n"/>
      <c r="F764" s="53" t="n"/>
      <c r="G764" s="53" t="n"/>
      <c r="H764" s="81" t="inlineStr">
        <is>
          <t>后台记录排查任务进度审计</t>
        </is>
      </c>
      <c r="I764" s="76" t="inlineStr">
        <is>
          <t>EI</t>
        </is>
      </c>
      <c r="J764" s="108" t="n"/>
      <c r="K764" s="108" t="n"/>
      <c r="L764" s="83">
        <f>IF(OR(X764="估算法",X764="算法类",X764="无法识别"),"",IF(V764="",IF(OR(I764="EI",I764="EO",I764="EQ"),0,""),LEN(V764)-LEN(SUBSTITUTE(V764,"、",""))+1))</f>
        <v/>
      </c>
      <c r="M764" s="83">
        <f>IF(OR(X764="估算法",X764="算法类",X764="无法识别"),"",IF(W764="",IF(OR(I764="ILF",I764="EIF"),0,""),LEN(W764)-LEN(SUBSTITUTE(W764,"、",""))+1))</f>
        <v/>
      </c>
      <c r="N764" s="83">
        <f>IF(OR(X764="估算法",X764="算法类",X764="无法识别"),"",IF(X764="",IF(OR(I764="ILF",I764="EIF",I764="EI",I764="EO",I764="EQ"),0,""),LEN(X764)-LEN(SUBSTITUTE(SUBSTITUTE(SUBSTITUTE(SUBSTITUTE(SUBSTITUTE(X764,"|}","--"),"{|","--"),CHAR(10),""),"、",""),"|",""))+IF(AND(OR(I764="EI",I764="EO",I764="EQ"),$AD$1="NESMA"),2,1)))</f>
        <v/>
      </c>
      <c r="O764" s="84">
        <f>IF(I764="EI",IF(OR(X764="估算法",X764="算法类"),"中",IF(X764="无法识别","低",IF(L764&lt;2,IF(N764&lt;16,"低","中"),IF(L764&lt;3,IF(N764&lt;5,"低",IF(N764&lt;16,"中","高")),IF(N764&lt;5,"中","高"))))),IF(OR(I764="EO",I764="EQ"),IF(OR(X764="估算法",X764="算法类"),"中",IF(X764="无法识别","低",IF(L764&lt;2,IF(N764&lt;20,"低","中"),IF(L764&lt;4,IF(N764&lt;6,"低",IF(N764&lt;20,"中","高")),IF(N764&lt;6,"中","高"))))),IF(OR(I764="ILF",I764="EIF"),IF(OR(X764="估算法",X764="算法类",X764="无法识别"),"低",IF(M764&lt;2,IF(N764&lt;51,"低","中"),IF(M764&lt;6,IF(N764&lt;20,"低",IF(N764&lt;51,"中","高")),IF(N764&lt;20,"中","高")))),"不计算")))</f>
        <v/>
      </c>
      <c r="P764" s="142">
        <f>IFERROR(IF(I764="EI",IF(O764="低",3,IF(O764="中",4,6)),IF(I764="EO",IF(O764="低",4,IF(O764="中",5,7)),IF(I764="EQ",IF(O764="低",3,IF(O764="中",4,6)),IF(I764="ILF",IF(O764="低",7,IF(O764="中",10,15)),IF(I764="EIF",IF(O764="低",5,IF(O764="中",7,10)),"不计算")))))*Q764,"不计算")</f>
        <v/>
      </c>
      <c r="Q764" s="142" t="n">
        <v>1</v>
      </c>
      <c r="R764" s="143">
        <f>调整因子!$F$13</f>
        <v/>
      </c>
      <c r="S764" s="76" t="n">
        <v>1</v>
      </c>
      <c r="T764" s="144">
        <f>IFERROR(P764*R764,0)</f>
        <v/>
      </c>
      <c r="U764" s="144">
        <f>T764*S764</f>
        <v/>
      </c>
      <c r="V764" s="89" t="inlineStr">
        <is>
          <t>系统漏洞排查弱口令台账表</t>
        </is>
      </c>
      <c r="W764" s="88" t="n"/>
      <c r="X764" s="88" t="inlineStr">
        <is>
          <t>系统漏洞排查弱口令台账表{任务进度、扫描端口|台账记录编号、任务进度}</t>
        </is>
      </c>
      <c r="Y764" s="88" t="n"/>
      <c r="Z764" s="88" t="n"/>
    </row>
    <row r="765" ht="15.6" customHeight="1">
      <c r="A765" s="69">
        <f>ROW()-1</f>
        <v/>
      </c>
      <c r="B765" s="53" t="n"/>
      <c r="C765" s="78" t="n">
        <v>2025</v>
      </c>
      <c r="D765" s="78" t="inlineStr">
        <is>
          <t>张明峰</t>
        </is>
      </c>
      <c r="E765" s="53" t="n"/>
      <c r="F765" s="53" t="n"/>
      <c r="G765" s="53" t="n"/>
      <c r="H765" s="81" t="inlineStr">
        <is>
          <t>后台记录排查任务结果审计</t>
        </is>
      </c>
      <c r="I765" s="76" t="inlineStr">
        <is>
          <t>EI</t>
        </is>
      </c>
      <c r="J765" s="108" t="n"/>
      <c r="K765" s="108" t="n"/>
      <c r="L765" s="83">
        <f>IF(OR(X765="估算法",X765="算法类",X765="无法识别"),"",IF(V765="",IF(OR(I765="EI",I765="EO",I765="EQ"),0,""),LEN(V765)-LEN(SUBSTITUTE(V765,"、",""))+1))</f>
        <v/>
      </c>
      <c r="M765" s="83">
        <f>IF(OR(X765="估算法",X765="算法类",X765="无法识别"),"",IF(W765="",IF(OR(I765="ILF",I765="EIF"),0,""),LEN(W765)-LEN(SUBSTITUTE(W765,"、",""))+1))</f>
        <v/>
      </c>
      <c r="N765" s="83">
        <f>IF(OR(X765="估算法",X765="算法类",X765="无法识别"),"",IF(X765="",IF(OR(I765="ILF",I765="EIF",I765="EI",I765="EO",I765="EQ"),0,""),LEN(X765)-LEN(SUBSTITUTE(SUBSTITUTE(SUBSTITUTE(SUBSTITUTE(SUBSTITUTE(X765,"|}","--"),"{|","--"),CHAR(10),""),"、",""),"|",""))+IF(AND(OR(I765="EI",I765="EO",I765="EQ"),$AD$1="NESMA"),2,1)))</f>
        <v/>
      </c>
      <c r="O765" s="84">
        <f>IF(I765="EI",IF(OR(X765="估算法",X765="算法类"),"中",IF(X765="无法识别","低",IF(L765&lt;2,IF(N765&lt;16,"低","中"),IF(L765&lt;3,IF(N765&lt;5,"低",IF(N765&lt;16,"中","高")),IF(N765&lt;5,"中","高"))))),IF(OR(I765="EO",I765="EQ"),IF(OR(X765="估算法",X765="算法类"),"中",IF(X765="无法识别","低",IF(L765&lt;2,IF(N765&lt;20,"低","中"),IF(L765&lt;4,IF(N765&lt;6,"低",IF(N765&lt;20,"中","高")),IF(N765&lt;6,"中","高"))))),IF(OR(I765="ILF",I765="EIF"),IF(OR(X765="估算法",X765="算法类",X765="无法识别"),"低",IF(M765&lt;2,IF(N765&lt;51,"低","中"),IF(M765&lt;6,IF(N765&lt;20,"低",IF(N765&lt;51,"中","高")),IF(N765&lt;20,"中","高")))),"不计算")))</f>
        <v/>
      </c>
      <c r="P765" s="142">
        <f>IFERROR(IF(I765="EI",IF(O765="低",3,IF(O765="中",4,6)),IF(I765="EO",IF(O765="低",4,IF(O765="中",5,7)),IF(I765="EQ",IF(O765="低",3,IF(O765="中",4,6)),IF(I765="ILF",IF(O765="低",7,IF(O765="中",10,15)),IF(I765="EIF",IF(O765="低",5,IF(O765="中",7,10)),"不计算")))))*Q765,"不计算")</f>
        <v/>
      </c>
      <c r="Q765" s="142" t="n">
        <v>1</v>
      </c>
      <c r="R765" s="143">
        <f>调整因子!$F$13</f>
        <v/>
      </c>
      <c r="S765" s="70" t="n">
        <v>1</v>
      </c>
      <c r="T765" s="144">
        <f>IFERROR(P765*R765,0)</f>
        <v/>
      </c>
      <c r="U765" s="144">
        <f>T765*S765</f>
        <v/>
      </c>
      <c r="V765" s="89" t="inlineStr">
        <is>
          <t>系统漏洞排查弱口令台账表</t>
        </is>
      </c>
      <c r="W765" s="88" t="n"/>
      <c r="X765" s="88" t="inlineStr">
        <is>
          <t>系统漏洞排查弱口令台账表{漏洞数量、任务进度|台账记录编号、漏洞数量}</t>
        </is>
      </c>
      <c r="Y765" s="88" t="n"/>
      <c r="Z765" s="88" t="n"/>
    </row>
    <row r="766" ht="21.6" customHeight="1">
      <c r="A766" s="69">
        <f>ROW()-1</f>
        <v/>
      </c>
      <c r="B766" s="53" t="n"/>
      <c r="C766" s="78" t="n">
        <v>2025</v>
      </c>
      <c r="D766" s="78" t="inlineStr">
        <is>
          <t>张明峰</t>
        </is>
      </c>
      <c r="E766" s="53" t="n"/>
      <c r="F766" s="53" t="n"/>
      <c r="G766" s="53" t="n"/>
      <c r="H766" s="96" t="inlineStr">
        <is>
          <t>后台生成扫描目标配套键对象文件</t>
        </is>
      </c>
      <c r="I766" s="76" t="inlineStr">
        <is>
          <t>EO</t>
        </is>
      </c>
      <c r="J766" s="108" t="n"/>
      <c r="K766" s="108" t="n"/>
      <c r="L766" s="83">
        <f>IF(OR(X766="估算法",X766="算法类",X766="无法识别"),"",IF(V766="",IF(OR(I766="EI",I766="EO",I766="EQ"),0,""),LEN(V766)-LEN(SUBSTITUTE(V766,"、",""))+1))</f>
        <v/>
      </c>
      <c r="M766" s="83">
        <f>IF(OR(X766="估算法",X766="算法类",X766="无法识别"),"",IF(W766="",IF(OR(I766="ILF",I766="EIF"),0,""),LEN(W766)-LEN(SUBSTITUTE(W766,"、",""))+1))</f>
        <v/>
      </c>
      <c r="N766" s="83">
        <f>IF(OR(X766="估算法",X766="算法类",X766="无法识别"),"",IF(X766="",IF(OR(I766="ILF",I766="EIF",I766="EI",I766="EO",I766="EQ"),0,""),LEN(X766)-LEN(SUBSTITUTE(SUBSTITUTE(SUBSTITUTE(SUBSTITUTE(SUBSTITUTE(X766,"|}","--"),"{|","--"),CHAR(10),""),"、",""),"|",""))+IF(AND(OR(I766="EI",I766="EO",I766="EQ"),$AD$1="NESMA"),2,1)))</f>
        <v/>
      </c>
      <c r="O766" s="84">
        <f>IF(I766="EI",IF(OR(X766="估算法",X766="算法类"),"中",IF(X766="无法识别","低",IF(L766&lt;2,IF(N766&lt;16,"低","中"),IF(L766&lt;3,IF(N766&lt;5,"低",IF(N766&lt;16,"中","高")),IF(N766&lt;5,"中","高"))))),IF(OR(I766="EO",I766="EQ"),IF(OR(X766="估算法",X766="算法类"),"中",IF(X766="无法识别","低",IF(L766&lt;2,IF(N766&lt;20,"低","中"),IF(L766&lt;4,IF(N766&lt;6,"低",IF(N766&lt;20,"中","高")),IF(N766&lt;6,"中","高"))))),IF(OR(I766="ILF",I766="EIF"),IF(OR(X766="估算法",X766="算法类",X766="无法识别"),"低",IF(M766&lt;2,IF(N766&lt;51,"低","中"),IF(M766&lt;6,IF(N766&lt;20,"低",IF(N766&lt;51,"中","高")),IF(N766&lt;20,"中","高")))),"不计算")))</f>
        <v/>
      </c>
      <c r="P766" s="142">
        <f>IFERROR(IF(I766="EI",IF(O766="低",3,IF(O766="中",4,6)),IF(I766="EO",IF(O766="低",4,IF(O766="中",5,7)),IF(I766="EQ",IF(O766="低",3,IF(O766="中",4,6)),IF(I766="ILF",IF(O766="低",7,IF(O766="中",10,15)),IF(I766="EIF",IF(O766="低",5,IF(O766="中",7,10)),"不计算")))))*Q766,"不计算")</f>
        <v/>
      </c>
      <c r="Q766" s="142" t="n">
        <v>1</v>
      </c>
      <c r="R766" s="143">
        <f>调整因子!$F$13</f>
        <v/>
      </c>
      <c r="S766" s="70" t="n">
        <v>1</v>
      </c>
      <c r="T766" s="144">
        <f>IFERROR(P766*R766,0)</f>
        <v/>
      </c>
      <c r="U766" s="144">
        <f>T766*S766</f>
        <v/>
      </c>
      <c r="V766" s="88" t="inlineStr">
        <is>
          <t>系统漏洞排查弱口令台账表、台账配套文件元数据表</t>
        </is>
      </c>
      <c r="W766" s="100" t="n"/>
      <c r="X766" s="88" t="inlineStr">
        <is>
          <t>系统漏洞排查弱口令台账表{扫描目标、扫描端口|目标文件键名、端口文件键名}
台账配套文件元数据表{|配套文件编号、文件键名}</t>
        </is>
      </c>
      <c r="Y766" s="88" t="n"/>
      <c r="Z766" s="88" t="n"/>
    </row>
    <row r="767" ht="21.6" customHeight="1">
      <c r="A767" s="69">
        <f>ROW()-1</f>
        <v/>
      </c>
      <c r="B767" s="53" t="n"/>
      <c r="C767" s="78" t="n">
        <v>2025</v>
      </c>
      <c r="D767" s="78" t="inlineStr">
        <is>
          <t>张明峰</t>
        </is>
      </c>
      <c r="E767" s="53" t="n"/>
      <c r="F767" s="53" t="n"/>
      <c r="G767" s="53" t="n"/>
      <c r="H767" s="96" t="inlineStr">
        <is>
          <t>后台记录弱口令扫描任务台账</t>
        </is>
      </c>
      <c r="I767" s="76" t="inlineStr">
        <is>
          <t>EI</t>
        </is>
      </c>
      <c r="J767" s="108" t="n"/>
      <c r="K767" s="108" t="n"/>
      <c r="L767" s="83">
        <f>IF(OR(X767="估算法",X767="算法类",X767="无法识别"),"",IF(V767="",IF(OR(I767="EI",I767="EO",I767="EQ"),0,""),LEN(V767)-LEN(SUBSTITUTE(V767,"、",""))+1))</f>
        <v/>
      </c>
      <c r="M767" s="83">
        <f>IF(OR(X767="估算法",X767="算法类",X767="无法识别"),"",IF(W767="",IF(OR(I767="ILF",I767="EIF"),0,""),LEN(W767)-LEN(SUBSTITUTE(W767,"、",""))+1))</f>
        <v/>
      </c>
      <c r="N767" s="83">
        <f>IF(OR(X767="估算法",X767="算法类",X767="无法识别"),"",IF(X767="",IF(OR(I767="ILF",I767="EIF",I767="EI",I767="EO",I767="EQ"),0,""),LEN(X767)-LEN(SUBSTITUTE(SUBSTITUTE(SUBSTITUTE(SUBSTITUTE(SUBSTITUTE(X767,"|}","--"),"{|","--"),CHAR(10),""),"、",""),"|",""))+IF(AND(OR(I767="EI",I767="EO",I767="EQ"),$AD$1="NESMA"),2,1)))</f>
        <v/>
      </c>
      <c r="O767" s="84">
        <f>IF(I767="EI",IF(OR(X767="估算法",X767="算法类"),"中",IF(X767="无法识别","低",IF(L767&lt;2,IF(N767&lt;16,"低","中"),IF(L767&lt;3,IF(N767&lt;5,"低",IF(N767&lt;16,"中","高")),IF(N767&lt;5,"中","高"))))),IF(OR(I767="EO",I767="EQ"),IF(OR(X767="估算法",X767="算法类"),"中",IF(X767="无法识别","低",IF(L767&lt;2,IF(N767&lt;20,"低","中"),IF(L767&lt;4,IF(N767&lt;6,"低",IF(N767&lt;20,"中","高")),IF(N767&lt;6,"中","高"))))),IF(OR(I767="ILF",I767="EIF"),IF(OR(X767="估算法",X767="算法类",X767="无法识别"),"低",IF(M767&lt;2,IF(N767&lt;51,"低","中"),IF(M767&lt;6,IF(N767&lt;20,"低",IF(N767&lt;51,"中","高")),IF(N767&lt;20,"中","高")))),"不计算")))</f>
        <v/>
      </c>
      <c r="P767" s="142">
        <f>IFERROR(IF(I767="EI",IF(O767="低",3,IF(O767="中",4,6)),IF(I767="EO",IF(O767="低",4,IF(O767="中",5,7)),IF(I767="EQ",IF(O767="低",3,IF(O767="中",4,6)),IF(I767="ILF",IF(O767="低",7,IF(O767="中",10,15)),IF(I767="EIF",IF(O767="低",5,IF(O767="中",7,10)),"不计算")))))*Q767,"不计算")</f>
        <v/>
      </c>
      <c r="Q767" s="142" t="n">
        <v>1</v>
      </c>
      <c r="R767" s="143">
        <f>调整因子!$F$13</f>
        <v/>
      </c>
      <c r="S767" s="76" t="n">
        <v>1</v>
      </c>
      <c r="T767" s="144">
        <f>IFERROR(P767*R767,0)</f>
        <v/>
      </c>
      <c r="U767" s="144">
        <f>T767*S767</f>
        <v/>
      </c>
      <c r="V767" s="88" t="inlineStr">
        <is>
          <t>系统漏洞排查弱口令台账表</t>
        </is>
      </c>
      <c r="W767" s="100" t="n"/>
      <c r="X767" s="88" t="inlineStr">
        <is>
          <t>系统漏洞排查弱口令台账表{扫描引擎哈希、任务名称、任务编号|台账记录编号、台账类型编码}</t>
        </is>
      </c>
      <c r="Y767" s="88" t="inlineStr">
        <is>
          <t>类型1030</t>
        </is>
      </c>
      <c r="Z767" s="88" t="n"/>
    </row>
    <row r="768" ht="15.6" customHeight="1">
      <c r="A768" s="69">
        <f>ROW()-1</f>
        <v/>
      </c>
      <c r="B768" s="53" t="n"/>
      <c r="C768" s="78" t="n">
        <v>2025</v>
      </c>
      <c r="D768" s="78" t="inlineStr">
        <is>
          <t>张明峰</t>
        </is>
      </c>
      <c r="E768" s="53" t="n"/>
      <c r="F768" s="53" t="n"/>
      <c r="G768" s="53" t="n"/>
      <c r="H768" s="96" t="inlineStr">
        <is>
          <t>注册扫描设备信息表</t>
        </is>
      </c>
      <c r="I768" s="76" t="inlineStr">
        <is>
          <t>EIF</t>
        </is>
      </c>
      <c r="J768" s="108" t="n"/>
      <c r="K768" s="108" t="n"/>
      <c r="L768" s="83">
        <f>IF(OR(X768="估算法",X768="算法类",X768="无法识别"),"",IF(V768="",IF(OR(I768="EI",I768="EO",I768="EQ"),0,""),LEN(V768)-LEN(SUBSTITUTE(V768,"、",""))+1))</f>
        <v/>
      </c>
      <c r="M768" s="83">
        <f>IF(OR(X768="估算法",X768="算法类",X768="无法识别"),"",IF(W768="",IF(OR(I768="ILF",I768="EIF"),0,""),LEN(W768)-LEN(SUBSTITUTE(W768,"、",""))+1))</f>
        <v/>
      </c>
      <c r="N768" s="83">
        <f>IF(OR(X768="估算法",X768="算法类",X768="无法识别"),"",IF(X768="",IF(OR(I768="ILF",I768="EIF",I768="EI",I768="EO",I768="EQ"),0,""),LEN(X768)-LEN(SUBSTITUTE(SUBSTITUTE(SUBSTITUTE(SUBSTITUTE(SUBSTITUTE(X768,"|}","--"),"{|","--"),CHAR(10),""),"、",""),"|",""))+IF(AND(OR(I768="EI",I768="EO",I768="EQ"),$AD$1="NESMA"),2,1)))</f>
        <v/>
      </c>
      <c r="O768" s="84">
        <f>IF(I768="EI",IF(OR(X768="估算法",X768="算法类"),"中",IF(X768="无法识别","低",IF(L768&lt;2,IF(N768&lt;16,"低","中"),IF(L768&lt;3,IF(N768&lt;5,"低",IF(N768&lt;16,"中","高")),IF(N768&lt;5,"中","高"))))),IF(OR(I768="EO",I768="EQ"),IF(OR(X768="估算法",X768="算法类"),"中",IF(X768="无法识别","低",IF(L768&lt;2,IF(N768&lt;20,"低","中"),IF(L768&lt;4,IF(N768&lt;6,"低",IF(N768&lt;20,"中","高")),IF(N768&lt;6,"中","高"))))),IF(OR(I768="ILF",I768="EIF"),IF(OR(X768="估算法",X768="算法类",X768="无法识别"),"低",IF(M768&lt;2,IF(N768&lt;51,"低","中"),IF(M768&lt;6,IF(N768&lt;20,"低",IF(N768&lt;51,"中","高")),IF(N768&lt;20,"中","高")))),"不计算")))</f>
        <v/>
      </c>
      <c r="P768" s="142">
        <f>IFERROR(IF(I768="EI",IF(O768="低",3,IF(O768="中",4,6)),IF(I768="EO",IF(O768="低",4,IF(O768="中",5,7)),IF(I768="EQ",IF(O768="低",3,IF(O768="中",4,6)),IF(I768="ILF",IF(O768="低",7,IF(O768="中",10,15)),IF(I768="EIF",IF(O768="低",5,IF(O768="中",7,10)),"不计算")))))*Q768,"不计算")</f>
        <v/>
      </c>
      <c r="Q768" s="142" t="n">
        <v>1</v>
      </c>
      <c r="R768" s="143">
        <f>调整因子!$F$13</f>
        <v/>
      </c>
      <c r="S768" s="76" t="n">
        <v>1</v>
      </c>
      <c r="T768" s="144">
        <f>IFERROR(P768*R768,0)</f>
        <v/>
      </c>
      <c r="U768" s="144">
        <f>T768*S768</f>
        <v/>
      </c>
      <c r="V768" s="88" t="n"/>
      <c r="W768" s="100" t="inlineStr">
        <is>
          <t>注册扫描设备信息表</t>
        </is>
      </c>
      <c r="X768" s="88" t="inlineStr">
        <is>
          <t>注册扫描设备信息表{引擎设备哈希、设备名称、设备类型、注册时间}</t>
        </is>
      </c>
      <c r="Y768" s="88" t="n"/>
      <c r="Z768" s="88" t="n"/>
      <c r="AA768" t="inlineStr">
        <is>
          <t>EIF</t>
        </is>
      </c>
    </row>
    <row r="769" ht="32.4" customHeight="1">
      <c r="A769" s="69">
        <f>ROW()-1</f>
        <v/>
      </c>
      <c r="B769" s="53" t="n"/>
      <c r="C769" s="78" t="n">
        <v>2025</v>
      </c>
      <c r="D769" s="78" t="inlineStr">
        <is>
          <t>张明峰</t>
        </is>
      </c>
      <c r="E769" s="53" t="n"/>
      <c r="F769" s="53" t="n"/>
      <c r="G769" s="54" t="n"/>
      <c r="H769" s="96" t="inlineStr">
        <is>
          <t>系统漏洞排查弱口令台账表</t>
        </is>
      </c>
      <c r="I769" s="76" t="inlineStr">
        <is>
          <t>ILF</t>
        </is>
      </c>
      <c r="J769" s="108" t="n"/>
      <c r="K769" s="108" t="n"/>
      <c r="L769" s="83">
        <f>IF(OR(X769="估算法",X769="算法类",X769="无法识别"),"",IF(V769="",IF(OR(I769="EI",I769="EO",I769="EQ"),0,""),LEN(V769)-LEN(SUBSTITUTE(V769,"、",""))+1))</f>
        <v/>
      </c>
      <c r="M769" s="83">
        <f>IF(OR(X769="估算法",X769="算法类",X769="无法识别"),"",IF(W769="",IF(OR(I769="ILF",I769="EIF"),0,""),LEN(W769)-LEN(SUBSTITUTE(W769,"、",""))+1))</f>
        <v/>
      </c>
      <c r="N769" s="83">
        <f>IF(OR(X769="估算法",X769="算法类",X769="无法识别"),"",IF(X769="",IF(OR(I769="ILF",I769="EIF",I769="EI",I769="EO",I769="EQ"),0,""),LEN(X769)-LEN(SUBSTITUTE(SUBSTITUTE(SUBSTITUTE(SUBSTITUTE(SUBSTITUTE(X769,"|}","--"),"{|","--"),CHAR(10),""),"、",""),"|",""))+IF(AND(OR(I769="EI",I769="EO",I769="EQ"),$AD$1="NESMA"),2,1)))</f>
        <v/>
      </c>
      <c r="O769" s="84">
        <f>IF(I769="EI",IF(OR(X769="估算法",X769="算法类"),"中",IF(X769="无法识别","低",IF(L769&lt;2,IF(N769&lt;16,"低","中"),IF(L769&lt;3,IF(N769&lt;5,"低",IF(N769&lt;16,"中","高")),IF(N769&lt;5,"中","高"))))),IF(OR(I769="EO",I769="EQ"),IF(OR(X769="估算法",X769="算法类"),"中",IF(X769="无法识别","低",IF(L769&lt;2,IF(N769&lt;20,"低","中"),IF(L769&lt;4,IF(N769&lt;6,"低",IF(N769&lt;20,"中","高")),IF(N769&lt;6,"中","高"))))),IF(OR(I769="ILF",I769="EIF"),IF(OR(X769="估算法",X769="算法类",X769="无法识别"),"低",IF(M769&lt;2,IF(N769&lt;51,"低","中"),IF(M769&lt;6,IF(N769&lt;20,"低",IF(N769&lt;51,"中","高")),IF(N769&lt;20,"中","高")))),"不计算")))</f>
        <v/>
      </c>
      <c r="P769" s="142">
        <f>IFERROR(IF(I769="EI",IF(O769="低",3,IF(O769="中",4,6)),IF(I769="EO",IF(O769="低",4,IF(O769="中",5,7)),IF(I769="EQ",IF(O769="低",3,IF(O769="中",4,6)),IF(I769="ILF",IF(O769="低",7,IF(O769="中",10,15)),IF(I769="EIF",IF(O769="低",5,IF(O769="中",7,10)),"不计算")))))*Q769,"不计算")</f>
        <v/>
      </c>
      <c r="Q769" s="142" t="n">
        <v>1</v>
      </c>
      <c r="R769" s="143">
        <f>调整因子!$F$13</f>
        <v/>
      </c>
      <c r="S769" s="70" t="n">
        <v>1</v>
      </c>
      <c r="T769" s="144">
        <f>IFERROR(P769*R769,0)</f>
        <v/>
      </c>
      <c r="U769" s="144">
        <f>T769*S769</f>
        <v/>
      </c>
      <c r="V769" s="88" t="n"/>
      <c r="W769" s="100" t="inlineStr">
        <is>
          <t>系统漏洞排查弱口令台账表</t>
        </is>
      </c>
      <c r="X769" s="88" t="inlineStr">
        <is>
          <t>系统漏洞排查弱口令台账表{台账记录编号、台账类型编码、扫描引擎哈希、任务名称、任务编号、扫描目标、扫描端口、目标文件键名、端口文件键名、任务进度、漏洞数量}</t>
        </is>
      </c>
      <c r="Y769" s="88" t="n"/>
      <c r="Z769" s="88" t="n"/>
    </row>
    <row r="770" ht="21.6" customHeight="1">
      <c r="A770" s="69">
        <f>ROW()-1</f>
        <v/>
      </c>
      <c r="B770" s="53" t="n"/>
      <c r="C770" s="78" t="n">
        <v>2025</v>
      </c>
      <c r="D770" s="78" t="inlineStr">
        <is>
          <t>张明峰</t>
        </is>
      </c>
      <c r="E770" s="53" t="n"/>
      <c r="F770" s="53" t="n"/>
      <c r="G770" s="81" t="inlineStr">
        <is>
          <t>系统漏洞利用台账</t>
        </is>
      </c>
      <c r="H770" s="96" t="inlineStr">
        <is>
          <t>后台记录漏洞利用过程台账</t>
        </is>
      </c>
      <c r="I770" s="76" t="inlineStr">
        <is>
          <t>EI</t>
        </is>
      </c>
      <c r="J770" s="108" t="n"/>
      <c r="K770" s="108" t="n"/>
      <c r="L770" s="83">
        <f>IF(OR(X770="估算法",X770="算法类",X770="无法识别"),"",IF(V770="",IF(OR(I770="EI",I770="EO",I770="EQ"),0,""),LEN(V770)-LEN(SUBSTITUTE(V770,"、",""))+1))</f>
        <v/>
      </c>
      <c r="M770" s="83">
        <f>IF(OR(X770="估算法",X770="算法类",X770="无法识别"),"",IF(W770="",IF(OR(I770="ILF",I770="EIF"),0,""),LEN(W770)-LEN(SUBSTITUTE(W770,"、",""))+1))</f>
        <v/>
      </c>
      <c r="N770" s="83">
        <f>IF(OR(X770="估算法",X770="算法类",X770="无法识别"),"",IF(X770="",IF(OR(I770="ILF",I770="EIF",I770="EI",I770="EO",I770="EQ"),0,""),LEN(X770)-LEN(SUBSTITUTE(SUBSTITUTE(SUBSTITUTE(SUBSTITUTE(SUBSTITUTE(X770,"|}","--"),"{|","--"),CHAR(10),""),"、",""),"|",""))+IF(AND(OR(I770="EI",I770="EO",I770="EQ"),$AD$1="NESMA"),2,1)))</f>
        <v/>
      </c>
      <c r="O770" s="84">
        <f>IF(I770="EI",IF(OR(X770="估算法",X770="算法类"),"中",IF(X770="无法识别","低",IF(L770&lt;2,IF(N770&lt;16,"低","中"),IF(L770&lt;3,IF(N770&lt;5,"低",IF(N770&lt;16,"中","高")),IF(N770&lt;5,"中","高"))))),IF(OR(I770="EO",I770="EQ"),IF(OR(X770="估算法",X770="算法类"),"中",IF(X770="无法识别","低",IF(L770&lt;2,IF(N770&lt;20,"低","中"),IF(L770&lt;4,IF(N770&lt;6,"低",IF(N770&lt;20,"中","高")),IF(N770&lt;6,"中","高"))))),IF(OR(I770="ILF",I770="EIF"),IF(OR(X770="估算法",X770="算法类",X770="无法识别"),"低",IF(M770&lt;2,IF(N770&lt;51,"低","中"),IF(M770&lt;6,IF(N770&lt;20,"低",IF(N770&lt;51,"中","高")),IF(N770&lt;20,"中","高")))),"不计算")))</f>
        <v/>
      </c>
      <c r="P770" s="142">
        <f>IFERROR(IF(I770="EI",IF(O770="低",3,IF(O770="中",4,6)),IF(I770="EO",IF(O770="低",4,IF(O770="中",5,7)),IF(I770="EQ",IF(O770="低",3,IF(O770="中",4,6)),IF(I770="ILF",IF(O770="低",7,IF(O770="中",10,15)),IF(I770="EIF",IF(O770="低",5,IF(O770="中",7,10)),"不计算")))))*Q770,"不计算")</f>
        <v/>
      </c>
      <c r="Q770" s="142" t="n">
        <v>1</v>
      </c>
      <c r="R770" s="143">
        <f>调整因子!$F$13</f>
        <v/>
      </c>
      <c r="S770" s="70" t="n">
        <v>1</v>
      </c>
      <c r="T770" s="144">
        <f>IFERROR(P770*R770,0)</f>
        <v/>
      </c>
      <c r="U770" s="144">
        <f>T770*S770</f>
        <v/>
      </c>
      <c r="V770" s="96" t="inlineStr">
        <is>
          <t>系统漏洞利用台账表</t>
        </is>
      </c>
      <c r="W770" s="88" t="n"/>
      <c r="X770" s="88" t="inlineStr">
        <is>
          <t>系统漏洞利用台账表{漏洞信息编号、漏洞信息状态、扫描引擎哈希|台账记录编号、记录时间}</t>
        </is>
      </c>
      <c r="Y770" s="88" t="inlineStr">
        <is>
          <t>表55，类型1040</t>
        </is>
      </c>
      <c r="Z770" s="88" t="n"/>
    </row>
    <row r="771" ht="15.6" customHeight="1">
      <c r="A771" s="69">
        <f>ROW()-1</f>
        <v/>
      </c>
      <c r="B771" s="53" t="n"/>
      <c r="C771" s="78" t="n">
        <v>2025</v>
      </c>
      <c r="D771" s="78" t="inlineStr">
        <is>
          <t>张明峰</t>
        </is>
      </c>
      <c r="E771" s="53" t="n"/>
      <c r="F771" s="53" t="n"/>
      <c r="G771" s="53" t="n"/>
      <c r="H771" s="96" t="inlineStr">
        <is>
          <t>漏洞利用交互报文表</t>
        </is>
      </c>
      <c r="I771" s="76" t="inlineStr">
        <is>
          <t>ILF</t>
        </is>
      </c>
      <c r="J771" s="108" t="n"/>
      <c r="K771" s="108" t="n"/>
      <c r="L771" s="83">
        <f>IF(OR(X771="估算法",X771="算法类",X771="无法识别"),"",IF(V771="",IF(OR(I771="EI",I771="EO",I771="EQ"),0,""),LEN(V771)-LEN(SUBSTITUTE(V771,"、",""))+1))</f>
        <v/>
      </c>
      <c r="M771" s="83">
        <f>IF(OR(X771="估算法",X771="算法类",X771="无法识别"),"",IF(W771="",IF(OR(I771="ILF",I771="EIF"),0,""),LEN(W771)-LEN(SUBSTITUTE(W771,"、",""))+1))</f>
        <v/>
      </c>
      <c r="N771" s="83">
        <f>IF(OR(X771="估算法",X771="算法类",X771="无法识别"),"",IF(X771="",IF(OR(I771="ILF",I771="EIF",I771="EI",I771="EO",I771="EQ"),0,""),LEN(X771)-LEN(SUBSTITUTE(SUBSTITUTE(SUBSTITUTE(SUBSTITUTE(SUBSTITUTE(X771,"|}","--"),"{|","--"),CHAR(10),""),"、",""),"|",""))+IF(AND(OR(I771="EI",I771="EO",I771="EQ"),$AD$1="NESMA"),2,1)))</f>
        <v/>
      </c>
      <c r="O771" s="84">
        <f>IF(I771="EI",IF(OR(X771="估算法",X771="算法类"),"中",IF(X771="无法识别","低",IF(L771&lt;2,IF(N771&lt;16,"低","中"),IF(L771&lt;3,IF(N771&lt;5,"低",IF(N771&lt;16,"中","高")),IF(N771&lt;5,"中","高"))))),IF(OR(I771="EO",I771="EQ"),IF(OR(X771="估算法",X771="算法类"),"中",IF(X771="无法识别","低",IF(L771&lt;2,IF(N771&lt;20,"低","中"),IF(L771&lt;4,IF(N771&lt;6,"低",IF(N771&lt;20,"中","高")),IF(N771&lt;6,"中","高"))))),IF(OR(I771="ILF",I771="EIF"),IF(OR(X771="估算法",X771="算法类",X771="无法识别"),"低",IF(M771&lt;2,IF(N771&lt;51,"低","中"),IF(M771&lt;6,IF(N771&lt;20,"低",IF(N771&lt;51,"中","高")),IF(N771&lt;20,"中","高")))),"不计算")))</f>
        <v/>
      </c>
      <c r="P771" s="142">
        <f>IFERROR(IF(I771="EI",IF(O771="低",3,IF(O771="中",4,6)),IF(I771="EO",IF(O771="低",4,IF(O771="中",5,7)),IF(I771="EQ",IF(O771="低",3,IF(O771="中",4,6)),IF(I771="ILF",IF(O771="低",7,IF(O771="中",10,15)),IF(I771="EIF",IF(O771="低",5,IF(O771="中",7,10)),"不计算")))))*Q771,"不计算")</f>
        <v/>
      </c>
      <c r="Q771" s="142" t="n">
        <v>1</v>
      </c>
      <c r="R771" s="143">
        <f>调整因子!$F$13</f>
        <v/>
      </c>
      <c r="S771" s="76" t="n">
        <v>1</v>
      </c>
      <c r="T771" s="144">
        <f>IFERROR(P771*R771,0)</f>
        <v/>
      </c>
      <c r="U771" s="144">
        <f>T771*S771</f>
        <v/>
      </c>
      <c r="V771" s="96" t="n"/>
      <c r="W771" s="88" t="inlineStr">
        <is>
          <t>漏洞利用交互报文表</t>
        </is>
      </c>
      <c r="X771" s="88" t="inlineStr">
        <is>
          <t>漏洞利用交互报文表{台账记录编号、交互序号、利用请求报文、创建时间}</t>
        </is>
      </c>
      <c r="Y771" s="88" t="n"/>
      <c r="Z771" s="88" t="n"/>
    </row>
    <row r="772" ht="15.6" customHeight="1">
      <c r="A772" s="69">
        <f>ROW()-1</f>
        <v/>
      </c>
      <c r="B772" s="53" t="n"/>
      <c r="C772" s="78" t="n">
        <v>2025</v>
      </c>
      <c r="D772" s="78" t="inlineStr">
        <is>
          <t>张明峰</t>
        </is>
      </c>
      <c r="E772" s="53" t="n"/>
      <c r="F772" s="53" t="n"/>
      <c r="G772" s="53" t="n"/>
      <c r="H772" s="96" t="inlineStr">
        <is>
          <t>后台写入漏洞利用交互报文</t>
        </is>
      </c>
      <c r="I772" s="76" t="inlineStr">
        <is>
          <t>EI</t>
        </is>
      </c>
      <c r="J772" s="108" t="n"/>
      <c r="K772" s="108" t="n"/>
      <c r="L772" s="83">
        <f>IF(OR(X772="估算法",X772="算法类",X772="无法识别"),"",IF(V772="",IF(OR(I772="EI",I772="EO",I772="EQ"),0,""),LEN(V772)-LEN(SUBSTITUTE(V772,"、",""))+1))</f>
        <v/>
      </c>
      <c r="M772" s="83">
        <f>IF(OR(X772="估算法",X772="算法类",X772="无法识别"),"",IF(W772="",IF(OR(I772="ILF",I772="EIF"),0,""),LEN(W772)-LEN(SUBSTITUTE(W772,"、",""))+1))</f>
        <v/>
      </c>
      <c r="N772" s="83">
        <f>IF(OR(X772="估算法",X772="算法类",X772="无法识别"),"",IF(X772="",IF(OR(I772="ILF",I772="EIF",I772="EI",I772="EO",I772="EQ"),0,""),LEN(X772)-LEN(SUBSTITUTE(SUBSTITUTE(SUBSTITUTE(SUBSTITUTE(SUBSTITUTE(X772,"|}","--"),"{|","--"),CHAR(10),""),"、",""),"|",""))+IF(AND(OR(I772="EI",I772="EO",I772="EQ"),$AD$1="NESMA"),2,1)))</f>
        <v/>
      </c>
      <c r="O772" s="84">
        <f>IF(I772="EI",IF(OR(X772="估算法",X772="算法类"),"中",IF(X772="无法识别","低",IF(L772&lt;2,IF(N772&lt;16,"低","中"),IF(L772&lt;3,IF(N772&lt;5,"低",IF(N772&lt;16,"中","高")),IF(N772&lt;5,"中","高"))))),IF(OR(I772="EO",I772="EQ"),IF(OR(X772="估算法",X772="算法类"),"中",IF(X772="无法识别","低",IF(L772&lt;2,IF(N772&lt;20,"低","中"),IF(L772&lt;4,IF(N772&lt;6,"低",IF(N772&lt;20,"中","高")),IF(N772&lt;6,"中","高"))))),IF(OR(I772="ILF",I772="EIF"),IF(OR(X772="估算法",X772="算法类",X772="无法识别"),"低",IF(M772&lt;2,IF(N772&lt;51,"低","中"),IF(M772&lt;6,IF(N772&lt;20,"低",IF(N772&lt;51,"中","高")),IF(N772&lt;20,"中","高")))),"不计算")))</f>
        <v/>
      </c>
      <c r="P772" s="142">
        <f>IFERROR(IF(I772="EI",IF(O772="低",3,IF(O772="中",4,6)),IF(I772="EO",IF(O772="低",4,IF(O772="中",5,7)),IF(I772="EQ",IF(O772="低",3,IF(O772="中",4,6)),IF(I772="ILF",IF(O772="低",7,IF(O772="中",10,15)),IF(I772="EIF",IF(O772="低",5,IF(O772="中",7,10)),"不计算")))))*Q772,"不计算")</f>
        <v/>
      </c>
      <c r="Q772" s="142" t="n">
        <v>1</v>
      </c>
      <c r="R772" s="143">
        <f>调整因子!$F$13</f>
        <v/>
      </c>
      <c r="S772" s="70" t="n">
        <v>1</v>
      </c>
      <c r="T772" s="144">
        <f>IFERROR(P772*R772,0)</f>
        <v/>
      </c>
      <c r="U772" s="144">
        <f>T772*S772</f>
        <v/>
      </c>
      <c r="V772" s="96" t="inlineStr">
        <is>
          <t>漏洞利用交互报文表</t>
        </is>
      </c>
      <c r="W772" s="88" t="n"/>
      <c r="X772" s="88" t="inlineStr">
        <is>
          <t>漏洞利用交互报文表{台账记录编号、交互序号、利用请求报文|交互序号}</t>
        </is>
      </c>
      <c r="Y772" s="88" t="n"/>
      <c r="Z772" s="88" t="n"/>
    </row>
    <row r="773" ht="15.6" customHeight="1">
      <c r="A773" s="69">
        <f>ROW()-1</f>
        <v/>
      </c>
      <c r="B773" s="53" t="n"/>
      <c r="C773" s="78" t="n">
        <v>2025</v>
      </c>
      <c r="D773" s="78" t="inlineStr">
        <is>
          <t>张明峰</t>
        </is>
      </c>
      <c r="E773" s="53" t="n"/>
      <c r="F773" s="53" t="n"/>
      <c r="G773" s="53" t="n"/>
      <c r="H773" s="96" t="inlineStr">
        <is>
          <t>后台校验利用结果并标记</t>
        </is>
      </c>
      <c r="I773" s="76" t="inlineStr">
        <is>
          <t>EI</t>
        </is>
      </c>
      <c r="J773" s="108" t="n"/>
      <c r="K773" s="108" t="n"/>
      <c r="L773" s="83">
        <f>IF(OR(X773="估算法",X773="算法类",X773="无法识别"),"",IF(V773="",IF(OR(I773="EI",I773="EO",I773="EQ"),0,""),LEN(V773)-LEN(SUBSTITUTE(V773,"、",""))+1))</f>
        <v/>
      </c>
      <c r="M773" s="83">
        <f>IF(OR(X773="估算法",X773="算法类",X773="无法识别"),"",IF(W773="",IF(OR(I773="ILF",I773="EIF"),0,""),LEN(W773)-LEN(SUBSTITUTE(W773,"、",""))+1))</f>
        <v/>
      </c>
      <c r="N773" s="83">
        <f>IF(OR(X773="估算法",X773="算法类",X773="无法识别"),"",IF(X773="",IF(OR(I773="ILF",I773="EIF",I773="EI",I773="EO",I773="EQ"),0,""),LEN(X773)-LEN(SUBSTITUTE(SUBSTITUTE(SUBSTITUTE(SUBSTITUTE(SUBSTITUTE(X773,"|}","--"),"{|","--"),CHAR(10),""),"、",""),"|",""))+IF(AND(OR(I773="EI",I773="EO",I773="EQ"),$AD$1="NESMA"),2,1)))</f>
        <v/>
      </c>
      <c r="O773" s="84">
        <f>IF(I773="EI",IF(OR(X773="估算法",X773="算法类"),"中",IF(X773="无法识别","低",IF(L773&lt;2,IF(N773&lt;16,"低","中"),IF(L773&lt;3,IF(N773&lt;5,"低",IF(N773&lt;16,"中","高")),IF(N773&lt;5,"中","高"))))),IF(OR(I773="EO",I773="EQ"),IF(OR(X773="估算法",X773="算法类"),"中",IF(X773="无法识别","低",IF(L773&lt;2,IF(N773&lt;20,"低","中"),IF(L773&lt;4,IF(N773&lt;6,"低",IF(N773&lt;20,"中","高")),IF(N773&lt;6,"中","高"))))),IF(OR(I773="ILF",I773="EIF"),IF(OR(X773="估算法",X773="算法类",X773="无法识别"),"低",IF(M773&lt;2,IF(N773&lt;51,"低","中"),IF(M773&lt;6,IF(N773&lt;20,"低",IF(N773&lt;51,"中","高")),IF(N773&lt;20,"中","高")))),"不计算")))</f>
        <v/>
      </c>
      <c r="P773" s="142">
        <f>IFERROR(IF(I773="EI",IF(O773="低",3,IF(O773="中",4,6)),IF(I773="EO",IF(O773="低",4,IF(O773="中",5,7)),IF(I773="EQ",IF(O773="低",3,IF(O773="中",4,6)),IF(I773="ILF",IF(O773="低",7,IF(O773="中",10,15)),IF(I773="EIF",IF(O773="低",5,IF(O773="中",7,10)),"不计算")))))*Q773,"不计算")</f>
        <v/>
      </c>
      <c r="Q773" s="142" t="n">
        <v>1</v>
      </c>
      <c r="R773" s="143">
        <f>调整因子!$F$13</f>
        <v/>
      </c>
      <c r="S773" s="70" t="n">
        <v>1</v>
      </c>
      <c r="T773" s="144">
        <f>IFERROR(P773*R773,0)</f>
        <v/>
      </c>
      <c r="U773" s="144">
        <f>T773*S773</f>
        <v/>
      </c>
      <c r="V773" s="96" t="inlineStr">
        <is>
          <t>系统漏洞利用台账表</t>
        </is>
      </c>
      <c r="W773" s="88" t="n"/>
      <c r="X773" s="88" t="inlineStr">
        <is>
          <t>系统漏洞利用台账表{操作结果、漏洞信息编号|台账记录编号、操作结果}</t>
        </is>
      </c>
      <c r="Y773" s="88" t="n"/>
      <c r="Z773" s="88" t="n"/>
    </row>
    <row r="774" ht="21.6" customHeight="1">
      <c r="A774" s="69">
        <f>ROW()-1</f>
        <v/>
      </c>
      <c r="B774" s="53" t="n"/>
      <c r="C774" s="78" t="n">
        <v>2025</v>
      </c>
      <c r="D774" s="78" t="inlineStr">
        <is>
          <t>张明峰</t>
        </is>
      </c>
      <c r="E774" s="53" t="n"/>
      <c r="F774" s="53" t="n"/>
      <c r="G774" s="54" t="n"/>
      <c r="H774" s="96" t="inlineStr">
        <is>
          <t>系统漏洞利用台账表</t>
        </is>
      </c>
      <c r="I774" s="76" t="inlineStr">
        <is>
          <t>ILF</t>
        </is>
      </c>
      <c r="J774" s="108" t="n"/>
      <c r="K774" s="108" t="n"/>
      <c r="L774" s="83">
        <f>IF(OR(X774="估算法",X774="算法类",X774="无法识别"),"",IF(V774="",IF(OR(I774="EI",I774="EO",I774="EQ"),0,""),LEN(V774)-LEN(SUBSTITUTE(V774,"、",""))+1))</f>
        <v/>
      </c>
      <c r="M774" s="83">
        <f>IF(OR(X774="估算法",X774="算法类",X774="无法识别"),"",IF(W774="",IF(OR(I774="ILF",I774="EIF"),0,""),LEN(W774)-LEN(SUBSTITUTE(W774,"、",""))+1))</f>
        <v/>
      </c>
      <c r="N774" s="83">
        <f>IF(OR(X774="估算法",X774="算法类",X774="无法识别"),"",IF(X774="",IF(OR(I774="ILF",I774="EIF",I774="EI",I774="EO",I774="EQ"),0,""),LEN(X774)-LEN(SUBSTITUTE(SUBSTITUTE(SUBSTITUTE(SUBSTITUTE(SUBSTITUTE(X774,"|}","--"),"{|","--"),CHAR(10),""),"、",""),"|",""))+IF(AND(OR(I774="EI",I774="EO",I774="EQ"),$AD$1="NESMA"),2,1)))</f>
        <v/>
      </c>
      <c r="O774" s="84">
        <f>IF(I774="EI",IF(OR(X774="估算法",X774="算法类"),"中",IF(X774="无法识别","低",IF(L774&lt;2,IF(N774&lt;16,"低","中"),IF(L774&lt;3,IF(N774&lt;5,"低",IF(N774&lt;16,"中","高")),IF(N774&lt;5,"中","高"))))),IF(OR(I774="EO",I774="EQ"),IF(OR(X774="估算法",X774="算法类"),"中",IF(X774="无法识别","低",IF(L774&lt;2,IF(N774&lt;20,"低","中"),IF(L774&lt;4,IF(N774&lt;6,"低",IF(N774&lt;20,"中","高")),IF(N774&lt;6,"中","高"))))),IF(OR(I774="ILF",I774="EIF"),IF(OR(X774="估算法",X774="算法类",X774="无法识别"),"低",IF(M774&lt;2,IF(N774&lt;51,"低","中"),IF(M774&lt;6,IF(N774&lt;20,"低",IF(N774&lt;51,"中","高")),IF(N774&lt;20,"中","高")))),"不计算")))</f>
        <v/>
      </c>
      <c r="P774" s="142">
        <f>IFERROR(IF(I774="EI",IF(O774="低",3,IF(O774="中",4,6)),IF(I774="EO",IF(O774="低",4,IF(O774="中",5,7)),IF(I774="EQ",IF(O774="低",3,IF(O774="中",4,6)),IF(I774="ILF",IF(O774="低",7,IF(O774="中",10,15)),IF(I774="EIF",IF(O774="低",5,IF(O774="中",7,10)),"不计算")))))*Q774,"不计算")</f>
        <v/>
      </c>
      <c r="Q774" s="142" t="n">
        <v>1</v>
      </c>
      <c r="R774" s="143">
        <f>调整因子!$F$13</f>
        <v/>
      </c>
      <c r="S774" s="76" t="n">
        <v>1</v>
      </c>
      <c r="T774" s="144">
        <f>IFERROR(P774*R774,0)</f>
        <v/>
      </c>
      <c r="U774" s="144">
        <f>T774*S774</f>
        <v/>
      </c>
      <c r="V774" s="96" t="n"/>
      <c r="W774" s="88" t="inlineStr">
        <is>
          <t>系统漏洞利用台账表</t>
        </is>
      </c>
      <c r="X774" s="88" t="inlineStr">
        <is>
          <t>系统漏洞利用台账表{台账记录编号、台账类型编码、漏洞信息编号、漏洞信息状态、扫描引擎哈希、利用请求报文、交互序号、操作结果}</t>
        </is>
      </c>
      <c r="Y774" s="88" t="n"/>
      <c r="Z774" s="88" t="n"/>
    </row>
    <row r="775" ht="21.6" customHeight="1">
      <c r="A775" s="69">
        <f>ROW()-1</f>
        <v/>
      </c>
      <c r="B775" s="53" t="n"/>
      <c r="C775" s="78" t="n">
        <v>2025</v>
      </c>
      <c r="D775" s="78" t="inlineStr">
        <is>
          <t>张明峰</t>
        </is>
      </c>
      <c r="E775" s="53" t="n"/>
      <c r="F775" s="53" t="n"/>
      <c r="G775" s="81" t="inlineStr">
        <is>
          <t>系统漏洞修复台账</t>
        </is>
      </c>
      <c r="H775" s="96" t="inlineStr">
        <is>
          <t>后台记录修复工单指派审计</t>
        </is>
      </c>
      <c r="I775" s="76" t="inlineStr">
        <is>
          <t>EI</t>
        </is>
      </c>
      <c r="J775" s="108" t="n"/>
      <c r="K775" s="108" t="n"/>
      <c r="L775" s="83">
        <f>IF(OR(X775="估算法",X775="算法类",X775="无法识别"),"",IF(V775="",IF(OR(I775="EI",I775="EO",I775="EQ"),0,""),LEN(V775)-LEN(SUBSTITUTE(V775,"、",""))+1))</f>
        <v/>
      </c>
      <c r="M775" s="83">
        <f>IF(OR(X775="估算法",X775="算法类",X775="无法识别"),"",IF(W775="",IF(OR(I775="ILF",I775="EIF"),0,""),LEN(W775)-LEN(SUBSTITUTE(W775,"、",""))+1))</f>
        <v/>
      </c>
      <c r="N775" s="83">
        <f>IF(OR(X775="估算法",X775="算法类",X775="无法识别"),"",IF(X775="",IF(OR(I775="ILF",I775="EIF",I775="EI",I775="EO",I775="EQ"),0,""),LEN(X775)-LEN(SUBSTITUTE(SUBSTITUTE(SUBSTITUTE(SUBSTITUTE(SUBSTITUTE(X775,"|}","--"),"{|","--"),CHAR(10),""),"、",""),"|",""))+IF(AND(OR(I775="EI",I775="EO",I775="EQ"),$AD$1="NESMA"),2,1)))</f>
        <v/>
      </c>
      <c r="O775" s="84">
        <f>IF(I775="EI",IF(OR(X775="估算法",X775="算法类"),"中",IF(X775="无法识别","低",IF(L775&lt;2,IF(N775&lt;16,"低","中"),IF(L775&lt;3,IF(N775&lt;5,"低",IF(N775&lt;16,"中","高")),IF(N775&lt;5,"中","高"))))),IF(OR(I775="EO",I775="EQ"),IF(OR(X775="估算法",X775="算法类"),"中",IF(X775="无法识别","低",IF(L775&lt;2,IF(N775&lt;20,"低","中"),IF(L775&lt;4,IF(N775&lt;6,"低",IF(N775&lt;20,"中","高")),IF(N775&lt;6,"中","高"))))),IF(OR(I775="ILF",I775="EIF"),IF(OR(X775="估算法",X775="算法类",X775="无法识别"),"低",IF(M775&lt;2,IF(N775&lt;51,"低","中"),IF(M775&lt;6,IF(N775&lt;20,"低",IF(N775&lt;51,"中","高")),IF(N775&lt;20,"中","高")))),"不计算")))</f>
        <v/>
      </c>
      <c r="P775" s="142">
        <f>IFERROR(IF(I775="EI",IF(O775="低",3,IF(O775="中",4,6)),IF(I775="EO",IF(O775="低",4,IF(O775="中",5,7)),IF(I775="EQ",IF(O775="低",3,IF(O775="中",4,6)),IF(I775="ILF",IF(O775="低",7,IF(O775="中",10,15)),IF(I775="EIF",IF(O775="低",5,IF(O775="中",7,10)),"不计算")))))*Q775,"不计算")</f>
        <v/>
      </c>
      <c r="Q775" s="142" t="n">
        <v>1</v>
      </c>
      <c r="R775" s="143">
        <f>调整因子!$F$13</f>
        <v/>
      </c>
      <c r="S775" s="76" t="n">
        <v>1</v>
      </c>
      <c r="T775" s="144">
        <f>IFERROR(P775*R775,0)</f>
        <v/>
      </c>
      <c r="U775" s="144">
        <f>T775*S775</f>
        <v/>
      </c>
      <c r="V775" s="88" t="inlineStr">
        <is>
          <t>系统漏洞修复台账表</t>
        </is>
      </c>
      <c r="W775" s="100" t="n"/>
      <c r="X775" s="88" t="inlineStr">
        <is>
          <t>系统漏洞修复台账表{源工单角色、源工单人员、目标工单角色、目标工单人员、工单编号、工单名称|台账记录编号、台账类型编码}</t>
        </is>
      </c>
      <c r="Y775" s="88" t="inlineStr">
        <is>
          <t>表56，类型1050</t>
        </is>
      </c>
      <c r="Z775" s="88" t="n"/>
    </row>
    <row r="776" ht="21.6" customHeight="1">
      <c r="A776" s="69">
        <f>ROW()-1</f>
        <v/>
      </c>
      <c r="B776" s="53" t="n"/>
      <c r="C776" s="78" t="n">
        <v>2025</v>
      </c>
      <c r="D776" s="78" t="inlineStr">
        <is>
          <t>张明峰</t>
        </is>
      </c>
      <c r="E776" s="53" t="n"/>
      <c r="F776" s="53" t="n"/>
      <c r="G776" s="53" t="n"/>
      <c r="H776" s="96" t="inlineStr">
        <is>
          <t>后台记录修复完成上报审计</t>
        </is>
      </c>
      <c r="I776" s="76" t="inlineStr">
        <is>
          <t>EI</t>
        </is>
      </c>
      <c r="J776" s="108" t="n"/>
      <c r="K776" s="108" t="n"/>
      <c r="L776" s="83">
        <f>IF(OR(X776="估算法",X776="算法类",X776="无法识别"),"",IF(V776="",IF(OR(I776="EI",I776="EO",I776="EQ"),0,""),LEN(V776)-LEN(SUBSTITUTE(V776,"、",""))+1))</f>
        <v/>
      </c>
      <c r="M776" s="83">
        <f>IF(OR(X776="估算法",X776="算法类",X776="无法识别"),"",IF(W776="",IF(OR(I776="ILF",I776="EIF"),0,""),LEN(W776)-LEN(SUBSTITUTE(W776,"、",""))+1))</f>
        <v/>
      </c>
      <c r="N776" s="83">
        <f>IF(OR(X776="估算法",X776="算法类",X776="无法识别"),"",IF(X776="",IF(OR(I776="ILF",I776="EIF",I776="EI",I776="EO",I776="EQ"),0,""),LEN(X776)-LEN(SUBSTITUTE(SUBSTITUTE(SUBSTITUTE(SUBSTITUTE(SUBSTITUTE(X776,"|}","--"),"{|","--"),CHAR(10),""),"、",""),"|",""))+IF(AND(OR(I776="EI",I776="EO",I776="EQ"),$AD$1="NESMA"),2,1)))</f>
        <v/>
      </c>
      <c r="O776" s="84">
        <f>IF(I776="EI",IF(OR(X776="估算法",X776="算法类"),"中",IF(X776="无法识别","低",IF(L776&lt;2,IF(N776&lt;16,"低","中"),IF(L776&lt;3,IF(N776&lt;5,"低",IF(N776&lt;16,"中","高")),IF(N776&lt;5,"中","高"))))),IF(OR(I776="EO",I776="EQ"),IF(OR(X776="估算法",X776="算法类"),"中",IF(X776="无法识别","低",IF(L776&lt;2,IF(N776&lt;20,"低","中"),IF(L776&lt;4,IF(N776&lt;6,"低",IF(N776&lt;20,"中","高")),IF(N776&lt;6,"中","高"))))),IF(OR(I776="ILF",I776="EIF"),IF(OR(X776="估算法",X776="算法类",X776="无法识别"),"低",IF(M776&lt;2,IF(N776&lt;51,"低","中"),IF(M776&lt;6,IF(N776&lt;20,"低",IF(N776&lt;51,"中","高")),IF(N776&lt;20,"中","高")))),"不计算")))</f>
        <v/>
      </c>
      <c r="P776" s="142">
        <f>IFERROR(IF(I776="EI",IF(O776="低",3,IF(O776="中",4,6)),IF(I776="EO",IF(O776="低",4,IF(O776="中",5,7)),IF(I776="EQ",IF(O776="低",3,IF(O776="中",4,6)),IF(I776="ILF",IF(O776="低",7,IF(O776="中",10,15)),IF(I776="EIF",IF(O776="低",5,IF(O776="中",7,10)),"不计算")))))*Q776,"不计算")</f>
        <v/>
      </c>
      <c r="Q776" s="142" t="n">
        <v>1</v>
      </c>
      <c r="R776" s="143">
        <f>调整因子!$F$13</f>
        <v/>
      </c>
      <c r="S776" s="70" t="n">
        <v>1</v>
      </c>
      <c r="T776" s="144">
        <f>IFERROR(P776*R776,0)</f>
        <v/>
      </c>
      <c r="U776" s="144">
        <f>T776*S776</f>
        <v/>
      </c>
      <c r="V776" s="88" t="inlineStr">
        <is>
          <t>系统漏洞修复台账表</t>
        </is>
      </c>
      <c r="W776" s="100" t="n"/>
      <c r="X776" s="88" t="inlineStr">
        <is>
          <t>系统漏洞修复台账表{修复方式、修复描述、修复时间、修复明细|修复方式、修复时间}</t>
        </is>
      </c>
      <c r="Y776" s="88" t="n"/>
      <c r="Z776" s="88" t="n"/>
    </row>
    <row r="777" ht="15.6" customHeight="1">
      <c r="A777" s="69">
        <f>ROW()-1</f>
        <v/>
      </c>
      <c r="B777" s="53" t="n"/>
      <c r="C777" s="78" t="n">
        <v>2025</v>
      </c>
      <c r="D777" s="78" t="inlineStr">
        <is>
          <t>张明峰</t>
        </is>
      </c>
      <c r="E777" s="53" t="n"/>
      <c r="F777" s="53" t="n"/>
      <c r="G777" s="53" t="n"/>
      <c r="H777" s="96" t="inlineStr">
        <is>
          <t>后台组装修复漏洞清单</t>
        </is>
      </c>
      <c r="I777" s="76" t="inlineStr">
        <is>
          <t>EI</t>
        </is>
      </c>
      <c r="J777" s="108" t="n"/>
      <c r="K777" s="108" t="n"/>
      <c r="L777" s="83">
        <f>IF(OR(X777="估算法",X777="算法类",X777="无法识别"),"",IF(V777="",IF(OR(I777="EI",I777="EO",I777="EQ"),0,""),LEN(V777)-LEN(SUBSTITUTE(V777,"、",""))+1))</f>
        <v/>
      </c>
      <c r="M777" s="83">
        <f>IF(OR(X777="估算法",X777="算法类",X777="无法识别"),"",IF(W777="",IF(OR(I777="ILF",I777="EIF"),0,""),LEN(W777)-LEN(SUBSTITUTE(W777,"、",""))+1))</f>
        <v/>
      </c>
      <c r="N777" s="83">
        <f>IF(OR(X777="估算法",X777="算法类",X777="无法识别"),"",IF(X777="",IF(OR(I777="ILF",I777="EIF",I777="EI",I777="EO",I777="EQ"),0,""),LEN(X777)-LEN(SUBSTITUTE(SUBSTITUTE(SUBSTITUTE(SUBSTITUTE(SUBSTITUTE(X777,"|}","--"),"{|","--"),CHAR(10),""),"、",""),"|",""))+IF(AND(OR(I777="EI",I777="EO",I777="EQ"),$AD$1="NESMA"),2,1)))</f>
        <v/>
      </c>
      <c r="O777" s="84">
        <f>IF(I777="EI",IF(OR(X777="估算法",X777="算法类"),"中",IF(X777="无法识别","低",IF(L777&lt;2,IF(N777&lt;16,"低","中"),IF(L777&lt;3,IF(N777&lt;5,"低",IF(N777&lt;16,"中","高")),IF(N777&lt;5,"中","高"))))),IF(OR(I777="EO",I777="EQ"),IF(OR(X777="估算法",X777="算法类"),"中",IF(X777="无法识别","低",IF(L777&lt;2,IF(N777&lt;20,"低","中"),IF(L777&lt;4,IF(N777&lt;6,"低",IF(N777&lt;20,"中","高")),IF(N777&lt;6,"中","高"))))),IF(OR(I777="ILF",I777="EIF"),IF(OR(X777="估算法",X777="算法类",X777="无法识别"),"低",IF(M777&lt;2,IF(N777&lt;51,"低","中"),IF(M777&lt;6,IF(N777&lt;20,"低",IF(N777&lt;51,"中","高")),IF(N777&lt;20,"中","高")))),"不计算")))</f>
        <v/>
      </c>
      <c r="P777" s="142">
        <f>IFERROR(IF(I777="EI",IF(O777="低",3,IF(O777="中",4,6)),IF(I777="EO",IF(O777="低",4,IF(O777="中",5,7)),IF(I777="EQ",IF(O777="低",3,IF(O777="中",4,6)),IF(I777="ILF",IF(O777="低",7,IF(O777="中",10,15)),IF(I777="EIF",IF(O777="低",5,IF(O777="中",7,10)),"不计算")))))*Q777,"不计算")</f>
        <v/>
      </c>
      <c r="Q777" s="142" t="n">
        <v>1</v>
      </c>
      <c r="R777" s="143">
        <f>调整因子!$F$13</f>
        <v/>
      </c>
      <c r="S777" s="70" t="n">
        <v>1</v>
      </c>
      <c r="T777" s="144">
        <f>IFERROR(P777*R777,0)</f>
        <v/>
      </c>
      <c r="U777" s="144">
        <f>T777*S777</f>
        <v/>
      </c>
      <c r="V777" s="88" t="inlineStr">
        <is>
          <t>系统漏洞修复台账表</t>
        </is>
      </c>
      <c r="W777" s="100" t="n"/>
      <c r="X777" s="88" t="inlineStr">
        <is>
          <t>系统漏洞修复台账表{修复明细、漏洞信息编号、漏洞信息状态|修复明细}</t>
        </is>
      </c>
      <c r="Y777" s="88" t="n"/>
      <c r="Z777" s="88" t="n"/>
    </row>
    <row r="778" ht="15.6" customHeight="1">
      <c r="A778" s="69">
        <f>ROW()-1</f>
        <v/>
      </c>
      <c r="B778" s="53" t="n"/>
      <c r="C778" s="78" t="n">
        <v>2025</v>
      </c>
      <c r="D778" s="78" t="inlineStr">
        <is>
          <t>张明峰</t>
        </is>
      </c>
      <c r="E778" s="53" t="n"/>
      <c r="F778" s="53" t="n"/>
      <c r="G778" s="53" t="n"/>
      <c r="H778" s="96" t="inlineStr">
        <is>
          <t>后台维护修复工单与台账关联</t>
        </is>
      </c>
      <c r="I778" s="76" t="inlineStr">
        <is>
          <t>EI</t>
        </is>
      </c>
      <c r="J778" s="108" t="n"/>
      <c r="K778" s="108" t="n"/>
      <c r="L778" s="83">
        <f>IF(OR(X778="估算法",X778="算法类",X778="无法识别"),"",IF(V778="",IF(OR(I778="EI",I778="EO",I778="EQ"),0,""),LEN(V778)-LEN(SUBSTITUTE(V778,"、",""))+1))</f>
        <v/>
      </c>
      <c r="M778" s="83">
        <f>IF(OR(X778="估算法",X778="算法类",X778="无法识别"),"",IF(W778="",IF(OR(I778="ILF",I778="EIF"),0,""),LEN(W778)-LEN(SUBSTITUTE(W778,"、",""))+1))</f>
        <v/>
      </c>
      <c r="N778" s="83">
        <f>IF(OR(X778="估算法",X778="算法类",X778="无法识别"),"",IF(X778="",IF(OR(I778="ILF",I778="EIF",I778="EI",I778="EO",I778="EQ"),0,""),LEN(X778)-LEN(SUBSTITUTE(SUBSTITUTE(SUBSTITUTE(SUBSTITUTE(SUBSTITUTE(X778,"|}","--"),"{|","--"),CHAR(10),""),"、",""),"|",""))+IF(AND(OR(I778="EI",I778="EO",I778="EQ"),$AD$1="NESMA"),2,1)))</f>
        <v/>
      </c>
      <c r="O778" s="84">
        <f>IF(I778="EI",IF(OR(X778="估算法",X778="算法类"),"中",IF(X778="无法识别","低",IF(L778&lt;2,IF(N778&lt;16,"低","中"),IF(L778&lt;3,IF(N778&lt;5,"低",IF(N778&lt;16,"中","高")),IF(N778&lt;5,"中","高"))))),IF(OR(I778="EO",I778="EQ"),IF(OR(X778="估算法",X778="算法类"),"中",IF(X778="无法识别","低",IF(L778&lt;2,IF(N778&lt;20,"低","中"),IF(L778&lt;4,IF(N778&lt;6,"低",IF(N778&lt;20,"中","高")),IF(N778&lt;6,"中","高"))))),IF(OR(I778="ILF",I778="EIF"),IF(OR(X778="估算法",X778="算法类",X778="无法识别"),"低",IF(M778&lt;2,IF(N778&lt;51,"低","中"),IF(M778&lt;6,IF(N778&lt;20,"低",IF(N778&lt;51,"中","高")),IF(N778&lt;20,"中","高")))),"不计算")))</f>
        <v/>
      </c>
      <c r="P778" s="142">
        <f>IFERROR(IF(I778="EI",IF(O778="低",3,IF(O778="中",4,6)),IF(I778="EO",IF(O778="低",4,IF(O778="中",5,7)),IF(I778="EQ",IF(O778="低",3,IF(O778="中",4,6)),IF(I778="ILF",IF(O778="低",7,IF(O778="中",10,15)),IF(I778="EIF",IF(O778="低",5,IF(O778="中",7,10)),"不计算")))))*Q778,"不计算")</f>
        <v/>
      </c>
      <c r="Q778" s="142" t="n">
        <v>1</v>
      </c>
      <c r="R778" s="143">
        <f>调整因子!$F$13</f>
        <v/>
      </c>
      <c r="S778" s="76" t="n">
        <v>1</v>
      </c>
      <c r="T778" s="144">
        <f>IFERROR(P778*R778,0)</f>
        <v/>
      </c>
      <c r="U778" s="144">
        <f>T778*S778</f>
        <v/>
      </c>
      <c r="V778" s="96" t="inlineStr">
        <is>
          <t>修复工单台账关联表</t>
        </is>
      </c>
      <c r="W778" s="88" t="n"/>
      <c r="X778" s="88" t="inlineStr">
        <is>
          <t>修复工单台账关联表{工单编号、台账记录编号、办件编号、部侧指令编号|关联时间}</t>
        </is>
      </c>
      <c r="Y778" s="88" t="n"/>
      <c r="Z778" s="88" t="n"/>
    </row>
    <row r="779" ht="15.6" customHeight="1">
      <c r="A779" s="69">
        <f>ROW()-1</f>
        <v/>
      </c>
      <c r="B779" s="53" t="n"/>
      <c r="C779" s="78" t="n">
        <v>2025</v>
      </c>
      <c r="D779" s="78" t="inlineStr">
        <is>
          <t>张明峰</t>
        </is>
      </c>
      <c r="E779" s="53" t="n"/>
      <c r="F779" s="53" t="n"/>
      <c r="G779" s="53" t="n"/>
      <c r="H779" s="96" t="inlineStr">
        <is>
          <t>修复工单台账关联表</t>
        </is>
      </c>
      <c r="I779" s="76" t="inlineStr">
        <is>
          <t>ILF</t>
        </is>
      </c>
      <c r="J779" s="108" t="n"/>
      <c r="K779" s="108" t="n"/>
      <c r="L779" s="83">
        <f>IF(OR(X779="估算法",X779="算法类",X779="无法识别"),"",IF(V779="",IF(OR(I779="EI",I779="EO",I779="EQ"),0,""),LEN(V779)-LEN(SUBSTITUTE(V779,"、",""))+1))</f>
        <v/>
      </c>
      <c r="M779" s="83">
        <f>IF(OR(X779="估算法",X779="算法类",X779="无法识别"),"",IF(W779="",IF(OR(I779="ILF",I779="EIF"),0,""),LEN(W779)-LEN(SUBSTITUTE(W779,"、",""))+1))</f>
        <v/>
      </c>
      <c r="N779" s="83">
        <f>IF(OR(X779="估算法",X779="算法类",X779="无法识别"),"",IF(X779="",IF(OR(I779="ILF",I779="EIF",I779="EI",I779="EO",I779="EQ"),0,""),LEN(X779)-LEN(SUBSTITUTE(SUBSTITUTE(SUBSTITUTE(SUBSTITUTE(SUBSTITUTE(X779,"|}","--"),"{|","--"),CHAR(10),""),"、",""),"|",""))+IF(AND(OR(I779="EI",I779="EO",I779="EQ"),$AD$1="NESMA"),2,1)))</f>
        <v/>
      </c>
      <c r="O779" s="84">
        <f>IF(I779="EI",IF(OR(X779="估算法",X779="算法类"),"中",IF(X779="无法识别","低",IF(L779&lt;2,IF(N779&lt;16,"低","中"),IF(L779&lt;3,IF(N779&lt;5,"低",IF(N779&lt;16,"中","高")),IF(N779&lt;5,"中","高"))))),IF(OR(I779="EO",I779="EQ"),IF(OR(X779="估算法",X779="算法类"),"中",IF(X779="无法识别","低",IF(L779&lt;2,IF(N779&lt;20,"低","中"),IF(L779&lt;4,IF(N779&lt;6,"低",IF(N779&lt;20,"中","高")),IF(N779&lt;6,"中","高"))))),IF(OR(I779="ILF",I779="EIF"),IF(OR(X779="估算法",X779="算法类",X779="无法识别"),"低",IF(M779&lt;2,IF(N779&lt;51,"低","中"),IF(M779&lt;6,IF(N779&lt;20,"低",IF(N779&lt;51,"中","高")),IF(N779&lt;20,"中","高")))),"不计算")))</f>
        <v/>
      </c>
      <c r="P779" s="142">
        <f>IFERROR(IF(I779="EI",IF(O779="低",3,IF(O779="中",4,6)),IF(I779="EO",IF(O779="低",4,IF(O779="中",5,7)),IF(I779="EQ",IF(O779="低",3,IF(O779="中",4,6)),IF(I779="ILF",IF(O779="低",7,IF(O779="中",10,15)),IF(I779="EIF",IF(O779="低",5,IF(O779="中",7,10)),"不计算")))))*Q779,"不计算")</f>
        <v/>
      </c>
      <c r="Q779" s="142" t="n">
        <v>1</v>
      </c>
      <c r="R779" s="143">
        <f>调整因子!$F$13</f>
        <v/>
      </c>
      <c r="S779" s="70" t="n">
        <v>1</v>
      </c>
      <c r="T779" s="144">
        <f>IFERROR(P779*R779,0)</f>
        <v/>
      </c>
      <c r="U779" s="144">
        <f>T779*S779</f>
        <v/>
      </c>
      <c r="V779" s="96" t="n"/>
      <c r="W779" s="88" t="inlineStr">
        <is>
          <t>修复工单台账关联表</t>
        </is>
      </c>
      <c r="X779" s="88" t="inlineStr">
        <is>
          <t>修复工单台账关联表{工单编号、台账记录编号、办件编号、部侧指令编号、关联时间}</t>
        </is>
      </c>
      <c r="Y779" s="88" t="n"/>
      <c r="Z779" s="88" t="n"/>
    </row>
    <row r="780" ht="32.4" customHeight="1">
      <c r="A780" s="69">
        <f>ROW()-1</f>
        <v/>
      </c>
      <c r="B780" s="53" t="n"/>
      <c r="C780" s="78" t="n">
        <v>2025</v>
      </c>
      <c r="D780" s="78" t="inlineStr">
        <is>
          <t>张明峰</t>
        </is>
      </c>
      <c r="E780" s="53" t="n"/>
      <c r="F780" s="53" t="n"/>
      <c r="G780" s="54" t="n"/>
      <c r="H780" s="96" t="inlineStr">
        <is>
          <t>系统漏洞修复台账表</t>
        </is>
      </c>
      <c r="I780" s="76" t="inlineStr">
        <is>
          <t>ILF</t>
        </is>
      </c>
      <c r="J780" s="108" t="n"/>
      <c r="K780" s="108" t="n"/>
      <c r="L780" s="83">
        <f>IF(OR(X780="估算法",X780="算法类",X780="无法识别"),"",IF(V780="",IF(OR(I780="EI",I780="EO",I780="EQ"),0,""),LEN(V780)-LEN(SUBSTITUTE(V780,"、",""))+1))</f>
        <v/>
      </c>
      <c r="M780" s="83">
        <f>IF(OR(X780="估算法",X780="算法类",X780="无法识别"),"",IF(W780="",IF(OR(I780="ILF",I780="EIF"),0,""),LEN(W780)-LEN(SUBSTITUTE(W780,"、",""))+1))</f>
        <v/>
      </c>
      <c r="N780" s="83">
        <f>IF(OR(X780="估算法",X780="算法类",X780="无法识别"),"",IF(X780="",IF(OR(I780="ILF",I780="EIF",I780="EI",I780="EO",I780="EQ"),0,""),LEN(X780)-LEN(SUBSTITUTE(SUBSTITUTE(SUBSTITUTE(SUBSTITUTE(SUBSTITUTE(X780,"|}","--"),"{|","--"),CHAR(10),""),"、",""),"|",""))+IF(AND(OR(I780="EI",I780="EO",I780="EQ"),$AD$1="NESMA"),2,1)))</f>
        <v/>
      </c>
      <c r="O780" s="84">
        <f>IF(I780="EI",IF(OR(X780="估算法",X780="算法类"),"中",IF(X780="无法识别","低",IF(L780&lt;2,IF(N780&lt;16,"低","中"),IF(L780&lt;3,IF(N780&lt;5,"低",IF(N780&lt;16,"中","高")),IF(N780&lt;5,"中","高"))))),IF(OR(I780="EO",I780="EQ"),IF(OR(X780="估算法",X780="算法类"),"中",IF(X780="无法识别","低",IF(L780&lt;2,IF(N780&lt;20,"低","中"),IF(L780&lt;4,IF(N780&lt;6,"低",IF(N780&lt;20,"中","高")),IF(N780&lt;6,"中","高"))))),IF(OR(I780="ILF",I780="EIF"),IF(OR(X780="估算法",X780="算法类",X780="无法识别"),"低",IF(M780&lt;2,IF(N780&lt;51,"低","中"),IF(M780&lt;6,IF(N780&lt;20,"低",IF(N780&lt;51,"中","高")),IF(N780&lt;20,"中","高")))),"不计算")))</f>
        <v/>
      </c>
      <c r="P780" s="142">
        <f>IFERROR(IF(I780="EI",IF(O780="低",3,IF(O780="中",4,6)),IF(I780="EO",IF(O780="低",4,IF(O780="中",5,7)),IF(I780="EQ",IF(O780="低",3,IF(O780="中",4,6)),IF(I780="ILF",IF(O780="低",7,IF(O780="中",10,15)),IF(I780="EIF",IF(O780="低",5,IF(O780="中",7,10)),"不计算")))))*Q780,"不计算")</f>
        <v/>
      </c>
      <c r="Q780" s="142" t="n">
        <v>1</v>
      </c>
      <c r="R780" s="143">
        <f>调整因子!$F$13</f>
        <v/>
      </c>
      <c r="S780" s="70" t="n">
        <v>1</v>
      </c>
      <c r="T780" s="144">
        <f>IFERROR(P780*R780,0)</f>
        <v/>
      </c>
      <c r="U780" s="144">
        <f>T780*S780</f>
        <v/>
      </c>
      <c r="V780" s="96" t="n"/>
      <c r="W780" s="88" t="inlineStr">
        <is>
          <t>系统漏洞修复台账表</t>
        </is>
      </c>
      <c r="X780" s="88" t="inlineStr">
        <is>
          <t>系统漏洞修复台账表{台账记录编号、台账类型编码、工单编号、工单名称、源工单角色、源工单人员、目标工单角色、目标工单人员、修复方式、修复描述、修复时间、修复明细}</t>
        </is>
      </c>
      <c r="Y780" s="88" t="n"/>
      <c r="Z780" s="88" t="n"/>
    </row>
    <row r="781" ht="21.6" customHeight="1">
      <c r="A781" s="69">
        <f>ROW()-1</f>
        <v/>
      </c>
      <c r="B781" s="53" t="n"/>
      <c r="C781" s="78" t="n">
        <v>2025</v>
      </c>
      <c r="D781" s="78" t="inlineStr">
        <is>
          <t>张明峰</t>
        </is>
      </c>
      <c r="E781" s="53" t="n"/>
      <c r="F781" s="53" t="n"/>
      <c r="G781" s="81" t="inlineStr">
        <is>
          <t>产品漏洞预警台账</t>
        </is>
      </c>
      <c r="H781" s="96" t="inlineStr">
        <is>
          <t>后台创建产品漏洞预警分析任务台账</t>
        </is>
      </c>
      <c r="I781" s="76" t="inlineStr">
        <is>
          <t>EI</t>
        </is>
      </c>
      <c r="J781" s="108" t="n"/>
      <c r="K781" s="108" t="n"/>
      <c r="L781" s="83">
        <f>IF(OR(X781="估算法",X781="算法类",X781="无法识别"),"",IF(V781="",IF(OR(I781="EI",I781="EO",I781="EQ"),0,""),LEN(V781)-LEN(SUBSTITUTE(V781,"、",""))+1))</f>
        <v/>
      </c>
      <c r="M781" s="83">
        <f>IF(OR(X781="估算法",X781="算法类",X781="无法识别"),"",IF(W781="",IF(OR(I781="ILF",I781="EIF"),0,""),LEN(W781)-LEN(SUBSTITUTE(W781,"、",""))+1))</f>
        <v/>
      </c>
      <c r="N781" s="83">
        <f>IF(OR(X781="估算法",X781="算法类",X781="无法识别"),"",IF(X781="",IF(OR(I781="ILF",I781="EIF",I781="EI",I781="EO",I781="EQ"),0,""),LEN(X781)-LEN(SUBSTITUTE(SUBSTITUTE(SUBSTITUTE(SUBSTITUTE(SUBSTITUTE(X781,"|}","--"),"{|","--"),CHAR(10),""),"、",""),"|",""))+IF(AND(OR(I781="EI",I781="EO",I781="EQ"),$AD$1="NESMA"),2,1)))</f>
        <v/>
      </c>
      <c r="O781" s="84">
        <f>IF(I781="EI",IF(OR(X781="估算法",X781="算法类"),"中",IF(X781="无法识别","低",IF(L781&lt;2,IF(N781&lt;16,"低","中"),IF(L781&lt;3,IF(N781&lt;5,"低",IF(N781&lt;16,"中","高")),IF(N781&lt;5,"中","高"))))),IF(OR(I781="EO",I781="EQ"),IF(OR(X781="估算法",X781="算法类"),"中",IF(X781="无法识别","低",IF(L781&lt;2,IF(N781&lt;20,"低","中"),IF(L781&lt;4,IF(N781&lt;6,"低",IF(N781&lt;20,"中","高")),IF(N781&lt;6,"中","高"))))),IF(OR(I781="ILF",I781="EIF"),IF(OR(X781="估算法",X781="算法类",X781="无法识别"),"低",IF(M781&lt;2,IF(N781&lt;51,"低","中"),IF(M781&lt;6,IF(N781&lt;20,"低",IF(N781&lt;51,"中","高")),IF(N781&lt;20,"中","高")))),"不计算")))</f>
        <v/>
      </c>
      <c r="P781" s="142">
        <f>IFERROR(IF(I781="EI",IF(O781="低",3,IF(O781="中",4,6)),IF(I781="EO",IF(O781="低",4,IF(O781="中",5,7)),IF(I781="EQ",IF(O781="低",3,IF(O781="中",4,6)),IF(I781="ILF",IF(O781="低",7,IF(O781="中",10,15)),IF(I781="EIF",IF(O781="低",5,IF(O781="中",7,10)),"不计算")))))*Q781,"不计算")</f>
        <v/>
      </c>
      <c r="Q781" s="142" t="n">
        <v>1</v>
      </c>
      <c r="R781" s="143">
        <f>调整因子!$F$13</f>
        <v/>
      </c>
      <c r="S781" s="76" t="n">
        <v>1</v>
      </c>
      <c r="T781" s="144">
        <f>IFERROR(P781*R781,0)</f>
        <v/>
      </c>
      <c r="U781" s="144">
        <f>T781*S781</f>
        <v/>
      </c>
      <c r="V781" s="96" t="inlineStr">
        <is>
          <t>产品漏洞预警台账表</t>
        </is>
      </c>
      <c r="W781" s="88" t="n"/>
      <c r="X781" s="88" t="inlineStr">
        <is>
          <t>产品漏洞预警台账表{任务名称、任务编号|台账记录编号、记录时间}</t>
        </is>
      </c>
      <c r="Y781" s="88" t="inlineStr">
        <is>
          <t>表57，类型1080</t>
        </is>
      </c>
      <c r="Z781" s="88" t="n"/>
    </row>
    <row r="782" ht="15.6" customHeight="1">
      <c r="A782" s="69">
        <f>ROW()-1</f>
        <v/>
      </c>
      <c r="B782" s="53" t="n"/>
      <c r="C782" s="78" t="n">
        <v>2025</v>
      </c>
      <c r="D782" s="78" t="inlineStr">
        <is>
          <t>张明峰</t>
        </is>
      </c>
      <c r="E782" s="53" t="n"/>
      <c r="F782" s="53" t="n"/>
      <c r="G782" s="53" t="n"/>
      <c r="H782" s="96" t="inlineStr">
        <is>
          <t>后台记录下发表单统计</t>
        </is>
      </c>
      <c r="I782" s="76" t="inlineStr">
        <is>
          <t>EI</t>
        </is>
      </c>
      <c r="J782" s="108" t="n"/>
      <c r="K782" s="108" t="n"/>
      <c r="L782" s="83">
        <f>IF(OR(X782="估算法",X782="算法类",X782="无法识别"),"",IF(V782="",IF(OR(I782="EI",I782="EO",I782="EQ"),0,""),LEN(V782)-LEN(SUBSTITUTE(V782,"、",""))+1))</f>
        <v/>
      </c>
      <c r="M782" s="83">
        <f>IF(OR(X782="估算法",X782="算法类",X782="无法识别"),"",IF(W782="",IF(OR(I782="ILF",I782="EIF"),0,""),LEN(W782)-LEN(SUBSTITUTE(W782,"、",""))+1))</f>
        <v/>
      </c>
      <c r="N782" s="83">
        <f>IF(OR(X782="估算法",X782="算法类",X782="无法识别"),"",IF(X782="",IF(OR(I782="ILF",I782="EIF",I782="EI",I782="EO",I782="EQ"),0,""),LEN(X782)-LEN(SUBSTITUTE(SUBSTITUTE(SUBSTITUTE(SUBSTITUTE(SUBSTITUTE(X782,"|}","--"),"{|","--"),CHAR(10),""),"、",""),"|",""))+IF(AND(OR(I782="EI",I782="EO",I782="EQ"),$AD$1="NESMA"),2,1)))</f>
        <v/>
      </c>
      <c r="O782" s="84">
        <f>IF(I782="EI",IF(OR(X782="估算法",X782="算法类"),"中",IF(X782="无法识别","低",IF(L782&lt;2,IF(N782&lt;16,"低","中"),IF(L782&lt;3,IF(N782&lt;5,"低",IF(N782&lt;16,"中","高")),IF(N782&lt;5,"中","高"))))),IF(OR(I782="EO",I782="EQ"),IF(OR(X782="估算法",X782="算法类"),"中",IF(X782="无法识别","低",IF(L782&lt;2,IF(N782&lt;20,"低","中"),IF(L782&lt;4,IF(N782&lt;6,"低",IF(N782&lt;20,"中","高")),IF(N782&lt;6,"中","高"))))),IF(OR(I782="ILF",I782="EIF"),IF(OR(X782="估算法",X782="算法类",X782="无法识别"),"低",IF(M782&lt;2,IF(N782&lt;51,"低","中"),IF(M782&lt;6,IF(N782&lt;20,"低",IF(N782&lt;51,"中","高")),IF(N782&lt;20,"中","高")))),"不计算")))</f>
        <v/>
      </c>
      <c r="P782" s="142">
        <f>IFERROR(IF(I782="EI",IF(O782="低",3,IF(O782="中",4,6)),IF(I782="EO",IF(O782="低",4,IF(O782="中",5,7)),IF(I782="EQ",IF(O782="低",3,IF(O782="中",4,6)),IF(I782="ILF",IF(O782="低",7,IF(O782="中",10,15)),IF(I782="EIF",IF(O782="低",5,IF(O782="中",7,10)),"不计算")))))*Q782,"不计算")</f>
        <v/>
      </c>
      <c r="Q782" s="142" t="n">
        <v>1</v>
      </c>
      <c r="R782" s="143">
        <f>调整因子!$F$13</f>
        <v/>
      </c>
      <c r="S782" s="76" t="n">
        <v>1</v>
      </c>
      <c r="T782" s="144">
        <f>IFERROR(P782*R782,0)</f>
        <v/>
      </c>
      <c r="U782" s="144">
        <f>T782*S782</f>
        <v/>
      </c>
      <c r="V782" s="96" t="inlineStr">
        <is>
          <t>产品漏洞预警台账表</t>
        </is>
      </c>
      <c r="W782" s="88" t="n"/>
      <c r="X782" s="88" t="inlineStr">
        <is>
          <t>产品漏洞预警台账表{漏洞数量、资产数量|漏洞数量、资产数量}</t>
        </is>
      </c>
      <c r="Y782" s="88" t="n"/>
      <c r="Z782" s="88" t="n"/>
    </row>
    <row r="783" ht="21.6" customHeight="1">
      <c r="A783" s="69">
        <f>ROW()-1</f>
        <v/>
      </c>
      <c r="B783" s="53" t="n"/>
      <c r="C783" s="78" t="n">
        <v>2025</v>
      </c>
      <c r="D783" s="78" t="inlineStr">
        <is>
          <t>张明峰</t>
        </is>
      </c>
      <c r="E783" s="53" t="n"/>
      <c r="F783" s="53" t="n"/>
      <c r="G783" s="53" t="n"/>
      <c r="H783" s="96" t="inlineStr">
        <is>
          <t>后台记录碰撞结果统计</t>
        </is>
      </c>
      <c r="I783" s="76" t="inlineStr">
        <is>
          <t>EI</t>
        </is>
      </c>
      <c r="J783" s="108" t="n"/>
      <c r="K783" s="108" t="n"/>
      <c r="L783" s="83">
        <f>IF(OR(X783="估算法",X783="算法类",X783="无法识别"),"",IF(V783="",IF(OR(I783="EI",I783="EO",I783="EQ"),0,""),LEN(V783)-LEN(SUBSTITUTE(V783,"、",""))+1))</f>
        <v/>
      </c>
      <c r="M783" s="83">
        <f>IF(OR(X783="估算法",X783="算法类",X783="无法识别"),"",IF(W783="",IF(OR(I783="ILF",I783="EIF"),0,""),LEN(W783)-LEN(SUBSTITUTE(W783,"、",""))+1))</f>
        <v/>
      </c>
      <c r="N783" s="83">
        <f>IF(OR(X783="估算法",X783="算法类",X783="无法识别"),"",IF(X783="",IF(OR(I783="ILF",I783="EIF",I783="EI",I783="EO",I783="EQ"),0,""),LEN(X783)-LEN(SUBSTITUTE(SUBSTITUTE(SUBSTITUTE(SUBSTITUTE(SUBSTITUTE(X783,"|}","--"),"{|","--"),CHAR(10),""),"、",""),"|",""))+IF(AND(OR(I783="EI",I783="EO",I783="EQ"),$AD$1="NESMA"),2,1)))</f>
        <v/>
      </c>
      <c r="O783" s="84">
        <f>IF(I783="EI",IF(OR(X783="估算法",X783="算法类"),"中",IF(X783="无法识别","低",IF(L783&lt;2,IF(N783&lt;16,"低","中"),IF(L783&lt;3,IF(N783&lt;5,"低",IF(N783&lt;16,"中","高")),IF(N783&lt;5,"中","高"))))),IF(OR(I783="EO",I783="EQ"),IF(OR(X783="估算法",X783="算法类"),"中",IF(X783="无法识别","低",IF(L783&lt;2,IF(N783&lt;20,"低","中"),IF(L783&lt;4,IF(N783&lt;6,"低",IF(N783&lt;20,"中","高")),IF(N783&lt;6,"中","高"))))),IF(OR(I783="ILF",I783="EIF"),IF(OR(X783="估算法",X783="算法类",X783="无法识别"),"低",IF(M783&lt;2,IF(N783&lt;51,"低","中"),IF(M783&lt;6,IF(N783&lt;20,"低",IF(N783&lt;51,"中","高")),IF(N783&lt;20,"中","高")))),"不计算")))</f>
        <v/>
      </c>
      <c r="P783" s="142">
        <f>IFERROR(IF(I783="EI",IF(O783="低",3,IF(O783="中",4,6)),IF(I783="EO",IF(O783="低",4,IF(O783="中",5,7)),IF(I783="EQ",IF(O783="低",3,IF(O783="中",4,6)),IF(I783="ILF",IF(O783="低",7,IF(O783="中",10,15)),IF(I783="EIF",IF(O783="低",5,IF(O783="中",7,10)),"不计算")))))*Q783,"不计算")</f>
        <v/>
      </c>
      <c r="Q783" s="142" t="n">
        <v>1</v>
      </c>
      <c r="R783" s="143">
        <f>调整因子!$F$13</f>
        <v/>
      </c>
      <c r="S783" s="70" t="n">
        <v>1</v>
      </c>
      <c r="T783" s="144">
        <f>IFERROR(P783*R783,0)</f>
        <v/>
      </c>
      <c r="U783" s="144">
        <f>T783*S783</f>
        <v/>
      </c>
      <c r="V783" s="96" t="inlineStr">
        <is>
          <t>产品漏洞预警台账表、产品漏洞碰撞分析结果表</t>
        </is>
      </c>
      <c r="W783" s="88" t="n"/>
      <c r="X783" s="88" t="inlineStr">
        <is>
          <t>产品漏洞预警台账表{碰撞漏洞资产数、碰撞漏洞信息数|碰撞漏洞资产数}
产品漏洞碰撞分析结果表{漏洞信息编号、资产编号|碰撞结果}</t>
        </is>
      </c>
      <c r="Y783" s="88" t="n"/>
      <c r="Z783" s="88" t="n"/>
    </row>
    <row r="784" ht="21.6" customHeight="1">
      <c r="A784" s="69">
        <f>ROW()-1</f>
        <v/>
      </c>
      <c r="B784" s="53" t="n"/>
      <c r="C784" s="78" t="n">
        <v>2025</v>
      </c>
      <c r="D784" s="78" t="inlineStr">
        <is>
          <t>张明峰</t>
        </is>
      </c>
      <c r="E784" s="53" t="n"/>
      <c r="F784" s="53" t="n"/>
      <c r="G784" s="53" t="n"/>
      <c r="H784" s="96" t="inlineStr">
        <is>
          <t>产品漏洞碰撞分析结果表</t>
        </is>
      </c>
      <c r="I784" s="76" t="inlineStr">
        <is>
          <t>ILF</t>
        </is>
      </c>
      <c r="J784" s="108" t="n"/>
      <c r="K784" s="108" t="n"/>
      <c r="L784" s="83">
        <f>IF(OR(X784="估算法",X784="算法类",X784="无法识别"),"",IF(V784="",IF(OR(I784="EI",I784="EO",I784="EQ"),0,""),LEN(V784)-LEN(SUBSTITUTE(V784,"、",""))+1))</f>
        <v/>
      </c>
      <c r="M784" s="83">
        <f>IF(OR(X784="估算法",X784="算法类",X784="无法识别"),"",IF(W784="",IF(OR(I784="ILF",I784="EIF"),0,""),LEN(W784)-LEN(SUBSTITUTE(W784,"、",""))+1))</f>
        <v/>
      </c>
      <c r="N784" s="83">
        <f>IF(OR(X784="估算法",X784="算法类",X784="无法识别"),"",IF(X784="",IF(OR(I784="ILF",I784="EIF",I784="EI",I784="EO",I784="EQ"),0,""),LEN(X784)-LEN(SUBSTITUTE(SUBSTITUTE(SUBSTITUTE(SUBSTITUTE(SUBSTITUTE(X784,"|}","--"),"{|","--"),CHAR(10),""),"、",""),"|",""))+IF(AND(OR(I784="EI",I784="EO",I784="EQ"),$AD$1="NESMA"),2,1)))</f>
        <v/>
      </c>
      <c r="O784" s="84">
        <f>IF(I784="EI",IF(OR(X784="估算法",X784="算法类"),"中",IF(X784="无法识别","低",IF(L784&lt;2,IF(N784&lt;16,"低","中"),IF(L784&lt;3,IF(N784&lt;5,"低",IF(N784&lt;16,"中","高")),IF(N784&lt;5,"中","高"))))),IF(OR(I784="EO",I784="EQ"),IF(OR(X784="估算法",X784="算法类"),"中",IF(X784="无法识别","低",IF(L784&lt;2,IF(N784&lt;20,"低","中"),IF(L784&lt;4,IF(N784&lt;6,"低",IF(N784&lt;20,"中","高")),IF(N784&lt;6,"中","高"))))),IF(OR(I784="ILF",I784="EIF"),IF(OR(X784="估算法",X784="算法类",X784="无法识别"),"低",IF(M784&lt;2,IF(N784&lt;51,"低","中"),IF(M784&lt;6,IF(N784&lt;20,"低",IF(N784&lt;51,"中","高")),IF(N784&lt;20,"中","高")))),"不计算")))</f>
        <v/>
      </c>
      <c r="P784" s="142">
        <f>IFERROR(IF(I784="EI",IF(O784="低",3,IF(O784="中",4,6)),IF(I784="EO",IF(O784="低",4,IF(O784="中",5,7)),IF(I784="EQ",IF(O784="低",3,IF(O784="中",4,6)),IF(I784="ILF",IF(O784="低",7,IF(O784="中",10,15)),IF(I784="EIF",IF(O784="低",5,IF(O784="中",7,10)),"不计算")))))*Q784,"不计算")</f>
        <v/>
      </c>
      <c r="Q784" s="142" t="n">
        <v>1</v>
      </c>
      <c r="R784" s="143">
        <f>调整因子!$F$13</f>
        <v/>
      </c>
      <c r="S784" s="70" t="n">
        <v>1</v>
      </c>
      <c r="T784" s="144">
        <f>IFERROR(P784*R784,0)</f>
        <v/>
      </c>
      <c r="U784" s="144">
        <f>T784*S784</f>
        <v/>
      </c>
      <c r="V784" s="96" t="n"/>
      <c r="W784" s="88" t="inlineStr">
        <is>
          <t>产品漏洞碰撞分析结果表</t>
        </is>
      </c>
      <c r="X784" s="88" t="inlineStr">
        <is>
          <t>产品漏洞碰撞分析结果表{台账记录编号、漏洞信息编号、资产编号、碰撞结果、分析时间}</t>
        </is>
      </c>
      <c r="Y784" s="88" t="n"/>
      <c r="Z784" s="88" t="n"/>
    </row>
    <row r="785" ht="21.6" customHeight="1">
      <c r="A785" s="69">
        <f>ROW()-1</f>
        <v/>
      </c>
      <c r="B785" s="53" t="n"/>
      <c r="C785" s="78" t="n">
        <v>2025</v>
      </c>
      <c r="D785" s="78" t="inlineStr">
        <is>
          <t>张明峰</t>
        </is>
      </c>
      <c r="E785" s="53" t="n"/>
      <c r="F785" s="53" t="n"/>
      <c r="G785" s="54" t="n"/>
      <c r="H785" s="96" t="inlineStr">
        <is>
          <t>产品漏洞预警台账表</t>
        </is>
      </c>
      <c r="I785" s="76" t="inlineStr">
        <is>
          <t>ILF</t>
        </is>
      </c>
      <c r="J785" s="108" t="n"/>
      <c r="K785" s="108" t="n"/>
      <c r="L785" s="83">
        <f>IF(OR(X785="估算法",X785="算法类",X785="无法识别"),"",IF(V785="",IF(OR(I785="EI",I785="EO",I785="EQ"),0,""),LEN(V785)-LEN(SUBSTITUTE(V785,"、",""))+1))</f>
        <v/>
      </c>
      <c r="M785" s="83">
        <f>IF(OR(X785="估算法",X785="算法类",X785="无法识别"),"",IF(W785="",IF(OR(I785="ILF",I785="EIF"),0,""),LEN(W785)-LEN(SUBSTITUTE(W785,"、",""))+1))</f>
        <v/>
      </c>
      <c r="N785" s="83">
        <f>IF(OR(X785="估算法",X785="算法类",X785="无法识别"),"",IF(X785="",IF(OR(I785="ILF",I785="EIF",I785="EI",I785="EO",I785="EQ"),0,""),LEN(X785)-LEN(SUBSTITUTE(SUBSTITUTE(SUBSTITUTE(SUBSTITUTE(SUBSTITUTE(X785,"|}","--"),"{|","--"),CHAR(10),""),"、",""),"|",""))+IF(AND(OR(I785="EI",I785="EO",I785="EQ"),$AD$1="NESMA"),2,1)))</f>
        <v/>
      </c>
      <c r="O785" s="84">
        <f>IF(I785="EI",IF(OR(X785="估算法",X785="算法类"),"中",IF(X785="无法识别","低",IF(L785&lt;2,IF(N785&lt;16,"低","中"),IF(L785&lt;3,IF(N785&lt;5,"低",IF(N785&lt;16,"中","高")),IF(N785&lt;5,"中","高"))))),IF(OR(I785="EO",I785="EQ"),IF(OR(X785="估算法",X785="算法类"),"中",IF(X785="无法识别","低",IF(L785&lt;2,IF(N785&lt;20,"低","中"),IF(L785&lt;4,IF(N785&lt;6,"低",IF(N785&lt;20,"中","高")),IF(N785&lt;6,"中","高"))))),IF(OR(I785="ILF",I785="EIF"),IF(OR(X785="估算法",X785="算法类",X785="无法识别"),"低",IF(M785&lt;2,IF(N785&lt;51,"低","中"),IF(M785&lt;6,IF(N785&lt;20,"低",IF(N785&lt;51,"中","高")),IF(N785&lt;20,"中","高")))),"不计算")))</f>
        <v/>
      </c>
      <c r="P785" s="142">
        <f>IFERROR(IF(I785="EI",IF(O785="低",3,IF(O785="中",4,6)),IF(I785="EO",IF(O785="低",4,IF(O785="中",5,7)),IF(I785="EQ",IF(O785="低",3,IF(O785="中",4,6)),IF(I785="ILF",IF(O785="低",7,IF(O785="中",10,15)),IF(I785="EIF",IF(O785="低",5,IF(O785="中",7,10)),"不计算")))))*Q785,"不计算")</f>
        <v/>
      </c>
      <c r="Q785" s="142" t="n">
        <v>1</v>
      </c>
      <c r="R785" s="143">
        <f>调整因子!$F$13</f>
        <v/>
      </c>
      <c r="S785" s="76" t="n">
        <v>1</v>
      </c>
      <c r="T785" s="144">
        <f>IFERROR(P785*R785,0)</f>
        <v/>
      </c>
      <c r="U785" s="144">
        <f>T785*S785</f>
        <v/>
      </c>
      <c r="V785" s="96" t="n"/>
      <c r="W785" s="111" t="inlineStr">
        <is>
          <t>产品漏洞预警台账表</t>
        </is>
      </c>
      <c r="X785" s="88" t="inlineStr">
        <is>
          <t>产品漏洞预警台账表{台账记录编号、台账类型编码、任务名称、任务编号、漏洞数量、资产数量、碰撞漏洞资产数、碰撞漏洞信息数}</t>
        </is>
      </c>
      <c r="Y785" s="88" t="n"/>
      <c r="Z785" s="88" t="n"/>
      <c r="AA785" s="76" t="n"/>
    </row>
    <row r="786" ht="15.6" customHeight="1">
      <c r="A786" s="69">
        <f>ROW()-1</f>
        <v/>
      </c>
      <c r="B786" s="53" t="n"/>
      <c r="C786" s="78" t="n">
        <v>2025</v>
      </c>
      <c r="D786" s="78" t="inlineStr">
        <is>
          <t>张明峰</t>
        </is>
      </c>
      <c r="E786" s="53" t="n"/>
      <c r="F786" s="53" t="n"/>
      <c r="G786" s="81" t="inlineStr">
        <is>
          <t>台账数据上报管理</t>
        </is>
      </c>
      <c r="H786" s="96" t="inlineStr">
        <is>
          <t>配置台账上报周期</t>
        </is>
      </c>
      <c r="I786" s="76" t="inlineStr">
        <is>
          <t>EI</t>
        </is>
      </c>
      <c r="J786" s="108" t="n"/>
      <c r="K786" s="108" t="n"/>
      <c r="L786" s="83">
        <f>IF(OR(X786="估算法",X786="算法类",X786="无法识别"),"",IF(V786="",IF(OR(I786="EI",I786="EO",I786="EQ"),0,""),LEN(V786)-LEN(SUBSTITUTE(V786,"、",""))+1))</f>
        <v/>
      </c>
      <c r="M786" s="83">
        <f>IF(OR(X786="估算法",X786="算法类",X786="无法识别"),"",IF(W786="",IF(OR(I786="ILF",I786="EIF"),0,""),LEN(W786)-LEN(SUBSTITUTE(W786,"、",""))+1))</f>
        <v/>
      </c>
      <c r="N786" s="83">
        <f>IF(OR(X786="估算法",X786="算法类",X786="无法识别"),"",IF(X786="",IF(OR(I786="ILF",I786="EIF",I786="EI",I786="EO",I786="EQ"),0,""),LEN(X786)-LEN(SUBSTITUTE(SUBSTITUTE(SUBSTITUTE(SUBSTITUTE(SUBSTITUTE(X786,"|}","--"),"{|","--"),CHAR(10),""),"、",""),"|",""))+IF(AND(OR(I786="EI",I786="EO",I786="EQ"),$AD$1="NESMA"),2,1)))</f>
        <v/>
      </c>
      <c r="O786" s="84">
        <f>IF(I786="EI",IF(OR(X786="估算法",X786="算法类"),"中",IF(X786="无法识别","低",IF(L786&lt;2,IF(N786&lt;16,"低","中"),IF(L786&lt;3,IF(N786&lt;5,"低",IF(N786&lt;16,"中","高")),IF(N786&lt;5,"中","高"))))),IF(OR(I786="EO",I786="EQ"),IF(OR(X786="估算法",X786="算法类"),"中",IF(X786="无法识别","低",IF(L786&lt;2,IF(N786&lt;20,"低","中"),IF(L786&lt;4,IF(N786&lt;6,"低",IF(N786&lt;20,"中","高")),IF(N786&lt;6,"中","高"))))),IF(OR(I786="ILF",I786="EIF"),IF(OR(X786="估算法",X786="算法类",X786="无法识别"),"低",IF(M786&lt;2,IF(N786&lt;51,"低","中"),IF(M786&lt;6,IF(N786&lt;20,"低",IF(N786&lt;51,"中","高")),IF(N786&lt;20,"中","高")))),"不计算")))</f>
        <v/>
      </c>
      <c r="P786" s="142">
        <f>IFERROR(IF(I786="EI",IF(O786="低",3,IF(O786="中",4,6)),IF(I786="EO",IF(O786="低",4,IF(O786="中",5,7)),IF(I786="EQ",IF(O786="低",3,IF(O786="中",4,6)),IF(I786="ILF",IF(O786="低",7,IF(O786="中",10,15)),IF(I786="EIF",IF(O786="低",5,IF(O786="中",7,10)),"不计算")))))*Q786,"不计算")</f>
        <v/>
      </c>
      <c r="Q786" s="142" t="n">
        <v>1</v>
      </c>
      <c r="R786" s="143">
        <f>调整因子!$F$13</f>
        <v/>
      </c>
      <c r="S786" s="70" t="n">
        <v>1</v>
      </c>
      <c r="T786" s="144">
        <f>IFERROR(P786*R786,0)</f>
        <v/>
      </c>
      <c r="U786" s="144">
        <f>T786*S786</f>
        <v/>
      </c>
      <c r="V786" s="96" t="inlineStr">
        <is>
          <t>台账上报周期配置表</t>
        </is>
      </c>
      <c r="W786" s="111" t="n"/>
      <c r="X786" s="88" t="inlineStr">
        <is>
          <t>台账上报周期配置表{定时表达式、上报范围、启用状态|配置编号}</t>
        </is>
      </c>
      <c r="Y786" s="88" t="n"/>
      <c r="Z786" s="88" t="n"/>
      <c r="AA786" s="76" t="n"/>
    </row>
    <row r="787" ht="32.4" customHeight="1">
      <c r="A787" s="69">
        <f>ROW()-1</f>
        <v/>
      </c>
      <c r="B787" s="53" t="n"/>
      <c r="C787" s="78" t="n">
        <v>2025</v>
      </c>
      <c r="D787" s="78" t="inlineStr">
        <is>
          <t>张明峰</t>
        </is>
      </c>
      <c r="E787" s="53" t="n"/>
      <c r="F787" s="53" t="n"/>
      <c r="G787" s="53" t="n"/>
      <c r="H787" s="96" t="inlineStr">
        <is>
          <t>定时组装并向部侧上报台账批次</t>
        </is>
      </c>
      <c r="I787" s="76" t="inlineStr">
        <is>
          <t>EO</t>
        </is>
      </c>
      <c r="J787" s="108" t="n"/>
      <c r="K787" s="108" t="n"/>
      <c r="L787" s="83">
        <f>IF(OR(X787="估算法",X787="算法类",X787="无法识别"),"",IF(V787="",IF(OR(I787="EI",I787="EO",I787="EQ"),0,""),LEN(V787)-LEN(SUBSTITUTE(V787,"、",""))+1))</f>
        <v/>
      </c>
      <c r="M787" s="83">
        <f>IF(OR(X787="估算法",X787="算法类",X787="无法识别"),"",IF(W787="",IF(OR(I787="ILF",I787="EIF"),0,""),LEN(W787)-LEN(SUBSTITUTE(W787,"、",""))+1))</f>
        <v/>
      </c>
      <c r="N787" s="83">
        <f>IF(OR(X787="估算法",X787="算法类",X787="无法识别"),"",IF(X787="",IF(OR(I787="ILF",I787="EIF",I787="EI",I787="EO",I787="EQ"),0,""),LEN(X787)-LEN(SUBSTITUTE(SUBSTITUTE(SUBSTITUTE(SUBSTITUTE(SUBSTITUTE(X787,"|}","--"),"{|","--"),CHAR(10),""),"、",""),"|",""))+IF(AND(OR(I787="EI",I787="EO",I787="EQ"),$AD$1="NESMA"),2,1)))</f>
        <v/>
      </c>
      <c r="O787" s="84">
        <f>IF(I787="EI",IF(OR(X787="估算法",X787="算法类"),"中",IF(X787="无法识别","低",IF(L787&lt;2,IF(N787&lt;16,"低","中"),IF(L787&lt;3,IF(N787&lt;5,"低",IF(N787&lt;16,"中","高")),IF(N787&lt;5,"中","高"))))),IF(OR(I787="EO",I787="EQ"),IF(OR(X787="估算法",X787="算法类"),"中",IF(X787="无法识别","低",IF(L787&lt;2,IF(N787&lt;20,"低","中"),IF(L787&lt;4,IF(N787&lt;6,"低",IF(N787&lt;20,"中","高")),IF(N787&lt;6,"中","高"))))),IF(OR(I787="ILF",I787="EIF"),IF(OR(X787="估算法",X787="算法类",X787="无法识别"),"低",IF(M787&lt;2,IF(N787&lt;51,"低","中"),IF(M787&lt;6,IF(N787&lt;20,"低",IF(N787&lt;51,"中","高")),IF(N787&lt;20,"中","高")))),"不计算")))</f>
        <v/>
      </c>
      <c r="P787" s="142">
        <f>IFERROR(IF(I787="EI",IF(O787="低",3,IF(O787="中",4,6)),IF(I787="EO",IF(O787="低",4,IF(O787="中",5,7)),IF(I787="EQ",IF(O787="低",3,IF(O787="中",4,6)),IF(I787="ILF",IF(O787="低",7,IF(O787="中",10,15)),IF(I787="EIF",IF(O787="低",5,IF(O787="中",7,10)),"不计算")))))*Q787,"不计算")</f>
        <v/>
      </c>
      <c r="Q787" s="142" t="n">
        <v>1</v>
      </c>
      <c r="R787" s="143">
        <f>调整因子!$F$13</f>
        <v/>
      </c>
      <c r="S787" s="70" t="n">
        <v>1</v>
      </c>
      <c r="T787" s="144">
        <f>IFERROR(P787*R787,0)</f>
        <v/>
      </c>
      <c r="U787" s="144">
        <f>T787*S787</f>
        <v/>
      </c>
      <c r="V787" s="88" t="inlineStr">
        <is>
          <t>漏管台账记录主表、台账上报批次表、部侧台账批量上报请求接口文件</t>
        </is>
      </c>
      <c r="W787" s="100" t="n"/>
      <c r="X787" s="88" t="inlineStr">
        <is>
          <t>漏管台账记录主表{台账类型编码|台账记录编号}
台账上报批次表{|批次编号、上报状态}
部侧台账批量上报请求接口文件{|文件编号}</t>
        </is>
      </c>
      <c r="Y787" s="88" t="n"/>
      <c r="Z787" s="88" t="n"/>
    </row>
    <row r="788" ht="15.6" customHeight="1">
      <c r="A788" s="69">
        <f>ROW()-1</f>
        <v/>
      </c>
      <c r="B788" s="53" t="n"/>
      <c r="C788" s="78" t="n">
        <v>2025</v>
      </c>
      <c r="D788" s="78" t="inlineStr">
        <is>
          <t>张明峰</t>
        </is>
      </c>
      <c r="E788" s="53" t="n"/>
      <c r="F788" s="53" t="n"/>
      <c r="G788" s="53" t="n"/>
      <c r="H788" s="96" t="inlineStr">
        <is>
          <t>查询定时上报记录</t>
        </is>
      </c>
      <c r="I788" s="76" t="inlineStr">
        <is>
          <t>EQ</t>
        </is>
      </c>
      <c r="J788" s="108" t="n"/>
      <c r="K788" s="108" t="n"/>
      <c r="L788" s="83">
        <f>IF(OR(X788="估算法",X788="算法类",X788="无法识别"),"",IF(V788="",IF(OR(I788="EI",I788="EO",I788="EQ"),0,""),LEN(V788)-LEN(SUBSTITUTE(V788,"、",""))+1))</f>
        <v/>
      </c>
      <c r="M788" s="83">
        <f>IF(OR(X788="估算法",X788="算法类",X788="无法识别"),"",IF(W788="",IF(OR(I788="ILF",I788="EIF"),0,""),LEN(W788)-LEN(SUBSTITUTE(W788,"、",""))+1))</f>
        <v/>
      </c>
      <c r="N788" s="83">
        <f>IF(OR(X788="估算法",X788="算法类",X788="无法识别"),"",IF(X788="",IF(OR(I788="ILF",I788="EIF",I788="EI",I788="EO",I788="EQ"),0,""),LEN(X788)-LEN(SUBSTITUTE(SUBSTITUTE(SUBSTITUTE(SUBSTITUTE(SUBSTITUTE(X788,"|}","--"),"{|","--"),CHAR(10),""),"、",""),"|",""))+IF(AND(OR(I788="EI",I788="EO",I788="EQ"),$AD$1="NESMA"),2,1)))</f>
        <v/>
      </c>
      <c r="O788" s="84">
        <f>IF(I788="EI",IF(OR(X788="估算法",X788="算法类"),"中",IF(X788="无法识别","低",IF(L788&lt;2,IF(N788&lt;16,"低","中"),IF(L788&lt;3,IF(N788&lt;5,"低",IF(N788&lt;16,"中","高")),IF(N788&lt;5,"中","高"))))),IF(OR(I788="EO",I788="EQ"),IF(OR(X788="估算法",X788="算法类"),"中",IF(X788="无法识别","低",IF(L788&lt;2,IF(N788&lt;20,"低","中"),IF(L788&lt;4,IF(N788&lt;6,"低",IF(N788&lt;20,"中","高")),IF(N788&lt;6,"中","高"))))),IF(OR(I788="ILF",I788="EIF"),IF(OR(X788="估算法",X788="算法类",X788="无法识别"),"低",IF(M788&lt;2,IF(N788&lt;51,"低","中"),IF(M788&lt;6,IF(N788&lt;20,"低",IF(N788&lt;51,"中","高")),IF(N788&lt;20,"中","高")))),"不计算")))</f>
        <v/>
      </c>
      <c r="P788" s="142">
        <f>IFERROR(IF(I788="EI",IF(O788="低",3,IF(O788="中",4,6)),IF(I788="EO",IF(O788="低",4,IF(O788="中",5,7)),IF(I788="EQ",IF(O788="低",3,IF(O788="中",4,6)),IF(I788="ILF",IF(O788="低",7,IF(O788="中",10,15)),IF(I788="EIF",IF(O788="低",5,IF(O788="中",7,10)),"不计算")))))*Q788,"不计算")</f>
        <v/>
      </c>
      <c r="Q788" s="142" t="n">
        <v>1</v>
      </c>
      <c r="R788" s="143">
        <f>调整因子!$F$13</f>
        <v/>
      </c>
      <c r="S788" s="76" t="n">
        <v>1</v>
      </c>
      <c r="T788" s="144">
        <f>IFERROR(P788*R788,0)</f>
        <v/>
      </c>
      <c r="U788" s="144">
        <f>T788*S788</f>
        <v/>
      </c>
      <c r="V788" s="88" t="inlineStr">
        <is>
          <t>台账上报历史表</t>
        </is>
      </c>
      <c r="W788" s="100" t="n"/>
      <c r="X788" s="88" t="inlineStr">
        <is>
          <t>台账上报历史表{上报方式、上报时间|历史编号、上报状态}</t>
        </is>
      </c>
      <c r="Y788" s="88" t="n"/>
      <c r="Z788" s="88" t="n"/>
    </row>
    <row r="789" ht="15.6" customHeight="1">
      <c r="A789" s="69">
        <f>ROW()-1</f>
        <v/>
      </c>
      <c r="B789" s="53" t="n"/>
      <c r="C789" s="78" t="n">
        <v>2025</v>
      </c>
      <c r="D789" s="78" t="inlineStr">
        <is>
          <t>张明峰</t>
        </is>
      </c>
      <c r="E789" s="53" t="n"/>
      <c r="F789" s="53" t="n"/>
      <c r="G789" s="53" t="n"/>
      <c r="H789" s="96" t="inlineStr">
        <is>
          <t>查询未成功上报的台账批次</t>
        </is>
      </c>
      <c r="I789" s="76" t="inlineStr">
        <is>
          <t>EQ</t>
        </is>
      </c>
      <c r="J789" s="108" t="n"/>
      <c r="K789" s="108" t="n"/>
      <c r="L789" s="83">
        <f>IF(OR(X789="估算法",X789="算法类",X789="无法识别"),"",IF(V789="",IF(OR(I789="EI",I789="EO",I789="EQ"),0,""),LEN(V789)-LEN(SUBSTITUTE(V789,"、",""))+1))</f>
        <v/>
      </c>
      <c r="M789" s="83">
        <f>IF(OR(X789="估算法",X789="算法类",X789="无法识别"),"",IF(W789="",IF(OR(I789="ILF",I789="EIF"),0,""),LEN(W789)-LEN(SUBSTITUTE(W789,"、",""))+1))</f>
        <v/>
      </c>
      <c r="N789" s="83">
        <f>IF(OR(X789="估算法",X789="算法类",X789="无法识别"),"",IF(X789="",IF(OR(I789="ILF",I789="EIF",I789="EI",I789="EO",I789="EQ"),0,""),LEN(X789)-LEN(SUBSTITUTE(SUBSTITUTE(SUBSTITUTE(SUBSTITUTE(SUBSTITUTE(X789,"|}","--"),"{|","--"),CHAR(10),""),"、",""),"|",""))+IF(AND(OR(I789="EI",I789="EO",I789="EQ"),$AD$1="NESMA"),2,1)))</f>
        <v/>
      </c>
      <c r="O789" s="84">
        <f>IF(I789="EI",IF(OR(X789="估算法",X789="算法类"),"中",IF(X789="无法识别","低",IF(L789&lt;2,IF(N789&lt;16,"低","中"),IF(L789&lt;3,IF(N789&lt;5,"低",IF(N789&lt;16,"中","高")),IF(N789&lt;5,"中","高"))))),IF(OR(I789="EO",I789="EQ"),IF(OR(X789="估算法",X789="算法类"),"中",IF(X789="无法识别","低",IF(L789&lt;2,IF(N789&lt;20,"低","中"),IF(L789&lt;4,IF(N789&lt;6,"低",IF(N789&lt;20,"中","高")),IF(N789&lt;6,"中","高"))))),IF(OR(I789="ILF",I789="EIF"),IF(OR(X789="估算法",X789="算法类",X789="无法识别"),"低",IF(M789&lt;2,IF(N789&lt;51,"低","中"),IF(M789&lt;6,IF(N789&lt;20,"低",IF(N789&lt;51,"中","高")),IF(N789&lt;20,"中","高")))),"不计算")))</f>
        <v/>
      </c>
      <c r="P789" s="142">
        <f>IFERROR(IF(I789="EI",IF(O789="低",3,IF(O789="中",4,6)),IF(I789="EO",IF(O789="低",4,IF(O789="中",5,7)),IF(I789="EQ",IF(O789="低",3,IF(O789="中",4,6)),IF(I789="ILF",IF(O789="低",7,IF(O789="中",10,15)),IF(I789="EIF",IF(O789="低",5,IF(O789="中",7,10)),"不计算")))))*Q789,"不计算")</f>
        <v/>
      </c>
      <c r="Q789" s="142" t="n">
        <v>1</v>
      </c>
      <c r="R789" s="143">
        <f>调整因子!$F$13</f>
        <v/>
      </c>
      <c r="S789" s="76" t="n">
        <v>1</v>
      </c>
      <c r="T789" s="144">
        <f>IFERROR(P789*R789,0)</f>
        <v/>
      </c>
      <c r="U789" s="144">
        <f>T789*S789</f>
        <v/>
      </c>
      <c r="V789" s="88" t="inlineStr">
        <is>
          <t>台账上报批次表</t>
        </is>
      </c>
      <c r="W789" s="100" t="n"/>
      <c r="X789" s="88" t="inlineStr">
        <is>
          <t>台账上报批次表{上报状态|批次编号、失败原因}</t>
        </is>
      </c>
      <c r="Y789" s="88" t="n"/>
      <c r="Z789" s="88" t="n"/>
    </row>
    <row r="790" ht="21.6" customHeight="1">
      <c r="A790" s="69">
        <f>ROW()-1</f>
        <v/>
      </c>
      <c r="B790" s="53" t="n"/>
      <c r="C790" s="78" t="n">
        <v>2025</v>
      </c>
      <c r="D790" s="78" t="inlineStr">
        <is>
          <t>张明峰</t>
        </is>
      </c>
      <c r="E790" s="53" t="n"/>
      <c r="F790" s="53" t="n"/>
      <c r="G790" s="53" t="n"/>
      <c r="H790" s="96" t="inlineStr">
        <is>
          <t>预览待上报台账批次</t>
        </is>
      </c>
      <c r="I790" s="76" t="inlineStr">
        <is>
          <t>EQ</t>
        </is>
      </c>
      <c r="J790" s="108" t="n"/>
      <c r="K790" s="108" t="n"/>
      <c r="L790" s="83">
        <f>IF(OR(X790="估算法",X790="算法类",X790="无法识别"),"",IF(V790="",IF(OR(I790="EI",I790="EO",I790="EQ"),0,""),LEN(V790)-LEN(SUBSTITUTE(V790,"、",""))+1))</f>
        <v/>
      </c>
      <c r="M790" s="83">
        <f>IF(OR(X790="估算法",X790="算法类",X790="无法识别"),"",IF(W790="",IF(OR(I790="ILF",I790="EIF"),0,""),LEN(W790)-LEN(SUBSTITUTE(W790,"、",""))+1))</f>
        <v/>
      </c>
      <c r="N790" s="83">
        <f>IF(OR(X790="估算法",X790="算法类",X790="无法识别"),"",IF(X790="",IF(OR(I790="ILF",I790="EIF",I790="EI",I790="EO",I790="EQ"),0,""),LEN(X790)-LEN(SUBSTITUTE(SUBSTITUTE(SUBSTITUTE(SUBSTITUTE(SUBSTITUTE(X790,"|}","--"),"{|","--"),CHAR(10),""),"、",""),"|",""))+IF(AND(OR(I790="EI",I790="EO",I790="EQ"),$AD$1="NESMA"),2,1)))</f>
        <v/>
      </c>
      <c r="O790" s="84">
        <f>IF(I790="EI",IF(OR(X790="估算法",X790="算法类"),"中",IF(X790="无法识别","低",IF(L790&lt;2,IF(N790&lt;16,"低","中"),IF(L790&lt;3,IF(N790&lt;5,"低",IF(N790&lt;16,"中","高")),IF(N790&lt;5,"中","高"))))),IF(OR(I790="EO",I790="EQ"),IF(OR(X790="估算法",X790="算法类"),"中",IF(X790="无法识别","低",IF(L790&lt;2,IF(N790&lt;20,"低","中"),IF(L790&lt;4,IF(N790&lt;6,"低",IF(N790&lt;20,"中","高")),IF(N790&lt;6,"中","高"))))),IF(OR(I790="ILF",I790="EIF"),IF(OR(X790="估算法",X790="算法类",X790="无法识别"),"低",IF(M790&lt;2,IF(N790&lt;51,"低","中"),IF(M790&lt;6,IF(N790&lt;20,"低",IF(N790&lt;51,"中","高")),IF(N790&lt;20,"中","高")))),"不计算")))</f>
        <v/>
      </c>
      <c r="P790" s="142">
        <f>IFERROR(IF(I790="EI",IF(O790="低",3,IF(O790="中",4,6)),IF(I790="EO",IF(O790="低",4,IF(O790="中",5,7)),IF(I790="EQ",IF(O790="低",3,IF(O790="中",4,6)),IF(I790="ILF",IF(O790="低",7,IF(O790="中",10,15)),IF(I790="EIF",IF(O790="低",5,IF(O790="中",7,10)),"不计算")))))*Q790,"不计算")</f>
        <v/>
      </c>
      <c r="Q790" s="142" t="n">
        <v>1</v>
      </c>
      <c r="R790" s="143">
        <f>调整因子!$F$13</f>
        <v/>
      </c>
      <c r="S790" s="70" t="n">
        <v>1</v>
      </c>
      <c r="T790" s="144">
        <f>IFERROR(P790*R790,0)</f>
        <v/>
      </c>
      <c r="U790" s="144">
        <f>T790*S790</f>
        <v/>
      </c>
      <c r="V790" s="88" t="inlineStr">
        <is>
          <t>台账上报批次表、漏管台账记录主表</t>
        </is>
      </c>
      <c r="W790" s="100" t="n"/>
      <c r="X790" s="88" t="inlineStr">
        <is>
          <t>台账上报批次表{批次编号|请求序号、记录条数}
漏管台账记录主表{批次编号|台账记录编号、台账类型编码}</t>
        </is>
      </c>
      <c r="Y790" s="88" t="n"/>
      <c r="Z790" s="88" t="n"/>
    </row>
    <row r="791" ht="21.6" customHeight="1">
      <c r="A791" s="69">
        <f>ROW()-1</f>
        <v/>
      </c>
      <c r="B791" s="53" t="n"/>
      <c r="C791" s="78" t="n">
        <v>2025</v>
      </c>
      <c r="D791" s="78" t="inlineStr">
        <is>
          <t>张明峰</t>
        </is>
      </c>
      <c r="E791" s="53" t="n"/>
      <c r="F791" s="53" t="n"/>
      <c r="G791" s="53" t="n"/>
      <c r="H791" s="96" t="inlineStr">
        <is>
          <t>人工主动上报台账批次</t>
        </is>
      </c>
      <c r="I791" s="76" t="inlineStr">
        <is>
          <t>EO</t>
        </is>
      </c>
      <c r="J791" s="108" t="n"/>
      <c r="K791" s="108" t="n"/>
      <c r="L791" s="83">
        <f>IF(OR(X791="估算法",X791="算法类",X791="无法识别"),"",IF(V791="",IF(OR(I791="EI",I791="EO",I791="EQ"),0,""),LEN(V791)-LEN(SUBSTITUTE(V791,"、",""))+1))</f>
        <v/>
      </c>
      <c r="M791" s="83">
        <f>IF(OR(X791="估算法",X791="算法类",X791="无法识别"),"",IF(W791="",IF(OR(I791="ILF",I791="EIF"),0,""),LEN(W791)-LEN(SUBSTITUTE(W791,"、",""))+1))</f>
        <v/>
      </c>
      <c r="N791" s="83">
        <f>IF(OR(X791="估算法",X791="算法类",X791="无法识别"),"",IF(X791="",IF(OR(I791="ILF",I791="EIF",I791="EI",I791="EO",I791="EQ"),0,""),LEN(X791)-LEN(SUBSTITUTE(SUBSTITUTE(SUBSTITUTE(SUBSTITUTE(SUBSTITUTE(X791,"|}","--"),"{|","--"),CHAR(10),""),"、",""),"|",""))+IF(AND(OR(I791="EI",I791="EO",I791="EQ"),$AD$1="NESMA"),2,1)))</f>
        <v/>
      </c>
      <c r="O791" s="84">
        <f>IF(I791="EI",IF(OR(X791="估算法",X791="算法类"),"中",IF(X791="无法识别","低",IF(L791&lt;2,IF(N791&lt;16,"低","中"),IF(L791&lt;3,IF(N791&lt;5,"低",IF(N791&lt;16,"中","高")),IF(N791&lt;5,"中","高"))))),IF(OR(I791="EO",I791="EQ"),IF(OR(X791="估算法",X791="算法类"),"中",IF(X791="无法识别","低",IF(L791&lt;2,IF(N791&lt;20,"低","中"),IF(L791&lt;4,IF(N791&lt;6,"低",IF(N791&lt;20,"中","高")),IF(N791&lt;6,"中","高"))))),IF(OR(I791="ILF",I791="EIF"),IF(OR(X791="估算法",X791="算法类",X791="无法识别"),"低",IF(M791&lt;2,IF(N791&lt;51,"低","中"),IF(M791&lt;6,IF(N791&lt;20,"低",IF(N791&lt;51,"中","高")),IF(N791&lt;20,"中","高")))),"不计算")))</f>
        <v/>
      </c>
      <c r="P791" s="142">
        <f>IFERROR(IF(I791="EI",IF(O791="低",3,IF(O791="中",4,6)),IF(I791="EO",IF(O791="低",4,IF(O791="中",5,7)),IF(I791="EQ",IF(O791="低",3,IF(O791="中",4,6)),IF(I791="ILF",IF(O791="低",7,IF(O791="中",10,15)),IF(I791="EIF",IF(O791="低",5,IF(O791="中",7,10)),"不计算")))))*Q791,"不计算")</f>
        <v/>
      </c>
      <c r="Q791" s="142" t="n">
        <v>1</v>
      </c>
      <c r="R791" s="143">
        <f>调整因子!$F$13</f>
        <v/>
      </c>
      <c r="S791" s="70" t="n">
        <v>1</v>
      </c>
      <c r="T791" s="144">
        <f>IFERROR(P791*R791,0)</f>
        <v/>
      </c>
      <c r="U791" s="144">
        <f>T791*S791</f>
        <v/>
      </c>
      <c r="V791" s="96" t="inlineStr">
        <is>
          <t>台账上报批次表、部侧台账批量上报请求接口文件</t>
        </is>
      </c>
      <c r="W791" s="111" t="n"/>
      <c r="X791" s="88" t="inlineStr">
        <is>
          <t>台账上报批次表{批次编号|上报状态}
部侧台账批量上报请求接口文件{|文件编号}</t>
        </is>
      </c>
      <c r="Y791" s="88" t="n"/>
      <c r="Z791" s="88" t="n"/>
      <c r="AA791" s="76" t="n"/>
    </row>
    <row r="792" ht="15.6" customHeight="1">
      <c r="A792" s="69">
        <f>ROW()-1</f>
        <v/>
      </c>
      <c r="B792" s="53" t="n"/>
      <c r="C792" s="78" t="n">
        <v>2025</v>
      </c>
      <c r="D792" s="78" t="inlineStr">
        <is>
          <t>张明峰</t>
        </is>
      </c>
      <c r="E792" s="53" t="n"/>
      <c r="F792" s="53" t="n"/>
      <c r="G792" s="53" t="n"/>
      <c r="H792" s="96" t="inlineStr">
        <is>
          <t>查询手动上报记录</t>
        </is>
      </c>
      <c r="I792" s="76" t="inlineStr">
        <is>
          <t>EQ</t>
        </is>
      </c>
      <c r="J792" s="108" t="n"/>
      <c r="K792" s="108" t="n"/>
      <c r="L792" s="83">
        <f>IF(OR(X792="估算法",X792="算法类",X792="无法识别"),"",IF(V792="",IF(OR(I792="EI",I792="EO",I792="EQ"),0,""),LEN(V792)-LEN(SUBSTITUTE(V792,"、",""))+1))</f>
        <v/>
      </c>
      <c r="M792" s="83">
        <f>IF(OR(X792="估算法",X792="算法类",X792="无法识别"),"",IF(W792="",IF(OR(I792="ILF",I792="EIF"),0,""),LEN(W792)-LEN(SUBSTITUTE(W792,"、",""))+1))</f>
        <v/>
      </c>
      <c r="N792" s="83">
        <f>IF(OR(X792="估算法",X792="算法类",X792="无法识别"),"",IF(X792="",IF(OR(I792="ILF",I792="EIF",I792="EI",I792="EO",I792="EQ"),0,""),LEN(X792)-LEN(SUBSTITUTE(SUBSTITUTE(SUBSTITUTE(SUBSTITUTE(SUBSTITUTE(X792,"|}","--"),"{|","--"),CHAR(10),""),"、",""),"|",""))+IF(AND(OR(I792="EI",I792="EO",I792="EQ"),$AD$1="NESMA"),2,1)))</f>
        <v/>
      </c>
      <c r="O792" s="84">
        <f>IF(I792="EI",IF(OR(X792="估算法",X792="算法类"),"中",IF(X792="无法识别","低",IF(L792&lt;2,IF(N792&lt;16,"低","中"),IF(L792&lt;3,IF(N792&lt;5,"低",IF(N792&lt;16,"中","高")),IF(N792&lt;5,"中","高"))))),IF(OR(I792="EO",I792="EQ"),IF(OR(X792="估算法",X792="算法类"),"中",IF(X792="无法识别","低",IF(L792&lt;2,IF(N792&lt;20,"低","中"),IF(L792&lt;4,IF(N792&lt;6,"低",IF(N792&lt;20,"中","高")),IF(N792&lt;6,"中","高"))))),IF(OR(I792="ILF",I792="EIF"),IF(OR(X792="估算法",X792="算法类",X792="无法识别"),"低",IF(M792&lt;2,IF(N792&lt;51,"低","中"),IF(M792&lt;6,IF(N792&lt;20,"低",IF(N792&lt;51,"中","高")),IF(N792&lt;20,"中","高")))),"不计算")))</f>
        <v/>
      </c>
      <c r="P792" s="142">
        <f>IFERROR(IF(I792="EI",IF(O792="低",3,IF(O792="中",4,6)),IF(I792="EO",IF(O792="低",4,IF(O792="中",5,7)),IF(I792="EQ",IF(O792="低",3,IF(O792="中",4,6)),IF(I792="ILF",IF(O792="低",7,IF(O792="中",10,15)),IF(I792="EIF",IF(O792="低",5,IF(O792="中",7,10)),"不计算")))))*Q792,"不计算")</f>
        <v/>
      </c>
      <c r="Q792" s="142" t="n">
        <v>1</v>
      </c>
      <c r="R792" s="143">
        <f>调整因子!$F$13</f>
        <v/>
      </c>
      <c r="S792" s="76" t="n">
        <v>1</v>
      </c>
      <c r="T792" s="144">
        <f>IFERROR(P792*R792,0)</f>
        <v/>
      </c>
      <c r="U792" s="144">
        <f>T792*S792</f>
        <v/>
      </c>
      <c r="V792" s="96" t="inlineStr">
        <is>
          <t>台账上报历史表</t>
        </is>
      </c>
      <c r="W792" s="111" t="n"/>
      <c r="X792" s="88" t="inlineStr">
        <is>
          <t>台账上报历史表{上报方式|历史编号、上报状态}</t>
        </is>
      </c>
      <c r="Y792" s="88" t="n"/>
      <c r="Z792" s="88" t="n"/>
      <c r="AA792" s="76" t="n"/>
    </row>
    <row r="793" ht="21.6" customHeight="1">
      <c r="A793" s="69">
        <f>ROW()-1</f>
        <v/>
      </c>
      <c r="B793" s="53" t="n"/>
      <c r="C793" s="78" t="n">
        <v>2025</v>
      </c>
      <c r="D793" s="78" t="inlineStr">
        <is>
          <t>张明峰</t>
        </is>
      </c>
      <c r="E793" s="53" t="n"/>
      <c r="F793" s="53" t="n"/>
      <c r="G793" s="53" t="n"/>
      <c r="H793" s="96" t="inlineStr">
        <is>
          <t>台账上报状态监控展示</t>
        </is>
      </c>
      <c r="I793" s="76" t="inlineStr">
        <is>
          <t>EO</t>
        </is>
      </c>
      <c r="J793" s="108" t="n"/>
      <c r="K793" s="108" t="n"/>
      <c r="L793" s="83">
        <f>IF(OR(X793="估算法",X793="算法类",X793="无法识别"),"",IF(V793="",IF(OR(I793="EI",I793="EO",I793="EQ"),0,""),LEN(V793)-LEN(SUBSTITUTE(V793,"、",""))+1))</f>
        <v/>
      </c>
      <c r="M793" s="83">
        <f>IF(OR(X793="估算法",X793="算法类",X793="无法识别"),"",IF(W793="",IF(OR(I793="ILF",I793="EIF"),0,""),LEN(W793)-LEN(SUBSTITUTE(W793,"、",""))+1))</f>
        <v/>
      </c>
      <c r="N793" s="83">
        <f>IF(OR(X793="估算法",X793="算法类",X793="无法识别"),"",IF(X793="",IF(OR(I793="ILF",I793="EIF",I793="EI",I793="EO",I793="EQ"),0,""),LEN(X793)-LEN(SUBSTITUTE(SUBSTITUTE(SUBSTITUTE(SUBSTITUTE(SUBSTITUTE(X793,"|}","--"),"{|","--"),CHAR(10),""),"、",""),"|",""))+IF(AND(OR(I793="EI",I793="EO",I793="EQ"),$AD$1="NESMA"),2,1)))</f>
        <v/>
      </c>
      <c r="O793" s="84">
        <f>IF(I793="EI",IF(OR(X793="估算法",X793="算法类"),"中",IF(X793="无法识别","低",IF(L793&lt;2,IF(N793&lt;16,"低","中"),IF(L793&lt;3,IF(N793&lt;5,"低",IF(N793&lt;16,"中","高")),IF(N793&lt;5,"中","高"))))),IF(OR(I793="EO",I793="EQ"),IF(OR(X793="估算法",X793="算法类"),"中",IF(X793="无法识别","低",IF(L793&lt;2,IF(N793&lt;20,"低","中"),IF(L793&lt;4,IF(N793&lt;6,"低",IF(N793&lt;20,"中","高")),IF(N793&lt;6,"中","高"))))),IF(OR(I793="ILF",I793="EIF"),IF(OR(X793="估算法",X793="算法类",X793="无法识别"),"低",IF(M793&lt;2,IF(N793&lt;51,"低","中"),IF(M793&lt;6,IF(N793&lt;20,"低",IF(N793&lt;51,"中","高")),IF(N793&lt;20,"中","高")))),"不计算")))</f>
        <v/>
      </c>
      <c r="P793" s="142">
        <f>IFERROR(IF(I793="EI",IF(O793="低",3,IF(O793="中",4,6)),IF(I793="EO",IF(O793="低",4,IF(O793="中",5,7)),IF(I793="EQ",IF(O793="低",3,IF(O793="中",4,6)),IF(I793="ILF",IF(O793="低",7,IF(O793="中",10,15)),IF(I793="EIF",IF(O793="低",5,IF(O793="中",7,10)),"不计算")))))*Q793,"不计算")</f>
        <v/>
      </c>
      <c r="Q793" s="142" t="n">
        <v>1</v>
      </c>
      <c r="R793" s="143">
        <f>调整因子!$F$13</f>
        <v/>
      </c>
      <c r="S793" s="70" t="n">
        <v>1</v>
      </c>
      <c r="T793" s="144">
        <f>IFERROR(P793*R793,0)</f>
        <v/>
      </c>
      <c r="U793" s="144">
        <f>T793*S793</f>
        <v/>
      </c>
      <c r="V793" s="96" t="inlineStr">
        <is>
          <t>台账上报状态监控表、台账上报历史表</t>
        </is>
      </c>
      <c r="W793" s="88" t="n"/>
      <c r="X793" s="88" t="inlineStr">
        <is>
          <t>台账上报状态监控表{|待上报数、成功数、失败数}
台账上报历史表{上报时间|上报状态}</t>
        </is>
      </c>
      <c r="Y793" s="88" t="n"/>
      <c r="Z793" s="88" t="n"/>
    </row>
    <row r="794" ht="15.6" customHeight="1">
      <c r="A794" s="69">
        <f>ROW()-1</f>
        <v/>
      </c>
      <c r="B794" s="53" t="n"/>
      <c r="C794" s="78" t="n">
        <v>2025</v>
      </c>
      <c r="D794" s="78" t="inlineStr">
        <is>
          <t>张明峰</t>
        </is>
      </c>
      <c r="E794" s="53" t="n"/>
      <c r="F794" s="53" t="n"/>
      <c r="G794" s="53" t="n"/>
      <c r="H794" s="96" t="inlineStr">
        <is>
          <t>查询台账上报历史</t>
        </is>
      </c>
      <c r="I794" s="76" t="inlineStr">
        <is>
          <t>EQ</t>
        </is>
      </c>
      <c r="J794" s="108" t="n"/>
      <c r="K794" s="108" t="n"/>
      <c r="L794" s="83">
        <f>IF(OR(X794="估算法",X794="算法类",X794="无法识别"),"",IF(V794="",IF(OR(I794="EI",I794="EO",I794="EQ"),0,""),LEN(V794)-LEN(SUBSTITUTE(V794,"、",""))+1))</f>
        <v/>
      </c>
      <c r="M794" s="83">
        <f>IF(OR(X794="估算法",X794="算法类",X794="无法识别"),"",IF(W794="",IF(OR(I794="ILF",I794="EIF"),0,""),LEN(W794)-LEN(SUBSTITUTE(W794,"、",""))+1))</f>
        <v/>
      </c>
      <c r="N794" s="83">
        <f>IF(OR(X794="估算法",X794="算法类",X794="无法识别"),"",IF(X794="",IF(OR(I794="ILF",I794="EIF",I794="EI",I794="EO",I794="EQ"),0,""),LEN(X794)-LEN(SUBSTITUTE(SUBSTITUTE(SUBSTITUTE(SUBSTITUTE(SUBSTITUTE(X794,"|}","--"),"{|","--"),CHAR(10),""),"、",""),"|",""))+IF(AND(OR(I794="EI",I794="EO",I794="EQ"),$AD$1="NESMA"),2,1)))</f>
        <v/>
      </c>
      <c r="O794" s="84">
        <f>IF(I794="EI",IF(OR(X794="估算法",X794="算法类"),"中",IF(X794="无法识别","低",IF(L794&lt;2,IF(N794&lt;16,"低","中"),IF(L794&lt;3,IF(N794&lt;5,"低",IF(N794&lt;16,"中","高")),IF(N794&lt;5,"中","高"))))),IF(OR(I794="EO",I794="EQ"),IF(OR(X794="估算法",X794="算法类"),"中",IF(X794="无法识别","低",IF(L794&lt;2,IF(N794&lt;20,"低","中"),IF(L794&lt;4,IF(N794&lt;6,"低",IF(N794&lt;20,"中","高")),IF(N794&lt;6,"中","高"))))),IF(OR(I794="ILF",I794="EIF"),IF(OR(X794="估算法",X794="算法类",X794="无法识别"),"低",IF(M794&lt;2,IF(N794&lt;51,"低","中"),IF(M794&lt;6,IF(N794&lt;20,"低",IF(N794&lt;51,"中","高")),IF(N794&lt;20,"中","高")))),"不计算")))</f>
        <v/>
      </c>
      <c r="P794" s="142">
        <f>IFERROR(IF(I794="EI",IF(O794="低",3,IF(O794="中",4,6)),IF(I794="EO",IF(O794="低",4,IF(O794="中",5,7)),IF(I794="EQ",IF(O794="低",3,IF(O794="中",4,6)),IF(I794="ILF",IF(O794="低",7,IF(O794="中",10,15)),IF(I794="EIF",IF(O794="低",5,IF(O794="中",7,10)),"不计算")))))*Q794,"不计算")</f>
        <v/>
      </c>
      <c r="Q794" s="142" t="n">
        <v>1</v>
      </c>
      <c r="R794" s="143">
        <f>调整因子!$F$13</f>
        <v/>
      </c>
      <c r="S794" s="70" t="n">
        <v>1</v>
      </c>
      <c r="T794" s="144">
        <f>IFERROR(P794*R794,0)</f>
        <v/>
      </c>
      <c r="U794" s="144">
        <f>T794*S794</f>
        <v/>
      </c>
      <c r="V794" s="88" t="inlineStr">
        <is>
          <t>台账上报历史表</t>
        </is>
      </c>
      <c r="W794" s="100" t="n"/>
      <c r="X794" s="111" t="inlineStr">
        <is>
          <t>台账上报历史表{上报时间、上报状态|历史编号、批次编号}</t>
        </is>
      </c>
      <c r="Y794" s="88" t="n"/>
      <c r="Z794" s="88" t="n"/>
    </row>
    <row r="795" ht="15.6" customHeight="1">
      <c r="A795" s="69">
        <f>ROW()-1</f>
        <v/>
      </c>
      <c r="B795" s="53" t="n"/>
      <c r="C795" s="78" t="n">
        <v>2025</v>
      </c>
      <c r="D795" s="78" t="inlineStr">
        <is>
          <t>张明峰</t>
        </is>
      </c>
      <c r="E795" s="53" t="n"/>
      <c r="F795" s="53" t="n"/>
      <c r="G795" s="53" t="n"/>
      <c r="H795" s="96" t="inlineStr">
        <is>
          <t>导出台账上报历史</t>
        </is>
      </c>
      <c r="I795" s="76" t="inlineStr">
        <is>
          <t>EO</t>
        </is>
      </c>
      <c r="J795" s="108" t="n"/>
      <c r="K795" s="108" t="n"/>
      <c r="L795" s="83">
        <f>IF(OR(X795="估算法",X795="算法类",X795="无法识别"),"",IF(V795="",IF(OR(I795="EI",I795="EO",I795="EQ"),0,""),LEN(V795)-LEN(SUBSTITUTE(V795,"、",""))+1))</f>
        <v/>
      </c>
      <c r="M795" s="83">
        <f>IF(OR(X795="估算法",X795="算法类",X795="无法识别"),"",IF(W795="",IF(OR(I795="ILF",I795="EIF"),0,""),LEN(W795)-LEN(SUBSTITUTE(W795,"、",""))+1))</f>
        <v/>
      </c>
      <c r="N795" s="83">
        <f>IF(OR(X795="估算法",X795="算法类",X795="无法识别"),"",IF(X795="",IF(OR(I795="ILF",I795="EIF",I795="EI",I795="EO",I795="EQ"),0,""),LEN(X795)-LEN(SUBSTITUTE(SUBSTITUTE(SUBSTITUTE(SUBSTITUTE(SUBSTITUTE(X795,"|}","--"),"{|","--"),CHAR(10),""),"、",""),"|",""))+IF(AND(OR(I795="EI",I795="EO",I795="EQ"),$AD$1="NESMA"),2,1)))</f>
        <v/>
      </c>
      <c r="O795" s="84">
        <f>IF(I795="EI",IF(OR(X795="估算法",X795="算法类"),"中",IF(X795="无法识别","低",IF(L795&lt;2,IF(N795&lt;16,"低","中"),IF(L795&lt;3,IF(N795&lt;5,"低",IF(N795&lt;16,"中","高")),IF(N795&lt;5,"中","高"))))),IF(OR(I795="EO",I795="EQ"),IF(OR(X795="估算法",X795="算法类"),"中",IF(X795="无法识别","低",IF(L795&lt;2,IF(N795&lt;20,"低","中"),IF(L795&lt;4,IF(N795&lt;6,"低",IF(N795&lt;20,"中","高")),IF(N795&lt;6,"中","高"))))),IF(OR(I795="ILF",I795="EIF"),IF(OR(X795="估算法",X795="算法类",X795="无法识别"),"低",IF(M795&lt;2,IF(N795&lt;51,"低","中"),IF(M795&lt;6,IF(N795&lt;20,"低",IF(N795&lt;51,"中","高")),IF(N795&lt;20,"中","高")))),"不计算")))</f>
        <v/>
      </c>
      <c r="P795" s="142">
        <f>IFERROR(IF(I795="EI",IF(O795="低",3,IF(O795="中",4,6)),IF(I795="EO",IF(O795="低",4,IF(O795="中",5,7)),IF(I795="EQ",IF(O795="低",3,IF(O795="中",4,6)),IF(I795="ILF",IF(O795="低",7,IF(O795="中",10,15)),IF(I795="EIF",IF(O795="低",5,IF(O795="中",7,10)),"不计算")))))*Q795,"不计算")</f>
        <v/>
      </c>
      <c r="Q795" s="142" t="n">
        <v>1</v>
      </c>
      <c r="R795" s="143">
        <f>调整因子!$F$13</f>
        <v/>
      </c>
      <c r="S795" s="76" t="n">
        <v>1</v>
      </c>
      <c r="T795" s="144">
        <f>IFERROR(P795*R795,0)</f>
        <v/>
      </c>
      <c r="U795" s="144">
        <f>T795*S795</f>
        <v/>
      </c>
      <c r="V795" s="88" t="inlineStr">
        <is>
          <t>台账上报历史表</t>
        </is>
      </c>
      <c r="W795" s="100" t="n"/>
      <c r="X795" s="88" t="inlineStr">
        <is>
          <t>台账上报历史表{上报时间|导出文件路径}</t>
        </is>
      </c>
      <c r="Y795" s="88" t="n"/>
      <c r="Z795" s="88" t="n"/>
    </row>
    <row r="796" ht="15.6" customHeight="1">
      <c r="A796" s="69">
        <f>ROW()-1</f>
        <v/>
      </c>
      <c r="B796" s="53" t="n"/>
      <c r="C796" s="78" t="n">
        <v>2025</v>
      </c>
      <c r="D796" s="78" t="inlineStr">
        <is>
          <t>张明峰</t>
        </is>
      </c>
      <c r="E796" s="53" t="n"/>
      <c r="F796" s="53" t="n"/>
      <c r="G796" s="53" t="n"/>
      <c r="H796" s="96" t="inlineStr">
        <is>
          <t>台账上报失败告警通知</t>
        </is>
      </c>
      <c r="I796" s="76" t="inlineStr">
        <is>
          <t>EO</t>
        </is>
      </c>
      <c r="J796" s="108" t="n"/>
      <c r="K796" s="108" t="n"/>
      <c r="L796" s="83">
        <f>IF(OR(X796="估算法",X796="算法类",X796="无法识别"),"",IF(V796="",IF(OR(I796="EI",I796="EO",I796="EQ"),0,""),LEN(V796)-LEN(SUBSTITUTE(V796,"、",""))+1))</f>
        <v/>
      </c>
      <c r="M796" s="83">
        <f>IF(OR(X796="估算法",X796="算法类",X796="无法识别"),"",IF(W796="",IF(OR(I796="ILF",I796="EIF"),0,""),LEN(W796)-LEN(SUBSTITUTE(W796,"、",""))+1))</f>
        <v/>
      </c>
      <c r="N796" s="83">
        <f>IF(OR(X796="估算法",X796="算法类",X796="无法识别"),"",IF(X796="",IF(OR(I796="ILF",I796="EIF",I796="EI",I796="EO",I796="EQ"),0,""),LEN(X796)-LEN(SUBSTITUTE(SUBSTITUTE(SUBSTITUTE(SUBSTITUTE(SUBSTITUTE(X796,"|}","--"),"{|","--"),CHAR(10),""),"、",""),"|",""))+IF(AND(OR(I796="EI",I796="EO",I796="EQ"),$AD$1="NESMA"),2,1)))</f>
        <v/>
      </c>
      <c r="O796" s="84">
        <f>IF(I796="EI",IF(OR(X796="估算法",X796="算法类"),"中",IF(X796="无法识别","低",IF(L796&lt;2,IF(N796&lt;16,"低","中"),IF(L796&lt;3,IF(N796&lt;5,"低",IF(N796&lt;16,"中","高")),IF(N796&lt;5,"中","高"))))),IF(OR(I796="EO",I796="EQ"),IF(OR(X796="估算法",X796="算法类"),"中",IF(X796="无法识别","低",IF(L796&lt;2,IF(N796&lt;20,"低","中"),IF(L796&lt;4,IF(N796&lt;6,"低",IF(N796&lt;20,"中","高")),IF(N796&lt;6,"中","高"))))),IF(OR(I796="ILF",I796="EIF"),IF(OR(X796="估算法",X796="算法类",X796="无法识别"),"低",IF(M796&lt;2,IF(N796&lt;51,"低","中"),IF(M796&lt;6,IF(N796&lt;20,"低",IF(N796&lt;51,"中","高")),IF(N796&lt;20,"中","高")))),"不计算")))</f>
        <v/>
      </c>
      <c r="P796" s="142">
        <f>IFERROR(IF(I796="EI",IF(O796="低",3,IF(O796="中",4,6)),IF(I796="EO",IF(O796="低",4,IF(O796="中",5,7)),IF(I796="EQ",IF(O796="低",3,IF(O796="中",4,6)),IF(I796="ILF",IF(O796="低",7,IF(O796="中",10,15)),IF(I796="EIF",IF(O796="低",5,IF(O796="中",7,10)),"不计算")))))*Q796,"不计算")</f>
        <v/>
      </c>
      <c r="Q796" s="142" t="n">
        <v>1</v>
      </c>
      <c r="R796" s="143">
        <f>调整因子!$F$13</f>
        <v/>
      </c>
      <c r="S796" s="76" t="n">
        <v>1</v>
      </c>
      <c r="T796" s="144">
        <f>IFERROR(P796*R796,0)</f>
        <v/>
      </c>
      <c r="U796" s="144">
        <f>T796*S796</f>
        <v/>
      </c>
      <c r="V796" s="88" t="inlineStr">
        <is>
          <t>台账上报状态监控表</t>
        </is>
      </c>
      <c r="W796" s="100" t="n"/>
      <c r="X796" s="111" t="inlineStr">
        <is>
          <t>台账上报状态监控表{失败数|监控编号、最近上报时间}</t>
        </is>
      </c>
      <c r="Y796" s="88" t="n"/>
      <c r="Z796" s="88" t="n"/>
    </row>
    <row r="797" ht="15.6" customHeight="1">
      <c r="A797" s="69">
        <f>ROW()-1</f>
        <v/>
      </c>
      <c r="B797" s="53" t="n"/>
      <c r="C797" s="78" t="n">
        <v>2025</v>
      </c>
      <c r="D797" s="78" t="inlineStr">
        <is>
          <t>张明峰</t>
        </is>
      </c>
      <c r="E797" s="53" t="n"/>
      <c r="F797" s="53" t="n"/>
      <c r="G797" s="53" t="n"/>
      <c r="H797" s="96" t="inlineStr">
        <is>
          <t>标记台账上报批次成功状态</t>
        </is>
      </c>
      <c r="I797" s="76" t="inlineStr">
        <is>
          <t>EI</t>
        </is>
      </c>
      <c r="J797" s="108" t="n"/>
      <c r="K797" s="108" t="n"/>
      <c r="L797" s="83">
        <f>IF(OR(X797="估算法",X797="算法类",X797="无法识别"),"",IF(V797="",IF(OR(I797="EI",I797="EO",I797="EQ"),0,""),LEN(V797)-LEN(SUBSTITUTE(V797,"、",""))+1))</f>
        <v/>
      </c>
      <c r="M797" s="83">
        <f>IF(OR(X797="估算法",X797="算法类",X797="无法识别"),"",IF(W797="",IF(OR(I797="ILF",I797="EIF"),0,""),LEN(W797)-LEN(SUBSTITUTE(W797,"、",""))+1))</f>
        <v/>
      </c>
      <c r="N797" s="83">
        <f>IF(OR(X797="估算法",X797="算法类",X797="无法识别"),"",IF(X797="",IF(OR(I797="ILF",I797="EIF",I797="EI",I797="EO",I797="EQ"),0,""),LEN(X797)-LEN(SUBSTITUTE(SUBSTITUTE(SUBSTITUTE(SUBSTITUTE(SUBSTITUTE(X797,"|}","--"),"{|","--"),CHAR(10),""),"、",""),"|",""))+IF(AND(OR(I797="EI",I797="EO",I797="EQ"),$AD$1="NESMA"),2,1)))</f>
        <v/>
      </c>
      <c r="O797" s="84">
        <f>IF(I797="EI",IF(OR(X797="估算法",X797="算法类"),"中",IF(X797="无法识别","低",IF(L797&lt;2,IF(N797&lt;16,"低","中"),IF(L797&lt;3,IF(N797&lt;5,"低",IF(N797&lt;16,"中","高")),IF(N797&lt;5,"中","高"))))),IF(OR(I797="EO",I797="EQ"),IF(OR(X797="估算法",X797="算法类"),"中",IF(X797="无法识别","低",IF(L797&lt;2,IF(N797&lt;20,"低","中"),IF(L797&lt;4,IF(N797&lt;6,"低",IF(N797&lt;20,"中","高")),IF(N797&lt;6,"中","高"))))),IF(OR(I797="ILF",I797="EIF"),IF(OR(X797="估算法",X797="算法类",X797="无法识别"),"低",IF(M797&lt;2,IF(N797&lt;51,"低","中"),IF(M797&lt;6,IF(N797&lt;20,"低",IF(N797&lt;51,"中","高")),IF(N797&lt;20,"中","高")))),"不计算")))</f>
        <v/>
      </c>
      <c r="P797" s="142">
        <f>IFERROR(IF(I797="EI",IF(O797="低",3,IF(O797="中",4,6)),IF(I797="EO",IF(O797="低",4,IF(O797="中",5,7)),IF(I797="EQ",IF(O797="低",3,IF(O797="中",4,6)),IF(I797="ILF",IF(O797="低",7,IF(O797="中",10,15)),IF(I797="EIF",IF(O797="低",5,IF(O797="中",7,10)),"不计算")))))*Q797,"不计算")</f>
        <v/>
      </c>
      <c r="Q797" s="142" t="n">
        <v>1</v>
      </c>
      <c r="R797" s="143">
        <f>调整因子!$F$13</f>
        <v/>
      </c>
      <c r="S797" s="70" t="n">
        <v>1</v>
      </c>
      <c r="T797" s="144">
        <f>IFERROR(P797*R797,0)</f>
        <v/>
      </c>
      <c r="U797" s="144">
        <f>T797*S797</f>
        <v/>
      </c>
      <c r="V797" s="96" t="inlineStr">
        <is>
          <t>台账上报批次表</t>
        </is>
      </c>
      <c r="W797" s="88" t="n"/>
      <c r="X797" s="88" t="inlineStr">
        <is>
          <t>台账上报批次表{批次编号、上报状态|上报状态、上报时间}</t>
        </is>
      </c>
      <c r="Y797" s="88" t="n"/>
      <c r="Z797" s="88" t="n"/>
    </row>
    <row r="798" ht="15.6" customHeight="1">
      <c r="A798" s="69">
        <f>ROW()-1</f>
        <v/>
      </c>
      <c r="B798" s="53" t="n"/>
      <c r="C798" s="78" t="n">
        <v>2025</v>
      </c>
      <c r="D798" s="78" t="inlineStr">
        <is>
          <t>张明峰</t>
        </is>
      </c>
      <c r="E798" s="53" t="n"/>
      <c r="F798" s="53" t="n"/>
      <c r="G798" s="53" t="n"/>
      <c r="H798" s="96" t="inlineStr">
        <is>
          <t>标记台账上报批次失败状态</t>
        </is>
      </c>
      <c r="I798" s="76" t="inlineStr">
        <is>
          <t>EI</t>
        </is>
      </c>
      <c r="J798" s="108" t="n"/>
      <c r="K798" s="108" t="n"/>
      <c r="L798" s="83">
        <f>IF(OR(X798="估算法",X798="算法类",X798="无法识别"),"",IF(V798="",IF(OR(I798="EI",I798="EO",I798="EQ"),0,""),LEN(V798)-LEN(SUBSTITUTE(V798,"、",""))+1))</f>
        <v/>
      </c>
      <c r="M798" s="83">
        <f>IF(OR(X798="估算法",X798="算法类",X798="无法识别"),"",IF(W798="",IF(OR(I798="ILF",I798="EIF"),0,""),LEN(W798)-LEN(SUBSTITUTE(W798,"、",""))+1))</f>
        <v/>
      </c>
      <c r="N798" s="83">
        <f>IF(OR(X798="估算法",X798="算法类",X798="无法识别"),"",IF(X798="",IF(OR(I798="ILF",I798="EIF",I798="EI",I798="EO",I798="EQ"),0,""),LEN(X798)-LEN(SUBSTITUTE(SUBSTITUTE(SUBSTITUTE(SUBSTITUTE(SUBSTITUTE(X798,"|}","--"),"{|","--"),CHAR(10),""),"、",""),"|",""))+IF(AND(OR(I798="EI",I798="EO",I798="EQ"),$AD$1="NESMA"),2,1)))</f>
        <v/>
      </c>
      <c r="O798" s="84">
        <f>IF(I798="EI",IF(OR(X798="估算法",X798="算法类"),"中",IF(X798="无法识别","低",IF(L798&lt;2,IF(N798&lt;16,"低","中"),IF(L798&lt;3,IF(N798&lt;5,"低",IF(N798&lt;16,"中","高")),IF(N798&lt;5,"中","高"))))),IF(OR(I798="EO",I798="EQ"),IF(OR(X798="估算法",X798="算法类"),"中",IF(X798="无法识别","低",IF(L798&lt;2,IF(N798&lt;20,"低","中"),IF(L798&lt;4,IF(N798&lt;6,"低",IF(N798&lt;20,"中","高")),IF(N798&lt;6,"中","高"))))),IF(OR(I798="ILF",I798="EIF"),IF(OR(X798="估算法",X798="算法类",X798="无法识别"),"低",IF(M798&lt;2,IF(N798&lt;51,"低","中"),IF(M798&lt;6,IF(N798&lt;20,"低",IF(N798&lt;51,"中","高")),IF(N798&lt;20,"中","高")))),"不计算")))</f>
        <v/>
      </c>
      <c r="P798" s="142">
        <f>IFERROR(IF(I798="EI",IF(O798="低",3,IF(O798="中",4,6)),IF(I798="EO",IF(O798="低",4,IF(O798="中",5,7)),IF(I798="EQ",IF(O798="低",3,IF(O798="中",4,6)),IF(I798="ILF",IF(O798="低",7,IF(O798="中",10,15)),IF(I798="EIF",IF(O798="低",5,IF(O798="中",7,10)),"不计算")))))*Q798,"不计算")</f>
        <v/>
      </c>
      <c r="Q798" s="142" t="n">
        <v>1</v>
      </c>
      <c r="R798" s="143">
        <f>调整因子!$F$13</f>
        <v/>
      </c>
      <c r="S798" s="70" t="n">
        <v>1</v>
      </c>
      <c r="T798" s="144">
        <f>IFERROR(P798*R798,0)</f>
        <v/>
      </c>
      <c r="U798" s="144">
        <f>T798*S798</f>
        <v/>
      </c>
      <c r="V798" s="96" t="inlineStr">
        <is>
          <t>台账上报批次表</t>
        </is>
      </c>
      <c r="W798" s="88" t="n"/>
      <c r="X798" s="88" t="inlineStr">
        <is>
          <t>台账上报批次表{批次编号、失败原因|上报状态、失败原因}</t>
        </is>
      </c>
      <c r="Y798" s="88" t="n"/>
      <c r="Z798" s="88" t="n"/>
    </row>
    <row r="799" ht="15.6" customHeight="1">
      <c r="A799" s="69">
        <f>ROW()-1</f>
        <v/>
      </c>
      <c r="B799" s="53" t="n"/>
      <c r="C799" s="78" t="n">
        <v>2025</v>
      </c>
      <c r="D799" s="78" t="inlineStr">
        <is>
          <t>张明峰</t>
        </is>
      </c>
      <c r="E799" s="53" t="n"/>
      <c r="F799" s="53" t="n"/>
      <c r="G799" s="53" t="n"/>
      <c r="H799" s="96" t="inlineStr">
        <is>
          <t>台账上报周期配置表</t>
        </is>
      </c>
      <c r="I799" s="76" t="inlineStr">
        <is>
          <t>ILF</t>
        </is>
      </c>
      <c r="J799" s="108" t="n"/>
      <c r="K799" s="108" t="n"/>
      <c r="L799" s="83">
        <f>IF(OR(X799="估算法",X799="算法类",X799="无法识别"),"",IF(V799="",IF(OR(I799="EI",I799="EO",I799="EQ"),0,""),LEN(V799)-LEN(SUBSTITUTE(V799,"、",""))+1))</f>
        <v/>
      </c>
      <c r="M799" s="83">
        <f>IF(OR(X799="估算法",X799="算法类",X799="无法识别"),"",IF(W799="",IF(OR(I799="ILF",I799="EIF"),0,""),LEN(W799)-LEN(SUBSTITUTE(W799,"、",""))+1))</f>
        <v/>
      </c>
      <c r="N799" s="83">
        <f>IF(OR(X799="估算法",X799="算法类",X799="无法识别"),"",IF(X799="",IF(OR(I799="ILF",I799="EIF",I799="EI",I799="EO",I799="EQ"),0,""),LEN(X799)-LEN(SUBSTITUTE(SUBSTITUTE(SUBSTITUTE(SUBSTITUTE(SUBSTITUTE(X799,"|}","--"),"{|","--"),CHAR(10),""),"、",""),"|",""))+IF(AND(OR(I799="EI",I799="EO",I799="EQ"),$AD$1="NESMA"),2,1)))</f>
        <v/>
      </c>
      <c r="O799" s="84">
        <f>IF(I799="EI",IF(OR(X799="估算法",X799="算法类"),"中",IF(X799="无法识别","低",IF(L799&lt;2,IF(N799&lt;16,"低","中"),IF(L799&lt;3,IF(N799&lt;5,"低",IF(N799&lt;16,"中","高")),IF(N799&lt;5,"中","高"))))),IF(OR(I799="EO",I799="EQ"),IF(OR(X799="估算法",X799="算法类"),"中",IF(X799="无法识别","低",IF(L799&lt;2,IF(N799&lt;20,"低","中"),IF(L799&lt;4,IF(N799&lt;6,"低",IF(N799&lt;20,"中","高")),IF(N799&lt;6,"中","高"))))),IF(OR(I799="ILF",I799="EIF"),IF(OR(X799="估算法",X799="算法类",X799="无法识别"),"低",IF(M799&lt;2,IF(N799&lt;51,"低","中"),IF(M799&lt;6,IF(N799&lt;20,"低",IF(N799&lt;51,"中","高")),IF(N799&lt;20,"中","高")))),"不计算")))</f>
        <v/>
      </c>
      <c r="P799" s="142">
        <f>IFERROR(IF(I799="EI",IF(O799="低",3,IF(O799="中",4,6)),IF(I799="EO",IF(O799="低",4,IF(O799="中",5,7)),IF(I799="EQ",IF(O799="低",3,IF(O799="中",4,6)),IF(I799="ILF",IF(O799="低",7,IF(O799="中",10,15)),IF(I799="EIF",IF(O799="低",5,IF(O799="中",7,10)),"不计算")))))*Q799,"不计算")</f>
        <v/>
      </c>
      <c r="Q799" s="142" t="n">
        <v>1</v>
      </c>
      <c r="R799" s="143">
        <f>调整因子!$F$13</f>
        <v/>
      </c>
      <c r="S799" s="76" t="n">
        <v>1</v>
      </c>
      <c r="T799" s="144">
        <f>IFERROR(P799*R799,0)</f>
        <v/>
      </c>
      <c r="U799" s="144">
        <f>T799*S799</f>
        <v/>
      </c>
      <c r="V799" s="88" t="n"/>
      <c r="W799" s="100" t="inlineStr">
        <is>
          <t>台账上报周期配置表</t>
        </is>
      </c>
      <c r="X799" s="88" t="inlineStr">
        <is>
          <t>台账上报周期配置表{配置编号、定时表达式、上报范围、启用状态、更新时间}</t>
        </is>
      </c>
      <c r="Y799" s="88" t="n"/>
      <c r="Z799" s="88" t="n"/>
    </row>
    <row r="800" ht="15.6" customHeight="1">
      <c r="A800" s="69">
        <f>ROW()-1</f>
        <v/>
      </c>
      <c r="B800" s="53" t="n"/>
      <c r="C800" s="78" t="n">
        <v>2025</v>
      </c>
      <c r="D800" s="78" t="inlineStr">
        <is>
          <t>张明峰</t>
        </is>
      </c>
      <c r="E800" s="53" t="n"/>
      <c r="F800" s="53" t="n"/>
      <c r="G800" s="53" t="n"/>
      <c r="H800" s="96" t="inlineStr">
        <is>
          <t>台账上报批次表</t>
        </is>
      </c>
      <c r="I800" s="76" t="inlineStr">
        <is>
          <t>ILF</t>
        </is>
      </c>
      <c r="J800" s="108" t="n"/>
      <c r="K800" s="108" t="n"/>
      <c r="L800" s="83">
        <f>IF(OR(X800="估算法",X800="算法类",X800="无法识别"),"",IF(V800="",IF(OR(I800="EI",I800="EO",I800="EQ"),0,""),LEN(V800)-LEN(SUBSTITUTE(V800,"、",""))+1))</f>
        <v/>
      </c>
      <c r="M800" s="83">
        <f>IF(OR(X800="估算法",X800="算法类",X800="无法识别"),"",IF(W800="",IF(OR(I800="ILF",I800="EIF"),0,""),LEN(W800)-LEN(SUBSTITUTE(W800,"、",""))+1))</f>
        <v/>
      </c>
      <c r="N800" s="83">
        <f>IF(OR(X800="估算法",X800="算法类",X800="无法识别"),"",IF(X800="",IF(OR(I800="ILF",I800="EIF",I800="EI",I800="EO",I800="EQ"),0,""),LEN(X800)-LEN(SUBSTITUTE(SUBSTITUTE(SUBSTITUTE(SUBSTITUTE(SUBSTITUTE(X800,"|}","--"),"{|","--"),CHAR(10),""),"、",""),"|",""))+IF(AND(OR(I800="EI",I800="EO",I800="EQ"),$AD$1="NESMA"),2,1)))</f>
        <v/>
      </c>
      <c r="O800" s="84">
        <f>IF(I800="EI",IF(OR(X800="估算法",X800="算法类"),"中",IF(X800="无法识别","低",IF(L800&lt;2,IF(N800&lt;16,"低","中"),IF(L800&lt;3,IF(N800&lt;5,"低",IF(N800&lt;16,"中","高")),IF(N800&lt;5,"中","高"))))),IF(OR(I800="EO",I800="EQ"),IF(OR(X800="估算法",X800="算法类"),"中",IF(X800="无法识别","低",IF(L800&lt;2,IF(N800&lt;20,"低","中"),IF(L800&lt;4,IF(N800&lt;6,"低",IF(N800&lt;20,"中","高")),IF(N800&lt;6,"中","高"))))),IF(OR(I800="ILF",I800="EIF"),IF(OR(X800="估算法",X800="算法类",X800="无法识别"),"低",IF(M800&lt;2,IF(N800&lt;51,"低","中"),IF(M800&lt;6,IF(N800&lt;20,"低",IF(N800&lt;51,"中","高")),IF(N800&lt;20,"中","高")))),"不计算")))</f>
        <v/>
      </c>
      <c r="P800" s="142">
        <f>IFERROR(IF(I800="EI",IF(O800="低",3,IF(O800="中",4,6)),IF(I800="EO",IF(O800="低",4,IF(O800="中",5,7)),IF(I800="EQ",IF(O800="低",3,IF(O800="中",4,6)),IF(I800="ILF",IF(O800="低",7,IF(O800="中",10,15)),IF(I800="EIF",IF(O800="低",5,IF(O800="中",7,10)),"不计算")))))*Q800,"不计算")</f>
        <v/>
      </c>
      <c r="Q800" s="142" t="n">
        <v>1</v>
      </c>
      <c r="R800" s="143">
        <f>调整因子!$F$13</f>
        <v/>
      </c>
      <c r="S800" s="70" t="n">
        <v>1</v>
      </c>
      <c r="T800" s="144">
        <f>IFERROR(P800*R800,0)</f>
        <v/>
      </c>
      <c r="U800" s="144">
        <f>T800*S800</f>
        <v/>
      </c>
      <c r="V800" s="88" t="n"/>
      <c r="W800" s="100" t="inlineStr">
        <is>
          <t>台账上报批次表</t>
        </is>
      </c>
      <c r="X800" s="88" t="inlineStr">
        <is>
          <t>台账上报批次表{批次编号、请求序号、记录条数、上报状态、上报时间、失败原因}</t>
        </is>
      </c>
      <c r="Y800" s="88" t="n"/>
      <c r="Z800" s="88" t="n"/>
    </row>
    <row r="801" ht="15.6" customHeight="1">
      <c r="A801" s="69">
        <f>ROW()-1</f>
        <v/>
      </c>
      <c r="B801" s="53" t="n"/>
      <c r="C801" s="78" t="n">
        <v>2025</v>
      </c>
      <c r="D801" s="78" t="inlineStr">
        <is>
          <t>张明峰</t>
        </is>
      </c>
      <c r="E801" s="53" t="n"/>
      <c r="F801" s="53" t="n"/>
      <c r="G801" s="53" t="n"/>
      <c r="H801" s="96" t="inlineStr">
        <is>
          <t>台账上报历史表</t>
        </is>
      </c>
      <c r="I801" s="76" t="inlineStr">
        <is>
          <t>ILF</t>
        </is>
      </c>
      <c r="J801" s="108" t="n"/>
      <c r="K801" s="108" t="n"/>
      <c r="L801" s="83">
        <f>IF(OR(X801="估算法",X801="算法类",X801="无法识别"),"",IF(V801="",IF(OR(I801="EI",I801="EO",I801="EQ"),0,""),LEN(V801)-LEN(SUBSTITUTE(V801,"、",""))+1))</f>
        <v/>
      </c>
      <c r="M801" s="83">
        <f>IF(OR(X801="估算法",X801="算法类",X801="无法识别"),"",IF(W801="",IF(OR(I801="ILF",I801="EIF"),0,""),LEN(W801)-LEN(SUBSTITUTE(W801,"、",""))+1))</f>
        <v/>
      </c>
      <c r="N801" s="83">
        <f>IF(OR(X801="估算法",X801="算法类",X801="无法识别"),"",IF(X801="",IF(OR(I801="ILF",I801="EIF",I801="EI",I801="EO",I801="EQ"),0,""),LEN(X801)-LEN(SUBSTITUTE(SUBSTITUTE(SUBSTITUTE(SUBSTITUTE(SUBSTITUTE(X801,"|}","--"),"{|","--"),CHAR(10),""),"、",""),"|",""))+IF(AND(OR(I801="EI",I801="EO",I801="EQ"),$AD$1="NESMA"),2,1)))</f>
        <v/>
      </c>
      <c r="O801" s="84">
        <f>IF(I801="EI",IF(OR(X801="估算法",X801="算法类"),"中",IF(X801="无法识别","低",IF(L801&lt;2,IF(N801&lt;16,"低","中"),IF(L801&lt;3,IF(N801&lt;5,"低",IF(N801&lt;16,"中","高")),IF(N801&lt;5,"中","高"))))),IF(OR(I801="EO",I801="EQ"),IF(OR(X801="估算法",X801="算法类"),"中",IF(X801="无法识别","低",IF(L801&lt;2,IF(N801&lt;20,"低","中"),IF(L801&lt;4,IF(N801&lt;6,"低",IF(N801&lt;20,"中","高")),IF(N801&lt;6,"中","高"))))),IF(OR(I801="ILF",I801="EIF"),IF(OR(X801="估算法",X801="算法类",X801="无法识别"),"低",IF(M801&lt;2,IF(N801&lt;51,"低","中"),IF(M801&lt;6,IF(N801&lt;20,"低",IF(N801&lt;51,"中","高")),IF(N801&lt;20,"中","高")))),"不计算")))</f>
        <v/>
      </c>
      <c r="P801" s="142">
        <f>IFERROR(IF(I801="EI",IF(O801="低",3,IF(O801="中",4,6)),IF(I801="EO",IF(O801="低",4,IF(O801="中",5,7)),IF(I801="EQ",IF(O801="低",3,IF(O801="中",4,6)),IF(I801="ILF",IF(O801="低",7,IF(O801="中",10,15)),IF(I801="EIF",IF(O801="低",5,IF(O801="中",7,10)),"不计算")))))*Q801,"不计算")</f>
        <v/>
      </c>
      <c r="Q801" s="142" t="n">
        <v>1</v>
      </c>
      <c r="R801" s="143">
        <f>调整因子!$F$13</f>
        <v/>
      </c>
      <c r="S801" s="70" t="n">
        <v>1</v>
      </c>
      <c r="T801" s="144">
        <f>IFERROR(P801*R801,0)</f>
        <v/>
      </c>
      <c r="U801" s="144">
        <f>T801*S801</f>
        <v/>
      </c>
      <c r="V801" s="88" t="n"/>
      <c r="W801" s="100" t="inlineStr">
        <is>
          <t>台账上报历史表</t>
        </is>
      </c>
      <c r="X801" s="88" t="inlineStr">
        <is>
          <t>台账上报历史表{历史编号、批次编号、上报方式、上报状态、上报时间、响应码}</t>
        </is>
      </c>
      <c r="Y801" s="88" t="n"/>
      <c r="Z801" s="88" t="n"/>
    </row>
    <row r="802" ht="15.6" customHeight="1">
      <c r="A802" s="69">
        <f>ROW()-1</f>
        <v/>
      </c>
      <c r="B802" s="53" t="n"/>
      <c r="C802" s="78" t="n">
        <v>2025</v>
      </c>
      <c r="D802" s="78" t="inlineStr">
        <is>
          <t>张明峰</t>
        </is>
      </c>
      <c r="E802" s="53" t="n"/>
      <c r="F802" s="54" t="n"/>
      <c r="G802" s="54" t="n"/>
      <c r="H802" s="96" t="inlineStr">
        <is>
          <t>台账上报状态监控表</t>
        </is>
      </c>
      <c r="I802" s="76" t="inlineStr">
        <is>
          <t>ILF</t>
        </is>
      </c>
      <c r="J802" s="108" t="n"/>
      <c r="K802" s="108" t="n"/>
      <c r="L802" s="83">
        <f>IF(OR(X802="估算法",X802="算法类",X802="无法识别"),"",IF(V802="",IF(OR(I802="EI",I802="EO",I802="EQ"),0,""),LEN(V802)-LEN(SUBSTITUTE(V802,"、",""))+1))</f>
        <v/>
      </c>
      <c r="M802" s="83">
        <f>IF(OR(X802="估算法",X802="算法类",X802="无法识别"),"",IF(W802="",IF(OR(I802="ILF",I802="EIF"),0,""),LEN(W802)-LEN(SUBSTITUTE(W802,"、",""))+1))</f>
        <v/>
      </c>
      <c r="N802" s="83">
        <f>IF(OR(X802="估算法",X802="算法类",X802="无法识别"),"",IF(X802="",IF(OR(I802="ILF",I802="EIF",I802="EI",I802="EO",I802="EQ"),0,""),LEN(X802)-LEN(SUBSTITUTE(SUBSTITUTE(SUBSTITUTE(SUBSTITUTE(SUBSTITUTE(X802,"|}","--"),"{|","--"),CHAR(10),""),"、",""),"|",""))+IF(AND(OR(I802="EI",I802="EO",I802="EQ"),$AD$1="NESMA"),2,1)))</f>
        <v/>
      </c>
      <c r="O802" s="84">
        <f>IF(I802="EI",IF(OR(X802="估算法",X802="算法类"),"中",IF(X802="无法识别","低",IF(L802&lt;2,IF(N802&lt;16,"低","中"),IF(L802&lt;3,IF(N802&lt;5,"低",IF(N802&lt;16,"中","高")),IF(N802&lt;5,"中","高"))))),IF(OR(I802="EO",I802="EQ"),IF(OR(X802="估算法",X802="算法类"),"中",IF(X802="无法识别","低",IF(L802&lt;2,IF(N802&lt;20,"低","中"),IF(L802&lt;4,IF(N802&lt;6,"低",IF(N802&lt;20,"中","高")),IF(N802&lt;6,"中","高"))))),IF(OR(I802="ILF",I802="EIF"),IF(OR(X802="估算法",X802="算法类",X802="无法识别"),"低",IF(M802&lt;2,IF(N802&lt;51,"低","中"),IF(M802&lt;6,IF(N802&lt;20,"低",IF(N802&lt;51,"中","高")),IF(N802&lt;20,"中","高")))),"不计算")))</f>
        <v/>
      </c>
      <c r="P802" s="142">
        <f>IFERROR(IF(I802="EI",IF(O802="低",3,IF(O802="中",4,6)),IF(I802="EO",IF(O802="低",4,IF(O802="中",5,7)),IF(I802="EQ",IF(O802="低",3,IF(O802="中",4,6)),IF(I802="ILF",IF(O802="低",7,IF(O802="中",10,15)),IF(I802="EIF",IF(O802="低",5,IF(O802="中",7,10)),"不计算")))))*Q802,"不计算")</f>
        <v/>
      </c>
      <c r="Q802" s="142" t="n">
        <v>1</v>
      </c>
      <c r="R802" s="143">
        <f>调整因子!$F$13</f>
        <v/>
      </c>
      <c r="S802" s="76" t="n">
        <v>1</v>
      </c>
      <c r="T802" s="144">
        <f>IFERROR(P802*R802,0)</f>
        <v/>
      </c>
      <c r="U802" s="144">
        <f>T802*S802</f>
        <v/>
      </c>
      <c r="V802" s="88" t="n"/>
      <c r="W802" s="100" t="inlineStr">
        <is>
          <t>台账上报状态监控表</t>
        </is>
      </c>
      <c r="X802" s="88" t="inlineStr">
        <is>
          <t>台账上报状态监控表{监控编号、待上报数、成功数、失败数、最近上报时间}</t>
        </is>
      </c>
      <c r="Y802" s="88" t="n"/>
      <c r="Z802" s="88" t="n"/>
    </row>
    <row r="803" hidden="1" ht="15.6" customHeight="1">
      <c r="A803" s="69">
        <f>ROW()-1</f>
        <v/>
      </c>
      <c r="B803" s="53" t="n"/>
      <c r="C803" s="78" t="n"/>
      <c r="D803" s="78" t="n"/>
      <c r="E803" s="53" t="n"/>
      <c r="H803" s="96" t="n"/>
      <c r="I803" s="76" t="n"/>
      <c r="J803" s="108" t="n"/>
      <c r="K803" s="108" t="n"/>
      <c r="L803" s="83">
        <f>IF(OR(X803="估算法",X803="算法类",X803="无法识别"),"",IF(V803="",IF(OR(I803="EI",I803="EO",I803="EQ"),0,""),LEN(V803)-LEN(SUBSTITUTE(V803,"、",""))+1))</f>
        <v/>
      </c>
      <c r="M803" s="83">
        <f>IF(OR(X803="估算法",X803="算法类",X803="无法识别"),"",IF(W803="",IF(OR(I803="ILF",I803="EIF"),0,""),LEN(W803)-LEN(SUBSTITUTE(W803,"、",""))+1))</f>
        <v/>
      </c>
      <c r="N803" s="83">
        <f>IF(OR(X803="估算法",X803="算法类",X803="无法识别"),"",IF(X803="",IF(OR(I803="ILF",I803="EIF",I803="EI",I803="EO",I803="EQ"),0,""),LEN(X803)-LEN(SUBSTITUTE(SUBSTITUTE(SUBSTITUTE(SUBSTITUTE(SUBSTITUTE(X803,"|}","--"),"{|","--"),CHAR(10),""),"、",""),"|",""))+IF(AND(OR(I803="EI",I803="EO",I803="EQ"),$AD$1="NESMA"),2,1)))</f>
        <v/>
      </c>
      <c r="O803" s="84">
        <f>IF(I803="EI",IF(OR(X803="估算法",X803="算法类"),"中",IF(X803="无法识别","低",IF(L803&lt;2,IF(N803&lt;16,"低","中"),IF(L803&lt;3,IF(N803&lt;5,"低",IF(N803&lt;16,"中","高")),IF(N803&lt;5,"中","高"))))),IF(OR(I803="EO",I803="EQ"),IF(OR(X803="估算法",X803="算法类"),"中",IF(X803="无法识别","低",IF(L803&lt;2,IF(N803&lt;20,"低","中"),IF(L803&lt;4,IF(N803&lt;6,"低",IF(N803&lt;20,"中","高")),IF(N803&lt;6,"中","高"))))),IF(OR(I803="ILF",I803="EIF"),IF(OR(X803="估算法",X803="算法类",X803="无法识别"),"低",IF(M803&lt;2,IF(N803&lt;51,"低","中"),IF(M803&lt;6,IF(N803&lt;20,"低",IF(N803&lt;51,"中","高")),IF(N803&lt;20,"中","高")))),"不计算")))</f>
        <v/>
      </c>
      <c r="P803" s="142">
        <f>IFERROR(IF(I803="EI",IF(O803="低",3,IF(O803="中",4,6)),IF(I803="EO",IF(O803="低",4,IF(O803="中",5,7)),IF(I803="EQ",IF(O803="低",3,IF(O803="中",4,6)),IF(I803="ILF",IF(O803="低",7,IF(O803="中",10,15)),IF(I803="EIF",IF(O803="低",5,IF(O803="中",7,10)),"不计算")))))*Q803,"不计算")</f>
        <v/>
      </c>
      <c r="Q803" s="142" t="n"/>
      <c r="R803" s="143">
        <f>调整因子!$F$13</f>
        <v/>
      </c>
      <c r="S803" s="76" t="n"/>
      <c r="T803" s="144">
        <f>IFERROR(P803*R803,0)</f>
        <v/>
      </c>
      <c r="U803" s="144">
        <f>T803*S803</f>
        <v/>
      </c>
      <c r="V803" s="88" t="n"/>
      <c r="W803" s="100" t="n"/>
      <c r="X803" s="88" t="n"/>
      <c r="Y803" s="88" t="n"/>
      <c r="Z803" s="88" t="n"/>
    </row>
    <row r="804" hidden="1">
      <c r="A804" s="69">
        <f>ROW()-1</f>
        <v/>
      </c>
      <c r="B804" s="53" t="n"/>
      <c r="C804" s="78" t="n"/>
      <c r="D804" s="78" t="n"/>
      <c r="E804" s="53" t="n"/>
      <c r="H804" s="96" t="n"/>
      <c r="I804" s="76" t="n"/>
      <c r="J804" s="108" t="n"/>
      <c r="K804" s="108" t="n"/>
      <c r="L804" s="83">
        <f>IF(OR(X804="估算法",X804="算法类",X804="无法识别"),"",IF(V804="",IF(OR(I804="EI",I804="EO",I804="EQ"),0,""),LEN(V804)-LEN(SUBSTITUTE(V804,"、",""))+1))</f>
        <v/>
      </c>
      <c r="M804" s="83">
        <f>IF(OR(X804="估算法",X804="算法类",X804="无法识别"),"",IF(W804="",IF(OR(I804="ILF",I804="EIF"),0,""),LEN(W804)-LEN(SUBSTITUTE(W804,"、",""))+1))</f>
        <v/>
      </c>
      <c r="N804" s="83">
        <f>IF(OR(X804="估算法",X804="算法类",X804="无法识别"),"",IF(X804="",IF(OR(I804="ILF",I804="EIF",I804="EI",I804="EO",I804="EQ"),0,""),LEN(X804)-LEN(SUBSTITUTE(SUBSTITUTE(SUBSTITUTE(SUBSTITUTE(SUBSTITUTE(X804,"|}","--"),"{|","--"),CHAR(10),""),"、",""),"|",""))+IF(AND(OR(I804="EI",I804="EO",I804="EQ"),$AD$1="NESMA"),2,1)))</f>
        <v/>
      </c>
      <c r="O804" s="84">
        <f>IF(I804="EI",IF(OR(X804="估算法",X804="算法类"),"中",IF(X804="无法识别","低",IF(L804&lt;2,IF(N804&lt;16,"低","中"),IF(L804&lt;3,IF(N804&lt;5,"低",IF(N804&lt;16,"中","高")),IF(N804&lt;5,"中","高"))))),IF(OR(I804="EO",I804="EQ"),IF(OR(X804="估算法",X804="算法类"),"中",IF(X804="无法识别","低",IF(L804&lt;2,IF(N804&lt;20,"低","中"),IF(L804&lt;4,IF(N804&lt;6,"低",IF(N804&lt;20,"中","高")),IF(N804&lt;6,"中","高"))))),IF(OR(I804="ILF",I804="EIF"),IF(OR(X804="估算法",X804="算法类",X804="无法识别"),"低",IF(M804&lt;2,IF(N804&lt;51,"低","中"),IF(M804&lt;6,IF(N804&lt;20,"低",IF(N804&lt;51,"中","高")),IF(N804&lt;20,"中","高")))),"不计算")))</f>
        <v/>
      </c>
      <c r="P804" s="142">
        <f>IFERROR(IF(I804="EI",IF(O804="低",3,IF(O804="中",4,6)),IF(I804="EO",IF(O804="低",4,IF(O804="中",5,7)),IF(I804="EQ",IF(O804="低",3,IF(O804="中",4,6)),IF(I804="ILF",IF(O804="低",7,IF(O804="中",10,15)),IF(I804="EIF",IF(O804="低",5,IF(O804="中",7,10)),"不计算")))))*Q804,"不计算")</f>
        <v/>
      </c>
      <c r="Q804" s="142" t="n"/>
      <c r="R804" s="143">
        <f>调整因子!$F$13</f>
        <v/>
      </c>
      <c r="S804" s="70" t="n"/>
      <c r="T804" s="144">
        <f>IFERROR(P804*R804,0)</f>
        <v/>
      </c>
      <c r="U804" s="144">
        <f>T804*S804</f>
        <v/>
      </c>
      <c r="V804" s="88" t="n"/>
      <c r="W804" s="100" t="n"/>
      <c r="X804" s="88" t="n"/>
      <c r="Y804" s="88" t="n"/>
      <c r="Z804" s="88" t="n"/>
    </row>
    <row r="805" hidden="1">
      <c r="A805" s="69">
        <f>ROW()-1</f>
        <v/>
      </c>
      <c r="B805" s="53" t="n"/>
      <c r="C805" s="78" t="n"/>
      <c r="D805" s="78" t="n"/>
      <c r="E805" s="53" t="n"/>
      <c r="H805" s="96" t="n"/>
      <c r="I805" s="76" t="n"/>
      <c r="J805" s="108" t="n"/>
      <c r="K805" s="108" t="n"/>
      <c r="L805" s="83">
        <f>IF(OR(X805="估算法",X805="算法类",X805="无法识别"),"",IF(V805="",IF(OR(I805="EI",I805="EO",I805="EQ"),0,""),LEN(V805)-LEN(SUBSTITUTE(V805,"、",""))+1))</f>
        <v/>
      </c>
      <c r="M805" s="83">
        <f>IF(OR(X805="估算法",X805="算法类",X805="无法识别"),"",IF(W805="",IF(OR(I805="ILF",I805="EIF"),0,""),LEN(W805)-LEN(SUBSTITUTE(W805,"、",""))+1))</f>
        <v/>
      </c>
      <c r="N805" s="83">
        <f>IF(OR(X805="估算法",X805="算法类",X805="无法识别"),"",IF(X805="",IF(OR(I805="ILF",I805="EIF",I805="EI",I805="EO",I805="EQ"),0,""),LEN(X805)-LEN(SUBSTITUTE(SUBSTITUTE(SUBSTITUTE(SUBSTITUTE(SUBSTITUTE(X805,"|}","--"),"{|","--"),CHAR(10),""),"、",""),"|",""))+IF(AND(OR(I805="EI",I805="EO",I805="EQ"),$AD$1="NESMA"),2,1)))</f>
        <v/>
      </c>
      <c r="O805" s="84">
        <f>IF(I805="EI",IF(OR(X805="估算法",X805="算法类"),"中",IF(X805="无法识别","低",IF(L805&lt;2,IF(N805&lt;16,"低","中"),IF(L805&lt;3,IF(N805&lt;5,"低",IF(N805&lt;16,"中","高")),IF(N805&lt;5,"中","高"))))),IF(OR(I805="EO",I805="EQ"),IF(OR(X805="估算法",X805="算法类"),"中",IF(X805="无法识别","低",IF(L805&lt;2,IF(N805&lt;20,"低","中"),IF(L805&lt;4,IF(N805&lt;6,"低",IF(N805&lt;20,"中","高")),IF(N805&lt;6,"中","高"))))),IF(OR(I805="ILF",I805="EIF"),IF(OR(X805="估算法",X805="算法类",X805="无法识别"),"低",IF(M805&lt;2,IF(N805&lt;51,"低","中"),IF(M805&lt;6,IF(N805&lt;20,"低",IF(N805&lt;51,"中","高")),IF(N805&lt;20,"中","高")))),"不计算")))</f>
        <v/>
      </c>
      <c r="P805" s="142">
        <f>IFERROR(IF(I805="EI",IF(O805="低",3,IF(O805="中",4,6)),IF(I805="EO",IF(O805="低",4,IF(O805="中",5,7)),IF(I805="EQ",IF(O805="低",3,IF(O805="中",4,6)),IF(I805="ILF",IF(O805="低",7,IF(O805="中",10,15)),IF(I805="EIF",IF(O805="低",5,IF(O805="中",7,10)),"不计算")))))*Q805,"不计算")</f>
        <v/>
      </c>
      <c r="Q805" s="142" t="n"/>
      <c r="R805" s="143">
        <f>调整因子!$F$13</f>
        <v/>
      </c>
      <c r="S805" s="70" t="n"/>
      <c r="T805" s="144">
        <f>IFERROR(P805*R805,0)</f>
        <v/>
      </c>
      <c r="U805" s="144">
        <f>T805*S805</f>
        <v/>
      </c>
      <c r="V805" s="88" t="n"/>
      <c r="W805" s="100" t="n"/>
      <c r="X805" s="88" t="n"/>
      <c r="Y805" s="88" t="n"/>
      <c r="Z805" s="88" t="n"/>
    </row>
    <row r="806" hidden="1">
      <c r="A806" s="69">
        <f>ROW()-1</f>
        <v/>
      </c>
      <c r="B806" s="53" t="n"/>
      <c r="C806" s="78" t="n"/>
      <c r="D806" s="78" t="n"/>
      <c r="E806" s="53" t="n"/>
      <c r="H806" s="96" t="n"/>
      <c r="I806" s="76" t="n"/>
      <c r="J806" s="108" t="n"/>
      <c r="K806" s="108" t="n"/>
      <c r="L806" s="83">
        <f>IF(OR(X806="估算法",X806="算法类",X806="无法识别"),"",IF(V806="",IF(OR(I806="EI",I806="EO",I806="EQ"),0,""),LEN(V806)-LEN(SUBSTITUTE(V806,"、",""))+1))</f>
        <v/>
      </c>
      <c r="M806" s="83">
        <f>IF(OR(X806="估算法",X806="算法类",X806="无法识别"),"",IF(W806="",IF(OR(I806="ILF",I806="EIF"),0,""),LEN(W806)-LEN(SUBSTITUTE(W806,"、",""))+1))</f>
        <v/>
      </c>
      <c r="N806" s="83">
        <f>IF(OR(X806="估算法",X806="算法类",X806="无法识别"),"",IF(X806="",IF(OR(I806="ILF",I806="EIF",I806="EI",I806="EO",I806="EQ"),0,""),LEN(X806)-LEN(SUBSTITUTE(SUBSTITUTE(SUBSTITUTE(SUBSTITUTE(SUBSTITUTE(X806,"|}","--"),"{|","--"),CHAR(10),""),"、",""),"|",""))+IF(AND(OR(I806="EI",I806="EO",I806="EQ"),$AD$1="NESMA"),2,1)))</f>
        <v/>
      </c>
      <c r="O806" s="84">
        <f>IF(I806="EI",IF(OR(X806="估算法",X806="算法类"),"中",IF(X806="无法识别","低",IF(L806&lt;2,IF(N806&lt;16,"低","中"),IF(L806&lt;3,IF(N806&lt;5,"低",IF(N806&lt;16,"中","高")),IF(N806&lt;5,"中","高"))))),IF(OR(I806="EO",I806="EQ"),IF(OR(X806="估算法",X806="算法类"),"中",IF(X806="无法识别","低",IF(L806&lt;2,IF(N806&lt;20,"低","中"),IF(L806&lt;4,IF(N806&lt;6,"低",IF(N806&lt;20,"中","高")),IF(N806&lt;6,"中","高"))))),IF(OR(I806="ILF",I806="EIF"),IF(OR(X806="估算法",X806="算法类",X806="无法识别"),"低",IF(M806&lt;2,IF(N806&lt;51,"低","中"),IF(M806&lt;6,IF(N806&lt;20,"低",IF(N806&lt;51,"中","高")),IF(N806&lt;20,"中","高")))),"不计算")))</f>
        <v/>
      </c>
      <c r="P806" s="142">
        <f>IFERROR(IF(I806="EI",IF(O806="低",3,IF(O806="中",4,6)),IF(I806="EO",IF(O806="低",4,IF(O806="中",5,7)),IF(I806="EQ",IF(O806="低",3,IF(O806="中",4,6)),IF(I806="ILF",IF(O806="低",7,IF(O806="中",10,15)),IF(I806="EIF",IF(O806="低",5,IF(O806="中",7,10)),"不计算")))))*Q806,"不计算")</f>
        <v/>
      </c>
      <c r="Q806" s="142" t="n"/>
      <c r="R806" s="143">
        <f>调整因子!$F$13</f>
        <v/>
      </c>
      <c r="S806" s="76" t="n"/>
      <c r="T806" s="144">
        <f>IFERROR(P806*R806,0)</f>
        <v/>
      </c>
      <c r="U806" s="144">
        <f>T806*S806</f>
        <v/>
      </c>
      <c r="V806" s="100" t="n"/>
      <c r="W806" s="88" t="n"/>
      <c r="X806" s="88" t="n"/>
      <c r="Y806" s="88" t="n"/>
      <c r="Z806" s="88" t="n"/>
    </row>
    <row r="807" hidden="1">
      <c r="A807" s="69">
        <f>ROW()-1</f>
        <v/>
      </c>
      <c r="B807" s="53" t="n"/>
      <c r="C807" s="78" t="n"/>
      <c r="D807" s="78" t="n"/>
      <c r="E807" s="53" t="n"/>
      <c r="H807" s="96" t="n"/>
      <c r="I807" s="76" t="n"/>
      <c r="J807" s="108" t="n"/>
      <c r="K807" s="108" t="n"/>
      <c r="L807" s="83">
        <f>IF(OR(X807="估算法",X807="算法类",X807="无法识别"),"",IF(V807="",IF(OR(I807="EI",I807="EO",I807="EQ"),0,""),LEN(V807)-LEN(SUBSTITUTE(V807,"、",""))+1))</f>
        <v/>
      </c>
      <c r="M807" s="83">
        <f>IF(OR(X807="估算法",X807="算法类",X807="无法识别"),"",IF(W807="",IF(OR(I807="ILF",I807="EIF"),0,""),LEN(W807)-LEN(SUBSTITUTE(W807,"、",""))+1))</f>
        <v/>
      </c>
      <c r="N807" s="83">
        <f>IF(OR(X807="估算法",X807="算法类",X807="无法识别"),"",IF(X807="",IF(OR(I807="ILF",I807="EIF",I807="EI",I807="EO",I807="EQ"),0,""),LEN(X807)-LEN(SUBSTITUTE(SUBSTITUTE(SUBSTITUTE(SUBSTITUTE(SUBSTITUTE(X807,"|}","--"),"{|","--"),CHAR(10),""),"、",""),"|",""))+IF(AND(OR(I807="EI",I807="EO",I807="EQ"),$AD$1="NESMA"),2,1)))</f>
        <v/>
      </c>
      <c r="O807" s="84">
        <f>IF(I807="EI",IF(OR(X807="估算法",X807="算法类"),"中",IF(X807="无法识别","低",IF(L807&lt;2,IF(N807&lt;16,"低","中"),IF(L807&lt;3,IF(N807&lt;5,"低",IF(N807&lt;16,"中","高")),IF(N807&lt;5,"中","高"))))),IF(OR(I807="EO",I807="EQ"),IF(OR(X807="估算法",X807="算法类"),"中",IF(X807="无法识别","低",IF(L807&lt;2,IF(N807&lt;20,"低","中"),IF(L807&lt;4,IF(N807&lt;6,"低",IF(N807&lt;20,"中","高")),IF(N807&lt;6,"中","高"))))),IF(OR(I807="ILF",I807="EIF"),IF(OR(X807="估算法",X807="算法类",X807="无法识别"),"低",IF(M807&lt;2,IF(N807&lt;51,"低","中"),IF(M807&lt;6,IF(N807&lt;20,"低",IF(N807&lt;51,"中","高")),IF(N807&lt;20,"中","高")))),"不计算")))</f>
        <v/>
      </c>
      <c r="P807" s="142">
        <f>IFERROR(IF(I807="EI",IF(O807="低",3,IF(O807="中",4,6)),IF(I807="EO",IF(O807="低",4,IF(O807="中",5,7)),IF(I807="EQ",IF(O807="低",3,IF(O807="中",4,6)),IF(I807="ILF",IF(O807="低",7,IF(O807="中",10,15)),IF(I807="EIF",IF(O807="低",5,IF(O807="中",7,10)),"不计算")))))*Q807,"不计算")</f>
        <v/>
      </c>
      <c r="Q807" s="142" t="n"/>
      <c r="R807" s="143">
        <f>调整因子!$F$13</f>
        <v/>
      </c>
      <c r="S807" s="70" t="n"/>
      <c r="T807" s="144">
        <f>IFERROR(P807*R807,0)</f>
        <v/>
      </c>
      <c r="U807" s="144">
        <f>T807*S807</f>
        <v/>
      </c>
      <c r="V807" s="100" t="n"/>
      <c r="W807" s="88" t="n"/>
      <c r="X807" s="88" t="n"/>
      <c r="Y807" s="88" t="n"/>
      <c r="Z807" s="88" t="n"/>
    </row>
    <row r="808" hidden="1">
      <c r="A808" s="69">
        <f>ROW()-1</f>
        <v/>
      </c>
      <c r="B808" s="53" t="n"/>
      <c r="C808" s="78" t="n"/>
      <c r="D808" s="78" t="n"/>
      <c r="E808" s="53" t="n"/>
      <c r="H808" s="96" t="n"/>
      <c r="I808" s="76" t="n"/>
      <c r="J808" s="108" t="n"/>
      <c r="K808" s="108" t="n"/>
      <c r="L808" s="83">
        <f>IF(OR(X808="估算法",X808="算法类",X808="无法识别"),"",IF(V808="",IF(OR(I808="EI",I808="EO",I808="EQ"),0,""),LEN(V808)-LEN(SUBSTITUTE(V808,"、",""))+1))</f>
        <v/>
      </c>
      <c r="M808" s="83">
        <f>IF(OR(X808="估算法",X808="算法类",X808="无法识别"),"",IF(W808="",IF(OR(I808="ILF",I808="EIF"),0,""),LEN(W808)-LEN(SUBSTITUTE(W808,"、",""))+1))</f>
        <v/>
      </c>
      <c r="N808" s="83">
        <f>IF(OR(X808="估算法",X808="算法类",X808="无法识别"),"",IF(X808="",IF(OR(I808="ILF",I808="EIF",I808="EI",I808="EO",I808="EQ"),0,""),LEN(X808)-LEN(SUBSTITUTE(SUBSTITUTE(SUBSTITUTE(SUBSTITUTE(SUBSTITUTE(X808,"|}","--"),"{|","--"),CHAR(10),""),"、",""),"|",""))+IF(AND(OR(I808="EI",I808="EO",I808="EQ"),$AD$1="NESMA"),2,1)))</f>
        <v/>
      </c>
      <c r="O808" s="84">
        <f>IF(I808="EI",IF(OR(X808="估算法",X808="算法类"),"中",IF(X808="无法识别","低",IF(L808&lt;2,IF(N808&lt;16,"低","中"),IF(L808&lt;3,IF(N808&lt;5,"低",IF(N808&lt;16,"中","高")),IF(N808&lt;5,"中","高"))))),IF(OR(I808="EO",I808="EQ"),IF(OR(X808="估算法",X808="算法类"),"中",IF(X808="无法识别","低",IF(L808&lt;2,IF(N808&lt;20,"低","中"),IF(L808&lt;4,IF(N808&lt;6,"低",IF(N808&lt;20,"中","高")),IF(N808&lt;6,"中","高"))))),IF(OR(I808="ILF",I808="EIF"),IF(OR(X808="估算法",X808="算法类",X808="无法识别"),"低",IF(M808&lt;2,IF(N808&lt;51,"低","中"),IF(M808&lt;6,IF(N808&lt;20,"低",IF(N808&lt;51,"中","高")),IF(N808&lt;20,"中","高")))),"不计算")))</f>
        <v/>
      </c>
      <c r="P808" s="142">
        <f>IFERROR(IF(I808="EI",IF(O808="低",3,IF(O808="中",4,6)),IF(I808="EO",IF(O808="低",4,IF(O808="中",5,7)),IF(I808="EQ",IF(O808="低",3,IF(O808="中",4,6)),IF(I808="ILF",IF(O808="低",7,IF(O808="中",10,15)),IF(I808="EIF",IF(O808="低",5,IF(O808="中",7,10)),"不计算")))))*Q808,"不计算")</f>
        <v/>
      </c>
      <c r="Q808" s="142" t="n"/>
      <c r="R808" s="143">
        <f>调整因子!$F$13</f>
        <v/>
      </c>
      <c r="S808" s="70" t="n"/>
      <c r="T808" s="144">
        <f>IFERROR(P808*R808,0)</f>
        <v/>
      </c>
      <c r="U808" s="144">
        <f>T808*S808</f>
        <v/>
      </c>
      <c r="V808" s="100" t="n"/>
      <c r="W808" s="88" t="n"/>
      <c r="X808" s="88" t="n"/>
      <c r="Y808" s="88" t="n"/>
      <c r="Z808" s="88" t="n"/>
    </row>
    <row r="809" hidden="1">
      <c r="A809" s="69">
        <f>ROW()-1</f>
        <v/>
      </c>
      <c r="B809" s="53" t="n"/>
      <c r="C809" s="78" t="n"/>
      <c r="D809" s="78" t="n"/>
      <c r="E809" s="53" t="n"/>
      <c r="H809" s="96" t="n"/>
      <c r="I809" s="76" t="n"/>
      <c r="J809" s="108" t="n"/>
      <c r="K809" s="108" t="n"/>
      <c r="L809" s="83">
        <f>IF(OR(X809="估算法",X809="算法类",X809="无法识别"),"",IF(V809="",IF(OR(I809="EI",I809="EO",I809="EQ"),0,""),LEN(V809)-LEN(SUBSTITUTE(V809,"、",""))+1))</f>
        <v/>
      </c>
      <c r="M809" s="83">
        <f>IF(OR(X809="估算法",X809="算法类",X809="无法识别"),"",IF(W809="",IF(OR(I809="ILF",I809="EIF"),0,""),LEN(W809)-LEN(SUBSTITUTE(W809,"、",""))+1))</f>
        <v/>
      </c>
      <c r="N809" s="83">
        <f>IF(OR(X809="估算法",X809="算法类",X809="无法识别"),"",IF(X809="",IF(OR(I809="ILF",I809="EIF",I809="EI",I809="EO",I809="EQ"),0,""),LEN(X809)-LEN(SUBSTITUTE(SUBSTITUTE(SUBSTITUTE(SUBSTITUTE(SUBSTITUTE(X809,"|}","--"),"{|","--"),CHAR(10),""),"、",""),"|",""))+IF(AND(OR(I809="EI",I809="EO",I809="EQ"),$AD$1="NESMA"),2,1)))</f>
        <v/>
      </c>
      <c r="O809" s="84">
        <f>IF(I809="EI",IF(OR(X809="估算法",X809="算法类"),"中",IF(X809="无法识别","低",IF(L809&lt;2,IF(N809&lt;16,"低","中"),IF(L809&lt;3,IF(N809&lt;5,"低",IF(N809&lt;16,"中","高")),IF(N809&lt;5,"中","高"))))),IF(OR(I809="EO",I809="EQ"),IF(OR(X809="估算法",X809="算法类"),"中",IF(X809="无法识别","低",IF(L809&lt;2,IF(N809&lt;20,"低","中"),IF(L809&lt;4,IF(N809&lt;6,"低",IF(N809&lt;20,"中","高")),IF(N809&lt;6,"中","高"))))),IF(OR(I809="ILF",I809="EIF"),IF(OR(X809="估算法",X809="算法类",X809="无法识别"),"低",IF(M809&lt;2,IF(N809&lt;51,"低","中"),IF(M809&lt;6,IF(N809&lt;20,"低",IF(N809&lt;51,"中","高")),IF(N809&lt;20,"中","高")))),"不计算")))</f>
        <v/>
      </c>
      <c r="P809" s="142">
        <f>IFERROR(IF(I809="EI",IF(O809="低",3,IF(O809="中",4,6)),IF(I809="EO",IF(O809="低",4,IF(O809="中",5,7)),IF(I809="EQ",IF(O809="低",3,IF(O809="中",4,6)),IF(I809="ILF",IF(O809="低",7,IF(O809="中",10,15)),IF(I809="EIF",IF(O809="低",5,IF(O809="中",7,10)),"不计算")))))*Q809,"不计算")</f>
        <v/>
      </c>
      <c r="Q809" s="142" t="n"/>
      <c r="R809" s="143">
        <f>调整因子!$F$13</f>
        <v/>
      </c>
      <c r="S809" s="76" t="n"/>
      <c r="T809" s="144">
        <f>IFERROR(P809*R809,0)</f>
        <v/>
      </c>
      <c r="U809" s="144">
        <f>T809*S809</f>
        <v/>
      </c>
      <c r="V809" s="100" t="n"/>
      <c r="W809" s="88" t="n"/>
      <c r="X809" s="88" t="n"/>
      <c r="Y809" s="88" t="n"/>
      <c r="Z809" s="88" t="n"/>
    </row>
    <row r="810" hidden="1">
      <c r="A810" s="69">
        <f>ROW()-1</f>
        <v/>
      </c>
      <c r="B810" s="53" t="n"/>
      <c r="C810" s="78" t="n"/>
      <c r="D810" s="78" t="n"/>
      <c r="E810" s="53" t="n"/>
      <c r="H810" s="96" t="n"/>
      <c r="I810" s="76" t="n"/>
      <c r="J810" s="108" t="n"/>
      <c r="K810" s="108" t="n"/>
      <c r="L810" s="83">
        <f>IF(OR(X810="估算法",X810="算法类",X810="无法识别"),"",IF(V810="",IF(OR(I810="EI",I810="EO",I810="EQ"),0,""),LEN(V810)-LEN(SUBSTITUTE(V810,"、",""))+1))</f>
        <v/>
      </c>
      <c r="M810" s="83">
        <f>IF(OR(X810="估算法",X810="算法类",X810="无法识别"),"",IF(W810="",IF(OR(I810="ILF",I810="EIF"),0,""),LEN(W810)-LEN(SUBSTITUTE(W810,"、",""))+1))</f>
        <v/>
      </c>
      <c r="N810" s="83">
        <f>IF(OR(X810="估算法",X810="算法类",X810="无法识别"),"",IF(X810="",IF(OR(I810="ILF",I810="EIF",I810="EI",I810="EO",I810="EQ"),0,""),LEN(X810)-LEN(SUBSTITUTE(SUBSTITUTE(SUBSTITUTE(SUBSTITUTE(SUBSTITUTE(X810,"|}","--"),"{|","--"),CHAR(10),""),"、",""),"|",""))+IF(AND(OR(I810="EI",I810="EO",I810="EQ"),$AD$1="NESMA"),2,1)))</f>
        <v/>
      </c>
      <c r="O810" s="84">
        <f>IF(I810="EI",IF(OR(X810="估算法",X810="算法类"),"中",IF(X810="无法识别","低",IF(L810&lt;2,IF(N810&lt;16,"低","中"),IF(L810&lt;3,IF(N810&lt;5,"低",IF(N810&lt;16,"中","高")),IF(N810&lt;5,"中","高"))))),IF(OR(I810="EO",I810="EQ"),IF(OR(X810="估算法",X810="算法类"),"中",IF(X810="无法识别","低",IF(L810&lt;2,IF(N810&lt;20,"低","中"),IF(L810&lt;4,IF(N810&lt;6,"低",IF(N810&lt;20,"中","高")),IF(N810&lt;6,"中","高"))))),IF(OR(I810="ILF",I810="EIF"),IF(OR(X810="估算法",X810="算法类",X810="无法识别"),"低",IF(M810&lt;2,IF(N810&lt;51,"低","中"),IF(M810&lt;6,IF(N810&lt;20,"低",IF(N810&lt;51,"中","高")),IF(N810&lt;20,"中","高")))),"不计算")))</f>
        <v/>
      </c>
      <c r="P810" s="142">
        <f>IFERROR(IF(I810="EI",IF(O810="低",3,IF(O810="中",4,6)),IF(I810="EO",IF(O810="低",4,IF(O810="中",5,7)),IF(I810="EQ",IF(O810="低",3,IF(O810="中",4,6)),IF(I810="ILF",IF(O810="低",7,IF(O810="中",10,15)),IF(I810="EIF",IF(O810="低",5,IF(O810="中",7,10)),"不计算")))))*Q810,"不计算")</f>
        <v/>
      </c>
      <c r="Q810" s="142" t="n"/>
      <c r="R810" s="143">
        <f>调整因子!$F$13</f>
        <v/>
      </c>
      <c r="S810" s="76" t="n"/>
      <c r="T810" s="144">
        <f>IFERROR(P810*R810,0)</f>
        <v/>
      </c>
      <c r="U810" s="144">
        <f>T810*S810</f>
        <v/>
      </c>
      <c r="V810" s="100" t="n"/>
      <c r="W810" s="88" t="n"/>
      <c r="X810" s="88" t="n"/>
      <c r="Y810" s="88" t="n"/>
      <c r="Z810" s="88" t="n"/>
    </row>
    <row r="811" hidden="1">
      <c r="A811" s="69">
        <f>ROW()-1</f>
        <v/>
      </c>
      <c r="B811" s="53" t="n"/>
      <c r="C811" s="78" t="n"/>
      <c r="D811" s="78" t="n"/>
      <c r="E811" s="53" t="n"/>
      <c r="H811" s="96" t="n"/>
      <c r="I811" s="76" t="n"/>
      <c r="J811" s="108" t="n"/>
      <c r="K811" s="108" t="n"/>
      <c r="L811" s="83">
        <f>IF(OR(X811="估算法",X811="算法类",X811="无法识别"),"",IF(V811="",IF(OR(I811="EI",I811="EO",I811="EQ"),0,""),LEN(V811)-LEN(SUBSTITUTE(V811,"、",""))+1))</f>
        <v/>
      </c>
      <c r="M811" s="83">
        <f>IF(OR(X811="估算法",X811="算法类",X811="无法识别"),"",IF(W811="",IF(OR(I811="ILF",I811="EIF"),0,""),LEN(W811)-LEN(SUBSTITUTE(W811,"、",""))+1))</f>
        <v/>
      </c>
      <c r="N811" s="83">
        <f>IF(OR(X811="估算法",X811="算法类",X811="无法识别"),"",IF(X811="",IF(OR(I811="ILF",I811="EIF",I811="EI",I811="EO",I811="EQ"),0,""),LEN(X811)-LEN(SUBSTITUTE(SUBSTITUTE(SUBSTITUTE(SUBSTITUTE(SUBSTITUTE(X811,"|}","--"),"{|","--"),CHAR(10),""),"、",""),"|",""))+IF(AND(OR(I811="EI",I811="EO",I811="EQ"),$AD$1="NESMA"),2,1)))</f>
        <v/>
      </c>
      <c r="O811" s="84">
        <f>IF(I811="EI",IF(OR(X811="估算法",X811="算法类"),"中",IF(X811="无法识别","低",IF(L811&lt;2,IF(N811&lt;16,"低","中"),IF(L811&lt;3,IF(N811&lt;5,"低",IF(N811&lt;16,"中","高")),IF(N811&lt;5,"中","高"))))),IF(OR(I811="EO",I811="EQ"),IF(OR(X811="估算法",X811="算法类"),"中",IF(X811="无法识别","低",IF(L811&lt;2,IF(N811&lt;20,"低","中"),IF(L811&lt;4,IF(N811&lt;6,"低",IF(N811&lt;20,"中","高")),IF(N811&lt;6,"中","高"))))),IF(OR(I811="ILF",I811="EIF"),IF(OR(X811="估算法",X811="算法类",X811="无法识别"),"低",IF(M811&lt;2,IF(N811&lt;51,"低","中"),IF(M811&lt;6,IF(N811&lt;20,"低",IF(N811&lt;51,"中","高")),IF(N811&lt;20,"中","高")))),"不计算")))</f>
        <v/>
      </c>
      <c r="P811" s="142">
        <f>IFERROR(IF(I811="EI",IF(O811="低",3,IF(O811="中",4,6)),IF(I811="EO",IF(O811="低",4,IF(O811="中",5,7)),IF(I811="EQ",IF(O811="低",3,IF(O811="中",4,6)),IF(I811="ILF",IF(O811="低",7,IF(O811="中",10,15)),IF(I811="EIF",IF(O811="低",5,IF(O811="中",7,10)),"不计算")))))*Q811,"不计算")</f>
        <v/>
      </c>
      <c r="Q811" s="142" t="n"/>
      <c r="R811" s="143">
        <f>调整因子!$F$13</f>
        <v/>
      </c>
      <c r="S811" s="70" t="n"/>
      <c r="T811" s="144">
        <f>IFERROR(P811*R811,0)</f>
        <v/>
      </c>
      <c r="U811" s="144">
        <f>T811*S811</f>
        <v/>
      </c>
      <c r="V811" s="100" t="n"/>
      <c r="W811" s="88" t="n"/>
      <c r="X811" s="88" t="n"/>
      <c r="Y811" s="88" t="n"/>
      <c r="Z811" s="88" t="n"/>
    </row>
    <row r="812" hidden="1">
      <c r="A812" s="69">
        <f>ROW()-1</f>
        <v/>
      </c>
      <c r="B812" s="53" t="n"/>
      <c r="C812" s="78" t="n"/>
      <c r="D812" s="78" t="n"/>
      <c r="E812" s="53" t="n"/>
      <c r="H812" s="96" t="n"/>
      <c r="I812" s="76" t="n"/>
      <c r="J812" s="108" t="n"/>
      <c r="K812" s="108" t="n"/>
      <c r="L812" s="83">
        <f>IF(OR(X812="估算法",X812="算法类",X812="无法识别"),"",IF(V812="",IF(OR(I812="EI",I812="EO",I812="EQ"),0,""),LEN(V812)-LEN(SUBSTITUTE(V812,"、",""))+1))</f>
        <v/>
      </c>
      <c r="M812" s="83">
        <f>IF(OR(X812="估算法",X812="算法类",X812="无法识别"),"",IF(W812="",IF(OR(I812="ILF",I812="EIF"),0,""),LEN(W812)-LEN(SUBSTITUTE(W812,"、",""))+1))</f>
        <v/>
      </c>
      <c r="N812" s="83">
        <f>IF(OR(X812="估算法",X812="算法类",X812="无法识别"),"",IF(X812="",IF(OR(I812="ILF",I812="EIF",I812="EI",I812="EO",I812="EQ"),0,""),LEN(X812)-LEN(SUBSTITUTE(SUBSTITUTE(SUBSTITUTE(SUBSTITUTE(SUBSTITUTE(X812,"|}","--"),"{|","--"),CHAR(10),""),"、",""),"|",""))+IF(AND(OR(I812="EI",I812="EO",I812="EQ"),$AD$1="NESMA"),2,1)))</f>
        <v/>
      </c>
      <c r="O812" s="84">
        <f>IF(I812="EI",IF(OR(X812="估算法",X812="算法类"),"中",IF(X812="无法识别","低",IF(L812&lt;2,IF(N812&lt;16,"低","中"),IF(L812&lt;3,IF(N812&lt;5,"低",IF(N812&lt;16,"中","高")),IF(N812&lt;5,"中","高"))))),IF(OR(I812="EO",I812="EQ"),IF(OR(X812="估算法",X812="算法类"),"中",IF(X812="无法识别","低",IF(L812&lt;2,IF(N812&lt;20,"低","中"),IF(L812&lt;4,IF(N812&lt;6,"低",IF(N812&lt;20,"中","高")),IF(N812&lt;6,"中","高"))))),IF(OR(I812="ILF",I812="EIF"),IF(OR(X812="估算法",X812="算法类",X812="无法识别"),"低",IF(M812&lt;2,IF(N812&lt;51,"低","中"),IF(M812&lt;6,IF(N812&lt;20,"低",IF(N812&lt;51,"中","高")),IF(N812&lt;20,"中","高")))),"不计算")))</f>
        <v/>
      </c>
      <c r="P812" s="142">
        <f>IFERROR(IF(I812="EI",IF(O812="低",3,IF(O812="中",4,6)),IF(I812="EO",IF(O812="低",4,IF(O812="中",5,7)),IF(I812="EQ",IF(O812="低",3,IF(O812="中",4,6)),IF(I812="ILF",IF(O812="低",7,IF(O812="中",10,15)),IF(I812="EIF",IF(O812="低",5,IF(O812="中",7,10)),"不计算")))))*Q812,"不计算")</f>
        <v/>
      </c>
      <c r="Q812" s="142" t="n"/>
      <c r="R812" s="143">
        <f>调整因子!$F$13</f>
        <v/>
      </c>
      <c r="S812" s="70" t="n"/>
      <c r="T812" s="144">
        <f>IFERROR(P812*R812,0)</f>
        <v/>
      </c>
      <c r="U812" s="144">
        <f>T812*S812</f>
        <v/>
      </c>
      <c r="V812" s="100" t="n"/>
      <c r="W812" s="88" t="n"/>
      <c r="X812" s="88" t="n"/>
      <c r="Y812" s="88" t="n"/>
      <c r="Z812" s="88" t="n"/>
    </row>
    <row r="813" hidden="1">
      <c r="A813" s="69">
        <f>ROW()-1</f>
        <v/>
      </c>
      <c r="B813" s="53" t="n"/>
      <c r="C813" s="78" t="n"/>
      <c r="D813" s="78" t="n"/>
      <c r="E813" s="53" t="n"/>
      <c r="H813" s="96" t="n"/>
      <c r="I813" s="76" t="n"/>
      <c r="J813" s="108" t="n"/>
      <c r="K813" s="108" t="n"/>
      <c r="L813" s="83">
        <f>IF(OR(X813="估算法",X813="算法类",X813="无法识别"),"",IF(V813="",IF(OR(I813="EI",I813="EO",I813="EQ"),0,""),LEN(V813)-LEN(SUBSTITUTE(V813,"、",""))+1))</f>
        <v/>
      </c>
      <c r="M813" s="83">
        <f>IF(OR(X813="估算法",X813="算法类",X813="无法识别"),"",IF(W813="",IF(OR(I813="ILF",I813="EIF"),0,""),LEN(W813)-LEN(SUBSTITUTE(W813,"、",""))+1))</f>
        <v/>
      </c>
      <c r="N813" s="83">
        <f>IF(OR(X813="估算法",X813="算法类",X813="无法识别"),"",IF(X813="",IF(OR(I813="ILF",I813="EIF",I813="EI",I813="EO",I813="EQ"),0,""),LEN(X813)-LEN(SUBSTITUTE(SUBSTITUTE(SUBSTITUTE(SUBSTITUTE(SUBSTITUTE(X813,"|}","--"),"{|","--"),CHAR(10),""),"、",""),"|",""))+IF(AND(OR(I813="EI",I813="EO",I813="EQ"),$AD$1="NESMA"),2,1)))</f>
        <v/>
      </c>
      <c r="O813" s="84">
        <f>IF(I813="EI",IF(OR(X813="估算法",X813="算法类"),"中",IF(X813="无法识别","低",IF(L813&lt;2,IF(N813&lt;16,"低","中"),IF(L813&lt;3,IF(N813&lt;5,"低",IF(N813&lt;16,"中","高")),IF(N813&lt;5,"中","高"))))),IF(OR(I813="EO",I813="EQ"),IF(OR(X813="估算法",X813="算法类"),"中",IF(X813="无法识别","低",IF(L813&lt;2,IF(N813&lt;20,"低","中"),IF(L813&lt;4,IF(N813&lt;6,"低",IF(N813&lt;20,"中","高")),IF(N813&lt;6,"中","高"))))),IF(OR(I813="ILF",I813="EIF"),IF(OR(X813="估算法",X813="算法类",X813="无法识别"),"低",IF(M813&lt;2,IF(N813&lt;51,"低","中"),IF(M813&lt;6,IF(N813&lt;20,"低",IF(N813&lt;51,"中","高")),IF(N813&lt;20,"中","高")))),"不计算")))</f>
        <v/>
      </c>
      <c r="P813" s="142">
        <f>IFERROR(IF(I813="EI",IF(O813="低",3,IF(O813="中",4,6)),IF(I813="EO",IF(O813="低",4,IF(O813="中",5,7)),IF(I813="EQ",IF(O813="低",3,IF(O813="中",4,6)),IF(I813="ILF",IF(O813="低",7,IF(O813="中",10,15)),IF(I813="EIF",IF(O813="低",5,IF(O813="中",7,10)),"不计算")))))*Q813,"不计算")</f>
        <v/>
      </c>
      <c r="Q813" s="142" t="n"/>
      <c r="R813" s="143">
        <f>调整因子!$F$13</f>
        <v/>
      </c>
      <c r="S813" s="76" t="n"/>
      <c r="T813" s="144">
        <f>IFERROR(P813*R813,0)</f>
        <v/>
      </c>
      <c r="U813" s="144">
        <f>T813*S813</f>
        <v/>
      </c>
      <c r="V813" s="88" t="n"/>
      <c r="W813" s="100" t="n"/>
      <c r="X813" s="88" t="n"/>
      <c r="Y813" s="88" t="n"/>
      <c r="Z813" s="88" t="n"/>
    </row>
    <row r="814" hidden="1">
      <c r="A814" s="69">
        <f>ROW()-1</f>
        <v/>
      </c>
      <c r="B814" s="53" t="n"/>
      <c r="C814" s="78" t="n"/>
      <c r="D814" s="78" t="n"/>
      <c r="E814" s="53" t="n"/>
      <c r="H814" s="96" t="n"/>
      <c r="I814" s="76" t="n"/>
      <c r="J814" s="108" t="n"/>
      <c r="K814" s="108" t="n"/>
      <c r="L814" s="83">
        <f>IF(OR(X814="估算法",X814="算法类",X814="无法识别"),"",IF(V814="",IF(OR(I814="EI",I814="EO",I814="EQ"),0,""),LEN(V814)-LEN(SUBSTITUTE(V814,"、",""))+1))</f>
        <v/>
      </c>
      <c r="M814" s="83">
        <f>IF(OR(X814="估算法",X814="算法类",X814="无法识别"),"",IF(W814="",IF(OR(I814="ILF",I814="EIF"),0,""),LEN(W814)-LEN(SUBSTITUTE(W814,"、",""))+1))</f>
        <v/>
      </c>
      <c r="N814" s="83">
        <f>IF(OR(X814="估算法",X814="算法类",X814="无法识别"),"",IF(X814="",IF(OR(I814="ILF",I814="EIF",I814="EI",I814="EO",I814="EQ"),0,""),LEN(X814)-LEN(SUBSTITUTE(SUBSTITUTE(SUBSTITUTE(SUBSTITUTE(SUBSTITUTE(X814,"|}","--"),"{|","--"),CHAR(10),""),"、",""),"|",""))+IF(AND(OR(I814="EI",I814="EO",I814="EQ"),$AD$1="NESMA"),2,1)))</f>
        <v/>
      </c>
      <c r="O814" s="84">
        <f>IF(I814="EI",IF(OR(X814="估算法",X814="算法类"),"中",IF(X814="无法识别","低",IF(L814&lt;2,IF(N814&lt;16,"低","中"),IF(L814&lt;3,IF(N814&lt;5,"低",IF(N814&lt;16,"中","高")),IF(N814&lt;5,"中","高"))))),IF(OR(I814="EO",I814="EQ"),IF(OR(X814="估算法",X814="算法类"),"中",IF(X814="无法识别","低",IF(L814&lt;2,IF(N814&lt;20,"低","中"),IF(L814&lt;4,IF(N814&lt;6,"低",IF(N814&lt;20,"中","高")),IF(N814&lt;6,"中","高"))))),IF(OR(I814="ILF",I814="EIF"),IF(OR(X814="估算法",X814="算法类",X814="无法识别"),"低",IF(M814&lt;2,IF(N814&lt;51,"低","中"),IF(M814&lt;6,IF(N814&lt;20,"低",IF(N814&lt;51,"中","高")),IF(N814&lt;20,"中","高")))),"不计算")))</f>
        <v/>
      </c>
      <c r="P814" s="142">
        <f>IFERROR(IF(I814="EI",IF(O814="低",3,IF(O814="中",4,6)),IF(I814="EO",IF(O814="低",4,IF(O814="中",5,7)),IF(I814="EQ",IF(O814="低",3,IF(O814="中",4,6)),IF(I814="ILF",IF(O814="低",7,IF(O814="中",10,15)),IF(I814="EIF",IF(O814="低",5,IF(O814="中",7,10)),"不计算")))))*Q814,"不计算")</f>
        <v/>
      </c>
      <c r="Q814" s="142" t="n"/>
      <c r="R814" s="143">
        <f>调整因子!$F$13</f>
        <v/>
      </c>
      <c r="S814" s="70" t="n"/>
      <c r="T814" s="144">
        <f>IFERROR(P814*R814,0)</f>
        <v/>
      </c>
      <c r="U814" s="144">
        <f>T814*S814</f>
        <v/>
      </c>
      <c r="V814" s="88" t="n"/>
      <c r="W814" s="100" t="n"/>
      <c r="X814" s="88" t="n"/>
      <c r="Y814" s="88" t="n"/>
      <c r="Z814" s="88" t="n"/>
    </row>
    <row r="815" hidden="1">
      <c r="A815" s="69">
        <f>ROW()-1</f>
        <v/>
      </c>
      <c r="B815" s="53" t="n"/>
      <c r="C815" s="78" t="n"/>
      <c r="D815" s="78" t="n"/>
      <c r="E815" s="53" t="n"/>
      <c r="H815" s="96" t="n"/>
      <c r="I815" s="76" t="n"/>
      <c r="J815" s="108" t="n"/>
      <c r="K815" s="108" t="n"/>
      <c r="L815" s="83">
        <f>IF(OR(X815="估算法",X815="算法类",X815="无法识别"),"",IF(V815="",IF(OR(I815="EI",I815="EO",I815="EQ"),0,""),LEN(V815)-LEN(SUBSTITUTE(V815,"、",""))+1))</f>
        <v/>
      </c>
      <c r="M815" s="83">
        <f>IF(OR(X815="估算法",X815="算法类",X815="无法识别"),"",IF(W815="",IF(OR(I815="ILF",I815="EIF"),0,""),LEN(W815)-LEN(SUBSTITUTE(W815,"、",""))+1))</f>
        <v/>
      </c>
      <c r="N815" s="83">
        <f>IF(OR(X815="估算法",X815="算法类",X815="无法识别"),"",IF(X815="",IF(OR(I815="ILF",I815="EIF",I815="EI",I815="EO",I815="EQ"),0,""),LEN(X815)-LEN(SUBSTITUTE(SUBSTITUTE(SUBSTITUTE(SUBSTITUTE(SUBSTITUTE(X815,"|}","--"),"{|","--"),CHAR(10),""),"、",""),"|",""))+IF(AND(OR(I815="EI",I815="EO",I815="EQ"),$AD$1="NESMA"),2,1)))</f>
        <v/>
      </c>
      <c r="O815" s="84">
        <f>IF(I815="EI",IF(OR(X815="估算法",X815="算法类"),"中",IF(X815="无法识别","低",IF(L815&lt;2,IF(N815&lt;16,"低","中"),IF(L815&lt;3,IF(N815&lt;5,"低",IF(N815&lt;16,"中","高")),IF(N815&lt;5,"中","高"))))),IF(OR(I815="EO",I815="EQ"),IF(OR(X815="估算法",X815="算法类"),"中",IF(X815="无法识别","低",IF(L815&lt;2,IF(N815&lt;20,"低","中"),IF(L815&lt;4,IF(N815&lt;6,"低",IF(N815&lt;20,"中","高")),IF(N815&lt;6,"中","高"))))),IF(OR(I815="ILF",I815="EIF"),IF(OR(X815="估算法",X815="算法类",X815="无法识别"),"低",IF(M815&lt;2,IF(N815&lt;51,"低","中"),IF(M815&lt;6,IF(N815&lt;20,"低",IF(N815&lt;51,"中","高")),IF(N815&lt;20,"中","高")))),"不计算")))</f>
        <v/>
      </c>
      <c r="P815" s="142">
        <f>IFERROR(IF(I815="EI",IF(O815="低",3,IF(O815="中",4,6)),IF(I815="EO",IF(O815="低",4,IF(O815="中",5,7)),IF(I815="EQ",IF(O815="低",3,IF(O815="中",4,6)),IF(I815="ILF",IF(O815="低",7,IF(O815="中",10,15)),IF(I815="EIF",IF(O815="低",5,IF(O815="中",7,10)),"不计算")))))*Q815,"不计算")</f>
        <v/>
      </c>
      <c r="Q815" s="142" t="n"/>
      <c r="R815" s="143">
        <f>调整因子!$F$13</f>
        <v/>
      </c>
      <c r="S815" s="70" t="n"/>
      <c r="T815" s="144">
        <f>IFERROR(P815*R815,0)</f>
        <v/>
      </c>
      <c r="U815" s="144">
        <f>T815*S815</f>
        <v/>
      </c>
      <c r="V815" s="88" t="n"/>
      <c r="W815" s="100" t="n"/>
      <c r="X815" s="88" t="n"/>
      <c r="Y815" s="88" t="n"/>
      <c r="Z815" s="88" t="n"/>
    </row>
    <row r="816" hidden="1">
      <c r="A816" s="69">
        <f>ROW()-1</f>
        <v/>
      </c>
      <c r="B816" s="53" t="n"/>
      <c r="C816" s="78" t="n"/>
      <c r="D816" s="78" t="n"/>
      <c r="E816" s="53" t="n"/>
      <c r="H816" s="96" t="n"/>
      <c r="I816" s="76" t="n"/>
      <c r="J816" s="108" t="n"/>
      <c r="K816" s="108" t="n"/>
      <c r="L816" s="83">
        <f>IF(OR(X816="估算法",X816="算法类",X816="无法识别"),"",IF(V816="",IF(OR(I816="EI",I816="EO",I816="EQ"),0,""),LEN(V816)-LEN(SUBSTITUTE(V816,"、",""))+1))</f>
        <v/>
      </c>
      <c r="M816" s="83">
        <f>IF(OR(X816="估算法",X816="算法类",X816="无法识别"),"",IF(W816="",IF(OR(I816="ILF",I816="EIF"),0,""),LEN(W816)-LEN(SUBSTITUTE(W816,"、",""))+1))</f>
        <v/>
      </c>
      <c r="N816" s="83">
        <f>IF(OR(X816="估算法",X816="算法类",X816="无法识别"),"",IF(X816="",IF(OR(I816="ILF",I816="EIF",I816="EI",I816="EO",I816="EQ"),0,""),LEN(X816)-LEN(SUBSTITUTE(SUBSTITUTE(SUBSTITUTE(SUBSTITUTE(SUBSTITUTE(X816,"|}","--"),"{|","--"),CHAR(10),""),"、",""),"|",""))+IF(AND(OR(I816="EI",I816="EO",I816="EQ"),$AD$1="NESMA"),2,1)))</f>
        <v/>
      </c>
      <c r="O816" s="84">
        <f>IF(I816="EI",IF(OR(X816="估算法",X816="算法类"),"中",IF(X816="无法识别","低",IF(L816&lt;2,IF(N816&lt;16,"低","中"),IF(L816&lt;3,IF(N816&lt;5,"低",IF(N816&lt;16,"中","高")),IF(N816&lt;5,"中","高"))))),IF(OR(I816="EO",I816="EQ"),IF(OR(X816="估算法",X816="算法类"),"中",IF(X816="无法识别","低",IF(L816&lt;2,IF(N816&lt;20,"低","中"),IF(L816&lt;4,IF(N816&lt;6,"低",IF(N816&lt;20,"中","高")),IF(N816&lt;6,"中","高"))))),IF(OR(I816="ILF",I816="EIF"),IF(OR(X816="估算法",X816="算法类",X816="无法识别"),"低",IF(M816&lt;2,IF(N816&lt;51,"低","中"),IF(M816&lt;6,IF(N816&lt;20,"低",IF(N816&lt;51,"中","高")),IF(N816&lt;20,"中","高")))),"不计算")))</f>
        <v/>
      </c>
      <c r="P816" s="142">
        <f>IFERROR(IF(I816="EI",IF(O816="低",3,IF(O816="中",4,6)),IF(I816="EO",IF(O816="低",4,IF(O816="中",5,7)),IF(I816="EQ",IF(O816="低",3,IF(O816="中",4,6)),IF(I816="ILF",IF(O816="低",7,IF(O816="中",10,15)),IF(I816="EIF",IF(O816="低",5,IF(O816="中",7,10)),"不计算")))))*Q816,"不计算")</f>
        <v/>
      </c>
      <c r="Q816" s="142" t="n"/>
      <c r="R816" s="143">
        <f>调整因子!$F$13</f>
        <v/>
      </c>
      <c r="S816" s="76" t="n"/>
      <c r="T816" s="144">
        <f>IFERROR(P816*R816,0)</f>
        <v/>
      </c>
      <c r="U816" s="144">
        <f>T816*S816</f>
        <v/>
      </c>
      <c r="V816" s="100" t="n"/>
      <c r="W816" s="88" t="n"/>
      <c r="X816" s="88" t="n"/>
      <c r="Y816" s="88" t="n"/>
      <c r="Z816" s="88" t="n"/>
    </row>
    <row r="817" hidden="1">
      <c r="A817" s="69">
        <f>ROW()-1</f>
        <v/>
      </c>
      <c r="B817" s="53" t="n"/>
      <c r="C817" s="78" t="n"/>
      <c r="D817" s="78" t="n"/>
      <c r="E817" s="53" t="n"/>
      <c r="H817" s="96" t="n"/>
      <c r="I817" s="76" t="n"/>
      <c r="J817" s="108" t="n"/>
      <c r="K817" s="108" t="n"/>
      <c r="L817" s="83">
        <f>IF(OR(X817="估算法",X817="算法类",X817="无法识别"),"",IF(V817="",IF(OR(I817="EI",I817="EO",I817="EQ"),0,""),LEN(V817)-LEN(SUBSTITUTE(V817,"、",""))+1))</f>
        <v/>
      </c>
      <c r="M817" s="83">
        <f>IF(OR(X817="估算法",X817="算法类",X817="无法识别"),"",IF(W817="",IF(OR(I817="ILF",I817="EIF"),0,""),LEN(W817)-LEN(SUBSTITUTE(W817,"、",""))+1))</f>
        <v/>
      </c>
      <c r="N817" s="83">
        <f>IF(OR(X817="估算法",X817="算法类",X817="无法识别"),"",IF(X817="",IF(OR(I817="ILF",I817="EIF",I817="EI",I817="EO",I817="EQ"),0,""),LEN(X817)-LEN(SUBSTITUTE(SUBSTITUTE(SUBSTITUTE(SUBSTITUTE(SUBSTITUTE(X817,"|}","--"),"{|","--"),CHAR(10),""),"、",""),"|",""))+IF(AND(OR(I817="EI",I817="EO",I817="EQ"),$AD$1="NESMA"),2,1)))</f>
        <v/>
      </c>
      <c r="O817" s="84">
        <f>IF(I817="EI",IF(OR(X817="估算法",X817="算法类"),"中",IF(X817="无法识别","低",IF(L817&lt;2,IF(N817&lt;16,"低","中"),IF(L817&lt;3,IF(N817&lt;5,"低",IF(N817&lt;16,"中","高")),IF(N817&lt;5,"中","高"))))),IF(OR(I817="EO",I817="EQ"),IF(OR(X817="估算法",X817="算法类"),"中",IF(X817="无法识别","低",IF(L817&lt;2,IF(N817&lt;20,"低","中"),IF(L817&lt;4,IF(N817&lt;6,"低",IF(N817&lt;20,"中","高")),IF(N817&lt;6,"中","高"))))),IF(OR(I817="ILF",I817="EIF"),IF(OR(X817="估算法",X817="算法类",X817="无法识别"),"低",IF(M817&lt;2,IF(N817&lt;51,"低","中"),IF(M817&lt;6,IF(N817&lt;20,"低",IF(N817&lt;51,"中","高")),IF(N817&lt;20,"中","高")))),"不计算")))</f>
        <v/>
      </c>
      <c r="P817" s="142">
        <f>IFERROR(IF(I817="EI",IF(O817="低",3,IF(O817="中",4,6)),IF(I817="EO",IF(O817="低",4,IF(O817="中",5,7)),IF(I817="EQ",IF(O817="低",3,IF(O817="中",4,6)),IF(I817="ILF",IF(O817="低",7,IF(O817="中",10,15)),IF(I817="EIF",IF(O817="低",5,IF(O817="中",7,10)),"不计算")))))*Q817,"不计算")</f>
        <v/>
      </c>
      <c r="Q817" s="142" t="n"/>
      <c r="R817" s="143">
        <f>调整因子!$F$13</f>
        <v/>
      </c>
      <c r="S817" s="76" t="n"/>
      <c r="T817" s="144">
        <f>IFERROR(P817*R817,0)</f>
        <v/>
      </c>
      <c r="U817" s="144">
        <f>T817*S817</f>
        <v/>
      </c>
      <c r="V817" s="88" t="n"/>
      <c r="W817" s="100" t="n"/>
      <c r="X817" s="88" t="n"/>
      <c r="Y817" s="88" t="n"/>
      <c r="Z817" s="88" t="n"/>
    </row>
    <row r="818" hidden="1">
      <c r="A818" s="69">
        <f>ROW()-1</f>
        <v/>
      </c>
      <c r="B818" s="53" t="n"/>
      <c r="C818" s="78" t="n"/>
      <c r="D818" s="78" t="n"/>
      <c r="E818" s="53" t="n"/>
      <c r="H818" s="96" t="n"/>
      <c r="I818" s="76" t="n"/>
      <c r="J818" s="108" t="n"/>
      <c r="K818" s="108" t="n"/>
      <c r="L818" s="83">
        <f>IF(OR(X818="估算法",X818="算法类",X818="无法识别"),"",IF(V818="",IF(OR(I818="EI",I818="EO",I818="EQ"),0,""),LEN(V818)-LEN(SUBSTITUTE(V818,"、",""))+1))</f>
        <v/>
      </c>
      <c r="M818" s="83">
        <f>IF(OR(X818="估算法",X818="算法类",X818="无法识别"),"",IF(W818="",IF(OR(I818="ILF",I818="EIF"),0,""),LEN(W818)-LEN(SUBSTITUTE(W818,"、",""))+1))</f>
        <v/>
      </c>
      <c r="N818" s="83">
        <f>IF(OR(X818="估算法",X818="算法类",X818="无法识别"),"",IF(X818="",IF(OR(I818="ILF",I818="EIF",I818="EI",I818="EO",I818="EQ"),0,""),LEN(X818)-LEN(SUBSTITUTE(SUBSTITUTE(SUBSTITUTE(SUBSTITUTE(SUBSTITUTE(X818,"|}","--"),"{|","--"),CHAR(10),""),"、",""),"|",""))+IF(AND(OR(I818="EI",I818="EO",I818="EQ"),$AD$1="NESMA"),2,1)))</f>
        <v/>
      </c>
      <c r="O818" s="84">
        <f>IF(I818="EI",IF(OR(X818="估算法",X818="算法类"),"中",IF(X818="无法识别","低",IF(L818&lt;2,IF(N818&lt;16,"低","中"),IF(L818&lt;3,IF(N818&lt;5,"低",IF(N818&lt;16,"中","高")),IF(N818&lt;5,"中","高"))))),IF(OR(I818="EO",I818="EQ"),IF(OR(X818="估算法",X818="算法类"),"中",IF(X818="无法识别","低",IF(L818&lt;2,IF(N818&lt;20,"低","中"),IF(L818&lt;4,IF(N818&lt;6,"低",IF(N818&lt;20,"中","高")),IF(N818&lt;6,"中","高"))))),IF(OR(I818="ILF",I818="EIF"),IF(OR(X818="估算法",X818="算法类",X818="无法识别"),"低",IF(M818&lt;2,IF(N818&lt;51,"低","中"),IF(M818&lt;6,IF(N818&lt;20,"低",IF(N818&lt;51,"中","高")),IF(N818&lt;20,"中","高")))),"不计算")))</f>
        <v/>
      </c>
      <c r="P818" s="142">
        <f>IFERROR(IF(I818="EI",IF(O818="低",3,IF(O818="中",4,6)),IF(I818="EO",IF(O818="低",4,IF(O818="中",5,7)),IF(I818="EQ",IF(O818="低",3,IF(O818="中",4,6)),IF(I818="ILF",IF(O818="低",7,IF(O818="中",10,15)),IF(I818="EIF",IF(O818="低",5,IF(O818="中",7,10)),"不计算")))))*Q818,"不计算")</f>
        <v/>
      </c>
      <c r="Q818" s="142" t="n"/>
      <c r="R818" s="143">
        <f>调整因子!$F$13</f>
        <v/>
      </c>
      <c r="S818" s="70" t="n"/>
      <c r="T818" s="144">
        <f>IFERROR(P818*R818,0)</f>
        <v/>
      </c>
      <c r="U818" s="144">
        <f>T818*S818</f>
        <v/>
      </c>
      <c r="V818" s="88" t="n"/>
      <c r="W818" s="100" t="n"/>
      <c r="X818" s="88" t="n"/>
      <c r="Y818" s="88" t="n"/>
      <c r="Z818" s="88" t="n"/>
    </row>
    <row r="819" hidden="1">
      <c r="A819" s="69">
        <f>ROW()-1</f>
        <v/>
      </c>
      <c r="B819" s="53" t="n"/>
      <c r="C819" s="78" t="n"/>
      <c r="D819" s="78" t="n"/>
      <c r="E819" s="53" t="n"/>
      <c r="H819" s="96" t="n"/>
      <c r="I819" s="76" t="n"/>
      <c r="J819" s="108" t="n"/>
      <c r="K819" s="108" t="n"/>
      <c r="L819" s="83">
        <f>IF(OR(X819="估算法",X819="算法类",X819="无法识别"),"",IF(V819="",IF(OR(I819="EI",I819="EO",I819="EQ"),0,""),LEN(V819)-LEN(SUBSTITUTE(V819,"、",""))+1))</f>
        <v/>
      </c>
      <c r="M819" s="83">
        <f>IF(OR(X819="估算法",X819="算法类",X819="无法识别"),"",IF(W819="",IF(OR(I819="ILF",I819="EIF"),0,""),LEN(W819)-LEN(SUBSTITUTE(W819,"、",""))+1))</f>
        <v/>
      </c>
      <c r="N819" s="83">
        <f>IF(OR(X819="估算法",X819="算法类",X819="无法识别"),"",IF(X819="",IF(OR(I819="ILF",I819="EIF",I819="EI",I819="EO",I819="EQ"),0,""),LEN(X819)-LEN(SUBSTITUTE(SUBSTITUTE(SUBSTITUTE(SUBSTITUTE(SUBSTITUTE(X819,"|}","--"),"{|","--"),CHAR(10),""),"、",""),"|",""))+IF(AND(OR(I819="EI",I819="EO",I819="EQ"),$AD$1="NESMA"),2,1)))</f>
        <v/>
      </c>
      <c r="O819" s="84">
        <f>IF(I819="EI",IF(OR(X819="估算法",X819="算法类"),"中",IF(X819="无法识别","低",IF(L819&lt;2,IF(N819&lt;16,"低","中"),IF(L819&lt;3,IF(N819&lt;5,"低",IF(N819&lt;16,"中","高")),IF(N819&lt;5,"中","高"))))),IF(OR(I819="EO",I819="EQ"),IF(OR(X819="估算法",X819="算法类"),"中",IF(X819="无法识别","低",IF(L819&lt;2,IF(N819&lt;20,"低","中"),IF(L819&lt;4,IF(N819&lt;6,"低",IF(N819&lt;20,"中","高")),IF(N819&lt;6,"中","高"))))),IF(OR(I819="ILF",I819="EIF"),IF(OR(X819="估算法",X819="算法类",X819="无法识别"),"低",IF(M819&lt;2,IF(N819&lt;51,"低","中"),IF(M819&lt;6,IF(N819&lt;20,"低",IF(N819&lt;51,"中","高")),IF(N819&lt;20,"中","高")))),"不计算")))</f>
        <v/>
      </c>
      <c r="P819" s="142">
        <f>IFERROR(IF(I819="EI",IF(O819="低",3,IF(O819="中",4,6)),IF(I819="EO",IF(O819="低",4,IF(O819="中",5,7)),IF(I819="EQ",IF(O819="低",3,IF(O819="中",4,6)),IF(I819="ILF",IF(O819="低",7,IF(O819="中",10,15)),IF(I819="EIF",IF(O819="低",5,IF(O819="中",7,10)),"不计算")))))*Q819,"不计算")</f>
        <v/>
      </c>
      <c r="Q819" s="142" t="n"/>
      <c r="R819" s="143">
        <f>调整因子!$F$13</f>
        <v/>
      </c>
      <c r="S819" s="70" t="n"/>
      <c r="T819" s="144">
        <f>IFERROR(P819*R819,0)</f>
        <v/>
      </c>
      <c r="U819" s="144">
        <f>T819*S819</f>
        <v/>
      </c>
      <c r="V819" s="88" t="n"/>
      <c r="W819" s="100" t="n"/>
      <c r="X819" s="88" t="n"/>
      <c r="Y819" s="88" t="n"/>
      <c r="Z819" s="88" t="n"/>
    </row>
    <row r="820" hidden="1">
      <c r="A820" s="69">
        <f>ROW()-1</f>
        <v/>
      </c>
      <c r="B820" s="53" t="n"/>
      <c r="C820" s="78" t="n"/>
      <c r="D820" s="78" t="n"/>
      <c r="E820" s="53" t="n"/>
      <c r="H820" s="96" t="n"/>
      <c r="I820" s="76" t="n"/>
      <c r="J820" s="108" t="n"/>
      <c r="K820" s="108" t="n"/>
      <c r="L820" s="83">
        <f>IF(OR(X820="估算法",X820="算法类",X820="无法识别"),"",IF(V820="",IF(OR(I820="EI",I820="EO",I820="EQ"),0,""),LEN(V820)-LEN(SUBSTITUTE(V820,"、",""))+1))</f>
        <v/>
      </c>
      <c r="M820" s="83">
        <f>IF(OR(X820="估算法",X820="算法类",X820="无法识别"),"",IF(W820="",IF(OR(I820="ILF",I820="EIF"),0,""),LEN(W820)-LEN(SUBSTITUTE(W820,"、",""))+1))</f>
        <v/>
      </c>
      <c r="N820" s="83">
        <f>IF(OR(X820="估算法",X820="算法类",X820="无法识别"),"",IF(X820="",IF(OR(I820="ILF",I820="EIF",I820="EI",I820="EO",I820="EQ"),0,""),LEN(X820)-LEN(SUBSTITUTE(SUBSTITUTE(SUBSTITUTE(SUBSTITUTE(SUBSTITUTE(X820,"|}","--"),"{|","--"),CHAR(10),""),"、",""),"|",""))+IF(AND(OR(I820="EI",I820="EO",I820="EQ"),$AD$1="NESMA"),2,1)))</f>
        <v/>
      </c>
      <c r="O820" s="84">
        <f>IF(I820="EI",IF(OR(X820="估算法",X820="算法类"),"中",IF(X820="无法识别","低",IF(L820&lt;2,IF(N820&lt;16,"低","中"),IF(L820&lt;3,IF(N820&lt;5,"低",IF(N820&lt;16,"中","高")),IF(N820&lt;5,"中","高"))))),IF(OR(I820="EO",I820="EQ"),IF(OR(X820="估算法",X820="算法类"),"中",IF(X820="无法识别","低",IF(L820&lt;2,IF(N820&lt;20,"低","中"),IF(L820&lt;4,IF(N820&lt;6,"低",IF(N820&lt;20,"中","高")),IF(N820&lt;6,"中","高"))))),IF(OR(I820="ILF",I820="EIF"),IF(OR(X820="估算法",X820="算法类",X820="无法识别"),"低",IF(M820&lt;2,IF(N820&lt;51,"低","中"),IF(M820&lt;6,IF(N820&lt;20,"低",IF(N820&lt;51,"中","高")),IF(N820&lt;20,"中","高")))),"不计算")))</f>
        <v/>
      </c>
      <c r="P820" s="142">
        <f>IFERROR(IF(I820="EI",IF(O820="低",3,IF(O820="中",4,6)),IF(I820="EO",IF(O820="低",4,IF(O820="中",5,7)),IF(I820="EQ",IF(O820="低",3,IF(O820="中",4,6)),IF(I820="ILF",IF(O820="低",7,IF(O820="中",10,15)),IF(I820="EIF",IF(O820="低",5,IF(O820="中",7,10)),"不计算")))))*Q820,"不计算")</f>
        <v/>
      </c>
      <c r="Q820" s="142" t="n"/>
      <c r="R820" s="143">
        <f>调整因子!$F$13</f>
        <v/>
      </c>
      <c r="S820" s="76" t="n"/>
      <c r="T820" s="144">
        <f>IFERROR(P820*R820,0)</f>
        <v/>
      </c>
      <c r="U820" s="144">
        <f>T820*S820</f>
        <v/>
      </c>
      <c r="V820" s="100" t="n"/>
      <c r="W820" s="88" t="n"/>
      <c r="X820" s="88" t="n"/>
      <c r="Y820" s="88" t="n"/>
      <c r="Z820" s="88" t="n"/>
    </row>
    <row r="821" hidden="1">
      <c r="A821" s="69">
        <f>ROW()-1</f>
        <v/>
      </c>
      <c r="B821" s="53" t="n"/>
      <c r="C821" s="78" t="n"/>
      <c r="D821" s="78" t="n"/>
      <c r="E821" s="53" t="n"/>
      <c r="H821" s="96" t="n"/>
      <c r="I821" s="76" t="n"/>
      <c r="J821" s="108" t="n"/>
      <c r="K821" s="108" t="n"/>
      <c r="L821" s="83">
        <f>IF(OR(X821="估算法",X821="算法类",X821="无法识别"),"",IF(V821="",IF(OR(I821="EI",I821="EO",I821="EQ"),0,""),LEN(V821)-LEN(SUBSTITUTE(V821,"、",""))+1))</f>
        <v/>
      </c>
      <c r="M821" s="83">
        <f>IF(OR(X821="估算法",X821="算法类",X821="无法识别"),"",IF(W821="",IF(OR(I821="ILF",I821="EIF"),0,""),LEN(W821)-LEN(SUBSTITUTE(W821,"、",""))+1))</f>
        <v/>
      </c>
      <c r="N821" s="83">
        <f>IF(OR(X821="估算法",X821="算法类",X821="无法识别"),"",IF(X821="",IF(OR(I821="ILF",I821="EIF",I821="EI",I821="EO",I821="EQ"),0,""),LEN(X821)-LEN(SUBSTITUTE(SUBSTITUTE(SUBSTITUTE(SUBSTITUTE(SUBSTITUTE(X821,"|}","--"),"{|","--"),CHAR(10),""),"、",""),"|",""))+IF(AND(OR(I821="EI",I821="EO",I821="EQ"),$AD$1="NESMA"),2,1)))</f>
        <v/>
      </c>
      <c r="O821" s="84">
        <f>IF(I821="EI",IF(OR(X821="估算法",X821="算法类"),"中",IF(X821="无法识别","低",IF(L821&lt;2,IF(N821&lt;16,"低","中"),IF(L821&lt;3,IF(N821&lt;5,"低",IF(N821&lt;16,"中","高")),IF(N821&lt;5,"中","高"))))),IF(OR(I821="EO",I821="EQ"),IF(OR(X821="估算法",X821="算法类"),"中",IF(X821="无法识别","低",IF(L821&lt;2,IF(N821&lt;20,"低","中"),IF(L821&lt;4,IF(N821&lt;6,"低",IF(N821&lt;20,"中","高")),IF(N821&lt;6,"中","高"))))),IF(OR(I821="ILF",I821="EIF"),IF(OR(X821="估算法",X821="算法类",X821="无法识别"),"低",IF(M821&lt;2,IF(N821&lt;51,"低","中"),IF(M821&lt;6,IF(N821&lt;20,"低",IF(N821&lt;51,"中","高")),IF(N821&lt;20,"中","高")))),"不计算")))</f>
        <v/>
      </c>
      <c r="P821" s="142">
        <f>IFERROR(IF(I821="EI",IF(O821="低",3,IF(O821="中",4,6)),IF(I821="EO",IF(O821="低",4,IF(O821="中",5,7)),IF(I821="EQ",IF(O821="低",3,IF(O821="中",4,6)),IF(I821="ILF",IF(O821="低",7,IF(O821="中",10,15)),IF(I821="EIF",IF(O821="低",5,IF(O821="中",7,10)),"不计算")))))*Q821,"不计算")</f>
        <v/>
      </c>
      <c r="Q821" s="142" t="n"/>
      <c r="R821" s="143">
        <f>调整因子!$F$13</f>
        <v/>
      </c>
      <c r="S821" s="70" t="n"/>
      <c r="T821" s="144">
        <f>IFERROR(P821*R821,0)</f>
        <v/>
      </c>
      <c r="U821" s="144">
        <f>T821*S821</f>
        <v/>
      </c>
      <c r="V821" s="88" t="n"/>
      <c r="W821" s="100" t="n"/>
      <c r="X821" s="88" t="n"/>
      <c r="Y821" s="88" t="n"/>
      <c r="Z821" s="88" t="n"/>
    </row>
    <row r="822" hidden="1">
      <c r="A822" s="69">
        <f>ROW()-1</f>
        <v/>
      </c>
      <c r="B822" s="53" t="n"/>
      <c r="C822" s="78" t="n"/>
      <c r="D822" s="78" t="n"/>
      <c r="E822" s="53" t="n"/>
      <c r="H822" s="96" t="n"/>
      <c r="I822" s="76" t="n"/>
      <c r="J822" s="108" t="n"/>
      <c r="K822" s="108" t="n"/>
      <c r="L822" s="83">
        <f>IF(OR(X822="估算法",X822="算法类",X822="无法识别"),"",IF(V822="",IF(OR(I822="EI",I822="EO",I822="EQ"),0,""),LEN(V822)-LEN(SUBSTITUTE(V822,"、",""))+1))</f>
        <v/>
      </c>
      <c r="M822" s="83">
        <f>IF(OR(X822="估算法",X822="算法类",X822="无法识别"),"",IF(W822="",IF(OR(I822="ILF",I822="EIF"),0,""),LEN(W822)-LEN(SUBSTITUTE(W822,"、",""))+1))</f>
        <v/>
      </c>
      <c r="N822" s="83">
        <f>IF(OR(X822="估算法",X822="算法类",X822="无法识别"),"",IF(X822="",IF(OR(I822="ILF",I822="EIF",I822="EI",I822="EO",I822="EQ"),0,""),LEN(X822)-LEN(SUBSTITUTE(SUBSTITUTE(SUBSTITUTE(SUBSTITUTE(SUBSTITUTE(X822,"|}","--"),"{|","--"),CHAR(10),""),"、",""),"|",""))+IF(AND(OR(I822="EI",I822="EO",I822="EQ"),$AD$1="NESMA"),2,1)))</f>
        <v/>
      </c>
      <c r="O822" s="84">
        <f>IF(I822="EI",IF(OR(X822="估算法",X822="算法类"),"中",IF(X822="无法识别","低",IF(L822&lt;2,IF(N822&lt;16,"低","中"),IF(L822&lt;3,IF(N822&lt;5,"低",IF(N822&lt;16,"中","高")),IF(N822&lt;5,"中","高"))))),IF(OR(I822="EO",I822="EQ"),IF(OR(X822="估算法",X822="算法类"),"中",IF(X822="无法识别","低",IF(L822&lt;2,IF(N822&lt;20,"低","中"),IF(L822&lt;4,IF(N822&lt;6,"低",IF(N822&lt;20,"中","高")),IF(N822&lt;6,"中","高"))))),IF(OR(I822="ILF",I822="EIF"),IF(OR(X822="估算法",X822="算法类",X822="无法识别"),"低",IF(M822&lt;2,IF(N822&lt;51,"低","中"),IF(M822&lt;6,IF(N822&lt;20,"低",IF(N822&lt;51,"中","高")),IF(N822&lt;20,"中","高")))),"不计算")))</f>
        <v/>
      </c>
      <c r="P822" s="142">
        <f>IFERROR(IF(I822="EI",IF(O822="低",3,IF(O822="中",4,6)),IF(I822="EO",IF(O822="低",4,IF(O822="中",5,7)),IF(I822="EQ",IF(O822="低",3,IF(O822="中",4,6)),IF(I822="ILF",IF(O822="低",7,IF(O822="中",10,15)),IF(I822="EIF",IF(O822="低",5,IF(O822="中",7,10)),"不计算")))))*Q822,"不计算")</f>
        <v/>
      </c>
      <c r="Q822" s="142" t="n"/>
      <c r="R822" s="143">
        <f>调整因子!$F$13</f>
        <v/>
      </c>
      <c r="S822" s="70" t="n"/>
      <c r="T822" s="144">
        <f>IFERROR(P822*R822,0)</f>
        <v/>
      </c>
      <c r="U822" s="144">
        <f>T822*S822</f>
        <v/>
      </c>
      <c r="V822" s="88" t="n"/>
      <c r="W822" s="100" t="n"/>
      <c r="X822" s="88" t="n"/>
      <c r="Y822" s="88" t="n"/>
      <c r="Z822" s="88" t="n"/>
    </row>
    <row r="823" hidden="1">
      <c r="A823" s="69">
        <f>ROW()-1</f>
        <v/>
      </c>
      <c r="B823" s="53" t="n"/>
      <c r="C823" s="78" t="n"/>
      <c r="D823" s="78" t="n"/>
      <c r="E823" s="53" t="n"/>
      <c r="H823" s="96" t="n"/>
      <c r="I823" s="76" t="n"/>
      <c r="J823" s="108" t="n"/>
      <c r="K823" s="108" t="n"/>
      <c r="L823" s="83">
        <f>IF(OR(X823="估算法",X823="算法类",X823="无法识别"),"",IF(V823="",IF(OR(I823="EI",I823="EO",I823="EQ"),0,""),LEN(V823)-LEN(SUBSTITUTE(V823,"、",""))+1))</f>
        <v/>
      </c>
      <c r="M823" s="83">
        <f>IF(OR(X823="估算法",X823="算法类",X823="无法识别"),"",IF(W823="",IF(OR(I823="ILF",I823="EIF"),0,""),LEN(W823)-LEN(SUBSTITUTE(W823,"、",""))+1))</f>
        <v/>
      </c>
      <c r="N823" s="83">
        <f>IF(OR(X823="估算法",X823="算法类",X823="无法识别"),"",IF(X823="",IF(OR(I823="ILF",I823="EIF",I823="EI",I823="EO",I823="EQ"),0,""),LEN(X823)-LEN(SUBSTITUTE(SUBSTITUTE(SUBSTITUTE(SUBSTITUTE(SUBSTITUTE(X823,"|}","--"),"{|","--"),CHAR(10),""),"、",""),"|",""))+IF(AND(OR(I823="EI",I823="EO",I823="EQ"),$AD$1="NESMA"),2,1)))</f>
        <v/>
      </c>
      <c r="O823" s="84">
        <f>IF(I823="EI",IF(OR(X823="估算法",X823="算法类"),"中",IF(X823="无法识别","低",IF(L823&lt;2,IF(N823&lt;16,"低","中"),IF(L823&lt;3,IF(N823&lt;5,"低",IF(N823&lt;16,"中","高")),IF(N823&lt;5,"中","高"))))),IF(OR(I823="EO",I823="EQ"),IF(OR(X823="估算法",X823="算法类"),"中",IF(X823="无法识别","低",IF(L823&lt;2,IF(N823&lt;20,"低","中"),IF(L823&lt;4,IF(N823&lt;6,"低",IF(N823&lt;20,"中","高")),IF(N823&lt;6,"中","高"))))),IF(OR(I823="ILF",I823="EIF"),IF(OR(X823="估算法",X823="算法类",X823="无法识别"),"低",IF(M823&lt;2,IF(N823&lt;51,"低","中"),IF(M823&lt;6,IF(N823&lt;20,"低",IF(N823&lt;51,"中","高")),IF(N823&lt;20,"中","高")))),"不计算")))</f>
        <v/>
      </c>
      <c r="P823" s="142">
        <f>IFERROR(IF(I823="EI",IF(O823="低",3,IF(O823="中",4,6)),IF(I823="EO",IF(O823="低",4,IF(O823="中",5,7)),IF(I823="EQ",IF(O823="低",3,IF(O823="中",4,6)),IF(I823="ILF",IF(O823="低",7,IF(O823="中",10,15)),IF(I823="EIF",IF(O823="低",5,IF(O823="中",7,10)),"不计算")))))*Q823,"不计算")</f>
        <v/>
      </c>
      <c r="Q823" s="142" t="n"/>
      <c r="R823" s="143">
        <f>调整因子!$F$13</f>
        <v/>
      </c>
      <c r="S823" s="76" t="n"/>
      <c r="T823" s="144">
        <f>IFERROR(P823*R823,0)</f>
        <v/>
      </c>
      <c r="U823" s="144">
        <f>T823*S823</f>
        <v/>
      </c>
      <c r="V823" s="88" t="n"/>
      <c r="W823" s="100" t="n"/>
      <c r="X823" s="88" t="n"/>
      <c r="Y823" s="88" t="n"/>
      <c r="Z823" s="88" t="n"/>
    </row>
    <row r="824" hidden="1">
      <c r="A824" s="69">
        <f>ROW()-1</f>
        <v/>
      </c>
      <c r="B824" s="53" t="n"/>
      <c r="C824" s="78" t="n"/>
      <c r="D824" s="78" t="n"/>
      <c r="E824" s="53" t="n"/>
      <c r="H824" s="96" t="n"/>
      <c r="I824" s="76" t="n"/>
      <c r="J824" s="108" t="n"/>
      <c r="K824" s="108" t="n"/>
      <c r="L824" s="83">
        <f>IF(OR(X824="估算法",X824="算法类",X824="无法识别"),"",IF(V824="",IF(OR(I824="EI",I824="EO",I824="EQ"),0,""),LEN(V824)-LEN(SUBSTITUTE(V824,"、",""))+1))</f>
        <v/>
      </c>
      <c r="M824" s="83">
        <f>IF(OR(X824="估算法",X824="算法类",X824="无法识别"),"",IF(W824="",IF(OR(I824="ILF",I824="EIF"),0,""),LEN(W824)-LEN(SUBSTITUTE(W824,"、",""))+1))</f>
        <v/>
      </c>
      <c r="N824" s="83">
        <f>IF(OR(X824="估算法",X824="算法类",X824="无法识别"),"",IF(X824="",IF(OR(I824="ILF",I824="EIF",I824="EI",I824="EO",I824="EQ"),0,""),LEN(X824)-LEN(SUBSTITUTE(SUBSTITUTE(SUBSTITUTE(SUBSTITUTE(SUBSTITUTE(X824,"|}","--"),"{|","--"),CHAR(10),""),"、",""),"|",""))+IF(AND(OR(I824="EI",I824="EO",I824="EQ"),$AD$1="NESMA"),2,1)))</f>
        <v/>
      </c>
      <c r="O824" s="84">
        <f>IF(I824="EI",IF(OR(X824="估算法",X824="算法类"),"中",IF(X824="无法识别","低",IF(L824&lt;2,IF(N824&lt;16,"低","中"),IF(L824&lt;3,IF(N824&lt;5,"低",IF(N824&lt;16,"中","高")),IF(N824&lt;5,"中","高"))))),IF(OR(I824="EO",I824="EQ"),IF(OR(X824="估算法",X824="算法类"),"中",IF(X824="无法识别","低",IF(L824&lt;2,IF(N824&lt;20,"低","中"),IF(L824&lt;4,IF(N824&lt;6,"低",IF(N824&lt;20,"中","高")),IF(N824&lt;6,"中","高"))))),IF(OR(I824="ILF",I824="EIF"),IF(OR(X824="估算法",X824="算法类",X824="无法识别"),"低",IF(M824&lt;2,IF(N824&lt;51,"低","中"),IF(M824&lt;6,IF(N824&lt;20,"低",IF(N824&lt;51,"中","高")),IF(N824&lt;20,"中","高")))),"不计算")))</f>
        <v/>
      </c>
      <c r="P824" s="142">
        <f>IFERROR(IF(I824="EI",IF(O824="低",3,IF(O824="中",4,6)),IF(I824="EO",IF(O824="低",4,IF(O824="中",5,7)),IF(I824="EQ",IF(O824="低",3,IF(O824="中",4,6)),IF(I824="ILF",IF(O824="低",7,IF(O824="中",10,15)),IF(I824="EIF",IF(O824="低",5,IF(O824="中",7,10)),"不计算")))))*Q824,"不计算")</f>
        <v/>
      </c>
      <c r="Q824" s="142" t="n"/>
      <c r="R824" s="143">
        <f>调整因子!$F$13</f>
        <v/>
      </c>
      <c r="S824" s="76" t="n"/>
      <c r="T824" s="144">
        <f>IFERROR(P824*R824,0)</f>
        <v/>
      </c>
      <c r="U824" s="144">
        <f>T824*S824</f>
        <v/>
      </c>
      <c r="V824" s="100" t="n"/>
      <c r="W824" s="88" t="n"/>
      <c r="X824" s="88" t="n"/>
      <c r="Y824" s="88" t="n"/>
      <c r="Z824" s="88" t="n"/>
    </row>
    <row r="825" hidden="1">
      <c r="A825" s="69">
        <f>ROW()-1</f>
        <v/>
      </c>
      <c r="B825" s="53" t="n"/>
      <c r="C825" s="78" t="n"/>
      <c r="D825" s="78" t="n"/>
      <c r="E825" s="53" t="n"/>
      <c r="H825" s="96" t="n"/>
      <c r="I825" s="76" t="n"/>
      <c r="J825" s="108" t="n"/>
      <c r="K825" s="108" t="n"/>
      <c r="L825" s="83">
        <f>IF(OR(X825="估算法",X825="算法类",X825="无法识别"),"",IF(V825="",IF(OR(I825="EI",I825="EO",I825="EQ"),0,""),LEN(V825)-LEN(SUBSTITUTE(V825,"、",""))+1))</f>
        <v/>
      </c>
      <c r="M825" s="83">
        <f>IF(OR(X825="估算法",X825="算法类",X825="无法识别"),"",IF(W825="",IF(OR(I825="ILF",I825="EIF"),0,""),LEN(W825)-LEN(SUBSTITUTE(W825,"、",""))+1))</f>
        <v/>
      </c>
      <c r="N825" s="83">
        <f>IF(OR(X825="估算法",X825="算法类",X825="无法识别"),"",IF(X825="",IF(OR(I825="ILF",I825="EIF",I825="EI",I825="EO",I825="EQ"),0,""),LEN(X825)-LEN(SUBSTITUTE(SUBSTITUTE(SUBSTITUTE(SUBSTITUTE(SUBSTITUTE(X825,"|}","--"),"{|","--"),CHAR(10),""),"、",""),"|",""))+IF(AND(OR(I825="EI",I825="EO",I825="EQ"),$AD$1="NESMA"),2,1)))</f>
        <v/>
      </c>
      <c r="O825" s="84">
        <f>IF(I825="EI",IF(OR(X825="估算法",X825="算法类"),"中",IF(X825="无法识别","低",IF(L825&lt;2,IF(N825&lt;16,"低","中"),IF(L825&lt;3,IF(N825&lt;5,"低",IF(N825&lt;16,"中","高")),IF(N825&lt;5,"中","高"))))),IF(OR(I825="EO",I825="EQ"),IF(OR(X825="估算法",X825="算法类"),"中",IF(X825="无法识别","低",IF(L825&lt;2,IF(N825&lt;20,"低","中"),IF(L825&lt;4,IF(N825&lt;6,"低",IF(N825&lt;20,"中","高")),IF(N825&lt;6,"中","高"))))),IF(OR(I825="ILF",I825="EIF"),IF(OR(X825="估算法",X825="算法类",X825="无法识别"),"低",IF(M825&lt;2,IF(N825&lt;51,"低","中"),IF(M825&lt;6,IF(N825&lt;20,"低",IF(N825&lt;51,"中","高")),IF(N825&lt;20,"中","高")))),"不计算")))</f>
        <v/>
      </c>
      <c r="P825" s="142">
        <f>IFERROR(IF(I825="EI",IF(O825="低",3,IF(O825="中",4,6)),IF(I825="EO",IF(O825="低",4,IF(O825="中",5,7)),IF(I825="EQ",IF(O825="低",3,IF(O825="中",4,6)),IF(I825="ILF",IF(O825="低",7,IF(O825="中",10,15)),IF(I825="EIF",IF(O825="低",5,IF(O825="中",7,10)),"不计算")))))*Q825,"不计算")</f>
        <v/>
      </c>
      <c r="Q825" s="142" t="n"/>
      <c r="R825" s="143">
        <f>调整因子!$F$13</f>
        <v/>
      </c>
      <c r="S825" s="70" t="n"/>
      <c r="T825" s="144">
        <f>IFERROR(P825*R825,0)</f>
        <v/>
      </c>
      <c r="U825" s="144">
        <f>T825*S825</f>
        <v/>
      </c>
      <c r="V825" s="88" t="n"/>
      <c r="W825" s="100" t="n"/>
      <c r="X825" s="88" t="n"/>
      <c r="Y825" s="88" t="n"/>
      <c r="Z825" s="88" t="n"/>
    </row>
    <row r="826" hidden="1">
      <c r="A826" s="69">
        <f>ROW()-1</f>
        <v/>
      </c>
      <c r="B826" s="53" t="n"/>
      <c r="C826" s="78" t="n"/>
      <c r="D826" s="78" t="n"/>
      <c r="E826" s="53" t="n"/>
      <c r="H826" s="96" t="n"/>
      <c r="I826" s="76" t="n"/>
      <c r="J826" s="108" t="n"/>
      <c r="K826" s="108" t="n"/>
      <c r="L826" s="83">
        <f>IF(OR(X826="估算法",X826="算法类",X826="无法识别"),"",IF(V826="",IF(OR(I826="EI",I826="EO",I826="EQ"),0,""),LEN(V826)-LEN(SUBSTITUTE(V826,"、",""))+1))</f>
        <v/>
      </c>
      <c r="M826" s="83">
        <f>IF(OR(X826="估算法",X826="算法类",X826="无法识别"),"",IF(W826="",IF(OR(I826="ILF",I826="EIF"),0,""),LEN(W826)-LEN(SUBSTITUTE(W826,"、",""))+1))</f>
        <v/>
      </c>
      <c r="N826" s="83">
        <f>IF(OR(X826="估算法",X826="算法类",X826="无法识别"),"",IF(X826="",IF(OR(I826="ILF",I826="EIF",I826="EI",I826="EO",I826="EQ"),0,""),LEN(X826)-LEN(SUBSTITUTE(SUBSTITUTE(SUBSTITUTE(SUBSTITUTE(SUBSTITUTE(X826,"|}","--"),"{|","--"),CHAR(10),""),"、",""),"|",""))+IF(AND(OR(I826="EI",I826="EO",I826="EQ"),$AD$1="NESMA"),2,1)))</f>
        <v/>
      </c>
      <c r="O826" s="84">
        <f>IF(I826="EI",IF(OR(X826="估算法",X826="算法类"),"中",IF(X826="无法识别","低",IF(L826&lt;2,IF(N826&lt;16,"低","中"),IF(L826&lt;3,IF(N826&lt;5,"低",IF(N826&lt;16,"中","高")),IF(N826&lt;5,"中","高"))))),IF(OR(I826="EO",I826="EQ"),IF(OR(X826="估算法",X826="算法类"),"中",IF(X826="无法识别","低",IF(L826&lt;2,IF(N826&lt;20,"低","中"),IF(L826&lt;4,IF(N826&lt;6,"低",IF(N826&lt;20,"中","高")),IF(N826&lt;6,"中","高"))))),IF(OR(I826="ILF",I826="EIF"),IF(OR(X826="估算法",X826="算法类",X826="无法识别"),"低",IF(M826&lt;2,IF(N826&lt;51,"低","中"),IF(M826&lt;6,IF(N826&lt;20,"低",IF(N826&lt;51,"中","高")),IF(N826&lt;20,"中","高")))),"不计算")))</f>
        <v/>
      </c>
      <c r="P826" s="142">
        <f>IFERROR(IF(I826="EI",IF(O826="低",3,IF(O826="中",4,6)),IF(I826="EO",IF(O826="低",4,IF(O826="中",5,7)),IF(I826="EQ",IF(O826="低",3,IF(O826="中",4,6)),IF(I826="ILF",IF(O826="低",7,IF(O826="中",10,15)),IF(I826="EIF",IF(O826="低",5,IF(O826="中",7,10)),"不计算")))))*Q826,"不计算")</f>
        <v/>
      </c>
      <c r="Q826" s="142" t="n"/>
      <c r="R826" s="143">
        <f>调整因子!$F$13</f>
        <v/>
      </c>
      <c r="S826" s="70" t="n"/>
      <c r="T826" s="144">
        <f>IFERROR(P826*R826,0)</f>
        <v/>
      </c>
      <c r="U826" s="144">
        <f>T826*S826</f>
        <v/>
      </c>
      <c r="V826" s="88" t="n"/>
      <c r="W826" s="100" t="n"/>
      <c r="X826" s="88" t="n"/>
      <c r="Y826" s="88" t="n"/>
      <c r="Z826" s="88" t="n"/>
    </row>
    <row r="827" hidden="1">
      <c r="A827" s="69">
        <f>ROW()-1</f>
        <v/>
      </c>
      <c r="B827" s="53" t="n"/>
      <c r="C827" s="78" t="n"/>
      <c r="D827" s="78" t="n"/>
      <c r="E827" s="53" t="n"/>
      <c r="H827" s="96" t="n"/>
      <c r="I827" s="76" t="n"/>
      <c r="J827" s="108" t="n"/>
      <c r="K827" s="108" t="n"/>
      <c r="L827" s="83">
        <f>IF(OR(X827="估算法",X827="算法类",X827="无法识别"),"",IF(V827="",IF(OR(I827="EI",I827="EO",I827="EQ"),0,""),LEN(V827)-LEN(SUBSTITUTE(V827,"、",""))+1))</f>
        <v/>
      </c>
      <c r="M827" s="83">
        <f>IF(OR(X827="估算法",X827="算法类",X827="无法识别"),"",IF(W827="",IF(OR(I827="ILF",I827="EIF"),0,""),LEN(W827)-LEN(SUBSTITUTE(W827,"、",""))+1))</f>
        <v/>
      </c>
      <c r="N827" s="83">
        <f>IF(OR(X827="估算法",X827="算法类",X827="无法识别"),"",IF(X827="",IF(OR(I827="ILF",I827="EIF",I827="EI",I827="EO",I827="EQ"),0,""),LEN(X827)-LEN(SUBSTITUTE(SUBSTITUTE(SUBSTITUTE(SUBSTITUTE(SUBSTITUTE(X827,"|}","--"),"{|","--"),CHAR(10),""),"、",""),"|",""))+IF(AND(OR(I827="EI",I827="EO",I827="EQ"),$AD$1="NESMA"),2,1)))</f>
        <v/>
      </c>
      <c r="O827" s="84">
        <f>IF(I827="EI",IF(OR(X827="估算法",X827="算法类"),"中",IF(X827="无法识别","低",IF(L827&lt;2,IF(N827&lt;16,"低","中"),IF(L827&lt;3,IF(N827&lt;5,"低",IF(N827&lt;16,"中","高")),IF(N827&lt;5,"中","高"))))),IF(OR(I827="EO",I827="EQ"),IF(OR(X827="估算法",X827="算法类"),"中",IF(X827="无法识别","低",IF(L827&lt;2,IF(N827&lt;20,"低","中"),IF(L827&lt;4,IF(N827&lt;6,"低",IF(N827&lt;20,"中","高")),IF(N827&lt;6,"中","高"))))),IF(OR(I827="ILF",I827="EIF"),IF(OR(X827="估算法",X827="算法类",X827="无法识别"),"低",IF(M827&lt;2,IF(N827&lt;51,"低","中"),IF(M827&lt;6,IF(N827&lt;20,"低",IF(N827&lt;51,"中","高")),IF(N827&lt;20,"中","高")))),"不计算")))</f>
        <v/>
      </c>
      <c r="P827" s="142">
        <f>IFERROR(IF(I827="EI",IF(O827="低",3,IF(O827="中",4,6)),IF(I827="EO",IF(O827="低",4,IF(O827="中",5,7)),IF(I827="EQ",IF(O827="低",3,IF(O827="中",4,6)),IF(I827="ILF",IF(O827="低",7,IF(O827="中",10,15)),IF(I827="EIF",IF(O827="低",5,IF(O827="中",7,10)),"不计算")))))*Q827,"不计算")</f>
        <v/>
      </c>
      <c r="Q827" s="142" t="n"/>
      <c r="R827" s="143">
        <f>调整因子!$F$13</f>
        <v/>
      </c>
      <c r="S827" s="76" t="n"/>
      <c r="T827" s="144">
        <f>IFERROR(P827*R827,0)</f>
        <v/>
      </c>
      <c r="U827" s="144">
        <f>T827*S827</f>
        <v/>
      </c>
      <c r="V827" s="88" t="n"/>
      <c r="W827" s="100" t="n"/>
      <c r="X827" s="88" t="n"/>
      <c r="Y827" s="88" t="n"/>
      <c r="Z827" s="88" t="n"/>
    </row>
    <row r="828" hidden="1">
      <c r="A828" s="69">
        <f>ROW()-1</f>
        <v/>
      </c>
      <c r="B828" s="53" t="n"/>
      <c r="C828" s="78" t="n"/>
      <c r="D828" s="78" t="n"/>
      <c r="E828" s="53" t="n"/>
      <c r="H828" s="96" t="n"/>
      <c r="I828" s="76" t="n"/>
      <c r="J828" s="108" t="n"/>
      <c r="K828" s="108" t="n"/>
      <c r="L828" s="83">
        <f>IF(OR(X828="估算法",X828="算法类",X828="无法识别"),"",IF(V828="",IF(OR(I828="EI",I828="EO",I828="EQ"),0,""),LEN(V828)-LEN(SUBSTITUTE(V828,"、",""))+1))</f>
        <v/>
      </c>
      <c r="M828" s="83">
        <f>IF(OR(X828="估算法",X828="算法类",X828="无法识别"),"",IF(W828="",IF(OR(I828="ILF",I828="EIF"),0,""),LEN(W828)-LEN(SUBSTITUTE(W828,"、",""))+1))</f>
        <v/>
      </c>
      <c r="N828" s="83">
        <f>IF(OR(X828="估算法",X828="算法类",X828="无法识别"),"",IF(X828="",IF(OR(I828="ILF",I828="EIF",I828="EI",I828="EO",I828="EQ"),0,""),LEN(X828)-LEN(SUBSTITUTE(SUBSTITUTE(SUBSTITUTE(SUBSTITUTE(SUBSTITUTE(X828,"|}","--"),"{|","--"),CHAR(10),""),"、",""),"|",""))+IF(AND(OR(I828="EI",I828="EO",I828="EQ"),$AD$1="NESMA"),2,1)))</f>
        <v/>
      </c>
      <c r="O828" s="84">
        <f>IF(I828="EI",IF(OR(X828="估算法",X828="算法类"),"中",IF(X828="无法识别","低",IF(L828&lt;2,IF(N828&lt;16,"低","中"),IF(L828&lt;3,IF(N828&lt;5,"低",IF(N828&lt;16,"中","高")),IF(N828&lt;5,"中","高"))))),IF(OR(I828="EO",I828="EQ"),IF(OR(X828="估算法",X828="算法类"),"中",IF(X828="无法识别","低",IF(L828&lt;2,IF(N828&lt;20,"低","中"),IF(L828&lt;4,IF(N828&lt;6,"低",IF(N828&lt;20,"中","高")),IF(N828&lt;6,"中","高"))))),IF(OR(I828="ILF",I828="EIF"),IF(OR(X828="估算法",X828="算法类",X828="无法识别"),"低",IF(M828&lt;2,IF(N828&lt;51,"低","中"),IF(M828&lt;6,IF(N828&lt;20,"低",IF(N828&lt;51,"中","高")),IF(N828&lt;20,"中","高")))),"不计算")))</f>
        <v/>
      </c>
      <c r="P828" s="142">
        <f>IFERROR(IF(I828="EI",IF(O828="低",3,IF(O828="中",4,6)),IF(I828="EO",IF(O828="低",4,IF(O828="中",5,7)),IF(I828="EQ",IF(O828="低",3,IF(O828="中",4,6)),IF(I828="ILF",IF(O828="低",7,IF(O828="中",10,15)),IF(I828="EIF",IF(O828="低",5,IF(O828="中",7,10)),"不计算")))))*Q828,"不计算")</f>
        <v/>
      </c>
      <c r="Q828" s="142" t="n"/>
      <c r="R828" s="143">
        <f>调整因子!$F$13</f>
        <v/>
      </c>
      <c r="S828" s="70" t="n"/>
      <c r="T828" s="144">
        <f>IFERROR(P828*R828,0)</f>
        <v/>
      </c>
      <c r="U828" s="144">
        <f>T828*S828</f>
        <v/>
      </c>
      <c r="V828" s="100" t="n"/>
      <c r="W828" s="88" t="n"/>
      <c r="X828" s="88" t="n"/>
      <c r="Y828" s="88" t="n"/>
      <c r="Z828" s="88" t="n"/>
    </row>
    <row r="829" hidden="1">
      <c r="A829" s="69">
        <f>ROW()-1</f>
        <v/>
      </c>
      <c r="B829" s="53" t="n"/>
      <c r="C829" s="78" t="n"/>
      <c r="D829" s="78" t="n"/>
      <c r="E829" s="53" t="n"/>
      <c r="H829" s="96" t="n"/>
      <c r="I829" s="76" t="n"/>
      <c r="J829" s="108" t="n"/>
      <c r="K829" s="108" t="n"/>
      <c r="L829" s="83">
        <f>IF(OR(X829="估算法",X829="算法类",X829="无法识别"),"",IF(V829="",IF(OR(I829="EI",I829="EO",I829="EQ"),0,""),LEN(V829)-LEN(SUBSTITUTE(V829,"、",""))+1))</f>
        <v/>
      </c>
      <c r="M829" s="83">
        <f>IF(OR(X829="估算法",X829="算法类",X829="无法识别"),"",IF(W829="",IF(OR(I829="ILF",I829="EIF"),0,""),LEN(W829)-LEN(SUBSTITUTE(W829,"、",""))+1))</f>
        <v/>
      </c>
      <c r="N829" s="83">
        <f>IF(OR(X829="估算法",X829="算法类",X829="无法识别"),"",IF(X829="",IF(OR(I829="ILF",I829="EIF",I829="EI",I829="EO",I829="EQ"),0,""),LEN(X829)-LEN(SUBSTITUTE(SUBSTITUTE(SUBSTITUTE(SUBSTITUTE(SUBSTITUTE(X829,"|}","--"),"{|","--"),CHAR(10),""),"、",""),"|",""))+IF(AND(OR(I829="EI",I829="EO",I829="EQ"),$AD$1="NESMA"),2,1)))</f>
        <v/>
      </c>
      <c r="O829" s="84">
        <f>IF(I829="EI",IF(OR(X829="估算法",X829="算法类"),"中",IF(X829="无法识别","低",IF(L829&lt;2,IF(N829&lt;16,"低","中"),IF(L829&lt;3,IF(N829&lt;5,"低",IF(N829&lt;16,"中","高")),IF(N829&lt;5,"中","高"))))),IF(OR(I829="EO",I829="EQ"),IF(OR(X829="估算法",X829="算法类"),"中",IF(X829="无法识别","低",IF(L829&lt;2,IF(N829&lt;20,"低","中"),IF(L829&lt;4,IF(N829&lt;6,"低",IF(N829&lt;20,"中","高")),IF(N829&lt;6,"中","高"))))),IF(OR(I829="ILF",I829="EIF"),IF(OR(X829="估算法",X829="算法类",X829="无法识别"),"低",IF(M829&lt;2,IF(N829&lt;51,"低","中"),IF(M829&lt;6,IF(N829&lt;20,"低",IF(N829&lt;51,"中","高")),IF(N829&lt;20,"中","高")))),"不计算")))</f>
        <v/>
      </c>
      <c r="P829" s="142">
        <f>IFERROR(IF(I829="EI",IF(O829="低",3,IF(O829="中",4,6)),IF(I829="EO",IF(O829="低",4,IF(O829="中",5,7)),IF(I829="EQ",IF(O829="低",3,IF(O829="中",4,6)),IF(I829="ILF",IF(O829="低",7,IF(O829="中",10,15)),IF(I829="EIF",IF(O829="低",5,IF(O829="中",7,10)),"不计算")))))*Q829,"不计算")</f>
        <v/>
      </c>
      <c r="Q829" s="142" t="n"/>
      <c r="R829" s="143">
        <f>调整因子!$F$13</f>
        <v/>
      </c>
      <c r="S829" s="70" t="n"/>
      <c r="T829" s="144">
        <f>IFERROR(P829*R829,0)</f>
        <v/>
      </c>
      <c r="U829" s="144">
        <f>T829*S829</f>
        <v/>
      </c>
      <c r="V829" s="88" t="n"/>
      <c r="W829" s="100" t="n"/>
      <c r="X829" s="88" t="n"/>
      <c r="Y829" s="88" t="n"/>
      <c r="Z829" s="88" t="n"/>
    </row>
    <row r="830" hidden="1">
      <c r="A830" s="69">
        <f>ROW()-1</f>
        <v/>
      </c>
      <c r="B830" s="53" t="n"/>
      <c r="C830" s="78" t="n"/>
      <c r="D830" s="78" t="n"/>
      <c r="E830" s="53" t="n"/>
      <c r="H830" s="96" t="n"/>
      <c r="I830" s="76" t="n"/>
      <c r="J830" s="108" t="n"/>
      <c r="K830" s="108" t="n"/>
      <c r="L830" s="83">
        <f>IF(OR(X830="估算法",X830="算法类",X830="无法识别"),"",IF(V830="",IF(OR(I830="EI",I830="EO",I830="EQ"),0,""),LEN(V830)-LEN(SUBSTITUTE(V830,"、",""))+1))</f>
        <v/>
      </c>
      <c r="M830" s="83">
        <f>IF(OR(X830="估算法",X830="算法类",X830="无法识别"),"",IF(W830="",IF(OR(I830="ILF",I830="EIF"),0,""),LEN(W830)-LEN(SUBSTITUTE(W830,"、",""))+1))</f>
        <v/>
      </c>
      <c r="N830" s="83">
        <f>IF(OR(X830="估算法",X830="算法类",X830="无法识别"),"",IF(X830="",IF(OR(I830="ILF",I830="EIF",I830="EI",I830="EO",I830="EQ"),0,""),LEN(X830)-LEN(SUBSTITUTE(SUBSTITUTE(SUBSTITUTE(SUBSTITUTE(SUBSTITUTE(X830,"|}","--"),"{|","--"),CHAR(10),""),"、",""),"|",""))+IF(AND(OR(I830="EI",I830="EO",I830="EQ"),$AD$1="NESMA"),2,1)))</f>
        <v/>
      </c>
      <c r="O830" s="84">
        <f>IF(I830="EI",IF(OR(X830="估算法",X830="算法类"),"中",IF(X830="无法识别","低",IF(L830&lt;2,IF(N830&lt;16,"低","中"),IF(L830&lt;3,IF(N830&lt;5,"低",IF(N830&lt;16,"中","高")),IF(N830&lt;5,"中","高"))))),IF(OR(I830="EO",I830="EQ"),IF(OR(X830="估算法",X830="算法类"),"中",IF(X830="无法识别","低",IF(L830&lt;2,IF(N830&lt;20,"低","中"),IF(L830&lt;4,IF(N830&lt;6,"低",IF(N830&lt;20,"中","高")),IF(N830&lt;6,"中","高"))))),IF(OR(I830="ILF",I830="EIF"),IF(OR(X830="估算法",X830="算法类",X830="无法识别"),"低",IF(M830&lt;2,IF(N830&lt;51,"低","中"),IF(M830&lt;6,IF(N830&lt;20,"低",IF(N830&lt;51,"中","高")),IF(N830&lt;20,"中","高")))),"不计算")))</f>
        <v/>
      </c>
      <c r="P830" s="142">
        <f>IFERROR(IF(I830="EI",IF(O830="低",3,IF(O830="中",4,6)),IF(I830="EO",IF(O830="低",4,IF(O830="中",5,7)),IF(I830="EQ",IF(O830="低",3,IF(O830="中",4,6)),IF(I830="ILF",IF(O830="低",7,IF(O830="中",10,15)),IF(I830="EIF",IF(O830="低",5,IF(O830="中",7,10)),"不计算")))))*Q830,"不计算")</f>
        <v/>
      </c>
      <c r="Q830" s="142" t="n"/>
      <c r="R830" s="143">
        <f>调整因子!$F$13</f>
        <v/>
      </c>
      <c r="S830" s="76" t="n"/>
      <c r="T830" s="144">
        <f>IFERROR(P830*R830,0)</f>
        <v/>
      </c>
      <c r="U830" s="144">
        <f>T830*S830</f>
        <v/>
      </c>
      <c r="V830" s="88" t="n"/>
      <c r="W830" s="100" t="n"/>
      <c r="X830" s="88" t="n"/>
      <c r="Y830" s="88" t="n"/>
      <c r="Z830" s="88" t="n"/>
    </row>
    <row r="831" hidden="1">
      <c r="A831" s="69">
        <f>ROW()-1</f>
        <v/>
      </c>
      <c r="B831" s="53" t="n"/>
      <c r="C831" s="78" t="n"/>
      <c r="D831" s="78" t="n"/>
      <c r="E831" s="53" t="n"/>
      <c r="H831" s="96" t="n"/>
      <c r="I831" s="76" t="n"/>
      <c r="J831" s="108" t="n"/>
      <c r="K831" s="108" t="n"/>
      <c r="L831" s="83">
        <f>IF(OR(X831="估算法",X831="算法类",X831="无法识别"),"",IF(V831="",IF(OR(I831="EI",I831="EO",I831="EQ"),0,""),LEN(V831)-LEN(SUBSTITUTE(V831,"、",""))+1))</f>
        <v/>
      </c>
      <c r="M831" s="83">
        <f>IF(OR(X831="估算法",X831="算法类",X831="无法识别"),"",IF(W831="",IF(OR(I831="ILF",I831="EIF"),0,""),LEN(W831)-LEN(SUBSTITUTE(W831,"、",""))+1))</f>
        <v/>
      </c>
      <c r="N831" s="83">
        <f>IF(OR(X831="估算法",X831="算法类",X831="无法识别"),"",IF(X831="",IF(OR(I831="ILF",I831="EIF",I831="EI",I831="EO",I831="EQ"),0,""),LEN(X831)-LEN(SUBSTITUTE(SUBSTITUTE(SUBSTITUTE(SUBSTITUTE(SUBSTITUTE(X831,"|}","--"),"{|","--"),CHAR(10),""),"、",""),"|",""))+IF(AND(OR(I831="EI",I831="EO",I831="EQ"),$AD$1="NESMA"),2,1)))</f>
        <v/>
      </c>
      <c r="O831" s="84">
        <f>IF(I831="EI",IF(OR(X831="估算法",X831="算法类"),"中",IF(X831="无法识别","低",IF(L831&lt;2,IF(N831&lt;16,"低","中"),IF(L831&lt;3,IF(N831&lt;5,"低",IF(N831&lt;16,"中","高")),IF(N831&lt;5,"中","高"))))),IF(OR(I831="EO",I831="EQ"),IF(OR(X831="估算法",X831="算法类"),"中",IF(X831="无法识别","低",IF(L831&lt;2,IF(N831&lt;20,"低","中"),IF(L831&lt;4,IF(N831&lt;6,"低",IF(N831&lt;20,"中","高")),IF(N831&lt;6,"中","高"))))),IF(OR(I831="ILF",I831="EIF"),IF(OR(X831="估算法",X831="算法类",X831="无法识别"),"低",IF(M831&lt;2,IF(N831&lt;51,"低","中"),IF(M831&lt;6,IF(N831&lt;20,"低",IF(N831&lt;51,"中","高")),IF(N831&lt;20,"中","高")))),"不计算")))</f>
        <v/>
      </c>
      <c r="P831" s="142">
        <f>IFERROR(IF(I831="EI",IF(O831="低",3,IF(O831="中",4,6)),IF(I831="EO",IF(O831="低",4,IF(O831="中",5,7)),IF(I831="EQ",IF(O831="低",3,IF(O831="中",4,6)),IF(I831="ILF",IF(O831="低",7,IF(O831="中",10,15)),IF(I831="EIF",IF(O831="低",5,IF(O831="中",7,10)),"不计算")))))*Q831,"不计算")</f>
        <v/>
      </c>
      <c r="Q831" s="142" t="n"/>
      <c r="R831" s="143">
        <f>调整因子!$F$13</f>
        <v/>
      </c>
      <c r="S831" s="76" t="n"/>
      <c r="T831" s="144">
        <f>IFERROR(P831*R831,0)</f>
        <v/>
      </c>
      <c r="U831" s="144">
        <f>T831*S831</f>
        <v/>
      </c>
      <c r="V831" s="88" t="n"/>
      <c r="W831" s="100" t="n"/>
      <c r="X831" s="88" t="n"/>
      <c r="Y831" s="88" t="n"/>
      <c r="Z831" s="88" t="n"/>
    </row>
    <row r="832" hidden="1">
      <c r="A832" s="69">
        <f>ROW()-1</f>
        <v/>
      </c>
      <c r="B832" s="53" t="n"/>
      <c r="C832" s="78" t="n"/>
      <c r="D832" s="78" t="n"/>
      <c r="E832" s="53" t="n"/>
      <c r="H832" s="96" t="n"/>
      <c r="I832" s="76" t="n"/>
      <c r="J832" s="108" t="n"/>
      <c r="K832" s="108" t="n"/>
      <c r="L832" s="83">
        <f>IF(OR(X832="估算法",X832="算法类",X832="无法识别"),"",IF(V832="",IF(OR(I832="EI",I832="EO",I832="EQ"),0,""),LEN(V832)-LEN(SUBSTITUTE(V832,"、",""))+1))</f>
        <v/>
      </c>
      <c r="M832" s="83">
        <f>IF(OR(X832="估算法",X832="算法类",X832="无法识别"),"",IF(W832="",IF(OR(I832="ILF",I832="EIF"),0,""),LEN(W832)-LEN(SUBSTITUTE(W832,"、",""))+1))</f>
        <v/>
      </c>
      <c r="N832" s="83">
        <f>IF(OR(X832="估算法",X832="算法类",X832="无法识别"),"",IF(X832="",IF(OR(I832="ILF",I832="EIF",I832="EI",I832="EO",I832="EQ"),0,""),LEN(X832)-LEN(SUBSTITUTE(SUBSTITUTE(SUBSTITUTE(SUBSTITUTE(SUBSTITUTE(X832,"|}","--"),"{|","--"),CHAR(10),""),"、",""),"|",""))+IF(AND(OR(I832="EI",I832="EO",I832="EQ"),$AD$1="NESMA"),2,1)))</f>
        <v/>
      </c>
      <c r="O832" s="84">
        <f>IF(I832="EI",IF(OR(X832="估算法",X832="算法类"),"中",IF(X832="无法识别","低",IF(L832&lt;2,IF(N832&lt;16,"低","中"),IF(L832&lt;3,IF(N832&lt;5,"低",IF(N832&lt;16,"中","高")),IF(N832&lt;5,"中","高"))))),IF(OR(I832="EO",I832="EQ"),IF(OR(X832="估算法",X832="算法类"),"中",IF(X832="无法识别","低",IF(L832&lt;2,IF(N832&lt;20,"低","中"),IF(L832&lt;4,IF(N832&lt;6,"低",IF(N832&lt;20,"中","高")),IF(N832&lt;6,"中","高"))))),IF(OR(I832="ILF",I832="EIF"),IF(OR(X832="估算法",X832="算法类",X832="无法识别"),"低",IF(M832&lt;2,IF(N832&lt;51,"低","中"),IF(M832&lt;6,IF(N832&lt;20,"低",IF(N832&lt;51,"中","高")),IF(N832&lt;20,"中","高")))),"不计算")))</f>
        <v/>
      </c>
      <c r="P832" s="142">
        <f>IFERROR(IF(I832="EI",IF(O832="低",3,IF(O832="中",4,6)),IF(I832="EO",IF(O832="低",4,IF(O832="中",5,7)),IF(I832="EQ",IF(O832="低",3,IF(O832="中",4,6)),IF(I832="ILF",IF(O832="低",7,IF(O832="中",10,15)),IF(I832="EIF",IF(O832="低",5,IF(O832="中",7,10)),"不计算")))))*Q832,"不计算")</f>
        <v/>
      </c>
      <c r="Q832" s="142" t="n"/>
      <c r="R832" s="143">
        <f>调整因子!$F$13</f>
        <v/>
      </c>
      <c r="S832" s="70" t="n"/>
      <c r="T832" s="144">
        <f>IFERROR(P832*R832,0)</f>
        <v/>
      </c>
      <c r="U832" s="144">
        <f>T832*S832</f>
        <v/>
      </c>
      <c r="V832" s="100" t="n"/>
      <c r="W832" s="88" t="n"/>
      <c r="X832" s="88" t="n"/>
      <c r="Y832" s="88" t="n"/>
      <c r="Z832" s="88" t="n"/>
    </row>
    <row r="833" hidden="1">
      <c r="A833" s="69">
        <f>ROW()-1</f>
        <v/>
      </c>
      <c r="B833" s="53" t="n"/>
      <c r="C833" s="78" t="n"/>
      <c r="D833" s="78" t="n"/>
      <c r="E833" s="53" t="n"/>
      <c r="H833" s="96" t="n"/>
      <c r="I833" s="76" t="n"/>
      <c r="J833" s="108" t="n"/>
      <c r="K833" s="108" t="n"/>
      <c r="L833" s="83">
        <f>IF(OR(X833="估算法",X833="算法类",X833="无法识别"),"",IF(V833="",IF(OR(I833="EI",I833="EO",I833="EQ"),0,""),LEN(V833)-LEN(SUBSTITUTE(V833,"、",""))+1))</f>
        <v/>
      </c>
      <c r="M833" s="83">
        <f>IF(OR(X833="估算法",X833="算法类",X833="无法识别"),"",IF(W833="",IF(OR(I833="ILF",I833="EIF"),0,""),LEN(W833)-LEN(SUBSTITUTE(W833,"、",""))+1))</f>
        <v/>
      </c>
      <c r="N833" s="83">
        <f>IF(OR(X833="估算法",X833="算法类",X833="无法识别"),"",IF(X833="",IF(OR(I833="ILF",I833="EIF",I833="EI",I833="EO",I833="EQ"),0,""),LEN(X833)-LEN(SUBSTITUTE(SUBSTITUTE(SUBSTITUTE(SUBSTITUTE(SUBSTITUTE(X833,"|}","--"),"{|","--"),CHAR(10),""),"、",""),"|",""))+IF(AND(OR(I833="EI",I833="EO",I833="EQ"),$AD$1="NESMA"),2,1)))</f>
        <v/>
      </c>
      <c r="O833" s="84">
        <f>IF(I833="EI",IF(OR(X833="估算法",X833="算法类"),"中",IF(X833="无法识别","低",IF(L833&lt;2,IF(N833&lt;16,"低","中"),IF(L833&lt;3,IF(N833&lt;5,"低",IF(N833&lt;16,"中","高")),IF(N833&lt;5,"中","高"))))),IF(OR(I833="EO",I833="EQ"),IF(OR(X833="估算法",X833="算法类"),"中",IF(X833="无法识别","低",IF(L833&lt;2,IF(N833&lt;20,"低","中"),IF(L833&lt;4,IF(N833&lt;6,"低",IF(N833&lt;20,"中","高")),IF(N833&lt;6,"中","高"))))),IF(OR(I833="ILF",I833="EIF"),IF(OR(X833="估算法",X833="算法类",X833="无法识别"),"低",IF(M833&lt;2,IF(N833&lt;51,"低","中"),IF(M833&lt;6,IF(N833&lt;20,"低",IF(N833&lt;51,"中","高")),IF(N833&lt;20,"中","高")))),"不计算")))</f>
        <v/>
      </c>
      <c r="P833" s="142">
        <f>IFERROR(IF(I833="EI",IF(O833="低",3,IF(O833="中",4,6)),IF(I833="EO",IF(O833="低",4,IF(O833="中",5,7)),IF(I833="EQ",IF(O833="低",3,IF(O833="中",4,6)),IF(I833="ILF",IF(O833="低",7,IF(O833="中",10,15)),IF(I833="EIF",IF(O833="低",5,IF(O833="中",7,10)),"不计算")))))*Q833,"不计算")</f>
        <v/>
      </c>
      <c r="Q833" s="142" t="n"/>
      <c r="R833" s="143">
        <f>调整因子!$F$13</f>
        <v/>
      </c>
      <c r="S833" s="70" t="n"/>
      <c r="T833" s="144">
        <f>IFERROR(P833*R833,0)</f>
        <v/>
      </c>
      <c r="U833" s="144">
        <f>T833*S833</f>
        <v/>
      </c>
      <c r="V833" s="88" t="n"/>
      <c r="W833" s="100" t="n"/>
      <c r="X833" s="88" t="n"/>
      <c r="Y833" s="88" t="n"/>
      <c r="Z833" s="88" t="n"/>
    </row>
    <row r="834" hidden="1">
      <c r="A834" s="69">
        <f>ROW()-1</f>
        <v/>
      </c>
      <c r="B834" s="53" t="n"/>
      <c r="C834" s="78" t="n"/>
      <c r="D834" s="78" t="n"/>
      <c r="E834" s="53" t="n"/>
      <c r="H834" s="96" t="n"/>
      <c r="I834" s="76" t="n"/>
      <c r="J834" s="108" t="n"/>
      <c r="K834" s="108" t="n"/>
      <c r="L834" s="83">
        <f>IF(OR(X834="估算法",X834="算法类",X834="无法识别"),"",IF(V834="",IF(OR(I834="EI",I834="EO",I834="EQ"),0,""),LEN(V834)-LEN(SUBSTITUTE(V834,"、",""))+1))</f>
        <v/>
      </c>
      <c r="M834" s="83">
        <f>IF(OR(X834="估算法",X834="算法类",X834="无法识别"),"",IF(W834="",IF(OR(I834="ILF",I834="EIF"),0,""),LEN(W834)-LEN(SUBSTITUTE(W834,"、",""))+1))</f>
        <v/>
      </c>
      <c r="N834" s="83">
        <f>IF(OR(X834="估算法",X834="算法类",X834="无法识别"),"",IF(X834="",IF(OR(I834="ILF",I834="EIF",I834="EI",I834="EO",I834="EQ"),0,""),LEN(X834)-LEN(SUBSTITUTE(SUBSTITUTE(SUBSTITUTE(SUBSTITUTE(SUBSTITUTE(X834,"|}","--"),"{|","--"),CHAR(10),""),"、",""),"|",""))+IF(AND(OR(I834="EI",I834="EO",I834="EQ"),$AD$1="NESMA"),2,1)))</f>
        <v/>
      </c>
      <c r="O834" s="84">
        <f>IF(I834="EI",IF(OR(X834="估算法",X834="算法类"),"中",IF(X834="无法识别","低",IF(L834&lt;2,IF(N834&lt;16,"低","中"),IF(L834&lt;3,IF(N834&lt;5,"低",IF(N834&lt;16,"中","高")),IF(N834&lt;5,"中","高"))))),IF(OR(I834="EO",I834="EQ"),IF(OR(X834="估算法",X834="算法类"),"中",IF(X834="无法识别","低",IF(L834&lt;2,IF(N834&lt;20,"低","中"),IF(L834&lt;4,IF(N834&lt;6,"低",IF(N834&lt;20,"中","高")),IF(N834&lt;6,"中","高"))))),IF(OR(I834="ILF",I834="EIF"),IF(OR(X834="估算法",X834="算法类",X834="无法识别"),"低",IF(M834&lt;2,IF(N834&lt;51,"低","中"),IF(M834&lt;6,IF(N834&lt;20,"低",IF(N834&lt;51,"中","高")),IF(N834&lt;20,"中","高")))),"不计算")))</f>
        <v/>
      </c>
      <c r="P834" s="142">
        <f>IFERROR(IF(I834="EI",IF(O834="低",3,IF(O834="中",4,6)),IF(I834="EO",IF(O834="低",4,IF(O834="中",5,7)),IF(I834="EQ",IF(O834="低",3,IF(O834="中",4,6)),IF(I834="ILF",IF(O834="低",7,IF(O834="中",10,15)),IF(I834="EIF",IF(O834="低",5,IF(O834="中",7,10)),"不计算")))))*Q834,"不计算")</f>
        <v/>
      </c>
      <c r="Q834" s="142" t="n"/>
      <c r="R834" s="143">
        <f>调整因子!$F$13</f>
        <v/>
      </c>
      <c r="S834" s="76" t="n"/>
      <c r="T834" s="144">
        <f>IFERROR(P834*R834,0)</f>
        <v/>
      </c>
      <c r="U834" s="144">
        <f>T834*S834</f>
        <v/>
      </c>
      <c r="V834" s="88" t="n"/>
      <c r="W834" s="100" t="n"/>
      <c r="X834" s="88" t="n"/>
      <c r="Y834" s="88" t="n"/>
      <c r="Z834" s="88" t="n"/>
    </row>
    <row r="835" hidden="1">
      <c r="A835" s="69">
        <f>ROW()-1</f>
        <v/>
      </c>
      <c r="B835" s="53" t="n"/>
      <c r="C835" s="78" t="n"/>
      <c r="D835" s="78" t="n"/>
      <c r="E835" s="53" t="n"/>
      <c r="H835" s="96" t="n"/>
      <c r="I835" s="76" t="n"/>
      <c r="J835" s="108" t="n"/>
      <c r="K835" s="108" t="n"/>
      <c r="L835" s="83">
        <f>IF(OR(X835="估算法",X835="算法类",X835="无法识别"),"",IF(V835="",IF(OR(I835="EI",I835="EO",I835="EQ"),0,""),LEN(V835)-LEN(SUBSTITUTE(V835,"、",""))+1))</f>
        <v/>
      </c>
      <c r="M835" s="83">
        <f>IF(OR(X835="估算法",X835="算法类",X835="无法识别"),"",IF(W835="",IF(OR(I835="ILF",I835="EIF"),0,""),LEN(W835)-LEN(SUBSTITUTE(W835,"、",""))+1))</f>
        <v/>
      </c>
      <c r="N835" s="83">
        <f>IF(OR(X835="估算法",X835="算法类",X835="无法识别"),"",IF(X835="",IF(OR(I835="ILF",I835="EIF",I835="EI",I835="EO",I835="EQ"),0,""),LEN(X835)-LEN(SUBSTITUTE(SUBSTITUTE(SUBSTITUTE(SUBSTITUTE(SUBSTITUTE(X835,"|}","--"),"{|","--"),CHAR(10),""),"、",""),"|",""))+IF(AND(OR(I835="EI",I835="EO",I835="EQ"),$AD$1="NESMA"),2,1)))</f>
        <v/>
      </c>
      <c r="O835" s="84">
        <f>IF(I835="EI",IF(OR(X835="估算法",X835="算法类"),"中",IF(X835="无法识别","低",IF(L835&lt;2,IF(N835&lt;16,"低","中"),IF(L835&lt;3,IF(N835&lt;5,"低",IF(N835&lt;16,"中","高")),IF(N835&lt;5,"中","高"))))),IF(OR(I835="EO",I835="EQ"),IF(OR(X835="估算法",X835="算法类"),"中",IF(X835="无法识别","低",IF(L835&lt;2,IF(N835&lt;20,"低","中"),IF(L835&lt;4,IF(N835&lt;6,"低",IF(N835&lt;20,"中","高")),IF(N835&lt;6,"中","高"))))),IF(OR(I835="ILF",I835="EIF"),IF(OR(X835="估算法",X835="算法类",X835="无法识别"),"低",IF(M835&lt;2,IF(N835&lt;51,"低","中"),IF(M835&lt;6,IF(N835&lt;20,"低",IF(N835&lt;51,"中","高")),IF(N835&lt;20,"中","高")))),"不计算")))</f>
        <v/>
      </c>
      <c r="P835" s="142">
        <f>IFERROR(IF(I835="EI",IF(O835="低",3,IF(O835="中",4,6)),IF(I835="EO",IF(O835="低",4,IF(O835="中",5,7)),IF(I835="EQ",IF(O835="低",3,IF(O835="中",4,6)),IF(I835="ILF",IF(O835="低",7,IF(O835="中",10,15)),IF(I835="EIF",IF(O835="低",5,IF(O835="中",7,10)),"不计算")))))*Q835,"不计算")</f>
        <v/>
      </c>
      <c r="Q835" s="142" t="n"/>
      <c r="R835" s="143">
        <f>调整因子!$F$13</f>
        <v/>
      </c>
      <c r="S835" s="70" t="n"/>
      <c r="T835" s="144">
        <f>IFERROR(P835*R835,0)</f>
        <v/>
      </c>
      <c r="U835" s="144">
        <f>T835*S835</f>
        <v/>
      </c>
      <c r="V835" s="88" t="n"/>
      <c r="W835" s="100" t="n"/>
      <c r="X835" s="88" t="n"/>
      <c r="Y835" s="88" t="n"/>
      <c r="Z835" s="88" t="n"/>
    </row>
    <row r="836" hidden="1">
      <c r="A836" s="69">
        <f>ROW()-1</f>
        <v/>
      </c>
      <c r="B836" s="53" t="n"/>
      <c r="C836" s="78" t="n"/>
      <c r="D836" s="78" t="n"/>
      <c r="E836" s="53" t="n"/>
      <c r="H836" s="96" t="n"/>
      <c r="I836" s="76" t="n"/>
      <c r="J836" s="108" t="n"/>
      <c r="K836" s="108" t="n"/>
      <c r="L836" s="83">
        <f>IF(OR(X836="估算法",X836="算法类",X836="无法识别"),"",IF(V836="",IF(OR(I836="EI",I836="EO",I836="EQ"),0,""),LEN(V836)-LEN(SUBSTITUTE(V836,"、",""))+1))</f>
        <v/>
      </c>
      <c r="M836" s="83">
        <f>IF(OR(X836="估算法",X836="算法类",X836="无法识别"),"",IF(W836="",IF(OR(I836="ILF",I836="EIF"),0,""),LEN(W836)-LEN(SUBSTITUTE(W836,"、",""))+1))</f>
        <v/>
      </c>
      <c r="N836" s="83">
        <f>IF(OR(X836="估算法",X836="算法类",X836="无法识别"),"",IF(X836="",IF(OR(I836="ILF",I836="EIF",I836="EI",I836="EO",I836="EQ"),0,""),LEN(X836)-LEN(SUBSTITUTE(SUBSTITUTE(SUBSTITUTE(SUBSTITUTE(SUBSTITUTE(X836,"|}","--"),"{|","--"),CHAR(10),""),"、",""),"|",""))+IF(AND(OR(I836="EI",I836="EO",I836="EQ"),$AD$1="NESMA"),2,1)))</f>
        <v/>
      </c>
      <c r="O836" s="84">
        <f>IF(I836="EI",IF(OR(X836="估算法",X836="算法类"),"中",IF(X836="无法识别","低",IF(L836&lt;2,IF(N836&lt;16,"低","中"),IF(L836&lt;3,IF(N836&lt;5,"低",IF(N836&lt;16,"中","高")),IF(N836&lt;5,"中","高"))))),IF(OR(I836="EO",I836="EQ"),IF(OR(X836="估算法",X836="算法类"),"中",IF(X836="无法识别","低",IF(L836&lt;2,IF(N836&lt;20,"低","中"),IF(L836&lt;4,IF(N836&lt;6,"低",IF(N836&lt;20,"中","高")),IF(N836&lt;6,"中","高"))))),IF(OR(I836="ILF",I836="EIF"),IF(OR(X836="估算法",X836="算法类",X836="无法识别"),"低",IF(M836&lt;2,IF(N836&lt;51,"低","中"),IF(M836&lt;6,IF(N836&lt;20,"低",IF(N836&lt;51,"中","高")),IF(N836&lt;20,"中","高")))),"不计算")))</f>
        <v/>
      </c>
      <c r="P836" s="142">
        <f>IFERROR(IF(I836="EI",IF(O836="低",3,IF(O836="中",4,6)),IF(I836="EO",IF(O836="低",4,IF(O836="中",5,7)),IF(I836="EQ",IF(O836="低",3,IF(O836="中",4,6)),IF(I836="ILF",IF(O836="低",7,IF(O836="中",10,15)),IF(I836="EIF",IF(O836="低",5,IF(O836="中",7,10)),"不计算")))))*Q836,"不计算")</f>
        <v/>
      </c>
      <c r="Q836" s="142" t="n"/>
      <c r="R836" s="143">
        <f>调整因子!$F$13</f>
        <v/>
      </c>
      <c r="S836" s="70" t="n"/>
      <c r="T836" s="144">
        <f>IFERROR(P836*R836,0)</f>
        <v/>
      </c>
      <c r="U836" s="144">
        <f>T836*S836</f>
        <v/>
      </c>
      <c r="V836" s="100" t="n"/>
      <c r="W836" s="88" t="n"/>
      <c r="X836" s="88" t="n"/>
      <c r="Y836" s="88" t="n"/>
      <c r="Z836" s="88" t="n"/>
    </row>
    <row r="837" hidden="1">
      <c r="A837" s="69">
        <f>ROW()-1</f>
        <v/>
      </c>
      <c r="B837" s="53" t="n"/>
      <c r="C837" s="78" t="n"/>
      <c r="D837" s="78" t="n"/>
      <c r="E837" s="53" t="n"/>
      <c r="H837" s="96" t="n"/>
      <c r="I837" s="76" t="n"/>
      <c r="J837" s="108" t="n"/>
      <c r="K837" s="108" t="n"/>
      <c r="L837" s="83">
        <f>IF(OR(X837="估算法",X837="算法类",X837="无法识别"),"",IF(V837="",IF(OR(I837="EI",I837="EO",I837="EQ"),0,""),LEN(V837)-LEN(SUBSTITUTE(V837,"、",""))+1))</f>
        <v/>
      </c>
      <c r="M837" s="83">
        <f>IF(OR(X837="估算法",X837="算法类",X837="无法识别"),"",IF(W837="",IF(OR(I837="ILF",I837="EIF"),0,""),LEN(W837)-LEN(SUBSTITUTE(W837,"、",""))+1))</f>
        <v/>
      </c>
      <c r="N837" s="83">
        <f>IF(OR(X837="估算法",X837="算法类",X837="无法识别"),"",IF(X837="",IF(OR(I837="ILF",I837="EIF",I837="EI",I837="EO",I837="EQ"),0,""),LEN(X837)-LEN(SUBSTITUTE(SUBSTITUTE(SUBSTITUTE(SUBSTITUTE(SUBSTITUTE(X837,"|}","--"),"{|","--"),CHAR(10),""),"、",""),"|",""))+IF(AND(OR(I837="EI",I837="EO",I837="EQ"),$AD$1="NESMA"),2,1)))</f>
        <v/>
      </c>
      <c r="O837" s="84">
        <f>IF(I837="EI",IF(OR(X837="估算法",X837="算法类"),"中",IF(X837="无法识别","低",IF(L837&lt;2,IF(N837&lt;16,"低","中"),IF(L837&lt;3,IF(N837&lt;5,"低",IF(N837&lt;16,"中","高")),IF(N837&lt;5,"中","高"))))),IF(OR(I837="EO",I837="EQ"),IF(OR(X837="估算法",X837="算法类"),"中",IF(X837="无法识别","低",IF(L837&lt;2,IF(N837&lt;20,"低","中"),IF(L837&lt;4,IF(N837&lt;6,"低",IF(N837&lt;20,"中","高")),IF(N837&lt;6,"中","高"))))),IF(OR(I837="ILF",I837="EIF"),IF(OR(X837="估算法",X837="算法类",X837="无法识别"),"低",IF(M837&lt;2,IF(N837&lt;51,"低","中"),IF(M837&lt;6,IF(N837&lt;20,"低",IF(N837&lt;51,"中","高")),IF(N837&lt;20,"中","高")))),"不计算")))</f>
        <v/>
      </c>
      <c r="P837" s="142">
        <f>IFERROR(IF(I837="EI",IF(O837="低",3,IF(O837="中",4,6)),IF(I837="EO",IF(O837="低",4,IF(O837="中",5,7)),IF(I837="EQ",IF(O837="低",3,IF(O837="中",4,6)),IF(I837="ILF",IF(O837="低",7,IF(O837="中",10,15)),IF(I837="EIF",IF(O837="低",5,IF(O837="中",7,10)),"不计算")))))*Q837,"不计算")</f>
        <v/>
      </c>
      <c r="Q837" s="142" t="n"/>
      <c r="R837" s="143">
        <f>调整因子!$F$13</f>
        <v/>
      </c>
      <c r="S837" s="76" t="n"/>
      <c r="T837" s="144">
        <f>IFERROR(P837*R837,0)</f>
        <v/>
      </c>
      <c r="U837" s="144">
        <f>T837*S837</f>
        <v/>
      </c>
      <c r="V837" s="88" t="n"/>
      <c r="W837" s="100" t="n"/>
      <c r="X837" s="88" t="n"/>
      <c r="Y837" s="88" t="n"/>
      <c r="Z837" s="88" t="n"/>
    </row>
    <row r="838" hidden="1">
      <c r="A838" s="69">
        <f>ROW()-1</f>
        <v/>
      </c>
      <c r="B838" s="53" t="n"/>
      <c r="C838" s="78" t="n"/>
      <c r="D838" s="78" t="n"/>
      <c r="E838" s="53" t="n"/>
      <c r="H838" s="96" t="n"/>
      <c r="I838" s="76" t="n"/>
      <c r="J838" s="108" t="n"/>
      <c r="K838" s="108" t="n"/>
      <c r="L838" s="83">
        <f>IF(OR(X838="估算法",X838="算法类",X838="无法识别"),"",IF(V838="",IF(OR(I838="EI",I838="EO",I838="EQ"),0,""),LEN(V838)-LEN(SUBSTITUTE(V838,"、",""))+1))</f>
        <v/>
      </c>
      <c r="M838" s="83">
        <f>IF(OR(X838="估算法",X838="算法类",X838="无法识别"),"",IF(W838="",IF(OR(I838="ILF",I838="EIF"),0,""),LEN(W838)-LEN(SUBSTITUTE(W838,"、",""))+1))</f>
        <v/>
      </c>
      <c r="N838" s="83">
        <f>IF(OR(X838="估算法",X838="算法类",X838="无法识别"),"",IF(X838="",IF(OR(I838="ILF",I838="EIF",I838="EI",I838="EO",I838="EQ"),0,""),LEN(X838)-LEN(SUBSTITUTE(SUBSTITUTE(SUBSTITUTE(SUBSTITUTE(SUBSTITUTE(X838,"|}","--"),"{|","--"),CHAR(10),""),"、",""),"|",""))+IF(AND(OR(I838="EI",I838="EO",I838="EQ"),$AD$1="NESMA"),2,1)))</f>
        <v/>
      </c>
      <c r="O838" s="84">
        <f>IF(I838="EI",IF(OR(X838="估算法",X838="算法类"),"中",IF(X838="无法识别","低",IF(L838&lt;2,IF(N838&lt;16,"低","中"),IF(L838&lt;3,IF(N838&lt;5,"低",IF(N838&lt;16,"中","高")),IF(N838&lt;5,"中","高"))))),IF(OR(I838="EO",I838="EQ"),IF(OR(X838="估算法",X838="算法类"),"中",IF(X838="无法识别","低",IF(L838&lt;2,IF(N838&lt;20,"低","中"),IF(L838&lt;4,IF(N838&lt;6,"低",IF(N838&lt;20,"中","高")),IF(N838&lt;6,"中","高"))))),IF(OR(I838="ILF",I838="EIF"),IF(OR(X838="估算法",X838="算法类",X838="无法识别"),"低",IF(M838&lt;2,IF(N838&lt;51,"低","中"),IF(M838&lt;6,IF(N838&lt;20,"低",IF(N838&lt;51,"中","高")),IF(N838&lt;20,"中","高")))),"不计算")))</f>
        <v/>
      </c>
      <c r="P838" s="142">
        <f>IFERROR(IF(I838="EI",IF(O838="低",3,IF(O838="中",4,6)),IF(I838="EO",IF(O838="低",4,IF(O838="中",5,7)),IF(I838="EQ",IF(O838="低",3,IF(O838="中",4,6)),IF(I838="ILF",IF(O838="低",7,IF(O838="中",10,15)),IF(I838="EIF",IF(O838="低",5,IF(O838="中",7,10)),"不计算")))))*Q838,"不计算")</f>
        <v/>
      </c>
      <c r="Q838" s="142" t="n"/>
      <c r="R838" s="143">
        <f>调整因子!$F$13</f>
        <v/>
      </c>
      <c r="S838" s="76" t="n"/>
      <c r="T838" s="144">
        <f>IFERROR(P838*R838,0)</f>
        <v/>
      </c>
      <c r="U838" s="144">
        <f>T838*S838</f>
        <v/>
      </c>
      <c r="V838" s="88" t="n"/>
      <c r="W838" s="100" t="n"/>
      <c r="X838" s="88" t="n"/>
      <c r="Y838" s="88" t="n"/>
      <c r="Z838" s="88" t="n"/>
    </row>
    <row r="839" hidden="1">
      <c r="A839" s="69">
        <f>ROW()-1</f>
        <v/>
      </c>
      <c r="B839" s="53" t="n"/>
      <c r="C839" s="78" t="n"/>
      <c r="D839" s="78" t="n"/>
      <c r="E839" s="53" t="n"/>
      <c r="H839" s="96" t="n"/>
      <c r="I839" s="76" t="n"/>
      <c r="J839" s="108" t="n"/>
      <c r="K839" s="108" t="n"/>
      <c r="L839" s="83">
        <f>IF(OR(X839="估算法",X839="算法类",X839="无法识别"),"",IF(V839="",IF(OR(I839="EI",I839="EO",I839="EQ"),0,""),LEN(V839)-LEN(SUBSTITUTE(V839,"、",""))+1))</f>
        <v/>
      </c>
      <c r="M839" s="83">
        <f>IF(OR(X839="估算法",X839="算法类",X839="无法识别"),"",IF(W839="",IF(OR(I839="ILF",I839="EIF"),0,""),LEN(W839)-LEN(SUBSTITUTE(W839,"、",""))+1))</f>
        <v/>
      </c>
      <c r="N839" s="83">
        <f>IF(OR(X839="估算法",X839="算法类",X839="无法识别"),"",IF(X839="",IF(OR(I839="ILF",I839="EIF",I839="EI",I839="EO",I839="EQ"),0,""),LEN(X839)-LEN(SUBSTITUTE(SUBSTITUTE(SUBSTITUTE(SUBSTITUTE(SUBSTITUTE(X839,"|}","--"),"{|","--"),CHAR(10),""),"、",""),"|",""))+IF(AND(OR(I839="EI",I839="EO",I839="EQ"),$AD$1="NESMA"),2,1)))</f>
        <v/>
      </c>
      <c r="O839" s="84">
        <f>IF(I839="EI",IF(OR(X839="估算法",X839="算法类"),"中",IF(X839="无法识别","低",IF(L839&lt;2,IF(N839&lt;16,"低","中"),IF(L839&lt;3,IF(N839&lt;5,"低",IF(N839&lt;16,"中","高")),IF(N839&lt;5,"中","高"))))),IF(OR(I839="EO",I839="EQ"),IF(OR(X839="估算法",X839="算法类"),"中",IF(X839="无法识别","低",IF(L839&lt;2,IF(N839&lt;20,"低","中"),IF(L839&lt;4,IF(N839&lt;6,"低",IF(N839&lt;20,"中","高")),IF(N839&lt;6,"中","高"))))),IF(OR(I839="ILF",I839="EIF"),IF(OR(X839="估算法",X839="算法类",X839="无法识别"),"低",IF(M839&lt;2,IF(N839&lt;51,"低","中"),IF(M839&lt;6,IF(N839&lt;20,"低",IF(N839&lt;51,"中","高")),IF(N839&lt;20,"中","高")))),"不计算")))</f>
        <v/>
      </c>
      <c r="P839" s="142">
        <f>IFERROR(IF(I839="EI",IF(O839="低",3,IF(O839="中",4,6)),IF(I839="EO",IF(O839="低",4,IF(O839="中",5,7)),IF(I839="EQ",IF(O839="低",3,IF(O839="中",4,6)),IF(I839="ILF",IF(O839="低",7,IF(O839="中",10,15)),IF(I839="EIF",IF(O839="低",5,IF(O839="中",7,10)),"不计算")))))*Q839,"不计算")</f>
        <v/>
      </c>
      <c r="Q839" s="142" t="n"/>
      <c r="R839" s="143">
        <f>调整因子!$F$13</f>
        <v/>
      </c>
      <c r="S839" s="70" t="n"/>
      <c r="T839" s="144">
        <f>IFERROR(P839*R839,0)</f>
        <v/>
      </c>
      <c r="U839" s="144">
        <f>T839*S839</f>
        <v/>
      </c>
      <c r="V839" s="88" t="n"/>
      <c r="W839" s="100" t="n"/>
      <c r="X839" s="88" t="n"/>
      <c r="Y839" s="88" t="n"/>
      <c r="Z839" s="88" t="n"/>
    </row>
    <row r="840" hidden="1">
      <c r="A840" s="69">
        <f>ROW()-1</f>
        <v/>
      </c>
      <c r="B840" s="53" t="n"/>
      <c r="C840" s="78" t="n"/>
      <c r="D840" s="78" t="n"/>
      <c r="E840" s="53" t="n"/>
      <c r="H840" s="96" t="n"/>
      <c r="I840" s="76" t="n"/>
      <c r="J840" s="108" t="n"/>
      <c r="K840" s="108" t="n"/>
      <c r="L840" s="83">
        <f>IF(OR(X840="估算法",X840="算法类",X840="无法识别"),"",IF(V840="",IF(OR(I840="EI",I840="EO",I840="EQ"),0,""),LEN(V840)-LEN(SUBSTITUTE(V840,"、",""))+1))</f>
        <v/>
      </c>
      <c r="M840" s="83">
        <f>IF(OR(X840="估算法",X840="算法类",X840="无法识别"),"",IF(W840="",IF(OR(I840="ILF",I840="EIF"),0,""),LEN(W840)-LEN(SUBSTITUTE(W840,"、",""))+1))</f>
        <v/>
      </c>
      <c r="N840" s="83">
        <f>IF(OR(X840="估算法",X840="算法类",X840="无法识别"),"",IF(X840="",IF(OR(I840="ILF",I840="EIF",I840="EI",I840="EO",I840="EQ"),0,""),LEN(X840)-LEN(SUBSTITUTE(SUBSTITUTE(SUBSTITUTE(SUBSTITUTE(SUBSTITUTE(X840,"|}","--"),"{|","--"),CHAR(10),""),"、",""),"|",""))+IF(AND(OR(I840="EI",I840="EO",I840="EQ"),$AD$1="NESMA"),2,1)))</f>
        <v/>
      </c>
      <c r="O840" s="84">
        <f>IF(I840="EI",IF(OR(X840="估算法",X840="算法类"),"中",IF(X840="无法识别","低",IF(L840&lt;2,IF(N840&lt;16,"低","中"),IF(L840&lt;3,IF(N840&lt;5,"低",IF(N840&lt;16,"中","高")),IF(N840&lt;5,"中","高"))))),IF(OR(I840="EO",I840="EQ"),IF(OR(X840="估算法",X840="算法类"),"中",IF(X840="无法识别","低",IF(L840&lt;2,IF(N840&lt;20,"低","中"),IF(L840&lt;4,IF(N840&lt;6,"低",IF(N840&lt;20,"中","高")),IF(N840&lt;6,"中","高"))))),IF(OR(I840="ILF",I840="EIF"),IF(OR(X840="估算法",X840="算法类",X840="无法识别"),"低",IF(M840&lt;2,IF(N840&lt;51,"低","中"),IF(M840&lt;6,IF(N840&lt;20,"低",IF(N840&lt;51,"中","高")),IF(N840&lt;20,"中","高")))),"不计算")))</f>
        <v/>
      </c>
      <c r="P840" s="142">
        <f>IFERROR(IF(I840="EI",IF(O840="低",3,IF(O840="中",4,6)),IF(I840="EO",IF(O840="低",4,IF(O840="中",5,7)),IF(I840="EQ",IF(O840="低",3,IF(O840="中",4,6)),IF(I840="ILF",IF(O840="低",7,IF(O840="中",10,15)),IF(I840="EIF",IF(O840="低",5,IF(O840="中",7,10)),"不计算")))))*Q840,"不计算")</f>
        <v/>
      </c>
      <c r="Q840" s="142" t="n"/>
      <c r="R840" s="143">
        <f>调整因子!$F$13</f>
        <v/>
      </c>
      <c r="S840" s="70" t="n"/>
      <c r="T840" s="144">
        <f>IFERROR(P840*R840,0)</f>
        <v/>
      </c>
      <c r="U840" s="144">
        <f>T840*S840</f>
        <v/>
      </c>
      <c r="V840" s="100" t="n"/>
      <c r="W840" s="88" t="n"/>
      <c r="X840" s="88" t="n"/>
      <c r="Y840" s="88" t="n"/>
      <c r="Z840" s="88" t="n"/>
    </row>
    <row r="841" hidden="1">
      <c r="A841" s="69">
        <f>ROW()-1</f>
        <v/>
      </c>
      <c r="B841" s="53" t="n"/>
      <c r="C841" s="78" t="n"/>
      <c r="D841" s="78" t="n"/>
      <c r="E841" s="53" t="n"/>
      <c r="H841" s="96" t="n"/>
      <c r="I841" s="76" t="n"/>
      <c r="J841" s="108" t="n"/>
      <c r="K841" s="108" t="n"/>
      <c r="L841" s="83">
        <f>IF(OR(X841="估算法",X841="算法类",X841="无法识别"),"",IF(V841="",IF(OR(I841="EI",I841="EO",I841="EQ"),0,""),LEN(V841)-LEN(SUBSTITUTE(V841,"、",""))+1))</f>
        <v/>
      </c>
      <c r="M841" s="83">
        <f>IF(OR(X841="估算法",X841="算法类",X841="无法识别"),"",IF(W841="",IF(OR(I841="ILF",I841="EIF"),0,""),LEN(W841)-LEN(SUBSTITUTE(W841,"、",""))+1))</f>
        <v/>
      </c>
      <c r="N841" s="83">
        <f>IF(OR(X841="估算法",X841="算法类",X841="无法识别"),"",IF(X841="",IF(OR(I841="ILF",I841="EIF",I841="EI",I841="EO",I841="EQ"),0,""),LEN(X841)-LEN(SUBSTITUTE(SUBSTITUTE(SUBSTITUTE(SUBSTITUTE(SUBSTITUTE(X841,"|}","--"),"{|","--"),CHAR(10),""),"、",""),"|",""))+IF(AND(OR(I841="EI",I841="EO",I841="EQ"),$AD$1="NESMA"),2,1)))</f>
        <v/>
      </c>
      <c r="O841" s="84">
        <f>IF(I841="EI",IF(OR(X841="估算法",X841="算法类"),"中",IF(X841="无法识别","低",IF(L841&lt;2,IF(N841&lt;16,"低","中"),IF(L841&lt;3,IF(N841&lt;5,"低",IF(N841&lt;16,"中","高")),IF(N841&lt;5,"中","高"))))),IF(OR(I841="EO",I841="EQ"),IF(OR(X841="估算法",X841="算法类"),"中",IF(X841="无法识别","低",IF(L841&lt;2,IF(N841&lt;20,"低","中"),IF(L841&lt;4,IF(N841&lt;6,"低",IF(N841&lt;20,"中","高")),IF(N841&lt;6,"中","高"))))),IF(OR(I841="ILF",I841="EIF"),IF(OR(X841="估算法",X841="算法类",X841="无法识别"),"低",IF(M841&lt;2,IF(N841&lt;51,"低","中"),IF(M841&lt;6,IF(N841&lt;20,"低",IF(N841&lt;51,"中","高")),IF(N841&lt;20,"中","高")))),"不计算")))</f>
        <v/>
      </c>
      <c r="P841" s="142">
        <f>IFERROR(IF(I841="EI",IF(O841="低",3,IF(O841="中",4,6)),IF(I841="EO",IF(O841="低",4,IF(O841="中",5,7)),IF(I841="EQ",IF(O841="低",3,IF(O841="中",4,6)),IF(I841="ILF",IF(O841="低",7,IF(O841="中",10,15)),IF(I841="EIF",IF(O841="低",5,IF(O841="中",7,10)),"不计算")))))*Q841,"不计算")</f>
        <v/>
      </c>
      <c r="Q841" s="142" t="n"/>
      <c r="R841" s="143">
        <f>调整因子!$F$13</f>
        <v/>
      </c>
      <c r="S841" s="76" t="n"/>
      <c r="T841" s="144">
        <f>IFERROR(P841*R841,0)</f>
        <v/>
      </c>
      <c r="U841" s="144">
        <f>T841*S841</f>
        <v/>
      </c>
      <c r="V841" s="88" t="n"/>
      <c r="W841" s="100" t="n"/>
      <c r="X841" s="88" t="n"/>
      <c r="Y841" s="88" t="n"/>
      <c r="Z841" s="88" t="n"/>
    </row>
    <row r="842" hidden="1">
      <c r="A842" s="69">
        <f>ROW()-1</f>
        <v/>
      </c>
      <c r="B842" s="53" t="n"/>
      <c r="C842" s="78" t="n"/>
      <c r="D842" s="78" t="n"/>
      <c r="E842" s="53" t="n"/>
      <c r="H842" s="96" t="n"/>
      <c r="I842" s="76" t="n"/>
      <c r="J842" s="108" t="n"/>
      <c r="K842" s="108" t="n"/>
      <c r="L842" s="83">
        <f>IF(OR(X842="估算法",X842="算法类",X842="无法识别"),"",IF(V842="",IF(OR(I842="EI",I842="EO",I842="EQ"),0,""),LEN(V842)-LEN(SUBSTITUTE(V842,"、",""))+1))</f>
        <v/>
      </c>
      <c r="M842" s="83">
        <f>IF(OR(X842="估算法",X842="算法类",X842="无法识别"),"",IF(W842="",IF(OR(I842="ILF",I842="EIF"),0,""),LEN(W842)-LEN(SUBSTITUTE(W842,"、",""))+1))</f>
        <v/>
      </c>
      <c r="N842" s="83">
        <f>IF(OR(X842="估算法",X842="算法类",X842="无法识别"),"",IF(X842="",IF(OR(I842="ILF",I842="EIF",I842="EI",I842="EO",I842="EQ"),0,""),LEN(X842)-LEN(SUBSTITUTE(SUBSTITUTE(SUBSTITUTE(SUBSTITUTE(SUBSTITUTE(X842,"|}","--"),"{|","--"),CHAR(10),""),"、",""),"|",""))+IF(AND(OR(I842="EI",I842="EO",I842="EQ"),$AD$1="NESMA"),2,1)))</f>
        <v/>
      </c>
      <c r="O842" s="84">
        <f>IF(I842="EI",IF(OR(X842="估算法",X842="算法类"),"中",IF(X842="无法识别","低",IF(L842&lt;2,IF(N842&lt;16,"低","中"),IF(L842&lt;3,IF(N842&lt;5,"低",IF(N842&lt;16,"中","高")),IF(N842&lt;5,"中","高"))))),IF(OR(I842="EO",I842="EQ"),IF(OR(X842="估算法",X842="算法类"),"中",IF(X842="无法识别","低",IF(L842&lt;2,IF(N842&lt;20,"低","中"),IF(L842&lt;4,IF(N842&lt;6,"低",IF(N842&lt;20,"中","高")),IF(N842&lt;6,"中","高"))))),IF(OR(I842="ILF",I842="EIF"),IF(OR(X842="估算法",X842="算法类",X842="无法识别"),"低",IF(M842&lt;2,IF(N842&lt;51,"低","中"),IF(M842&lt;6,IF(N842&lt;20,"低",IF(N842&lt;51,"中","高")),IF(N842&lt;20,"中","高")))),"不计算")))</f>
        <v/>
      </c>
      <c r="P842" s="142">
        <f>IFERROR(IF(I842="EI",IF(O842="低",3,IF(O842="中",4,6)),IF(I842="EO",IF(O842="低",4,IF(O842="中",5,7)),IF(I842="EQ",IF(O842="低",3,IF(O842="中",4,6)),IF(I842="ILF",IF(O842="低",7,IF(O842="中",10,15)),IF(I842="EIF",IF(O842="低",5,IF(O842="中",7,10)),"不计算")))))*Q842,"不计算")</f>
        <v/>
      </c>
      <c r="Q842" s="142" t="n"/>
      <c r="R842" s="143">
        <f>调整因子!$F$13</f>
        <v/>
      </c>
      <c r="S842" s="70" t="n"/>
      <c r="T842" s="144">
        <f>IFERROR(P842*R842,0)</f>
        <v/>
      </c>
      <c r="U842" s="144">
        <f>T842*S842</f>
        <v/>
      </c>
      <c r="V842" s="88" t="n"/>
      <c r="W842" s="100" t="n"/>
      <c r="X842" s="88" t="n"/>
      <c r="Y842" s="88" t="n"/>
      <c r="Z842" s="88" t="n"/>
    </row>
    <row r="843" hidden="1">
      <c r="A843" s="69">
        <f>ROW()-1</f>
        <v/>
      </c>
      <c r="B843" s="53" t="n"/>
      <c r="C843" s="78" t="n"/>
      <c r="D843" s="78" t="n"/>
      <c r="E843" s="53" t="n"/>
      <c r="H843" s="96" t="n"/>
      <c r="I843" s="76" t="n"/>
      <c r="J843" s="108" t="n"/>
      <c r="K843" s="108" t="n"/>
      <c r="L843" s="83">
        <f>IF(OR(X843="估算法",X843="算法类",X843="无法识别"),"",IF(V843="",IF(OR(I843="EI",I843="EO",I843="EQ"),0,""),LEN(V843)-LEN(SUBSTITUTE(V843,"、",""))+1))</f>
        <v/>
      </c>
      <c r="M843" s="83">
        <f>IF(OR(X843="估算法",X843="算法类",X843="无法识别"),"",IF(W843="",IF(OR(I843="ILF",I843="EIF"),0,""),LEN(W843)-LEN(SUBSTITUTE(W843,"、",""))+1))</f>
        <v/>
      </c>
      <c r="N843" s="83">
        <f>IF(OR(X843="估算法",X843="算法类",X843="无法识别"),"",IF(X843="",IF(OR(I843="ILF",I843="EIF",I843="EI",I843="EO",I843="EQ"),0,""),LEN(X843)-LEN(SUBSTITUTE(SUBSTITUTE(SUBSTITUTE(SUBSTITUTE(SUBSTITUTE(X843,"|}","--"),"{|","--"),CHAR(10),""),"、",""),"|",""))+IF(AND(OR(I843="EI",I843="EO",I843="EQ"),$AD$1="NESMA"),2,1)))</f>
        <v/>
      </c>
      <c r="O843" s="84">
        <f>IF(I843="EI",IF(OR(X843="估算法",X843="算法类"),"中",IF(X843="无法识别","低",IF(L843&lt;2,IF(N843&lt;16,"低","中"),IF(L843&lt;3,IF(N843&lt;5,"低",IF(N843&lt;16,"中","高")),IF(N843&lt;5,"中","高"))))),IF(OR(I843="EO",I843="EQ"),IF(OR(X843="估算法",X843="算法类"),"中",IF(X843="无法识别","低",IF(L843&lt;2,IF(N843&lt;20,"低","中"),IF(L843&lt;4,IF(N843&lt;6,"低",IF(N843&lt;20,"中","高")),IF(N843&lt;6,"中","高"))))),IF(OR(I843="ILF",I843="EIF"),IF(OR(X843="估算法",X843="算法类",X843="无法识别"),"低",IF(M843&lt;2,IF(N843&lt;51,"低","中"),IF(M843&lt;6,IF(N843&lt;20,"低",IF(N843&lt;51,"中","高")),IF(N843&lt;20,"中","高")))),"不计算")))</f>
        <v/>
      </c>
      <c r="P843" s="142">
        <f>IFERROR(IF(I843="EI",IF(O843="低",3,IF(O843="中",4,6)),IF(I843="EO",IF(O843="低",4,IF(O843="中",5,7)),IF(I843="EQ",IF(O843="低",3,IF(O843="中",4,6)),IF(I843="ILF",IF(O843="低",7,IF(O843="中",10,15)),IF(I843="EIF",IF(O843="低",5,IF(O843="中",7,10)),"不计算")))))*Q843,"不计算")</f>
        <v/>
      </c>
      <c r="Q843" s="142" t="n"/>
      <c r="R843" s="143">
        <f>调整因子!$F$13</f>
        <v/>
      </c>
      <c r="S843" s="70" t="n"/>
      <c r="T843" s="144">
        <f>IFERROR(P843*R843,0)</f>
        <v/>
      </c>
      <c r="U843" s="144">
        <f>T843*S843</f>
        <v/>
      </c>
      <c r="V843" s="88" t="n"/>
      <c r="W843" s="100" t="n"/>
      <c r="X843" s="88" t="n"/>
      <c r="Y843" s="88" t="n"/>
      <c r="Z843" s="88" t="n"/>
    </row>
    <row r="844" hidden="1">
      <c r="A844" s="69">
        <f>ROW()-1</f>
        <v/>
      </c>
      <c r="B844" s="53" t="n"/>
      <c r="C844" s="78" t="n"/>
      <c r="D844" s="78" t="n"/>
      <c r="E844" s="53" t="n"/>
      <c r="H844" s="96" t="n"/>
      <c r="I844" s="76" t="n"/>
      <c r="J844" s="108" t="n"/>
      <c r="K844" s="108" t="n"/>
      <c r="L844" s="83">
        <f>IF(OR(X844="估算法",X844="算法类",X844="无法识别"),"",IF(V844="",IF(OR(I844="EI",I844="EO",I844="EQ"),0,""),LEN(V844)-LEN(SUBSTITUTE(V844,"、",""))+1))</f>
        <v/>
      </c>
      <c r="M844" s="83">
        <f>IF(OR(X844="估算法",X844="算法类",X844="无法识别"),"",IF(W844="",IF(OR(I844="ILF",I844="EIF"),0,""),LEN(W844)-LEN(SUBSTITUTE(W844,"、",""))+1))</f>
        <v/>
      </c>
      <c r="N844" s="83">
        <f>IF(OR(X844="估算法",X844="算法类",X844="无法识别"),"",IF(X844="",IF(OR(I844="ILF",I844="EIF",I844="EI",I844="EO",I844="EQ"),0,""),LEN(X844)-LEN(SUBSTITUTE(SUBSTITUTE(SUBSTITUTE(SUBSTITUTE(SUBSTITUTE(X844,"|}","--"),"{|","--"),CHAR(10),""),"、",""),"|",""))+IF(AND(OR(I844="EI",I844="EO",I844="EQ"),$AD$1="NESMA"),2,1)))</f>
        <v/>
      </c>
      <c r="O844" s="84">
        <f>IF(I844="EI",IF(OR(X844="估算法",X844="算法类"),"中",IF(X844="无法识别","低",IF(L844&lt;2,IF(N844&lt;16,"低","中"),IF(L844&lt;3,IF(N844&lt;5,"低",IF(N844&lt;16,"中","高")),IF(N844&lt;5,"中","高"))))),IF(OR(I844="EO",I844="EQ"),IF(OR(X844="估算法",X844="算法类"),"中",IF(X844="无法识别","低",IF(L844&lt;2,IF(N844&lt;20,"低","中"),IF(L844&lt;4,IF(N844&lt;6,"低",IF(N844&lt;20,"中","高")),IF(N844&lt;6,"中","高"))))),IF(OR(I844="ILF",I844="EIF"),IF(OR(X844="估算法",X844="算法类",X844="无法识别"),"低",IF(M844&lt;2,IF(N844&lt;51,"低","中"),IF(M844&lt;6,IF(N844&lt;20,"低",IF(N844&lt;51,"中","高")),IF(N844&lt;20,"中","高")))),"不计算")))</f>
        <v/>
      </c>
      <c r="P844" s="142">
        <f>IFERROR(IF(I844="EI",IF(O844="低",3,IF(O844="中",4,6)),IF(I844="EO",IF(O844="低",4,IF(O844="中",5,7)),IF(I844="EQ",IF(O844="低",3,IF(O844="中",4,6)),IF(I844="ILF",IF(O844="低",7,IF(O844="中",10,15)),IF(I844="EIF",IF(O844="低",5,IF(O844="中",7,10)),"不计算")))))*Q844,"不计算")</f>
        <v/>
      </c>
      <c r="Q844" s="142" t="n"/>
      <c r="R844" s="143">
        <f>调整因子!$F$13</f>
        <v/>
      </c>
      <c r="S844" s="76" t="n"/>
      <c r="T844" s="144">
        <f>IFERROR(P844*R844,0)</f>
        <v/>
      </c>
      <c r="U844" s="144">
        <f>T844*S844</f>
        <v/>
      </c>
      <c r="V844" s="100" t="n"/>
      <c r="W844" s="88" t="n"/>
      <c r="X844" s="88" t="n"/>
      <c r="Y844" s="88" t="n"/>
      <c r="Z844" s="88" t="n"/>
    </row>
    <row r="845" hidden="1">
      <c r="A845" s="69">
        <f>ROW()-1</f>
        <v/>
      </c>
      <c r="B845" s="53" t="n"/>
      <c r="C845" s="78" t="n"/>
      <c r="D845" s="78" t="n"/>
      <c r="E845" s="53" t="n"/>
      <c r="H845" s="96" t="n"/>
      <c r="I845" s="76" t="n"/>
      <c r="J845" s="108" t="n"/>
      <c r="K845" s="108" t="n"/>
      <c r="L845" s="83">
        <f>IF(OR(X845="估算法",X845="算法类",X845="无法识别"),"",IF(V845="",IF(OR(I845="EI",I845="EO",I845="EQ"),0,""),LEN(V845)-LEN(SUBSTITUTE(V845,"、",""))+1))</f>
        <v/>
      </c>
      <c r="M845" s="83">
        <f>IF(OR(X845="估算法",X845="算法类",X845="无法识别"),"",IF(W845="",IF(OR(I845="ILF",I845="EIF"),0,""),LEN(W845)-LEN(SUBSTITUTE(W845,"、",""))+1))</f>
        <v/>
      </c>
      <c r="N845" s="83">
        <f>IF(OR(X845="估算法",X845="算法类",X845="无法识别"),"",IF(X845="",IF(OR(I845="ILF",I845="EIF",I845="EI",I845="EO",I845="EQ"),0,""),LEN(X845)-LEN(SUBSTITUTE(SUBSTITUTE(SUBSTITUTE(SUBSTITUTE(SUBSTITUTE(X845,"|}","--"),"{|","--"),CHAR(10),""),"、",""),"|",""))+IF(AND(OR(I845="EI",I845="EO",I845="EQ"),$AD$1="NESMA"),2,1)))</f>
        <v/>
      </c>
      <c r="O845" s="84">
        <f>IF(I845="EI",IF(OR(X845="估算法",X845="算法类"),"中",IF(X845="无法识别","低",IF(L845&lt;2,IF(N845&lt;16,"低","中"),IF(L845&lt;3,IF(N845&lt;5,"低",IF(N845&lt;16,"中","高")),IF(N845&lt;5,"中","高"))))),IF(OR(I845="EO",I845="EQ"),IF(OR(X845="估算法",X845="算法类"),"中",IF(X845="无法识别","低",IF(L845&lt;2,IF(N845&lt;20,"低","中"),IF(L845&lt;4,IF(N845&lt;6,"低",IF(N845&lt;20,"中","高")),IF(N845&lt;6,"中","高"))))),IF(OR(I845="ILF",I845="EIF"),IF(OR(X845="估算法",X845="算法类",X845="无法识别"),"低",IF(M845&lt;2,IF(N845&lt;51,"低","中"),IF(M845&lt;6,IF(N845&lt;20,"低",IF(N845&lt;51,"中","高")),IF(N845&lt;20,"中","高")))),"不计算")))</f>
        <v/>
      </c>
      <c r="P845" s="142">
        <f>IFERROR(IF(I845="EI",IF(O845="低",3,IF(O845="中",4,6)),IF(I845="EO",IF(O845="低",4,IF(O845="中",5,7)),IF(I845="EQ",IF(O845="低",3,IF(O845="中",4,6)),IF(I845="ILF",IF(O845="低",7,IF(O845="中",10,15)),IF(I845="EIF",IF(O845="低",5,IF(O845="中",7,10)),"不计算")))))*Q845,"不计算")</f>
        <v/>
      </c>
      <c r="Q845" s="142" t="n"/>
      <c r="R845" s="143">
        <f>调整因子!$F$13</f>
        <v/>
      </c>
      <c r="S845" s="76" t="n"/>
      <c r="T845" s="144">
        <f>IFERROR(P845*R845,0)</f>
        <v/>
      </c>
      <c r="U845" s="144">
        <f>T845*S845</f>
        <v/>
      </c>
      <c r="V845" s="88" t="n"/>
      <c r="W845" s="100" t="n"/>
      <c r="X845" s="88" t="n"/>
      <c r="Y845" s="88" t="n"/>
      <c r="Z845" s="88" t="n"/>
    </row>
    <row r="846" hidden="1">
      <c r="A846" s="69">
        <f>ROW()-1</f>
        <v/>
      </c>
      <c r="B846" s="53" t="n"/>
      <c r="C846" s="78" t="n"/>
      <c r="D846" s="78" t="n"/>
      <c r="E846" s="53" t="n"/>
      <c r="H846" s="96" t="n"/>
      <c r="I846" s="76" t="n"/>
      <c r="J846" s="108" t="n"/>
      <c r="K846" s="108" t="n"/>
      <c r="L846" s="83">
        <f>IF(OR(X846="估算法",X846="算法类",X846="无法识别"),"",IF(V846="",IF(OR(I846="EI",I846="EO",I846="EQ"),0,""),LEN(V846)-LEN(SUBSTITUTE(V846,"、",""))+1))</f>
        <v/>
      </c>
      <c r="M846" s="83">
        <f>IF(OR(X846="估算法",X846="算法类",X846="无法识别"),"",IF(W846="",IF(OR(I846="ILF",I846="EIF"),0,""),LEN(W846)-LEN(SUBSTITUTE(W846,"、",""))+1))</f>
        <v/>
      </c>
      <c r="N846" s="83">
        <f>IF(OR(X846="估算法",X846="算法类",X846="无法识别"),"",IF(X846="",IF(OR(I846="ILF",I846="EIF",I846="EI",I846="EO",I846="EQ"),0,""),LEN(X846)-LEN(SUBSTITUTE(SUBSTITUTE(SUBSTITUTE(SUBSTITUTE(SUBSTITUTE(X846,"|}","--"),"{|","--"),CHAR(10),""),"、",""),"|",""))+IF(AND(OR(I846="EI",I846="EO",I846="EQ"),$AD$1="NESMA"),2,1)))</f>
        <v/>
      </c>
      <c r="O846" s="84">
        <f>IF(I846="EI",IF(OR(X846="估算法",X846="算法类"),"中",IF(X846="无法识别","低",IF(L846&lt;2,IF(N846&lt;16,"低","中"),IF(L846&lt;3,IF(N846&lt;5,"低",IF(N846&lt;16,"中","高")),IF(N846&lt;5,"中","高"))))),IF(OR(I846="EO",I846="EQ"),IF(OR(X846="估算法",X846="算法类"),"中",IF(X846="无法识别","低",IF(L846&lt;2,IF(N846&lt;20,"低","中"),IF(L846&lt;4,IF(N846&lt;6,"低",IF(N846&lt;20,"中","高")),IF(N846&lt;6,"中","高"))))),IF(OR(I846="ILF",I846="EIF"),IF(OR(X846="估算法",X846="算法类",X846="无法识别"),"低",IF(M846&lt;2,IF(N846&lt;51,"低","中"),IF(M846&lt;6,IF(N846&lt;20,"低",IF(N846&lt;51,"中","高")),IF(N846&lt;20,"中","高")))),"不计算")))</f>
        <v/>
      </c>
      <c r="P846" s="142">
        <f>IFERROR(IF(I846="EI",IF(O846="低",3,IF(O846="中",4,6)),IF(I846="EO",IF(O846="低",4,IF(O846="中",5,7)),IF(I846="EQ",IF(O846="低",3,IF(O846="中",4,6)),IF(I846="ILF",IF(O846="低",7,IF(O846="中",10,15)),IF(I846="EIF",IF(O846="低",5,IF(O846="中",7,10)),"不计算")))))*Q846,"不计算")</f>
        <v/>
      </c>
      <c r="Q846" s="142" t="n"/>
      <c r="R846" s="143">
        <f>调整因子!$F$13</f>
        <v/>
      </c>
      <c r="S846" s="70" t="n"/>
      <c r="T846" s="144">
        <f>IFERROR(P846*R846,0)</f>
        <v/>
      </c>
      <c r="U846" s="144">
        <f>T846*S846</f>
        <v/>
      </c>
      <c r="V846" s="88" t="n"/>
      <c r="W846" s="100" t="n"/>
      <c r="X846" s="88" t="n"/>
      <c r="Y846" s="88" t="n"/>
      <c r="Z846" s="88" t="n"/>
    </row>
    <row r="847" hidden="1">
      <c r="A847" s="69">
        <f>ROW()-1</f>
        <v/>
      </c>
      <c r="B847" s="53" t="n"/>
      <c r="C847" s="78" t="n"/>
      <c r="D847" s="78" t="n"/>
      <c r="E847" s="53" t="n"/>
      <c r="H847" s="96" t="n"/>
      <c r="I847" s="76" t="n"/>
      <c r="J847" s="108" t="n"/>
      <c r="K847" s="108" t="n"/>
      <c r="L847" s="83">
        <f>IF(OR(X847="估算法",X847="算法类",X847="无法识别"),"",IF(V847="",IF(OR(I847="EI",I847="EO",I847="EQ"),0,""),LEN(V847)-LEN(SUBSTITUTE(V847,"、",""))+1))</f>
        <v/>
      </c>
      <c r="M847" s="83">
        <f>IF(OR(X847="估算法",X847="算法类",X847="无法识别"),"",IF(W847="",IF(OR(I847="ILF",I847="EIF"),0,""),LEN(W847)-LEN(SUBSTITUTE(W847,"、",""))+1))</f>
        <v/>
      </c>
      <c r="N847" s="83">
        <f>IF(OR(X847="估算法",X847="算法类",X847="无法识别"),"",IF(X847="",IF(OR(I847="ILF",I847="EIF",I847="EI",I847="EO",I847="EQ"),0,""),LEN(X847)-LEN(SUBSTITUTE(SUBSTITUTE(SUBSTITUTE(SUBSTITUTE(SUBSTITUTE(X847,"|}","--"),"{|","--"),CHAR(10),""),"、",""),"|",""))+IF(AND(OR(I847="EI",I847="EO",I847="EQ"),$AD$1="NESMA"),2,1)))</f>
        <v/>
      </c>
      <c r="O847" s="84">
        <f>IF(I847="EI",IF(OR(X847="估算法",X847="算法类"),"中",IF(X847="无法识别","低",IF(L847&lt;2,IF(N847&lt;16,"低","中"),IF(L847&lt;3,IF(N847&lt;5,"低",IF(N847&lt;16,"中","高")),IF(N847&lt;5,"中","高"))))),IF(OR(I847="EO",I847="EQ"),IF(OR(X847="估算法",X847="算法类"),"中",IF(X847="无法识别","低",IF(L847&lt;2,IF(N847&lt;20,"低","中"),IF(L847&lt;4,IF(N847&lt;6,"低",IF(N847&lt;20,"中","高")),IF(N847&lt;6,"中","高"))))),IF(OR(I847="ILF",I847="EIF"),IF(OR(X847="估算法",X847="算法类",X847="无法识别"),"低",IF(M847&lt;2,IF(N847&lt;51,"低","中"),IF(M847&lt;6,IF(N847&lt;20,"低",IF(N847&lt;51,"中","高")),IF(N847&lt;20,"中","高")))),"不计算")))</f>
        <v/>
      </c>
      <c r="P847" s="142">
        <f>IFERROR(IF(I847="EI",IF(O847="低",3,IF(O847="中",4,6)),IF(I847="EO",IF(O847="低",4,IF(O847="中",5,7)),IF(I847="EQ",IF(O847="低",3,IF(O847="中",4,6)),IF(I847="ILF",IF(O847="低",7,IF(O847="中",10,15)),IF(I847="EIF",IF(O847="低",5,IF(O847="中",7,10)),"不计算")))))*Q847,"不计算")</f>
        <v/>
      </c>
      <c r="Q847" s="142" t="n"/>
      <c r="R847" s="143">
        <f>调整因子!$F$13</f>
        <v/>
      </c>
      <c r="S847" s="70" t="n"/>
      <c r="T847" s="144">
        <f>IFERROR(P847*R847,0)</f>
        <v/>
      </c>
      <c r="U847" s="144">
        <f>T847*S847</f>
        <v/>
      </c>
      <c r="V847" s="88" t="n"/>
      <c r="W847" s="100" t="n"/>
      <c r="X847" s="88" t="n"/>
      <c r="Y847" s="88" t="n"/>
      <c r="Z847" s="88" t="n"/>
    </row>
    <row r="848" hidden="1">
      <c r="A848" s="69">
        <f>ROW()-1</f>
        <v/>
      </c>
      <c r="B848" s="53" t="n"/>
      <c r="C848" s="78" t="n"/>
      <c r="D848" s="78" t="n"/>
      <c r="E848" s="53" t="n"/>
      <c r="H848" s="96" t="n"/>
      <c r="I848" s="76" t="n"/>
      <c r="J848" s="108" t="n"/>
      <c r="K848" s="108" t="n"/>
      <c r="L848" s="83">
        <f>IF(OR(X848="估算法",X848="算法类",X848="无法识别"),"",IF(V848="",IF(OR(I848="EI",I848="EO",I848="EQ"),0,""),LEN(V848)-LEN(SUBSTITUTE(V848,"、",""))+1))</f>
        <v/>
      </c>
      <c r="M848" s="83">
        <f>IF(OR(X848="估算法",X848="算法类",X848="无法识别"),"",IF(W848="",IF(OR(I848="ILF",I848="EIF"),0,""),LEN(W848)-LEN(SUBSTITUTE(W848,"、",""))+1))</f>
        <v/>
      </c>
      <c r="N848" s="83">
        <f>IF(OR(X848="估算法",X848="算法类",X848="无法识别"),"",IF(X848="",IF(OR(I848="ILF",I848="EIF",I848="EI",I848="EO",I848="EQ"),0,""),LEN(X848)-LEN(SUBSTITUTE(SUBSTITUTE(SUBSTITUTE(SUBSTITUTE(SUBSTITUTE(X848,"|}","--"),"{|","--"),CHAR(10),""),"、",""),"|",""))+IF(AND(OR(I848="EI",I848="EO",I848="EQ"),$AD$1="NESMA"),2,1)))</f>
        <v/>
      </c>
      <c r="O848" s="84">
        <f>IF(I848="EI",IF(OR(X848="估算法",X848="算法类"),"中",IF(X848="无法识别","低",IF(L848&lt;2,IF(N848&lt;16,"低","中"),IF(L848&lt;3,IF(N848&lt;5,"低",IF(N848&lt;16,"中","高")),IF(N848&lt;5,"中","高"))))),IF(OR(I848="EO",I848="EQ"),IF(OR(X848="估算法",X848="算法类"),"中",IF(X848="无法识别","低",IF(L848&lt;2,IF(N848&lt;20,"低","中"),IF(L848&lt;4,IF(N848&lt;6,"低",IF(N848&lt;20,"中","高")),IF(N848&lt;6,"中","高"))))),IF(OR(I848="ILF",I848="EIF"),IF(OR(X848="估算法",X848="算法类",X848="无法识别"),"低",IF(M848&lt;2,IF(N848&lt;51,"低","中"),IF(M848&lt;6,IF(N848&lt;20,"低",IF(N848&lt;51,"中","高")),IF(N848&lt;20,"中","高")))),"不计算")))</f>
        <v/>
      </c>
      <c r="P848" s="142">
        <f>IFERROR(IF(I848="EI",IF(O848="低",3,IF(O848="中",4,6)),IF(I848="EO",IF(O848="低",4,IF(O848="中",5,7)),IF(I848="EQ",IF(O848="低",3,IF(O848="中",4,6)),IF(I848="ILF",IF(O848="低",7,IF(O848="中",10,15)),IF(I848="EIF",IF(O848="低",5,IF(O848="中",7,10)),"不计算")))))*Q848,"不计算")</f>
        <v/>
      </c>
      <c r="Q848" s="142" t="n"/>
      <c r="R848" s="143">
        <f>调整因子!$F$13</f>
        <v/>
      </c>
      <c r="S848" s="76" t="n"/>
      <c r="T848" s="144">
        <f>IFERROR(P848*R848,0)</f>
        <v/>
      </c>
      <c r="U848" s="144">
        <f>T848*S848</f>
        <v/>
      </c>
      <c r="V848" s="100" t="n"/>
      <c r="W848" s="88" t="n"/>
      <c r="X848" s="88" t="n"/>
      <c r="Y848" s="88" t="n"/>
      <c r="Z848" s="88" t="n"/>
    </row>
    <row r="849" hidden="1">
      <c r="A849" s="69">
        <f>ROW()-1</f>
        <v/>
      </c>
      <c r="B849" s="53" t="n"/>
      <c r="C849" s="78" t="n"/>
      <c r="D849" s="78" t="n"/>
      <c r="E849" s="53" t="n"/>
      <c r="H849" s="96" t="n"/>
      <c r="I849" s="76" t="n"/>
      <c r="J849" s="108" t="n"/>
      <c r="K849" s="108" t="n"/>
      <c r="L849" s="83">
        <f>IF(OR(X849="估算法",X849="算法类",X849="无法识别"),"",IF(V849="",IF(OR(I849="EI",I849="EO",I849="EQ"),0,""),LEN(V849)-LEN(SUBSTITUTE(V849,"、",""))+1))</f>
        <v/>
      </c>
      <c r="M849" s="83">
        <f>IF(OR(X849="估算法",X849="算法类",X849="无法识别"),"",IF(W849="",IF(OR(I849="ILF",I849="EIF"),0,""),LEN(W849)-LEN(SUBSTITUTE(W849,"、",""))+1))</f>
        <v/>
      </c>
      <c r="N849" s="83">
        <f>IF(OR(X849="估算法",X849="算法类",X849="无法识别"),"",IF(X849="",IF(OR(I849="ILF",I849="EIF",I849="EI",I849="EO",I849="EQ"),0,""),LEN(X849)-LEN(SUBSTITUTE(SUBSTITUTE(SUBSTITUTE(SUBSTITUTE(SUBSTITUTE(X849,"|}","--"),"{|","--"),CHAR(10),""),"、",""),"|",""))+IF(AND(OR(I849="EI",I849="EO",I849="EQ"),$AD$1="NESMA"),2,1)))</f>
        <v/>
      </c>
      <c r="O849" s="84">
        <f>IF(I849="EI",IF(OR(X849="估算法",X849="算法类"),"中",IF(X849="无法识别","低",IF(L849&lt;2,IF(N849&lt;16,"低","中"),IF(L849&lt;3,IF(N849&lt;5,"低",IF(N849&lt;16,"中","高")),IF(N849&lt;5,"中","高"))))),IF(OR(I849="EO",I849="EQ"),IF(OR(X849="估算法",X849="算法类"),"中",IF(X849="无法识别","低",IF(L849&lt;2,IF(N849&lt;20,"低","中"),IF(L849&lt;4,IF(N849&lt;6,"低",IF(N849&lt;20,"中","高")),IF(N849&lt;6,"中","高"))))),IF(OR(I849="ILF",I849="EIF"),IF(OR(X849="估算法",X849="算法类",X849="无法识别"),"低",IF(M849&lt;2,IF(N849&lt;51,"低","中"),IF(M849&lt;6,IF(N849&lt;20,"低",IF(N849&lt;51,"中","高")),IF(N849&lt;20,"中","高")))),"不计算")))</f>
        <v/>
      </c>
      <c r="P849" s="142">
        <f>IFERROR(IF(I849="EI",IF(O849="低",3,IF(O849="中",4,6)),IF(I849="EO",IF(O849="低",4,IF(O849="中",5,7)),IF(I849="EQ",IF(O849="低",3,IF(O849="中",4,6)),IF(I849="ILF",IF(O849="低",7,IF(O849="中",10,15)),IF(I849="EIF",IF(O849="低",5,IF(O849="中",7,10)),"不计算")))))*Q849,"不计算")</f>
        <v/>
      </c>
      <c r="Q849" s="142" t="n"/>
      <c r="R849" s="143">
        <f>调整因子!$F$13</f>
        <v/>
      </c>
      <c r="S849" s="70" t="n"/>
      <c r="T849" s="144">
        <f>IFERROR(P849*R849,0)</f>
        <v/>
      </c>
      <c r="U849" s="144">
        <f>T849*S849</f>
        <v/>
      </c>
      <c r="V849" s="88" t="n"/>
      <c r="W849" s="100" t="n"/>
      <c r="X849" s="88" t="n"/>
      <c r="Y849" s="88" t="n"/>
      <c r="Z849" s="88" t="n"/>
    </row>
    <row r="850" hidden="1">
      <c r="A850" s="69">
        <f>ROW()-1</f>
        <v/>
      </c>
      <c r="B850" s="53" t="n"/>
      <c r="C850" s="78" t="n"/>
      <c r="D850" s="78" t="n"/>
      <c r="E850" s="53" t="n"/>
      <c r="H850" s="96" t="n"/>
      <c r="I850" s="76" t="n"/>
      <c r="J850" s="108" t="n"/>
      <c r="K850" s="108" t="n"/>
      <c r="L850" s="83">
        <f>IF(OR(X850="估算法",X850="算法类",X850="无法识别"),"",IF(V850="",IF(OR(I850="EI",I850="EO",I850="EQ"),0,""),LEN(V850)-LEN(SUBSTITUTE(V850,"、",""))+1))</f>
        <v/>
      </c>
      <c r="M850" s="83">
        <f>IF(OR(X850="估算法",X850="算法类",X850="无法识别"),"",IF(W850="",IF(OR(I850="ILF",I850="EIF"),0,""),LEN(W850)-LEN(SUBSTITUTE(W850,"、",""))+1))</f>
        <v/>
      </c>
      <c r="N850" s="83">
        <f>IF(OR(X850="估算法",X850="算法类",X850="无法识别"),"",IF(X850="",IF(OR(I850="ILF",I850="EIF",I850="EI",I850="EO",I850="EQ"),0,""),LEN(X850)-LEN(SUBSTITUTE(SUBSTITUTE(SUBSTITUTE(SUBSTITUTE(SUBSTITUTE(X850,"|}","--"),"{|","--"),CHAR(10),""),"、",""),"|",""))+IF(AND(OR(I850="EI",I850="EO",I850="EQ"),$AD$1="NESMA"),2,1)))</f>
        <v/>
      </c>
      <c r="O850" s="84">
        <f>IF(I850="EI",IF(OR(X850="估算法",X850="算法类"),"中",IF(X850="无法识别","低",IF(L850&lt;2,IF(N850&lt;16,"低","中"),IF(L850&lt;3,IF(N850&lt;5,"低",IF(N850&lt;16,"中","高")),IF(N850&lt;5,"中","高"))))),IF(OR(I850="EO",I850="EQ"),IF(OR(X850="估算法",X850="算法类"),"中",IF(X850="无法识别","低",IF(L850&lt;2,IF(N850&lt;20,"低","中"),IF(L850&lt;4,IF(N850&lt;6,"低",IF(N850&lt;20,"中","高")),IF(N850&lt;6,"中","高"))))),IF(OR(I850="ILF",I850="EIF"),IF(OR(X850="估算法",X850="算法类",X850="无法识别"),"低",IF(M850&lt;2,IF(N850&lt;51,"低","中"),IF(M850&lt;6,IF(N850&lt;20,"低",IF(N850&lt;51,"中","高")),IF(N850&lt;20,"中","高")))),"不计算")))</f>
        <v/>
      </c>
      <c r="P850" s="142">
        <f>IFERROR(IF(I850="EI",IF(O850="低",3,IF(O850="中",4,6)),IF(I850="EO",IF(O850="低",4,IF(O850="中",5,7)),IF(I850="EQ",IF(O850="低",3,IF(O850="中",4,6)),IF(I850="ILF",IF(O850="低",7,IF(O850="中",10,15)),IF(I850="EIF",IF(O850="低",5,IF(O850="中",7,10)),"不计算")))))*Q850,"不计算")</f>
        <v/>
      </c>
      <c r="Q850" s="142" t="n"/>
      <c r="R850" s="143">
        <f>调整因子!$F$13</f>
        <v/>
      </c>
      <c r="S850" s="70" t="n"/>
      <c r="T850" s="144">
        <f>IFERROR(P850*R850,0)</f>
        <v/>
      </c>
      <c r="U850" s="144">
        <f>T850*S850</f>
        <v/>
      </c>
      <c r="V850" s="88" t="n"/>
      <c r="W850" s="100" t="n"/>
      <c r="X850" s="88" t="n"/>
      <c r="Y850" s="88" t="n"/>
      <c r="Z850" s="88" t="n"/>
    </row>
    <row r="851" hidden="1">
      <c r="A851" s="69">
        <f>ROW()-1</f>
        <v/>
      </c>
      <c r="B851" s="53" t="n"/>
      <c r="C851" s="78" t="n"/>
      <c r="D851" s="78" t="n"/>
      <c r="E851" s="53" t="n"/>
      <c r="H851" s="96" t="n"/>
      <c r="I851" s="76" t="n"/>
      <c r="J851" s="108" t="n"/>
      <c r="K851" s="108" t="n"/>
      <c r="L851" s="83">
        <f>IF(OR(X851="估算法",X851="算法类",X851="无法识别"),"",IF(V851="",IF(OR(I851="EI",I851="EO",I851="EQ"),0,""),LEN(V851)-LEN(SUBSTITUTE(V851,"、",""))+1))</f>
        <v/>
      </c>
      <c r="M851" s="83">
        <f>IF(OR(X851="估算法",X851="算法类",X851="无法识别"),"",IF(W851="",IF(OR(I851="ILF",I851="EIF"),0,""),LEN(W851)-LEN(SUBSTITUTE(W851,"、",""))+1))</f>
        <v/>
      </c>
      <c r="N851" s="83">
        <f>IF(OR(X851="估算法",X851="算法类",X851="无法识别"),"",IF(X851="",IF(OR(I851="ILF",I851="EIF",I851="EI",I851="EO",I851="EQ"),0,""),LEN(X851)-LEN(SUBSTITUTE(SUBSTITUTE(SUBSTITUTE(SUBSTITUTE(SUBSTITUTE(X851,"|}","--"),"{|","--"),CHAR(10),""),"、",""),"|",""))+IF(AND(OR(I851="EI",I851="EO",I851="EQ"),$AD$1="NESMA"),2,1)))</f>
        <v/>
      </c>
      <c r="O851" s="84">
        <f>IF(I851="EI",IF(OR(X851="估算法",X851="算法类"),"中",IF(X851="无法识别","低",IF(L851&lt;2,IF(N851&lt;16,"低","中"),IF(L851&lt;3,IF(N851&lt;5,"低",IF(N851&lt;16,"中","高")),IF(N851&lt;5,"中","高"))))),IF(OR(I851="EO",I851="EQ"),IF(OR(X851="估算法",X851="算法类"),"中",IF(X851="无法识别","低",IF(L851&lt;2,IF(N851&lt;20,"低","中"),IF(L851&lt;4,IF(N851&lt;6,"低",IF(N851&lt;20,"中","高")),IF(N851&lt;6,"中","高"))))),IF(OR(I851="ILF",I851="EIF"),IF(OR(X851="估算法",X851="算法类",X851="无法识别"),"低",IF(M851&lt;2,IF(N851&lt;51,"低","中"),IF(M851&lt;6,IF(N851&lt;20,"低",IF(N851&lt;51,"中","高")),IF(N851&lt;20,"中","高")))),"不计算")))</f>
        <v/>
      </c>
      <c r="P851" s="142">
        <f>IFERROR(IF(I851="EI",IF(O851="低",3,IF(O851="中",4,6)),IF(I851="EO",IF(O851="低",4,IF(O851="中",5,7)),IF(I851="EQ",IF(O851="低",3,IF(O851="中",4,6)),IF(I851="ILF",IF(O851="低",7,IF(O851="中",10,15)),IF(I851="EIF",IF(O851="低",5,IF(O851="中",7,10)),"不计算")))))*Q851,"不计算")</f>
        <v/>
      </c>
      <c r="Q851" s="142" t="n"/>
      <c r="R851" s="143">
        <f>调整因子!$F$13</f>
        <v/>
      </c>
      <c r="S851" s="76" t="n"/>
      <c r="T851" s="144">
        <f>IFERROR(P851*R851,0)</f>
        <v/>
      </c>
      <c r="U851" s="144">
        <f>T851*S851</f>
        <v/>
      </c>
      <c r="V851" s="88" t="n"/>
      <c r="W851" s="100" t="n"/>
      <c r="X851" s="88" t="n"/>
      <c r="Y851" s="88" t="n"/>
      <c r="Z851" s="88" t="n"/>
    </row>
    <row r="852" hidden="1">
      <c r="A852" s="69">
        <f>ROW()-1</f>
        <v/>
      </c>
      <c r="B852" s="53" t="n"/>
      <c r="C852" s="78" t="n"/>
      <c r="D852" s="78" t="n"/>
      <c r="E852" s="53" t="n"/>
      <c r="H852" s="96" t="n"/>
      <c r="I852" s="76" t="n"/>
      <c r="J852" s="108" t="n"/>
      <c r="K852" s="108" t="n"/>
      <c r="L852" s="83">
        <f>IF(OR(X852="估算法",X852="算法类",X852="无法识别"),"",IF(V852="",IF(OR(I852="EI",I852="EO",I852="EQ"),0,""),LEN(V852)-LEN(SUBSTITUTE(V852,"、",""))+1))</f>
        <v/>
      </c>
      <c r="M852" s="83">
        <f>IF(OR(X852="估算法",X852="算法类",X852="无法识别"),"",IF(W852="",IF(OR(I852="ILF",I852="EIF"),0,""),LEN(W852)-LEN(SUBSTITUTE(W852,"、",""))+1))</f>
        <v/>
      </c>
      <c r="N852" s="83">
        <f>IF(OR(X852="估算法",X852="算法类",X852="无法识别"),"",IF(X852="",IF(OR(I852="ILF",I852="EIF",I852="EI",I852="EO",I852="EQ"),0,""),LEN(X852)-LEN(SUBSTITUTE(SUBSTITUTE(SUBSTITUTE(SUBSTITUTE(SUBSTITUTE(X852,"|}","--"),"{|","--"),CHAR(10),""),"、",""),"|",""))+IF(AND(OR(I852="EI",I852="EO",I852="EQ"),$AD$1="NESMA"),2,1)))</f>
        <v/>
      </c>
      <c r="O852" s="84">
        <f>IF(I852="EI",IF(OR(X852="估算法",X852="算法类"),"中",IF(X852="无法识别","低",IF(L852&lt;2,IF(N852&lt;16,"低","中"),IF(L852&lt;3,IF(N852&lt;5,"低",IF(N852&lt;16,"中","高")),IF(N852&lt;5,"中","高"))))),IF(OR(I852="EO",I852="EQ"),IF(OR(X852="估算法",X852="算法类"),"中",IF(X852="无法识别","低",IF(L852&lt;2,IF(N852&lt;20,"低","中"),IF(L852&lt;4,IF(N852&lt;6,"低",IF(N852&lt;20,"中","高")),IF(N852&lt;6,"中","高"))))),IF(OR(I852="ILF",I852="EIF"),IF(OR(X852="估算法",X852="算法类",X852="无法识别"),"低",IF(M852&lt;2,IF(N852&lt;51,"低","中"),IF(M852&lt;6,IF(N852&lt;20,"低",IF(N852&lt;51,"中","高")),IF(N852&lt;20,"中","高")))),"不计算")))</f>
        <v/>
      </c>
      <c r="P852" s="142">
        <f>IFERROR(IF(I852="EI",IF(O852="低",3,IF(O852="中",4,6)),IF(I852="EO",IF(O852="低",4,IF(O852="中",5,7)),IF(I852="EQ",IF(O852="低",3,IF(O852="中",4,6)),IF(I852="ILF",IF(O852="低",7,IF(O852="中",10,15)),IF(I852="EIF",IF(O852="低",5,IF(O852="中",7,10)),"不计算")))))*Q852,"不计算")</f>
        <v/>
      </c>
      <c r="Q852" s="142" t="n"/>
      <c r="R852" s="143">
        <f>调整因子!$F$13</f>
        <v/>
      </c>
      <c r="S852" s="76" t="n"/>
      <c r="T852" s="144">
        <f>IFERROR(P852*R852,0)</f>
        <v/>
      </c>
      <c r="U852" s="144">
        <f>T852*S852</f>
        <v/>
      </c>
      <c r="V852" s="100" t="n"/>
      <c r="W852" s="88" t="n"/>
      <c r="X852" s="88" t="n"/>
      <c r="Y852" s="88" t="n"/>
      <c r="Z852" s="88" t="n"/>
    </row>
    <row r="853" hidden="1">
      <c r="A853" s="69">
        <f>ROW()-1</f>
        <v/>
      </c>
      <c r="B853" s="53" t="n"/>
      <c r="C853" s="78" t="n"/>
      <c r="D853" s="78" t="n"/>
      <c r="E853" s="53" t="n"/>
      <c r="H853" s="96" t="n"/>
      <c r="I853" s="76" t="n"/>
      <c r="J853" s="108" t="n"/>
      <c r="K853" s="108" t="n"/>
      <c r="L853" s="83">
        <f>IF(OR(X853="估算法",X853="算法类",X853="无法识别"),"",IF(V853="",IF(OR(I853="EI",I853="EO",I853="EQ"),0,""),LEN(V853)-LEN(SUBSTITUTE(V853,"、",""))+1))</f>
        <v/>
      </c>
      <c r="M853" s="83">
        <f>IF(OR(X853="估算法",X853="算法类",X853="无法识别"),"",IF(W853="",IF(OR(I853="ILF",I853="EIF"),0,""),LEN(W853)-LEN(SUBSTITUTE(W853,"、",""))+1))</f>
        <v/>
      </c>
      <c r="N853" s="83">
        <f>IF(OR(X853="估算法",X853="算法类",X853="无法识别"),"",IF(X853="",IF(OR(I853="ILF",I853="EIF",I853="EI",I853="EO",I853="EQ"),0,""),LEN(X853)-LEN(SUBSTITUTE(SUBSTITUTE(SUBSTITUTE(SUBSTITUTE(SUBSTITUTE(X853,"|}","--"),"{|","--"),CHAR(10),""),"、",""),"|",""))+IF(AND(OR(I853="EI",I853="EO",I853="EQ"),$AD$1="NESMA"),2,1)))</f>
        <v/>
      </c>
      <c r="O853" s="84">
        <f>IF(I853="EI",IF(OR(X853="估算法",X853="算法类"),"中",IF(X853="无法识别","低",IF(L853&lt;2,IF(N853&lt;16,"低","中"),IF(L853&lt;3,IF(N853&lt;5,"低",IF(N853&lt;16,"中","高")),IF(N853&lt;5,"中","高"))))),IF(OR(I853="EO",I853="EQ"),IF(OR(X853="估算法",X853="算法类"),"中",IF(X853="无法识别","低",IF(L853&lt;2,IF(N853&lt;20,"低","中"),IF(L853&lt;4,IF(N853&lt;6,"低",IF(N853&lt;20,"中","高")),IF(N853&lt;6,"中","高"))))),IF(OR(I853="ILF",I853="EIF"),IF(OR(X853="估算法",X853="算法类",X853="无法识别"),"低",IF(M853&lt;2,IF(N853&lt;51,"低","中"),IF(M853&lt;6,IF(N853&lt;20,"低",IF(N853&lt;51,"中","高")),IF(N853&lt;20,"中","高")))),"不计算")))</f>
        <v/>
      </c>
      <c r="P853" s="142">
        <f>IFERROR(IF(I853="EI",IF(O853="低",3,IF(O853="中",4,6)),IF(I853="EO",IF(O853="低",4,IF(O853="中",5,7)),IF(I853="EQ",IF(O853="低",3,IF(O853="中",4,6)),IF(I853="ILF",IF(O853="低",7,IF(O853="中",10,15)),IF(I853="EIF",IF(O853="低",5,IF(O853="中",7,10)),"不计算")))))*Q853,"不计算")</f>
        <v/>
      </c>
      <c r="Q853" s="142" t="n"/>
      <c r="R853" s="143">
        <f>调整因子!$F$13</f>
        <v/>
      </c>
      <c r="S853" s="70" t="n"/>
      <c r="T853" s="144">
        <f>IFERROR(P853*R853,0)</f>
        <v/>
      </c>
      <c r="U853" s="144">
        <f>T853*S853</f>
        <v/>
      </c>
      <c r="V853" s="88" t="n"/>
      <c r="W853" s="100" t="n"/>
      <c r="X853" s="88" t="n"/>
      <c r="Y853" s="88" t="n"/>
      <c r="Z853" s="88" t="n"/>
    </row>
    <row r="854" hidden="1">
      <c r="A854" s="69">
        <f>ROW()-1</f>
        <v/>
      </c>
      <c r="B854" s="53" t="n"/>
      <c r="C854" s="78" t="n"/>
      <c r="D854" s="78" t="n"/>
      <c r="E854" s="53" t="n"/>
      <c r="H854" s="96" t="n"/>
      <c r="I854" s="76" t="n"/>
      <c r="J854" s="108" t="n"/>
      <c r="K854" s="108" t="n"/>
      <c r="L854" s="83">
        <f>IF(OR(X854="估算法",X854="算法类",X854="无法识别"),"",IF(V854="",IF(OR(I854="EI",I854="EO",I854="EQ"),0,""),LEN(V854)-LEN(SUBSTITUTE(V854,"、",""))+1))</f>
        <v/>
      </c>
      <c r="M854" s="83">
        <f>IF(OR(X854="估算法",X854="算法类",X854="无法识别"),"",IF(W854="",IF(OR(I854="ILF",I854="EIF"),0,""),LEN(W854)-LEN(SUBSTITUTE(W854,"、",""))+1))</f>
        <v/>
      </c>
      <c r="N854" s="83">
        <f>IF(OR(X854="估算法",X854="算法类",X854="无法识别"),"",IF(X854="",IF(OR(I854="ILF",I854="EIF",I854="EI",I854="EO",I854="EQ"),0,""),LEN(X854)-LEN(SUBSTITUTE(SUBSTITUTE(SUBSTITUTE(SUBSTITUTE(SUBSTITUTE(X854,"|}","--"),"{|","--"),CHAR(10),""),"、",""),"|",""))+IF(AND(OR(I854="EI",I854="EO",I854="EQ"),$AD$1="NESMA"),2,1)))</f>
        <v/>
      </c>
      <c r="O854" s="84">
        <f>IF(I854="EI",IF(OR(X854="估算法",X854="算法类"),"中",IF(X854="无法识别","低",IF(L854&lt;2,IF(N854&lt;16,"低","中"),IF(L854&lt;3,IF(N854&lt;5,"低",IF(N854&lt;16,"中","高")),IF(N854&lt;5,"中","高"))))),IF(OR(I854="EO",I854="EQ"),IF(OR(X854="估算法",X854="算法类"),"中",IF(X854="无法识别","低",IF(L854&lt;2,IF(N854&lt;20,"低","中"),IF(L854&lt;4,IF(N854&lt;6,"低",IF(N854&lt;20,"中","高")),IF(N854&lt;6,"中","高"))))),IF(OR(I854="ILF",I854="EIF"),IF(OR(X854="估算法",X854="算法类",X854="无法识别"),"低",IF(M854&lt;2,IF(N854&lt;51,"低","中"),IF(M854&lt;6,IF(N854&lt;20,"低",IF(N854&lt;51,"中","高")),IF(N854&lt;20,"中","高")))),"不计算")))</f>
        <v/>
      </c>
      <c r="P854" s="142">
        <f>IFERROR(IF(I854="EI",IF(O854="低",3,IF(O854="中",4,6)),IF(I854="EO",IF(O854="低",4,IF(O854="中",5,7)),IF(I854="EQ",IF(O854="低",3,IF(O854="中",4,6)),IF(I854="ILF",IF(O854="低",7,IF(O854="中",10,15)),IF(I854="EIF",IF(O854="低",5,IF(O854="中",7,10)),"不计算")))))*Q854,"不计算")</f>
        <v/>
      </c>
      <c r="Q854" s="142" t="n"/>
      <c r="R854" s="143">
        <f>调整因子!$F$13</f>
        <v/>
      </c>
      <c r="S854" s="70" t="n"/>
      <c r="T854" s="144">
        <f>IFERROR(P854*R854,0)</f>
        <v/>
      </c>
      <c r="U854" s="144">
        <f>T854*S854</f>
        <v/>
      </c>
      <c r="V854" s="88" t="n"/>
      <c r="W854" s="100" t="n"/>
      <c r="X854" s="88" t="n"/>
      <c r="Y854" s="88" t="n"/>
      <c r="Z854" s="88" t="n"/>
    </row>
    <row r="855" hidden="1">
      <c r="A855" s="69">
        <f>ROW()-1</f>
        <v/>
      </c>
      <c r="B855" s="53" t="n"/>
      <c r="C855" s="78" t="n"/>
      <c r="D855" s="78" t="n"/>
      <c r="E855" s="53" t="n"/>
      <c r="H855" s="96" t="n"/>
      <c r="I855" s="76" t="n"/>
      <c r="J855" s="108" t="n"/>
      <c r="K855" s="108" t="n"/>
      <c r="L855" s="83">
        <f>IF(OR(X855="估算法",X855="算法类",X855="无法识别"),"",IF(V855="",IF(OR(I855="EI",I855="EO",I855="EQ"),0,""),LEN(V855)-LEN(SUBSTITUTE(V855,"、",""))+1))</f>
        <v/>
      </c>
      <c r="M855" s="83">
        <f>IF(OR(X855="估算法",X855="算法类",X855="无法识别"),"",IF(W855="",IF(OR(I855="ILF",I855="EIF"),0,""),LEN(W855)-LEN(SUBSTITUTE(W855,"、",""))+1))</f>
        <v/>
      </c>
      <c r="N855" s="83">
        <f>IF(OR(X855="估算法",X855="算法类",X855="无法识别"),"",IF(X855="",IF(OR(I855="ILF",I855="EIF",I855="EI",I855="EO",I855="EQ"),0,""),LEN(X855)-LEN(SUBSTITUTE(SUBSTITUTE(SUBSTITUTE(SUBSTITUTE(SUBSTITUTE(X855,"|}","--"),"{|","--"),CHAR(10),""),"、",""),"|",""))+IF(AND(OR(I855="EI",I855="EO",I855="EQ"),$AD$1="NESMA"),2,1)))</f>
        <v/>
      </c>
      <c r="O855" s="84">
        <f>IF(I855="EI",IF(OR(X855="估算法",X855="算法类"),"中",IF(X855="无法识别","低",IF(L855&lt;2,IF(N855&lt;16,"低","中"),IF(L855&lt;3,IF(N855&lt;5,"低",IF(N855&lt;16,"中","高")),IF(N855&lt;5,"中","高"))))),IF(OR(I855="EO",I855="EQ"),IF(OR(X855="估算法",X855="算法类"),"中",IF(X855="无法识别","低",IF(L855&lt;2,IF(N855&lt;20,"低","中"),IF(L855&lt;4,IF(N855&lt;6,"低",IF(N855&lt;20,"中","高")),IF(N855&lt;6,"中","高"))))),IF(OR(I855="ILF",I855="EIF"),IF(OR(X855="估算法",X855="算法类",X855="无法识别"),"低",IF(M855&lt;2,IF(N855&lt;51,"低","中"),IF(M855&lt;6,IF(N855&lt;20,"低",IF(N855&lt;51,"中","高")),IF(N855&lt;20,"中","高")))),"不计算")))</f>
        <v/>
      </c>
      <c r="P855" s="142">
        <f>IFERROR(IF(I855="EI",IF(O855="低",3,IF(O855="中",4,6)),IF(I855="EO",IF(O855="低",4,IF(O855="中",5,7)),IF(I855="EQ",IF(O855="低",3,IF(O855="中",4,6)),IF(I855="ILF",IF(O855="低",7,IF(O855="中",10,15)),IF(I855="EIF",IF(O855="低",5,IF(O855="中",7,10)),"不计算")))))*Q855,"不计算")</f>
        <v/>
      </c>
      <c r="Q855" s="142" t="n"/>
      <c r="R855" s="143">
        <f>调整因子!$F$13</f>
        <v/>
      </c>
      <c r="S855" s="76" t="n"/>
      <c r="T855" s="144">
        <f>IFERROR(P855*R855,0)</f>
        <v/>
      </c>
      <c r="U855" s="144">
        <f>T855*S855</f>
        <v/>
      </c>
      <c r="V855" s="88" t="n"/>
      <c r="W855" s="100" t="n"/>
      <c r="X855" s="88" t="n"/>
      <c r="Y855" s="88" t="n"/>
      <c r="Z855" s="88" t="n"/>
    </row>
    <row r="856" hidden="1">
      <c r="A856" s="69">
        <f>ROW()-1</f>
        <v/>
      </c>
      <c r="B856" s="53" t="n"/>
      <c r="C856" s="78" t="n"/>
      <c r="D856" s="78" t="n"/>
      <c r="E856" s="54" t="n"/>
      <c r="H856" s="96" t="n"/>
      <c r="I856" s="76" t="n"/>
      <c r="J856" s="108" t="n"/>
      <c r="K856" s="108" t="n"/>
      <c r="L856" s="83">
        <f>IF(OR(X856="估算法",X856="算法类",X856="无法识别"),"",IF(V856="",IF(OR(I856="EI",I856="EO",I856="EQ"),0,""),LEN(V856)-LEN(SUBSTITUTE(V856,"、",""))+1))</f>
        <v/>
      </c>
      <c r="M856" s="83">
        <f>IF(OR(X856="估算法",X856="算法类",X856="无法识别"),"",IF(W856="",IF(OR(I856="ILF",I856="EIF"),0,""),LEN(W856)-LEN(SUBSTITUTE(W856,"、",""))+1))</f>
        <v/>
      </c>
      <c r="N856" s="83">
        <f>IF(OR(X856="估算法",X856="算法类",X856="无法识别"),"",IF(X856="",IF(OR(I856="ILF",I856="EIF",I856="EI",I856="EO",I856="EQ"),0,""),LEN(X856)-LEN(SUBSTITUTE(SUBSTITUTE(SUBSTITUTE(SUBSTITUTE(SUBSTITUTE(X856,"|}","--"),"{|","--"),CHAR(10),""),"、",""),"|",""))+IF(AND(OR(I856="EI",I856="EO",I856="EQ"),$AD$1="NESMA"),2,1)))</f>
        <v/>
      </c>
      <c r="O856" s="84">
        <f>IF(I856="EI",IF(OR(X856="估算法",X856="算法类"),"中",IF(X856="无法识别","低",IF(L856&lt;2,IF(N856&lt;16,"低","中"),IF(L856&lt;3,IF(N856&lt;5,"低",IF(N856&lt;16,"中","高")),IF(N856&lt;5,"中","高"))))),IF(OR(I856="EO",I856="EQ"),IF(OR(X856="估算法",X856="算法类"),"中",IF(X856="无法识别","低",IF(L856&lt;2,IF(N856&lt;20,"低","中"),IF(L856&lt;4,IF(N856&lt;6,"低",IF(N856&lt;20,"中","高")),IF(N856&lt;6,"中","高"))))),IF(OR(I856="ILF",I856="EIF"),IF(OR(X856="估算法",X856="算法类",X856="无法识别"),"低",IF(M856&lt;2,IF(N856&lt;51,"低","中"),IF(M856&lt;6,IF(N856&lt;20,"低",IF(N856&lt;51,"中","高")),IF(N856&lt;20,"中","高")))),"不计算")))</f>
        <v/>
      </c>
      <c r="P856" s="142">
        <f>IFERROR(IF(I856="EI",IF(O856="低",3,IF(O856="中",4,6)),IF(I856="EO",IF(O856="低",4,IF(O856="中",5,7)),IF(I856="EQ",IF(O856="低",3,IF(O856="中",4,6)),IF(I856="ILF",IF(O856="低",7,IF(O856="中",10,15)),IF(I856="EIF",IF(O856="低",5,IF(O856="中",7,10)),"不计算")))))*Q856,"不计算")</f>
        <v/>
      </c>
      <c r="Q856" s="142" t="n"/>
      <c r="R856" s="143">
        <f>调整因子!$F$13</f>
        <v/>
      </c>
      <c r="S856" s="70" t="n"/>
      <c r="T856" s="144">
        <f>IFERROR(P856*R856,0)</f>
        <v/>
      </c>
      <c r="U856" s="144">
        <f>T856*S856</f>
        <v/>
      </c>
      <c r="V856" s="100" t="n"/>
      <c r="W856" s="88" t="n"/>
      <c r="X856" s="88" t="n"/>
      <c r="Y856" s="88" t="n"/>
      <c r="Z856" s="88" t="n"/>
    </row>
    <row r="857" hidden="1" ht="162" customHeight="1">
      <c r="A857" s="69">
        <f>ROW()-1</f>
        <v/>
      </c>
      <c r="B857" s="53" t="n"/>
      <c r="C857" s="78" t="n">
        <v>2025</v>
      </c>
      <c r="D857" s="78" t="inlineStr">
        <is>
          <t>仲光华</t>
        </is>
      </c>
      <c r="E857" s="79" t="inlineStr">
        <is>
          <t>扫描网络规划管理与监控</t>
        </is>
      </c>
      <c r="F857" s="79" t="inlineStr">
        <is>
          <t>设备规划管理</t>
        </is>
      </c>
      <c r="G857" s="79" t="inlineStr">
        <is>
          <t>漏洞扫描设备规划</t>
        </is>
      </c>
      <c r="H857" s="80" t="inlineStr">
        <is>
          <t>查询漏洞扫描设备列表</t>
        </is>
      </c>
      <c r="I857" s="76" t="inlineStr">
        <is>
          <t>EQ</t>
        </is>
      </c>
      <c r="J857" s="108" t="n"/>
      <c r="K857" s="108" t="n"/>
      <c r="L857" s="83">
        <f>IF(OR(X857="估算法",X857="算法类",X857="无法识别"),"",IF(V857="",IF(OR(I857="EI",I857="EO",I857="EQ"),0,""),LEN(V857)-LEN(SUBSTITUTE(V857,"、",""))+1))</f>
        <v/>
      </c>
      <c r="M857" s="83">
        <f>IF(OR(X857="估算法",X857="算法类",X857="无法识别"),"",IF(W857="",IF(OR(I857="ILF",I857="EIF"),0,""),LEN(W857)-LEN(SUBSTITUTE(W857,"、",""))+1))</f>
        <v/>
      </c>
      <c r="N857" s="83">
        <f>IF(OR(X857="估算法",X857="算法类",X857="无法识别"),"",IF(X857="",IF(OR(I857="ILF",I857="EIF",I857="EI",I857="EO",I857="EQ"),0,""),LEN(X857)-LEN(SUBSTITUTE(SUBSTITUTE(SUBSTITUTE(SUBSTITUTE(SUBSTITUTE(X857,"|}","--"),"{|","--"),CHAR(10),""),"、",""),"|",""))+IF(AND(OR(I857="EI",I857="EO",I857="EQ"),$AD$1="NESMA"),2,1)))</f>
        <v/>
      </c>
      <c r="O857" s="84">
        <f>IF(I857="EI",IF(OR(X857="估算法",X857="算法类"),"中",IF(X857="无法识别","低",IF(L857&lt;2,IF(N857&lt;16,"低","中"),IF(L857&lt;3,IF(N857&lt;5,"低",IF(N857&lt;16,"中","高")),IF(N857&lt;5,"中","高"))))),IF(OR(I857="EO",I857="EQ"),IF(OR(X857="估算法",X857="算法类"),"中",IF(X857="无法识别","低",IF(L857&lt;2,IF(N857&lt;20,"低","中"),IF(L857&lt;4,IF(N857&lt;6,"低",IF(N857&lt;20,"中","高")),IF(N857&lt;6,"中","高"))))),IF(OR(I857="ILF",I857="EIF"),IF(OR(X857="估算法",X857="算法类",X857="无法识别"),"低",IF(M857&lt;2,IF(N857&lt;51,"低","中"),IF(M857&lt;6,IF(N857&lt;20,"低",IF(N857&lt;51,"中","高")),IF(N857&lt;20,"中","高")))),"不计算")))</f>
        <v/>
      </c>
      <c r="P857" s="142">
        <f>IFERROR(IF(I857="EI",IF(O857="低",3,IF(O857="中",4,6)),IF(I857="EO",IF(O857="低",4,IF(O857="中",5,7)),IF(I857="EQ",IF(O857="低",3,IF(O857="中",4,6)),IF(I857="ILF",IF(O857="低",7,IF(O857="中",10,15)),IF(I857="EIF",IF(O857="低",5,IF(O857="中",7,10)),"不计算")))))*Q857,"不计算")</f>
        <v/>
      </c>
      <c r="Q857" s="142" t="n">
        <v>1</v>
      </c>
      <c r="R857" s="143">
        <f>调整因子!$F$13</f>
        <v/>
      </c>
      <c r="S857" s="70" t="n">
        <v>1</v>
      </c>
      <c r="T857" s="144">
        <f>IFERROR(P857*R857,0)</f>
        <v/>
      </c>
      <c r="U857" s="144">
        <f>T857*S857</f>
        <v/>
      </c>
      <c r="V857" s="88" t="inlineStr">
        <is>
          <t>漏洞扫描设备规划、扫描节点表、扫描器表、扫描器版本表、扫描器分类表、安全厂商信息、资产管理表、漏洞扫描设备规划历史表</t>
        </is>
      </c>
      <c r="W857" s="89" t="n"/>
      <c r="X857" s="88"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57" s="88" t="n"/>
      <c r="Z857" s="88" t="n"/>
    </row>
    <row r="858" hidden="1" ht="162" customHeight="1">
      <c r="A858" s="69">
        <f>ROW()-1</f>
        <v/>
      </c>
      <c r="B858" s="53" t="n"/>
      <c r="C858" s="78" t="n">
        <v>2025</v>
      </c>
      <c r="D858" s="78" t="inlineStr">
        <is>
          <t>仲光华</t>
        </is>
      </c>
      <c r="E858" s="53" t="n"/>
      <c r="F858" s="53" t="n"/>
      <c r="G858" s="53" t="n"/>
      <c r="H858" s="80" t="inlineStr">
        <is>
          <t>查询设备规划列表</t>
        </is>
      </c>
      <c r="I858" s="76" t="n"/>
      <c r="J858" s="108" t="n"/>
      <c r="K858" s="108" t="inlineStr">
        <is>
          <t>和上行合并，输入输出字段完全一致</t>
        </is>
      </c>
      <c r="L858" s="83">
        <f>IF(OR(X858="估算法",X858="算法类",X858="无法识别"),"",IF(V858="",IF(OR(I858="EI",I858="EO",I858="EQ"),0,""),LEN(V858)-LEN(SUBSTITUTE(V858,"、",""))+1))</f>
        <v/>
      </c>
      <c r="M858" s="83">
        <f>IF(OR(X858="估算法",X858="算法类",X858="无法识别"),"",IF(W858="",IF(OR(I858="ILF",I858="EIF"),0,""),LEN(W858)-LEN(SUBSTITUTE(W858,"、",""))+1))</f>
        <v/>
      </c>
      <c r="N858" s="83">
        <f>IF(OR(X858="估算法",X858="算法类",X858="无法识别"),"",IF(X858="",IF(OR(I858="ILF",I858="EIF",I858="EI",I858="EO",I858="EQ"),0,""),LEN(X858)-LEN(SUBSTITUTE(SUBSTITUTE(SUBSTITUTE(SUBSTITUTE(SUBSTITUTE(X858,"|}","--"),"{|","--"),CHAR(10),""),"、",""),"|",""))+IF(AND(OR(I858="EI",I858="EO",I858="EQ"),$AD$1="NESMA"),2,1)))</f>
        <v/>
      </c>
      <c r="O858" s="84">
        <f>IF(I858="EI",IF(OR(X858="估算法",X858="算法类"),"中",IF(X858="无法识别","低",IF(L858&lt;2,IF(N858&lt;16,"低","中"),IF(L858&lt;3,IF(N858&lt;5,"低",IF(N858&lt;16,"中","高")),IF(N858&lt;5,"中","高"))))),IF(OR(I858="EO",I858="EQ"),IF(OR(X858="估算法",X858="算法类"),"中",IF(X858="无法识别","低",IF(L858&lt;2,IF(N858&lt;20,"低","中"),IF(L858&lt;4,IF(N858&lt;6,"低",IF(N858&lt;20,"中","高")),IF(N858&lt;6,"中","高"))))),IF(OR(I858="ILF",I858="EIF"),IF(OR(X858="估算法",X858="算法类",X858="无法识别"),"低",IF(M858&lt;2,IF(N858&lt;51,"低","中"),IF(M858&lt;6,IF(N858&lt;20,"低",IF(N858&lt;51,"中","高")),IF(N858&lt;20,"中","高")))),"不计算")))</f>
        <v/>
      </c>
      <c r="P858" s="142">
        <f>IFERROR(IF(I858="EI",IF(O858="低",3,IF(O858="中",4,6)),IF(I858="EO",IF(O858="低",4,IF(O858="中",5,7)),IF(I858="EQ",IF(O858="低",3,IF(O858="中",4,6)),IF(I858="ILF",IF(O858="低",7,IF(O858="中",10,15)),IF(I858="EIF",IF(O858="低",5,IF(O858="中",7,10)),"不计算")))))*Q858,"不计算")</f>
        <v/>
      </c>
      <c r="Q858" s="142" t="n">
        <v>1</v>
      </c>
      <c r="R858" s="143">
        <f>调整因子!$F$13</f>
        <v/>
      </c>
      <c r="S858" s="76" t="n">
        <v>1</v>
      </c>
      <c r="T858" s="144">
        <f>IFERROR(P858*R858,0)</f>
        <v/>
      </c>
      <c r="U858" s="144">
        <f>T858*S858</f>
        <v/>
      </c>
      <c r="V858" s="88" t="inlineStr">
        <is>
          <t>漏洞扫描设备规划、扫描节点表、扫描器表、扫描器版本表、扫描器分类表、安全厂商信息、资产管理表、漏洞扫描设备规划历史表</t>
        </is>
      </c>
      <c r="W858" s="89" t="n"/>
      <c r="X858" s="88"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58" s="88" t="n"/>
      <c r="Z858" s="88" t="n"/>
    </row>
    <row r="859" hidden="1" ht="162" customHeight="1">
      <c r="A859" s="69">
        <f>ROW()-1</f>
        <v/>
      </c>
      <c r="B859" s="53" t="n"/>
      <c r="C859" s="78" t="n">
        <v>2025</v>
      </c>
      <c r="D859" s="78" t="inlineStr">
        <is>
          <t>仲光华</t>
        </is>
      </c>
      <c r="E859" s="53" t="n"/>
      <c r="F859" s="53" t="n"/>
      <c r="G859" s="53" t="n"/>
      <c r="H859" s="80" t="inlineStr">
        <is>
          <t>新增设备规划</t>
        </is>
      </c>
      <c r="I859" s="76" t="inlineStr">
        <is>
          <t>EI</t>
        </is>
      </c>
      <c r="J859" s="108" t="n"/>
      <c r="K859" s="108" t="n"/>
      <c r="L859" s="83">
        <f>IF(OR(X859="估算法",X859="算法类",X859="无法识别"),"",IF(V859="",IF(OR(I859="EI",I859="EO",I859="EQ"),0,""),LEN(V859)-LEN(SUBSTITUTE(V859,"、",""))+1))</f>
        <v/>
      </c>
      <c r="M859" s="83">
        <f>IF(OR(X859="估算法",X859="算法类",X859="无法识别"),"",IF(W859="",IF(OR(I859="ILF",I859="EIF"),0,""),LEN(W859)-LEN(SUBSTITUTE(W859,"、",""))+1))</f>
        <v/>
      </c>
      <c r="N859" s="83">
        <f>IF(OR(X859="估算法",X859="算法类",X859="无法识别"),"",IF(X859="",IF(OR(I859="ILF",I859="EIF",I859="EI",I859="EO",I859="EQ"),0,""),LEN(X859)-LEN(SUBSTITUTE(SUBSTITUTE(SUBSTITUTE(SUBSTITUTE(SUBSTITUTE(X859,"|}","--"),"{|","--"),CHAR(10),""),"、",""),"|",""))+IF(AND(OR(I859="EI",I859="EO",I859="EQ"),$AD$1="NESMA"),2,1)))</f>
        <v/>
      </c>
      <c r="O859" s="84">
        <f>IF(I859="EI",IF(OR(X859="估算法",X859="算法类"),"中",IF(X859="无法识别","低",IF(L859&lt;2,IF(N859&lt;16,"低","中"),IF(L859&lt;3,IF(N859&lt;5,"低",IF(N859&lt;16,"中","高")),IF(N859&lt;5,"中","高"))))),IF(OR(I859="EO",I859="EQ"),IF(OR(X859="估算法",X859="算法类"),"中",IF(X859="无法识别","低",IF(L859&lt;2,IF(N859&lt;20,"低","中"),IF(L859&lt;4,IF(N859&lt;6,"低",IF(N859&lt;20,"中","高")),IF(N859&lt;6,"中","高"))))),IF(OR(I859="ILF",I859="EIF"),IF(OR(X859="估算法",X859="算法类",X859="无法识别"),"低",IF(M859&lt;2,IF(N859&lt;51,"低","中"),IF(M859&lt;6,IF(N859&lt;20,"低",IF(N859&lt;51,"中","高")),IF(N859&lt;20,"中","高")))),"不计算")))</f>
        <v/>
      </c>
      <c r="P859" s="142">
        <f>IFERROR(IF(I859="EI",IF(O859="低",3,IF(O859="中",4,6)),IF(I859="EO",IF(O859="低",4,IF(O859="中",5,7)),IF(I859="EQ",IF(O859="低",3,IF(O859="中",4,6)),IF(I859="ILF",IF(O859="低",7,IF(O859="中",10,15)),IF(I859="EIF",IF(O859="低",5,IF(O859="中",7,10)),"不计算")))))*Q859,"不计算")</f>
        <v/>
      </c>
      <c r="Q859" s="142" t="n">
        <v>1</v>
      </c>
      <c r="R859" s="143">
        <f>调整因子!$F$13</f>
        <v/>
      </c>
      <c r="S859" s="76" t="n">
        <v>1</v>
      </c>
      <c r="T859" s="144">
        <f>IFERROR(P859*R859,0)</f>
        <v/>
      </c>
      <c r="U859" s="144">
        <f>T859*S859</f>
        <v/>
      </c>
      <c r="V859" s="88" t="inlineStr">
        <is>
          <t>漏洞扫描设备规划、扫描节点表、扫描器表、扫描器版本表、扫描器分类表、安全厂商信息、资产管理表、漏洞扫描设备规划历史表</t>
        </is>
      </c>
      <c r="W859" s="89" t="n"/>
      <c r="X859" s="88"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59" s="88" t="n"/>
      <c r="Z859" s="88" t="n"/>
    </row>
    <row r="860" hidden="1" ht="162" customHeight="1">
      <c r="A860" s="69">
        <f>ROW()-1</f>
        <v/>
      </c>
      <c r="B860" s="53" t="n"/>
      <c r="C860" s="78" t="n">
        <v>2025</v>
      </c>
      <c r="D860" s="78" t="inlineStr">
        <is>
          <t>仲光华</t>
        </is>
      </c>
      <c r="E860" s="53" t="n"/>
      <c r="F860" s="53" t="n"/>
      <c r="G860" s="53" t="n"/>
      <c r="H860" s="80" t="inlineStr">
        <is>
          <t>修改设备规划</t>
        </is>
      </c>
      <c r="I860" s="76" t="inlineStr">
        <is>
          <t>EI</t>
        </is>
      </c>
      <c r="J860" s="108" t="n"/>
      <c r="K860" s="108" t="n"/>
      <c r="L860" s="83">
        <f>IF(OR(X860="估算法",X860="算法类",X860="无法识别"),"",IF(V860="",IF(OR(I860="EI",I860="EO",I860="EQ"),0,""),LEN(V860)-LEN(SUBSTITUTE(V860,"、",""))+1))</f>
        <v/>
      </c>
      <c r="M860" s="83">
        <f>IF(OR(X860="估算法",X860="算法类",X860="无法识别"),"",IF(W860="",IF(OR(I860="ILF",I860="EIF"),0,""),LEN(W860)-LEN(SUBSTITUTE(W860,"、",""))+1))</f>
        <v/>
      </c>
      <c r="N860" s="83">
        <f>IF(OR(X860="估算法",X860="算法类",X860="无法识别"),"",IF(X860="",IF(OR(I860="ILF",I860="EIF",I860="EI",I860="EO",I860="EQ"),0,""),LEN(X860)-LEN(SUBSTITUTE(SUBSTITUTE(SUBSTITUTE(SUBSTITUTE(SUBSTITUTE(X860,"|}","--"),"{|","--"),CHAR(10),""),"、",""),"|",""))+IF(AND(OR(I860="EI",I860="EO",I860="EQ"),$AD$1="NESMA"),2,1)))</f>
        <v/>
      </c>
      <c r="O860" s="84">
        <f>IF(I860="EI",IF(OR(X860="估算法",X860="算法类"),"中",IF(X860="无法识别","低",IF(L860&lt;2,IF(N860&lt;16,"低","中"),IF(L860&lt;3,IF(N860&lt;5,"低",IF(N860&lt;16,"中","高")),IF(N860&lt;5,"中","高"))))),IF(OR(I860="EO",I860="EQ"),IF(OR(X860="估算法",X860="算法类"),"中",IF(X860="无法识别","低",IF(L860&lt;2,IF(N860&lt;20,"低","中"),IF(L860&lt;4,IF(N860&lt;6,"低",IF(N860&lt;20,"中","高")),IF(N860&lt;6,"中","高"))))),IF(OR(I860="ILF",I860="EIF"),IF(OR(X860="估算法",X860="算法类",X860="无法识别"),"低",IF(M860&lt;2,IF(N860&lt;51,"低","中"),IF(M860&lt;6,IF(N860&lt;20,"低",IF(N860&lt;51,"中","高")),IF(N860&lt;20,"中","高")))),"不计算")))</f>
        <v/>
      </c>
      <c r="P860" s="142">
        <f>IFERROR(IF(I860="EI",IF(O860="低",3,IF(O860="中",4,6)),IF(I860="EO",IF(O860="低",4,IF(O860="中",5,7)),IF(I860="EQ",IF(O860="低",3,IF(O860="中",4,6)),IF(I860="ILF",IF(O860="低",7,IF(O860="中",10,15)),IF(I860="EIF",IF(O860="低",5,IF(O860="中",7,10)),"不计算")))))*Q860,"不计算")</f>
        <v/>
      </c>
      <c r="Q860" s="142" t="n">
        <v>0.333333333333333</v>
      </c>
      <c r="R860" s="143">
        <f>调整因子!$F$13</f>
        <v/>
      </c>
      <c r="S860" s="70" t="n">
        <v>1</v>
      </c>
      <c r="T860" s="144">
        <f>IFERROR(P860*R860,0)</f>
        <v/>
      </c>
      <c r="U860" s="144">
        <f>T860*S860</f>
        <v/>
      </c>
      <c r="V860" s="88" t="inlineStr">
        <is>
          <t>漏洞扫描设备规划、扫描节点表、扫描器表、扫描器版本表、扫描器分类表、安全厂商信息、资产管理表、漏洞扫描设备规划历史表</t>
        </is>
      </c>
      <c r="W860" s="89" t="n"/>
      <c r="X860" s="88"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60" s="88" t="n"/>
      <c r="Z860" s="88" t="n"/>
    </row>
    <row r="861" hidden="1" ht="54" customHeight="1">
      <c r="A861" s="69">
        <f>ROW()-1</f>
        <v/>
      </c>
      <c r="B861" s="53" t="n"/>
      <c r="C861" s="78" t="n">
        <v>2025</v>
      </c>
      <c r="D861" s="78" t="inlineStr">
        <is>
          <t>仲光华</t>
        </is>
      </c>
      <c r="E861" s="53" t="n"/>
      <c r="F861" s="53" t="n"/>
      <c r="G861" s="53" t="n"/>
      <c r="H861" s="80" t="inlineStr">
        <is>
          <t>删除单个设备规划</t>
        </is>
      </c>
      <c r="I861" s="76" t="inlineStr">
        <is>
          <t>EI</t>
        </is>
      </c>
      <c r="J861" s="108" t="n"/>
      <c r="K861" s="108" t="n"/>
      <c r="L861" s="83">
        <f>IF(OR(X861="估算法",X861="算法类",X861="无法识别"),"",IF(V861="",IF(OR(I861="EI",I861="EO",I861="EQ"),0,""),LEN(V861)-LEN(SUBSTITUTE(V861,"、",""))+1))</f>
        <v/>
      </c>
      <c r="M861" s="83">
        <f>IF(OR(X861="估算法",X861="算法类",X861="无法识别"),"",IF(W861="",IF(OR(I861="ILF",I861="EIF"),0,""),LEN(W861)-LEN(SUBSTITUTE(W861,"、",""))+1))</f>
        <v/>
      </c>
      <c r="N861" s="83">
        <f>IF(OR(X861="估算法",X861="算法类",X861="无法识别"),"",IF(X861="",IF(OR(I861="ILF",I861="EIF",I861="EI",I861="EO",I861="EQ"),0,""),LEN(X861)-LEN(SUBSTITUTE(SUBSTITUTE(SUBSTITUTE(SUBSTITUTE(SUBSTITUTE(X861,"|}","--"),"{|","--"),CHAR(10),""),"、",""),"|",""))+IF(AND(OR(I861="EI",I861="EO",I861="EQ"),$AD$1="NESMA"),2,1)))</f>
        <v/>
      </c>
      <c r="O861" s="84">
        <f>IF(I861="EI",IF(OR(X861="估算法",X861="算法类"),"中",IF(X861="无法识别","低",IF(L861&lt;2,IF(N861&lt;16,"低","中"),IF(L861&lt;3,IF(N861&lt;5,"低",IF(N861&lt;16,"中","高")),IF(N861&lt;5,"中","高"))))),IF(OR(I861="EO",I861="EQ"),IF(OR(X861="估算法",X861="算法类"),"中",IF(X861="无法识别","低",IF(L861&lt;2,IF(N861&lt;20,"低","中"),IF(L861&lt;4,IF(N861&lt;6,"低",IF(N861&lt;20,"中","高")),IF(N861&lt;6,"中","高"))))),IF(OR(I861="ILF",I861="EIF"),IF(OR(X861="估算法",X861="算法类",X861="无法识别"),"低",IF(M861&lt;2,IF(N861&lt;51,"低","中"),IF(M861&lt;6,IF(N861&lt;20,"低",IF(N861&lt;51,"中","高")),IF(N861&lt;20,"中","高")))),"不计算")))</f>
        <v/>
      </c>
      <c r="P861" s="142">
        <f>IFERROR(IF(I861="EI",IF(O861="低",3,IF(O861="中",4,6)),IF(I861="EO",IF(O861="低",4,IF(O861="中",5,7)),IF(I861="EQ",IF(O861="低",3,IF(O861="中",4,6)),IF(I861="ILF",IF(O861="低",7,IF(O861="中",10,15)),IF(I861="EIF",IF(O861="低",5,IF(O861="中",7,10)),"不计算")))))*Q861,"不计算")</f>
        <v/>
      </c>
      <c r="Q861" s="142" t="n">
        <v>0.333333333333333</v>
      </c>
      <c r="R861" s="143">
        <f>调整因子!$F$13</f>
        <v/>
      </c>
      <c r="S861" s="70" t="n">
        <v>1</v>
      </c>
      <c r="T861" s="144">
        <f>IFERROR(P861*R861,0)</f>
        <v/>
      </c>
      <c r="U861" s="144">
        <f>T861*S861</f>
        <v/>
      </c>
      <c r="V861" s="88" t="inlineStr">
        <is>
          <t>漏洞扫描设备规划、漏洞扫描设备规划历史表</t>
        </is>
      </c>
      <c r="W861" s="89" t="n"/>
      <c r="X861" s="88" t="inlineStr">
        <is>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is>
      </c>
      <c r="Y861" s="88" t="n"/>
      <c r="Z861" s="88" t="n"/>
    </row>
    <row r="862" hidden="1" ht="54" customHeight="1">
      <c r="A862" s="69">
        <f>ROW()-1</f>
        <v/>
      </c>
      <c r="B862" s="53" t="n"/>
      <c r="C862" s="78" t="n">
        <v>2025</v>
      </c>
      <c r="D862" s="78" t="inlineStr">
        <is>
          <t>仲光华</t>
        </is>
      </c>
      <c r="E862" s="53" t="n"/>
      <c r="F862" s="53" t="n"/>
      <c r="G862" s="53" t="n"/>
      <c r="H862" s="80" t="inlineStr">
        <is>
          <t>批量删除设备规划</t>
        </is>
      </c>
      <c r="I862" s="76" t="inlineStr">
        <is>
          <t>EI</t>
        </is>
      </c>
      <c r="J862" s="108" t="n"/>
      <c r="K862" s="108" t="inlineStr">
        <is>
          <t>批量操作</t>
        </is>
      </c>
      <c r="L862" s="83">
        <f>IF(OR(X862="估算法",X862="算法类",X862="无法识别"),"",IF(V862="",IF(OR(I862="EI",I862="EO",I862="EQ"),0,""),LEN(V862)-LEN(SUBSTITUTE(V862,"、",""))+1))</f>
        <v/>
      </c>
      <c r="M862" s="83">
        <f>IF(OR(X862="估算法",X862="算法类",X862="无法识别"),"",IF(W862="",IF(OR(I862="ILF",I862="EIF"),0,""),LEN(W862)-LEN(SUBSTITUTE(W862,"、",""))+1))</f>
        <v/>
      </c>
      <c r="N862" s="83">
        <f>IF(OR(X862="估算法",X862="算法类",X862="无法识别"),"",IF(X862="",IF(OR(I862="ILF",I862="EIF",I862="EI",I862="EO",I862="EQ"),0,""),LEN(X862)-LEN(SUBSTITUTE(SUBSTITUTE(SUBSTITUTE(SUBSTITUTE(SUBSTITUTE(X862,"|}","--"),"{|","--"),CHAR(10),""),"、",""),"|",""))+IF(AND(OR(I862="EI",I862="EO",I862="EQ"),$AD$1="NESMA"),2,1)))</f>
        <v/>
      </c>
      <c r="O862" s="84">
        <f>IF(I862="EI",IF(OR(X862="估算法",X862="算法类"),"中",IF(X862="无法识别","低",IF(L862&lt;2,IF(N862&lt;16,"低","中"),IF(L862&lt;3,IF(N862&lt;5,"低",IF(N862&lt;16,"中","高")),IF(N862&lt;5,"中","高"))))),IF(OR(I862="EO",I862="EQ"),IF(OR(X862="估算法",X862="算法类"),"中",IF(X862="无法识别","低",IF(L862&lt;2,IF(N862&lt;20,"低","中"),IF(L862&lt;4,IF(N862&lt;6,"低",IF(N862&lt;20,"中","高")),IF(N862&lt;6,"中","高"))))),IF(OR(I862="ILF",I862="EIF"),IF(OR(X862="估算法",X862="算法类",X862="无法识别"),"低",IF(M862&lt;2,IF(N862&lt;51,"低","中"),IF(M862&lt;6,IF(N862&lt;20,"低",IF(N862&lt;51,"中","高")),IF(N862&lt;20,"中","高")))),"不计算")))</f>
        <v/>
      </c>
      <c r="P862" s="142">
        <f>IFERROR(IF(I862="EI",IF(O862="低",3,IF(O862="中",4,6)),IF(I862="EO",IF(O862="低",4,IF(O862="中",5,7)),IF(I862="EQ",IF(O862="低",3,IF(O862="中",4,6)),IF(I862="ILF",IF(O862="低",7,IF(O862="中",10,15)),IF(I862="EIF",IF(O862="低",5,IF(O862="中",7,10)),"不计算")))))*Q862,"不计算")</f>
        <v/>
      </c>
      <c r="Q862" s="142" t="n">
        <v>0.333333333333333</v>
      </c>
      <c r="R862" s="143">
        <f>调整因子!$F$13</f>
        <v/>
      </c>
      <c r="S862" s="76" t="n">
        <v>1</v>
      </c>
      <c r="T862" s="144">
        <f>IFERROR(P862*R862,0)</f>
        <v/>
      </c>
      <c r="U862" s="144">
        <f>T862*S862</f>
        <v/>
      </c>
      <c r="V862" s="88" t="inlineStr">
        <is>
          <t>漏洞扫描设备规划、漏洞扫描设备规划历史表</t>
        </is>
      </c>
      <c r="W862" s="89" t="n"/>
      <c r="X862" s="88" t="inlineStr">
        <is>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is>
      </c>
      <c r="Y862" s="88" t="n"/>
      <c r="Z862" s="88" t="n"/>
    </row>
    <row r="863" hidden="1" ht="32.4" customHeight="1">
      <c r="A863" s="69">
        <f>ROW()-1</f>
        <v/>
      </c>
      <c r="B863" s="53" t="n"/>
      <c r="C863" s="78" t="n">
        <v>2025</v>
      </c>
      <c r="D863" s="78" t="inlineStr">
        <is>
          <t>仲光华</t>
        </is>
      </c>
      <c r="E863" s="53" t="n"/>
      <c r="F863" s="53" t="n"/>
      <c r="G863" s="54" t="n"/>
      <c r="H863" s="81" t="inlineStr">
        <is>
          <t>漏洞扫描设备规划表</t>
        </is>
      </c>
      <c r="I863" s="76" t="n"/>
      <c r="J863" s="108" t="n"/>
      <c r="K863" s="108" t="inlineStr">
        <is>
          <t>数据库表未被本系统所使用</t>
        </is>
      </c>
      <c r="L863" s="83">
        <f>IF(OR(X863="估算法",X863="算法类",X863="无法识别"),"",IF(V863="",IF(OR(I863="EI",I863="EO",I863="EQ"),0,""),LEN(V863)-LEN(SUBSTITUTE(V863,"、",""))+1))</f>
        <v/>
      </c>
      <c r="M863" s="83">
        <f>IF(OR(X863="估算法",X863="算法类",X863="无法识别"),"",IF(W863="",IF(OR(I863="ILF",I863="EIF"),0,""),LEN(W863)-LEN(SUBSTITUTE(W863,"、",""))+1))</f>
        <v/>
      </c>
      <c r="N863" s="83">
        <f>IF(OR(X863="估算法",X863="算法类",X863="无法识别"),"",IF(X863="",IF(OR(I863="ILF",I863="EIF",I863="EI",I863="EO",I863="EQ"),0,""),LEN(X863)-LEN(SUBSTITUTE(SUBSTITUTE(SUBSTITUTE(SUBSTITUTE(SUBSTITUTE(X863,"|}","--"),"{|","--"),CHAR(10),""),"、",""),"|",""))+IF(AND(OR(I863="EI",I863="EO",I863="EQ"),$AD$1="NESMA"),2,1)))</f>
        <v/>
      </c>
      <c r="O863" s="84">
        <f>IF(I863="EI",IF(OR(X863="估算法",X863="算法类"),"中",IF(X863="无法识别","低",IF(L863&lt;2,IF(N863&lt;16,"低","中"),IF(L863&lt;3,IF(N863&lt;5,"低",IF(N863&lt;16,"中","高")),IF(N863&lt;5,"中","高"))))),IF(OR(I863="EO",I863="EQ"),IF(OR(X863="估算法",X863="算法类"),"中",IF(X863="无法识别","低",IF(L863&lt;2,IF(N863&lt;20,"低","中"),IF(L863&lt;4,IF(N863&lt;6,"低",IF(N863&lt;20,"中","高")),IF(N863&lt;6,"中","高"))))),IF(OR(I863="ILF",I863="EIF"),IF(OR(X863="估算法",X863="算法类",X863="无法识别"),"低",IF(M863&lt;2,IF(N863&lt;51,"低","中"),IF(M863&lt;6,IF(N863&lt;20,"低",IF(N863&lt;51,"中","高")),IF(N863&lt;20,"中","高")))),"不计算")))</f>
        <v/>
      </c>
      <c r="P863" s="142">
        <f>IFERROR(IF(I863="EI",IF(O863="低",3,IF(O863="中",4,6)),IF(I863="EO",IF(O863="低",4,IF(O863="中",5,7)),IF(I863="EQ",IF(O863="低",3,IF(O863="中",4,6)),IF(I863="ILF",IF(O863="低",7,IF(O863="中",10,15)),IF(I863="EIF",IF(O863="低",5,IF(O863="中",7,10)),"不计算")))))*Q863,"不计算")</f>
        <v/>
      </c>
      <c r="Q863" s="142" t="n">
        <v>1</v>
      </c>
      <c r="R863" s="143">
        <f>调整因子!$F$13</f>
        <v/>
      </c>
      <c r="S863" s="70" t="n">
        <v>1</v>
      </c>
      <c r="T863" s="144">
        <f>IFERROR(P863*R863,0)</f>
        <v/>
      </c>
      <c r="U863" s="144">
        <f>T863*S863</f>
        <v/>
      </c>
      <c r="V863" s="81" t="n"/>
      <c r="W863" s="88" t="inlineStr">
        <is>
          <t>漏洞扫描设备规划表</t>
        </is>
      </c>
      <c r="X863" s="88" t="inlineStr">
        <is>
          <t>漏洞扫描设备规划{ID、资产ID、设备名称、设备类型、IP地址、MAC地址、厂商、型号、操作系统、固件版本、扫描引擎版本、漏洞库版本、最大扫描并发数、支持协议类型、责任人、所属部门、启用状态、备注}</t>
        </is>
      </c>
      <c r="Y863" s="88">
        <f>IF(COUNTIFS(V:V,"*"&amp;H863&amp;"*")&gt;0,"存在","不存在")</f>
        <v/>
      </c>
      <c r="Z863" s="88">
        <f>IF(COUNTIFS(AA:AA,"*"&amp;H863&amp;"*")&gt;0,"存在","不存在")</f>
        <v/>
      </c>
    </row>
    <row r="864" hidden="1" ht="162" customHeight="1">
      <c r="A864" s="69">
        <f>ROW()-1</f>
        <v/>
      </c>
      <c r="B864" s="53" t="n"/>
      <c r="C864" s="78" t="n">
        <v>2025</v>
      </c>
      <c r="D864" s="78" t="inlineStr">
        <is>
          <t>仲光华</t>
        </is>
      </c>
      <c r="E864" s="53" t="n"/>
      <c r="F864" s="53" t="n"/>
      <c r="G864" s="79" t="inlineStr">
        <is>
          <t>POC 引擎规划</t>
        </is>
      </c>
      <c r="H864" s="80" t="inlineStr">
        <is>
          <t>查询POC引擎列表</t>
        </is>
      </c>
      <c r="I864" s="76" t="inlineStr">
        <is>
          <t>EQ</t>
        </is>
      </c>
      <c r="J864" s="108" t="n"/>
      <c r="K864" s="108" t="n"/>
      <c r="L864" s="83">
        <f>IF(OR(X864="估算法",X864="算法类",X864="无法识别"),"",IF(V864="",IF(OR(I864="EI",I864="EO",I864="EQ"),0,""),LEN(V864)-LEN(SUBSTITUTE(V864,"、",""))+1))</f>
        <v/>
      </c>
      <c r="M864" s="83">
        <f>IF(OR(X864="估算法",X864="算法类",X864="无法识别"),"",IF(W864="",IF(OR(I864="ILF",I864="EIF"),0,""),LEN(W864)-LEN(SUBSTITUTE(W864,"、",""))+1))</f>
        <v/>
      </c>
      <c r="N864" s="83">
        <f>IF(OR(X864="估算法",X864="算法类",X864="无法识别"),"",IF(X864="",IF(OR(I864="ILF",I864="EIF",I864="EI",I864="EO",I864="EQ"),0,""),LEN(X864)-LEN(SUBSTITUTE(SUBSTITUTE(SUBSTITUTE(SUBSTITUTE(SUBSTITUTE(X864,"|}","--"),"{|","--"),CHAR(10),""),"、",""),"|",""))+IF(AND(OR(I864="EI",I864="EO",I864="EQ"),$AD$1="NESMA"),2,1)))</f>
        <v/>
      </c>
      <c r="O864" s="84">
        <f>IF(I864="EI",IF(OR(X864="估算法",X864="算法类"),"中",IF(X864="无法识别","低",IF(L864&lt;2,IF(N864&lt;16,"低","中"),IF(L864&lt;3,IF(N864&lt;5,"低",IF(N864&lt;16,"中","高")),IF(N864&lt;5,"中","高"))))),IF(OR(I864="EO",I864="EQ"),IF(OR(X864="估算法",X864="算法类"),"中",IF(X864="无法识别","低",IF(L864&lt;2,IF(N864&lt;20,"低","中"),IF(L864&lt;4,IF(N864&lt;6,"低",IF(N864&lt;20,"中","高")),IF(N864&lt;6,"中","高"))))),IF(OR(I864="ILF",I864="EIF"),IF(OR(X864="估算法",X864="算法类",X864="无法识别"),"低",IF(M864&lt;2,IF(N864&lt;51,"低","中"),IF(M864&lt;6,IF(N864&lt;20,"低",IF(N864&lt;51,"中","高")),IF(N864&lt;20,"中","高")))),"不计算")))</f>
        <v/>
      </c>
      <c r="P864" s="142">
        <f>IFERROR(IF(I864="EI",IF(O864="低",3,IF(O864="中",4,6)),IF(I864="EO",IF(O864="低",4,IF(O864="中",5,7)),IF(I864="EQ",IF(O864="低",3,IF(O864="中",4,6)),IF(I864="ILF",IF(O864="低",7,IF(O864="中",10,15)),IF(I864="EIF",IF(O864="低",5,IF(O864="中",7,10)),"不计算")))))*Q864,"不计算")</f>
        <v/>
      </c>
      <c r="Q864" s="142" t="n">
        <v>1</v>
      </c>
      <c r="R864" s="143">
        <f>调整因子!$F$13</f>
        <v/>
      </c>
      <c r="S864" s="70" t="n">
        <v>1</v>
      </c>
      <c r="T864" s="144">
        <f>IFERROR(P864*R864,0)</f>
        <v/>
      </c>
      <c r="U864" s="144">
        <f>T864*S864</f>
        <v/>
      </c>
      <c r="V864" s="88" t="inlineStr">
        <is>
          <t>POC引擎规划、扫描节点表、扫描器表、扫描器版本表、扫描器分类表、安全厂商信息、资产管理表、POC引擎规划历史记录表</t>
        </is>
      </c>
      <c r="W864" s="89" t="n"/>
      <c r="X864" s="88"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64" s="88" t="n"/>
      <c r="Z864" s="88" t="n"/>
    </row>
    <row r="865" hidden="1" ht="162" customHeight="1">
      <c r="A865" s="69">
        <f>ROW()-1</f>
        <v/>
      </c>
      <c r="B865" s="53" t="n"/>
      <c r="C865" s="78" t="n">
        <v>2025</v>
      </c>
      <c r="D865" s="78" t="inlineStr">
        <is>
          <t>仲光华</t>
        </is>
      </c>
      <c r="E865" s="53" t="n"/>
      <c r="F865" s="53" t="n"/>
      <c r="G865" s="53" t="n"/>
      <c r="H865" s="80" t="inlineStr">
        <is>
          <t>查询POC引擎规划列表</t>
        </is>
      </c>
      <c r="I865" s="76" t="n"/>
      <c r="J865" s="108" t="n"/>
      <c r="K865" s="108" t="inlineStr">
        <is>
          <t>和上行合并，输入输出字段完全一致</t>
        </is>
      </c>
      <c r="L865" s="83">
        <f>IF(OR(X865="估算法",X865="算法类",X865="无法识别"),"",IF(V865="",IF(OR(I865="EI",I865="EO",I865="EQ"),0,""),LEN(V865)-LEN(SUBSTITUTE(V865,"、",""))+1))</f>
        <v/>
      </c>
      <c r="M865" s="83">
        <f>IF(OR(X865="估算法",X865="算法类",X865="无法识别"),"",IF(W865="",IF(OR(I865="ILF",I865="EIF"),0,""),LEN(W865)-LEN(SUBSTITUTE(W865,"、",""))+1))</f>
        <v/>
      </c>
      <c r="N865" s="83">
        <f>IF(OR(X865="估算法",X865="算法类",X865="无法识别"),"",IF(X865="",IF(OR(I865="ILF",I865="EIF",I865="EI",I865="EO",I865="EQ"),0,""),LEN(X865)-LEN(SUBSTITUTE(SUBSTITUTE(SUBSTITUTE(SUBSTITUTE(SUBSTITUTE(X865,"|}","--"),"{|","--"),CHAR(10),""),"、",""),"|",""))+IF(AND(OR(I865="EI",I865="EO",I865="EQ"),$AD$1="NESMA"),2,1)))</f>
        <v/>
      </c>
      <c r="O865" s="84">
        <f>IF(I865="EI",IF(OR(X865="估算法",X865="算法类"),"中",IF(X865="无法识别","低",IF(L865&lt;2,IF(N865&lt;16,"低","中"),IF(L865&lt;3,IF(N865&lt;5,"低",IF(N865&lt;16,"中","高")),IF(N865&lt;5,"中","高"))))),IF(OR(I865="EO",I865="EQ"),IF(OR(X865="估算法",X865="算法类"),"中",IF(X865="无法识别","低",IF(L865&lt;2,IF(N865&lt;20,"低","中"),IF(L865&lt;4,IF(N865&lt;6,"低",IF(N865&lt;20,"中","高")),IF(N865&lt;6,"中","高"))))),IF(OR(I865="ILF",I865="EIF"),IF(OR(X865="估算法",X865="算法类",X865="无法识别"),"低",IF(M865&lt;2,IF(N865&lt;51,"低","中"),IF(M865&lt;6,IF(N865&lt;20,"低",IF(N865&lt;51,"中","高")),IF(N865&lt;20,"中","高")))),"不计算")))</f>
        <v/>
      </c>
      <c r="P865" s="142">
        <f>IFERROR(IF(I865="EI",IF(O865="低",3,IF(O865="中",4,6)),IF(I865="EO",IF(O865="低",4,IF(O865="中",5,7)),IF(I865="EQ",IF(O865="低",3,IF(O865="中",4,6)),IF(I865="ILF",IF(O865="低",7,IF(O865="中",10,15)),IF(I865="EIF",IF(O865="低",5,IF(O865="中",7,10)),"不计算")))))*Q865,"不计算")</f>
        <v/>
      </c>
      <c r="Q865" s="142" t="n">
        <v>1</v>
      </c>
      <c r="R865" s="143">
        <f>调整因子!$F$13</f>
        <v/>
      </c>
      <c r="S865" s="76" t="n">
        <v>1</v>
      </c>
      <c r="T865" s="144">
        <f>IFERROR(P865*R865,0)</f>
        <v/>
      </c>
      <c r="U865" s="144">
        <f>T865*S865</f>
        <v/>
      </c>
      <c r="V865" s="88" t="inlineStr">
        <is>
          <t>POC引擎规划、扫描节点表、扫描器表、扫描器版本表、扫描器分类表、安全厂商信息、资产管理表、POC引擎规划历史记录表</t>
        </is>
      </c>
      <c r="W865" s="89" t="n"/>
      <c r="X865" s="88"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65" s="88" t="n"/>
      <c r="Z865" s="88" t="n"/>
    </row>
    <row r="866" hidden="1" ht="162" customHeight="1">
      <c r="A866" s="69">
        <f>ROW()-1</f>
        <v/>
      </c>
      <c r="B866" s="53" t="n"/>
      <c r="C866" s="78" t="n">
        <v>2025</v>
      </c>
      <c r="D866" s="78" t="inlineStr">
        <is>
          <t>仲光华</t>
        </is>
      </c>
      <c r="E866" s="53" t="n"/>
      <c r="F866" s="53" t="n"/>
      <c r="G866" s="53" t="n"/>
      <c r="H866" s="80" t="inlineStr">
        <is>
          <t>新增POC引擎规划</t>
        </is>
      </c>
      <c r="I866" s="76" t="inlineStr">
        <is>
          <t>EI</t>
        </is>
      </c>
      <c r="J866" s="108" t="n"/>
      <c r="K866" s="108" t="n"/>
      <c r="L866" s="83">
        <f>IF(OR(X866="估算法",X866="算法类",X866="无法识别"),"",IF(V866="",IF(OR(I866="EI",I866="EO",I866="EQ"),0,""),LEN(V866)-LEN(SUBSTITUTE(V866,"、",""))+1))</f>
        <v/>
      </c>
      <c r="M866" s="83">
        <f>IF(OR(X866="估算法",X866="算法类",X866="无法识别"),"",IF(W866="",IF(OR(I866="ILF",I866="EIF"),0,""),LEN(W866)-LEN(SUBSTITUTE(W866,"、",""))+1))</f>
        <v/>
      </c>
      <c r="N866" s="83">
        <f>IF(OR(X866="估算法",X866="算法类",X866="无法识别"),"",IF(X866="",IF(OR(I866="ILF",I866="EIF",I866="EI",I866="EO",I866="EQ"),0,""),LEN(X866)-LEN(SUBSTITUTE(SUBSTITUTE(SUBSTITUTE(SUBSTITUTE(SUBSTITUTE(X866,"|}","--"),"{|","--"),CHAR(10),""),"、",""),"|",""))+IF(AND(OR(I866="EI",I866="EO",I866="EQ"),$AD$1="NESMA"),2,1)))</f>
        <v/>
      </c>
      <c r="O866" s="84">
        <f>IF(I866="EI",IF(OR(X866="估算法",X866="算法类"),"中",IF(X866="无法识别","低",IF(L866&lt;2,IF(N866&lt;16,"低","中"),IF(L866&lt;3,IF(N866&lt;5,"低",IF(N866&lt;16,"中","高")),IF(N866&lt;5,"中","高"))))),IF(OR(I866="EO",I866="EQ"),IF(OR(X866="估算法",X866="算法类"),"中",IF(X866="无法识别","低",IF(L866&lt;2,IF(N866&lt;20,"低","中"),IF(L866&lt;4,IF(N866&lt;6,"低",IF(N866&lt;20,"中","高")),IF(N866&lt;6,"中","高"))))),IF(OR(I866="ILF",I866="EIF"),IF(OR(X866="估算法",X866="算法类",X866="无法识别"),"低",IF(M866&lt;2,IF(N866&lt;51,"低","中"),IF(M866&lt;6,IF(N866&lt;20,"低",IF(N866&lt;51,"中","高")),IF(N866&lt;20,"中","高")))),"不计算")))</f>
        <v/>
      </c>
      <c r="P866" s="142">
        <f>IFERROR(IF(I866="EI",IF(O866="低",3,IF(O866="中",4,6)),IF(I866="EO",IF(O866="低",4,IF(O866="中",5,7)),IF(I866="EQ",IF(O866="低",3,IF(O866="中",4,6)),IF(I866="ILF",IF(O866="低",7,IF(O866="中",10,15)),IF(I866="EIF",IF(O866="低",5,IF(O866="中",7,10)),"不计算")))))*Q866,"不计算")</f>
        <v/>
      </c>
      <c r="Q866" s="142" t="n">
        <v>1</v>
      </c>
      <c r="R866" s="143">
        <f>调整因子!$F$13</f>
        <v/>
      </c>
      <c r="S866" s="76" t="n">
        <v>1</v>
      </c>
      <c r="T866" s="144">
        <f>IFERROR(P866*R866,0)</f>
        <v/>
      </c>
      <c r="U866" s="144">
        <f>T866*S866</f>
        <v/>
      </c>
      <c r="V866" s="88" t="inlineStr">
        <is>
          <t>POC引擎规划、扫描节点表、扫描器表、扫描器版本表、扫描器分类表、安全厂商信息、资产管理表、POC引擎规划历史记录表</t>
        </is>
      </c>
      <c r="W866" s="89" t="n"/>
      <c r="X866" s="88"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66" s="88" t="n"/>
      <c r="Z866" s="88" t="n"/>
    </row>
    <row r="867" hidden="1" ht="162" customHeight="1">
      <c r="A867" s="69">
        <f>ROW()-1</f>
        <v/>
      </c>
      <c r="B867" s="53" t="n"/>
      <c r="C867" s="78" t="n">
        <v>2025</v>
      </c>
      <c r="D867" s="78" t="inlineStr">
        <is>
          <t>仲光华</t>
        </is>
      </c>
      <c r="E867" s="53" t="n"/>
      <c r="F867" s="53" t="n"/>
      <c r="G867" s="53" t="n"/>
      <c r="H867" s="80" t="inlineStr">
        <is>
          <t>修改POC引擎规划</t>
        </is>
      </c>
      <c r="I867" s="76" t="inlineStr">
        <is>
          <t>EI</t>
        </is>
      </c>
      <c r="J867" s="108" t="n"/>
      <c r="K867" s="108" t="n"/>
      <c r="L867" s="83">
        <f>IF(OR(X867="估算法",X867="算法类",X867="无法识别"),"",IF(V867="",IF(OR(I867="EI",I867="EO",I867="EQ"),0,""),LEN(V867)-LEN(SUBSTITUTE(V867,"、",""))+1))</f>
        <v/>
      </c>
      <c r="M867" s="83">
        <f>IF(OR(X867="估算法",X867="算法类",X867="无法识别"),"",IF(W867="",IF(OR(I867="ILF",I867="EIF"),0,""),LEN(W867)-LEN(SUBSTITUTE(W867,"、",""))+1))</f>
        <v/>
      </c>
      <c r="N867" s="83">
        <f>IF(OR(X867="估算法",X867="算法类",X867="无法识别"),"",IF(X867="",IF(OR(I867="ILF",I867="EIF",I867="EI",I867="EO",I867="EQ"),0,""),LEN(X867)-LEN(SUBSTITUTE(SUBSTITUTE(SUBSTITUTE(SUBSTITUTE(SUBSTITUTE(X867,"|}","--"),"{|","--"),CHAR(10),""),"、",""),"|",""))+IF(AND(OR(I867="EI",I867="EO",I867="EQ"),$AD$1="NESMA"),2,1)))</f>
        <v/>
      </c>
      <c r="O867" s="84">
        <f>IF(I867="EI",IF(OR(X867="估算法",X867="算法类"),"中",IF(X867="无法识别","低",IF(L867&lt;2,IF(N867&lt;16,"低","中"),IF(L867&lt;3,IF(N867&lt;5,"低",IF(N867&lt;16,"中","高")),IF(N867&lt;5,"中","高"))))),IF(OR(I867="EO",I867="EQ"),IF(OR(X867="估算法",X867="算法类"),"中",IF(X867="无法识别","低",IF(L867&lt;2,IF(N867&lt;20,"低","中"),IF(L867&lt;4,IF(N867&lt;6,"低",IF(N867&lt;20,"中","高")),IF(N867&lt;6,"中","高"))))),IF(OR(I867="ILF",I867="EIF"),IF(OR(X867="估算法",X867="算法类",X867="无法识别"),"低",IF(M867&lt;2,IF(N867&lt;51,"低","中"),IF(M867&lt;6,IF(N867&lt;20,"低",IF(N867&lt;51,"中","高")),IF(N867&lt;20,"中","高")))),"不计算")))</f>
        <v/>
      </c>
      <c r="P867" s="142">
        <f>IFERROR(IF(I867="EI",IF(O867="低",3,IF(O867="中",4,6)),IF(I867="EO",IF(O867="低",4,IF(O867="中",5,7)),IF(I867="EQ",IF(O867="低",3,IF(O867="中",4,6)),IF(I867="ILF",IF(O867="低",7,IF(O867="中",10,15)),IF(I867="EIF",IF(O867="低",5,IF(O867="中",7,10)),"不计算")))))*Q867,"不计算")</f>
        <v/>
      </c>
      <c r="Q867" s="142" t="n">
        <v>0.333333333333333</v>
      </c>
      <c r="R867" s="143">
        <f>调整因子!$F$13</f>
        <v/>
      </c>
      <c r="S867" s="70" t="n">
        <v>1</v>
      </c>
      <c r="T867" s="144">
        <f>IFERROR(P867*R867,0)</f>
        <v/>
      </c>
      <c r="U867" s="144">
        <f>T867*S867</f>
        <v/>
      </c>
      <c r="V867" s="88" t="inlineStr">
        <is>
          <t>POC引擎规划、扫描节点表、扫描器表、扫描器版本表、扫描器分类表、安全厂商信息、资产管理表、POC引擎规划历史记录表</t>
        </is>
      </c>
      <c r="W867" s="89" t="n"/>
      <c r="X867" s="88"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67" s="88" t="n"/>
      <c r="Z867" s="88" t="n"/>
    </row>
    <row r="868" hidden="1" ht="54" customHeight="1">
      <c r="A868" s="69">
        <f>ROW()-1</f>
        <v/>
      </c>
      <c r="B868" s="53" t="n"/>
      <c r="C868" s="78" t="n">
        <v>2025</v>
      </c>
      <c r="D868" s="78" t="inlineStr">
        <is>
          <t>仲光华</t>
        </is>
      </c>
      <c r="E868" s="53" t="n"/>
      <c r="F868" s="53" t="n"/>
      <c r="G868" s="53" t="n"/>
      <c r="H868" s="80" t="inlineStr">
        <is>
          <t>删除单个POC引擎规划</t>
        </is>
      </c>
      <c r="I868" s="76" t="inlineStr">
        <is>
          <t>EI</t>
        </is>
      </c>
      <c r="J868" s="108" t="n"/>
      <c r="K868" s="108" t="n"/>
      <c r="L868" s="83">
        <f>IF(OR(X868="估算法",X868="算法类",X868="无法识别"),"",IF(V868="",IF(OR(I868="EI",I868="EO",I868="EQ"),0,""),LEN(V868)-LEN(SUBSTITUTE(V868,"、",""))+1))</f>
        <v/>
      </c>
      <c r="M868" s="83">
        <f>IF(OR(X868="估算法",X868="算法类",X868="无法识别"),"",IF(W868="",IF(OR(I868="ILF",I868="EIF"),0,""),LEN(W868)-LEN(SUBSTITUTE(W868,"、",""))+1))</f>
        <v/>
      </c>
      <c r="N868" s="83">
        <f>IF(OR(X868="估算法",X868="算法类",X868="无法识别"),"",IF(X868="",IF(OR(I868="ILF",I868="EIF",I868="EI",I868="EO",I868="EQ"),0,""),LEN(X868)-LEN(SUBSTITUTE(SUBSTITUTE(SUBSTITUTE(SUBSTITUTE(SUBSTITUTE(X868,"|}","--"),"{|","--"),CHAR(10),""),"、",""),"|",""))+IF(AND(OR(I868="EI",I868="EO",I868="EQ"),$AD$1="NESMA"),2,1)))</f>
        <v/>
      </c>
      <c r="O868" s="84">
        <f>IF(I868="EI",IF(OR(X868="估算法",X868="算法类"),"中",IF(X868="无法识别","低",IF(L868&lt;2,IF(N868&lt;16,"低","中"),IF(L868&lt;3,IF(N868&lt;5,"低",IF(N868&lt;16,"中","高")),IF(N868&lt;5,"中","高"))))),IF(OR(I868="EO",I868="EQ"),IF(OR(X868="估算法",X868="算法类"),"中",IF(X868="无法识别","低",IF(L868&lt;2,IF(N868&lt;20,"低","中"),IF(L868&lt;4,IF(N868&lt;6,"低",IF(N868&lt;20,"中","高")),IF(N868&lt;6,"中","高"))))),IF(OR(I868="ILF",I868="EIF"),IF(OR(X868="估算法",X868="算法类",X868="无法识别"),"低",IF(M868&lt;2,IF(N868&lt;51,"低","中"),IF(M868&lt;6,IF(N868&lt;20,"低",IF(N868&lt;51,"中","高")),IF(N868&lt;20,"中","高")))),"不计算")))</f>
        <v/>
      </c>
      <c r="P868" s="142">
        <f>IFERROR(IF(I868="EI",IF(O868="低",3,IF(O868="中",4,6)),IF(I868="EO",IF(O868="低",4,IF(O868="中",5,7)),IF(I868="EQ",IF(O868="低",3,IF(O868="中",4,6)),IF(I868="ILF",IF(O868="低",7,IF(O868="中",10,15)),IF(I868="EIF",IF(O868="低",5,IF(O868="中",7,10)),"不计算")))))*Q868,"不计算")</f>
        <v/>
      </c>
      <c r="Q868" s="142" t="n">
        <v>0.333333333333333</v>
      </c>
      <c r="R868" s="143">
        <f>调整因子!$F$13</f>
        <v/>
      </c>
      <c r="S868" s="70" t="n">
        <v>1</v>
      </c>
      <c r="T868" s="144">
        <f>IFERROR(P868*R868,0)</f>
        <v/>
      </c>
      <c r="U868" s="144">
        <f>T868*S868</f>
        <v/>
      </c>
      <c r="V868" s="88" t="inlineStr">
        <is>
          <t>POC引擎规划、POC引擎规划历史记录表</t>
        </is>
      </c>
      <c r="W868" s="89" t="n"/>
      <c r="X868" s="88" t="inlineStr">
        <is>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is>
      </c>
      <c r="Y868" s="88" t="n"/>
      <c r="Z868" s="88" t="n"/>
    </row>
    <row r="869" hidden="1" ht="54" customHeight="1">
      <c r="A869" s="69">
        <f>ROW()-1</f>
        <v/>
      </c>
      <c r="B869" s="53" t="n"/>
      <c r="C869" s="78" t="n">
        <v>2025</v>
      </c>
      <c r="D869" s="78" t="inlineStr">
        <is>
          <t>仲光华</t>
        </is>
      </c>
      <c r="E869" s="53" t="n"/>
      <c r="F869" s="53" t="n"/>
      <c r="G869" s="53" t="n"/>
      <c r="H869" s="80" t="inlineStr">
        <is>
          <t>批量删除POC引擎规划</t>
        </is>
      </c>
      <c r="I869" s="76" t="inlineStr">
        <is>
          <t>EI</t>
        </is>
      </c>
      <c r="J869" s="108" t="n"/>
      <c r="K869" s="108" t="inlineStr">
        <is>
          <t>批量操作</t>
        </is>
      </c>
      <c r="L869" s="83">
        <f>IF(OR(X869="估算法",X869="算法类",X869="无法识别"),"",IF(V869="",IF(OR(I869="EI",I869="EO",I869="EQ"),0,""),LEN(V869)-LEN(SUBSTITUTE(V869,"、",""))+1))</f>
        <v/>
      </c>
      <c r="M869" s="83">
        <f>IF(OR(X869="估算法",X869="算法类",X869="无法识别"),"",IF(W869="",IF(OR(I869="ILF",I869="EIF"),0,""),LEN(W869)-LEN(SUBSTITUTE(W869,"、",""))+1))</f>
        <v/>
      </c>
      <c r="N869" s="83">
        <f>IF(OR(X869="估算法",X869="算法类",X869="无法识别"),"",IF(X869="",IF(OR(I869="ILF",I869="EIF",I869="EI",I869="EO",I869="EQ"),0,""),LEN(X869)-LEN(SUBSTITUTE(SUBSTITUTE(SUBSTITUTE(SUBSTITUTE(SUBSTITUTE(X869,"|}","--"),"{|","--"),CHAR(10),""),"、",""),"|",""))+IF(AND(OR(I869="EI",I869="EO",I869="EQ"),$AD$1="NESMA"),2,1)))</f>
        <v/>
      </c>
      <c r="O869" s="84">
        <f>IF(I869="EI",IF(OR(X869="估算法",X869="算法类"),"中",IF(X869="无法识别","低",IF(L869&lt;2,IF(N869&lt;16,"低","中"),IF(L869&lt;3,IF(N869&lt;5,"低",IF(N869&lt;16,"中","高")),IF(N869&lt;5,"中","高"))))),IF(OR(I869="EO",I869="EQ"),IF(OR(X869="估算法",X869="算法类"),"中",IF(X869="无法识别","低",IF(L869&lt;2,IF(N869&lt;20,"低","中"),IF(L869&lt;4,IF(N869&lt;6,"低",IF(N869&lt;20,"中","高")),IF(N869&lt;6,"中","高"))))),IF(OR(I869="ILF",I869="EIF"),IF(OR(X869="估算法",X869="算法类",X869="无法识别"),"低",IF(M869&lt;2,IF(N869&lt;51,"低","中"),IF(M869&lt;6,IF(N869&lt;20,"低",IF(N869&lt;51,"中","高")),IF(N869&lt;20,"中","高")))),"不计算")))</f>
        <v/>
      </c>
      <c r="P869" s="142">
        <f>IFERROR(IF(I869="EI",IF(O869="低",3,IF(O869="中",4,6)),IF(I869="EO",IF(O869="低",4,IF(O869="中",5,7)),IF(I869="EQ",IF(O869="低",3,IF(O869="中",4,6)),IF(I869="ILF",IF(O869="低",7,IF(O869="中",10,15)),IF(I869="EIF",IF(O869="低",5,IF(O869="中",7,10)),"不计算")))))*Q869,"不计算")</f>
        <v/>
      </c>
      <c r="Q869" s="142" t="n">
        <v>0.333333333333333</v>
      </c>
      <c r="R869" s="143">
        <f>调整因子!$F$13</f>
        <v/>
      </c>
      <c r="S869" s="76" t="n">
        <v>1</v>
      </c>
      <c r="T869" s="144">
        <f>IFERROR(P869*R869,0)</f>
        <v/>
      </c>
      <c r="U869" s="144">
        <f>T869*S869</f>
        <v/>
      </c>
      <c r="V869" s="88" t="inlineStr">
        <is>
          <t>POC引擎规划、POC引擎规划历史记录表</t>
        </is>
      </c>
      <c r="W869" s="89" t="n"/>
      <c r="X869" s="88" t="inlineStr">
        <is>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is>
      </c>
      <c r="Y869" s="88" t="n"/>
      <c r="Z869" s="88" t="n"/>
    </row>
    <row r="870" hidden="1" ht="32.4" customHeight="1">
      <c r="A870" s="69">
        <f>ROW()-1</f>
        <v/>
      </c>
      <c r="B870" s="53" t="n"/>
      <c r="C870" s="78" t="n">
        <v>2025</v>
      </c>
      <c r="D870" s="78" t="inlineStr">
        <is>
          <t>仲光华</t>
        </is>
      </c>
      <c r="E870" s="53" t="n"/>
      <c r="F870" s="53" t="n"/>
      <c r="G870" s="54" t="n"/>
      <c r="H870" s="80" t="inlineStr">
        <is>
          <t>POC 引擎规划表</t>
        </is>
      </c>
      <c r="I870" s="76" t="n"/>
      <c r="J870" s="108" t="n"/>
      <c r="K870" s="108" t="inlineStr">
        <is>
          <t>数据库表未被本系统所使用</t>
        </is>
      </c>
      <c r="L870" s="83">
        <f>IF(OR(X870="估算法",X870="算法类",X870="无法识别"),"",IF(V870="",IF(OR(I870="EI",I870="EO",I870="EQ"),0,""),LEN(V870)-LEN(SUBSTITUTE(V870,"、",""))+1))</f>
        <v/>
      </c>
      <c r="M870" s="83">
        <f>IF(OR(X870="估算法",X870="算法类",X870="无法识别"),"",IF(W870="",IF(OR(I870="ILF",I870="EIF"),0,""),LEN(W870)-LEN(SUBSTITUTE(W870,"、",""))+1))</f>
        <v/>
      </c>
      <c r="N870" s="83">
        <f>IF(OR(X870="估算法",X870="算法类",X870="无法识别"),"",IF(X870="",IF(OR(I870="ILF",I870="EIF",I870="EI",I870="EO",I870="EQ"),0,""),LEN(X870)-LEN(SUBSTITUTE(SUBSTITUTE(SUBSTITUTE(SUBSTITUTE(SUBSTITUTE(X870,"|}","--"),"{|","--"),CHAR(10),""),"、",""),"|",""))+IF(AND(OR(I870="EI",I870="EO",I870="EQ"),$AD$1="NESMA"),2,1)))</f>
        <v/>
      </c>
      <c r="O870" s="84">
        <f>IF(I870="EI",IF(OR(X870="估算法",X870="算法类"),"中",IF(X870="无法识别","低",IF(L870&lt;2,IF(N870&lt;16,"低","中"),IF(L870&lt;3,IF(N870&lt;5,"低",IF(N870&lt;16,"中","高")),IF(N870&lt;5,"中","高"))))),IF(OR(I870="EO",I870="EQ"),IF(OR(X870="估算法",X870="算法类"),"中",IF(X870="无法识别","低",IF(L870&lt;2,IF(N870&lt;20,"低","中"),IF(L870&lt;4,IF(N870&lt;6,"低",IF(N870&lt;20,"中","高")),IF(N870&lt;6,"中","高"))))),IF(OR(I870="ILF",I870="EIF"),IF(OR(X870="估算法",X870="算法类",X870="无法识别"),"低",IF(M870&lt;2,IF(N870&lt;51,"低","中"),IF(M870&lt;6,IF(N870&lt;20,"低",IF(N870&lt;51,"中","高")),IF(N870&lt;20,"中","高")))),"不计算")))</f>
        <v/>
      </c>
      <c r="P870" s="142">
        <f>IFERROR(IF(I870="EI",IF(O870="低",3,IF(O870="中",4,6)),IF(I870="EO",IF(O870="低",4,IF(O870="中",5,7)),IF(I870="EQ",IF(O870="低",3,IF(O870="中",4,6)),IF(I870="ILF",IF(O870="低",7,IF(O870="中",10,15)),IF(I870="EIF",IF(O870="低",5,IF(O870="中",7,10)),"不计算")))))*Q870,"不计算")</f>
        <v/>
      </c>
      <c r="Q870" s="142" t="n">
        <v>1</v>
      </c>
      <c r="R870" s="143">
        <f>调整因子!$F$13</f>
        <v/>
      </c>
      <c r="S870" s="70" t="n">
        <v>1</v>
      </c>
      <c r="T870" s="144">
        <f>IFERROR(P870*R870,0)</f>
        <v/>
      </c>
      <c r="U870" s="144">
        <f>T870*S870</f>
        <v/>
      </c>
      <c r="V870" s="80" t="n"/>
      <c r="W870" s="88" t="inlineStr">
        <is>
          <t>POC引擎规划表</t>
        </is>
      </c>
      <c r="X870" s="88" t="inlineStr">
        <is>
          <t>POC 引擎规划{ID、POC扫描器ID、POC名称、漏洞类型、风险等级、影响系统、CVE编号、CNVD编号、CNNVD编号、POC代码路径、验证方式、依赖环境、作者、创建时间、更新时间、是否公开、状态、备注}</t>
        </is>
      </c>
      <c r="Y870" s="88">
        <f>IF(COUNTIFS(V:V,"*"&amp;H870&amp;"*")&gt;0,"存在","不存在")</f>
        <v/>
      </c>
      <c r="Z870" s="88">
        <f>IF(COUNTIFS(AA:AA,"*"&amp;H870&amp;"*")&gt;0,"存在","不存在")</f>
        <v/>
      </c>
    </row>
    <row r="871" hidden="1" ht="162" customHeight="1">
      <c r="A871" s="69">
        <f>ROW()-1</f>
        <v/>
      </c>
      <c r="B871" s="53" t="n"/>
      <c r="C871" s="78" t="n">
        <v>2025</v>
      </c>
      <c r="D871" s="78" t="inlineStr">
        <is>
          <t>仲光华</t>
        </is>
      </c>
      <c r="E871" s="53" t="n"/>
      <c r="F871" s="53" t="n"/>
      <c r="G871" s="79" t="inlineStr">
        <is>
          <t>等效防护设备规划</t>
        </is>
      </c>
      <c r="H871" s="80" t="inlineStr">
        <is>
          <t>查询等效防护设备列表</t>
        </is>
      </c>
      <c r="I871" s="76" t="inlineStr">
        <is>
          <t>EQ</t>
        </is>
      </c>
      <c r="J871" s="108" t="n"/>
      <c r="K871" s="108" t="n"/>
      <c r="L871" s="83">
        <f>IF(OR(X871="估算法",X871="算法类",X871="无法识别"),"",IF(V871="",IF(OR(I871="EI",I871="EO",I871="EQ"),0,""),LEN(V871)-LEN(SUBSTITUTE(V871,"、",""))+1))</f>
        <v/>
      </c>
      <c r="M871" s="83">
        <f>IF(OR(X871="估算法",X871="算法类",X871="无法识别"),"",IF(W871="",IF(OR(I871="ILF",I871="EIF"),0,""),LEN(W871)-LEN(SUBSTITUTE(W871,"、",""))+1))</f>
        <v/>
      </c>
      <c r="N871" s="83">
        <f>IF(OR(X871="估算法",X871="算法类",X871="无法识别"),"",IF(X871="",IF(OR(I871="ILF",I871="EIF",I871="EI",I871="EO",I871="EQ"),0,""),LEN(X871)-LEN(SUBSTITUTE(SUBSTITUTE(SUBSTITUTE(SUBSTITUTE(SUBSTITUTE(X871,"|}","--"),"{|","--"),CHAR(10),""),"、",""),"|",""))+IF(AND(OR(I871="EI",I871="EO",I871="EQ"),$AD$1="NESMA"),2,1)))</f>
        <v/>
      </c>
      <c r="O871" s="84">
        <f>IF(I871="EI",IF(OR(X871="估算法",X871="算法类"),"中",IF(X871="无法识别","低",IF(L871&lt;2,IF(N871&lt;16,"低","中"),IF(L871&lt;3,IF(N871&lt;5,"低",IF(N871&lt;16,"中","高")),IF(N871&lt;5,"中","高"))))),IF(OR(I871="EO",I871="EQ"),IF(OR(X871="估算法",X871="算法类"),"中",IF(X871="无法识别","低",IF(L871&lt;2,IF(N871&lt;20,"低","中"),IF(L871&lt;4,IF(N871&lt;6,"低",IF(N871&lt;20,"中","高")),IF(N871&lt;6,"中","高"))))),IF(OR(I871="ILF",I871="EIF"),IF(OR(X871="估算法",X871="算法类",X871="无法识别"),"低",IF(M871&lt;2,IF(N871&lt;51,"低","中"),IF(M871&lt;6,IF(N871&lt;20,"低",IF(N871&lt;51,"中","高")),IF(N871&lt;20,"中","高")))),"不计算")))</f>
        <v/>
      </c>
      <c r="P871" s="142">
        <f>IFERROR(IF(I871="EI",IF(O871="低",3,IF(O871="中",4,6)),IF(I871="EO",IF(O871="低",4,IF(O871="中",5,7)),IF(I871="EQ",IF(O871="低",3,IF(O871="中",4,6)),IF(I871="ILF",IF(O871="低",7,IF(O871="中",10,15)),IF(I871="EIF",IF(O871="低",5,IF(O871="中",7,10)),"不计算")))))*Q871,"不计算")</f>
        <v/>
      </c>
      <c r="Q871" s="142" t="n">
        <v>1</v>
      </c>
      <c r="R871" s="143">
        <f>调整因子!$F$13</f>
        <v/>
      </c>
      <c r="S871" s="70" t="n">
        <v>1</v>
      </c>
      <c r="T871" s="144">
        <f>IFERROR(P871*R871,0)</f>
        <v/>
      </c>
      <c r="U871" s="144">
        <f>T871*S871</f>
        <v/>
      </c>
      <c r="V871" s="88" t="inlineStr">
        <is>
          <t>等效防护设备规划、扫描节点表、扫描器表、扫描器版本表、扫描器分类表、安全厂商信息、资产管理表、等效防护设备规划历史记录表</t>
        </is>
      </c>
      <c r="W871" s="89" t="n"/>
      <c r="X871" s="88"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71" s="88" t="n"/>
      <c r="Z871" s="88" t="n"/>
    </row>
    <row r="872" hidden="1" ht="162" customHeight="1">
      <c r="A872" s="69">
        <f>ROW()-1</f>
        <v/>
      </c>
      <c r="B872" s="53" t="n"/>
      <c r="C872" s="78" t="n">
        <v>2025</v>
      </c>
      <c r="D872" s="78" t="inlineStr">
        <is>
          <t>仲光华</t>
        </is>
      </c>
      <c r="E872" s="53" t="n"/>
      <c r="F872" s="53" t="n"/>
      <c r="G872" s="53" t="n"/>
      <c r="H872" s="80" t="inlineStr">
        <is>
          <t>查询规划列表</t>
        </is>
      </c>
      <c r="I872" s="76" t="n"/>
      <c r="J872" s="108" t="n"/>
      <c r="K872" s="108" t="inlineStr">
        <is>
          <t>和上行合并，输入输出字段完全一致</t>
        </is>
      </c>
      <c r="L872" s="83">
        <f>IF(OR(X872="估算法",X872="算法类",X872="无法识别"),"",IF(V872="",IF(OR(I872="EI",I872="EO",I872="EQ"),0,""),LEN(V872)-LEN(SUBSTITUTE(V872,"、",""))+1))</f>
        <v/>
      </c>
      <c r="M872" s="83">
        <f>IF(OR(X872="估算法",X872="算法类",X872="无法识别"),"",IF(W872="",IF(OR(I872="ILF",I872="EIF"),0,""),LEN(W872)-LEN(SUBSTITUTE(W872,"、",""))+1))</f>
        <v/>
      </c>
      <c r="N872" s="83">
        <f>IF(OR(X872="估算法",X872="算法类",X872="无法识别"),"",IF(X872="",IF(OR(I872="ILF",I872="EIF",I872="EI",I872="EO",I872="EQ"),0,""),LEN(X872)-LEN(SUBSTITUTE(SUBSTITUTE(SUBSTITUTE(SUBSTITUTE(SUBSTITUTE(X872,"|}","--"),"{|","--"),CHAR(10),""),"、",""),"|",""))+IF(AND(OR(I872="EI",I872="EO",I872="EQ"),$AD$1="NESMA"),2,1)))</f>
        <v/>
      </c>
      <c r="O872" s="84">
        <f>IF(I872="EI",IF(OR(X872="估算法",X872="算法类"),"中",IF(X872="无法识别","低",IF(L872&lt;2,IF(N872&lt;16,"低","中"),IF(L872&lt;3,IF(N872&lt;5,"低",IF(N872&lt;16,"中","高")),IF(N872&lt;5,"中","高"))))),IF(OR(I872="EO",I872="EQ"),IF(OR(X872="估算法",X872="算法类"),"中",IF(X872="无法识别","低",IF(L872&lt;2,IF(N872&lt;20,"低","中"),IF(L872&lt;4,IF(N872&lt;6,"低",IF(N872&lt;20,"中","高")),IF(N872&lt;6,"中","高"))))),IF(OR(I872="ILF",I872="EIF"),IF(OR(X872="估算法",X872="算法类",X872="无法识别"),"低",IF(M872&lt;2,IF(N872&lt;51,"低","中"),IF(M872&lt;6,IF(N872&lt;20,"低",IF(N872&lt;51,"中","高")),IF(N872&lt;20,"中","高")))),"不计算")))</f>
        <v/>
      </c>
      <c r="P872" s="142">
        <f>IFERROR(IF(I872="EI",IF(O872="低",3,IF(O872="中",4,6)),IF(I872="EO",IF(O872="低",4,IF(O872="中",5,7)),IF(I872="EQ",IF(O872="低",3,IF(O872="中",4,6)),IF(I872="ILF",IF(O872="低",7,IF(O872="中",10,15)),IF(I872="EIF",IF(O872="低",5,IF(O872="中",7,10)),"不计算")))))*Q872,"不计算")</f>
        <v/>
      </c>
      <c r="Q872" s="142" t="n">
        <v>1</v>
      </c>
      <c r="R872" s="143">
        <f>调整因子!$F$13</f>
        <v/>
      </c>
      <c r="S872" s="76" t="n">
        <v>1</v>
      </c>
      <c r="T872" s="144">
        <f>IFERROR(P872*R872,0)</f>
        <v/>
      </c>
      <c r="U872" s="144">
        <f>T872*S872</f>
        <v/>
      </c>
      <c r="V872" s="88" t="inlineStr">
        <is>
          <t>等效防护设备规划、扫描节点表、扫描器表、扫描器版本表、扫描器分类表、安全厂商信息、资产管理表、等效防护设备规划历史记录表</t>
        </is>
      </c>
      <c r="W872" s="89" t="n"/>
      <c r="X872" s="88"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72" s="88" t="n"/>
      <c r="Z872" s="88" t="n"/>
    </row>
    <row r="873" hidden="1" ht="162" customHeight="1">
      <c r="A873" s="69">
        <f>ROW()-1</f>
        <v/>
      </c>
      <c r="B873" s="53" t="n"/>
      <c r="C873" s="78" t="n">
        <v>2025</v>
      </c>
      <c r="D873" s="78" t="inlineStr">
        <is>
          <t>仲光华</t>
        </is>
      </c>
      <c r="E873" s="53" t="n"/>
      <c r="F873" s="53" t="n"/>
      <c r="G873" s="53" t="n"/>
      <c r="H873" s="80" t="inlineStr">
        <is>
          <t>新增等效防护设备规划</t>
        </is>
      </c>
      <c r="I873" s="76" t="inlineStr">
        <is>
          <t>EI</t>
        </is>
      </c>
      <c r="J873" s="108" t="n"/>
      <c r="K873" s="108" t="n"/>
      <c r="L873" s="83">
        <f>IF(OR(X873="估算法",X873="算法类",X873="无法识别"),"",IF(V873="",IF(OR(I873="EI",I873="EO",I873="EQ"),0,""),LEN(V873)-LEN(SUBSTITUTE(V873,"、",""))+1))</f>
        <v/>
      </c>
      <c r="M873" s="83">
        <f>IF(OR(X873="估算法",X873="算法类",X873="无法识别"),"",IF(W873="",IF(OR(I873="ILF",I873="EIF"),0,""),LEN(W873)-LEN(SUBSTITUTE(W873,"、",""))+1))</f>
        <v/>
      </c>
      <c r="N873" s="83">
        <f>IF(OR(X873="估算法",X873="算法类",X873="无法识别"),"",IF(X873="",IF(OR(I873="ILF",I873="EIF",I873="EI",I873="EO",I873="EQ"),0,""),LEN(X873)-LEN(SUBSTITUTE(SUBSTITUTE(SUBSTITUTE(SUBSTITUTE(SUBSTITUTE(X873,"|}","--"),"{|","--"),CHAR(10),""),"、",""),"|",""))+IF(AND(OR(I873="EI",I873="EO",I873="EQ"),$AD$1="NESMA"),2,1)))</f>
        <v/>
      </c>
      <c r="O873" s="84">
        <f>IF(I873="EI",IF(OR(X873="估算法",X873="算法类"),"中",IF(X873="无法识别","低",IF(L873&lt;2,IF(N873&lt;16,"低","中"),IF(L873&lt;3,IF(N873&lt;5,"低",IF(N873&lt;16,"中","高")),IF(N873&lt;5,"中","高"))))),IF(OR(I873="EO",I873="EQ"),IF(OR(X873="估算法",X873="算法类"),"中",IF(X873="无法识别","低",IF(L873&lt;2,IF(N873&lt;20,"低","中"),IF(L873&lt;4,IF(N873&lt;6,"低",IF(N873&lt;20,"中","高")),IF(N873&lt;6,"中","高"))))),IF(OR(I873="ILF",I873="EIF"),IF(OR(X873="估算法",X873="算法类",X873="无法识别"),"低",IF(M873&lt;2,IF(N873&lt;51,"低","中"),IF(M873&lt;6,IF(N873&lt;20,"低",IF(N873&lt;51,"中","高")),IF(N873&lt;20,"中","高")))),"不计算")))</f>
        <v/>
      </c>
      <c r="P873" s="142">
        <f>IFERROR(IF(I873="EI",IF(O873="低",3,IF(O873="中",4,6)),IF(I873="EO",IF(O873="低",4,IF(O873="中",5,7)),IF(I873="EQ",IF(O873="低",3,IF(O873="中",4,6)),IF(I873="ILF",IF(O873="低",7,IF(O873="中",10,15)),IF(I873="EIF",IF(O873="低",5,IF(O873="中",7,10)),"不计算")))))*Q873,"不计算")</f>
        <v/>
      </c>
      <c r="Q873" s="142" t="n">
        <v>1</v>
      </c>
      <c r="R873" s="143">
        <f>调整因子!$F$13</f>
        <v/>
      </c>
      <c r="S873" s="76" t="n">
        <v>1</v>
      </c>
      <c r="T873" s="144">
        <f>IFERROR(P873*R873,0)</f>
        <v/>
      </c>
      <c r="U873" s="144">
        <f>T873*S873</f>
        <v/>
      </c>
      <c r="V873" s="88" t="inlineStr">
        <is>
          <t>等效防护设备规划、扫描节点表、扫描器表、扫描器版本表、扫描器分类表、安全厂商信息、资产管理表、等效防护设备规划历史记录表</t>
        </is>
      </c>
      <c r="W873" s="89" t="n"/>
      <c r="X873" s="88"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73" s="88" t="n"/>
      <c r="Z873" s="88" t="n"/>
    </row>
    <row r="874" hidden="1" ht="162" customHeight="1">
      <c r="A874" s="69">
        <f>ROW()-1</f>
        <v/>
      </c>
      <c r="B874" s="53" t="n"/>
      <c r="C874" s="78" t="n">
        <v>2025</v>
      </c>
      <c r="D874" s="78" t="inlineStr">
        <is>
          <t>仲光华</t>
        </is>
      </c>
      <c r="E874" s="53" t="n"/>
      <c r="F874" s="53" t="n"/>
      <c r="G874" s="53" t="n"/>
      <c r="H874" s="80" t="inlineStr">
        <is>
          <t>修改等效防护设备规划</t>
        </is>
      </c>
      <c r="I874" s="76" t="inlineStr">
        <is>
          <t>EI</t>
        </is>
      </c>
      <c r="J874" s="108" t="n"/>
      <c r="K874" s="108" t="n"/>
      <c r="L874" s="83">
        <f>IF(OR(X874="估算法",X874="算法类",X874="无法识别"),"",IF(V874="",IF(OR(I874="EI",I874="EO",I874="EQ"),0,""),LEN(V874)-LEN(SUBSTITUTE(V874,"、",""))+1))</f>
        <v/>
      </c>
      <c r="M874" s="83">
        <f>IF(OR(X874="估算法",X874="算法类",X874="无法识别"),"",IF(W874="",IF(OR(I874="ILF",I874="EIF"),0,""),LEN(W874)-LEN(SUBSTITUTE(W874,"、",""))+1))</f>
        <v/>
      </c>
      <c r="N874" s="83">
        <f>IF(OR(X874="估算法",X874="算法类",X874="无法识别"),"",IF(X874="",IF(OR(I874="ILF",I874="EIF",I874="EI",I874="EO",I874="EQ"),0,""),LEN(X874)-LEN(SUBSTITUTE(SUBSTITUTE(SUBSTITUTE(SUBSTITUTE(SUBSTITUTE(X874,"|}","--"),"{|","--"),CHAR(10),""),"、",""),"|",""))+IF(AND(OR(I874="EI",I874="EO",I874="EQ"),$AD$1="NESMA"),2,1)))</f>
        <v/>
      </c>
      <c r="O874" s="84">
        <f>IF(I874="EI",IF(OR(X874="估算法",X874="算法类"),"中",IF(X874="无法识别","低",IF(L874&lt;2,IF(N874&lt;16,"低","中"),IF(L874&lt;3,IF(N874&lt;5,"低",IF(N874&lt;16,"中","高")),IF(N874&lt;5,"中","高"))))),IF(OR(I874="EO",I874="EQ"),IF(OR(X874="估算法",X874="算法类"),"中",IF(X874="无法识别","低",IF(L874&lt;2,IF(N874&lt;20,"低","中"),IF(L874&lt;4,IF(N874&lt;6,"低",IF(N874&lt;20,"中","高")),IF(N874&lt;6,"中","高"))))),IF(OR(I874="ILF",I874="EIF"),IF(OR(X874="估算法",X874="算法类",X874="无法识别"),"低",IF(M874&lt;2,IF(N874&lt;51,"低","中"),IF(M874&lt;6,IF(N874&lt;20,"低",IF(N874&lt;51,"中","高")),IF(N874&lt;20,"中","高")))),"不计算")))</f>
        <v/>
      </c>
      <c r="P874" s="142">
        <f>IFERROR(IF(I874="EI",IF(O874="低",3,IF(O874="中",4,6)),IF(I874="EO",IF(O874="低",4,IF(O874="中",5,7)),IF(I874="EQ",IF(O874="低",3,IF(O874="中",4,6)),IF(I874="ILF",IF(O874="低",7,IF(O874="中",10,15)),IF(I874="EIF",IF(O874="低",5,IF(O874="中",7,10)),"不计算")))))*Q874,"不计算")</f>
        <v/>
      </c>
      <c r="Q874" s="142" t="n">
        <v>0.333333333333333</v>
      </c>
      <c r="R874" s="143">
        <f>调整因子!$F$13</f>
        <v/>
      </c>
      <c r="S874" s="70" t="n">
        <v>1</v>
      </c>
      <c r="T874" s="144">
        <f>IFERROR(P874*R874,0)</f>
        <v/>
      </c>
      <c r="U874" s="144">
        <f>T874*S874</f>
        <v/>
      </c>
      <c r="V874" s="88" t="inlineStr">
        <is>
          <t>等效防护设备规划、扫描节点表、扫描器表、扫描器版本表、扫描器分类表、安全厂商信息、资产管理表、等效防护设备规划历史记录表</t>
        </is>
      </c>
      <c r="W874" s="89" t="n"/>
      <c r="X874" s="88"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Y874" s="88" t="n"/>
      <c r="Z874" s="88" t="n"/>
    </row>
    <row r="875" hidden="1" ht="54" customHeight="1">
      <c r="A875" s="69">
        <f>ROW()-1</f>
        <v/>
      </c>
      <c r="B875" s="53" t="n"/>
      <c r="C875" s="78" t="n">
        <v>2025</v>
      </c>
      <c r="D875" s="78" t="inlineStr">
        <is>
          <t>仲光华</t>
        </is>
      </c>
      <c r="E875" s="53" t="n"/>
      <c r="F875" s="53" t="n"/>
      <c r="G875" s="53" t="n"/>
      <c r="H875" s="80" t="inlineStr">
        <is>
          <t>删除等效防护设备规划</t>
        </is>
      </c>
      <c r="I875" s="76" t="inlineStr">
        <is>
          <t>EI</t>
        </is>
      </c>
      <c r="J875" s="108" t="n"/>
      <c r="K875" s="108" t="n"/>
      <c r="L875" s="83">
        <f>IF(OR(X875="估算法",X875="算法类",X875="无法识别"),"",IF(V875="",IF(OR(I875="EI",I875="EO",I875="EQ"),0,""),LEN(V875)-LEN(SUBSTITUTE(V875,"、",""))+1))</f>
        <v/>
      </c>
      <c r="M875" s="83">
        <f>IF(OR(X875="估算法",X875="算法类",X875="无法识别"),"",IF(W875="",IF(OR(I875="ILF",I875="EIF"),0,""),LEN(W875)-LEN(SUBSTITUTE(W875,"、",""))+1))</f>
        <v/>
      </c>
      <c r="N875" s="83">
        <f>IF(OR(X875="估算法",X875="算法类",X875="无法识别"),"",IF(X875="",IF(OR(I875="ILF",I875="EIF",I875="EI",I875="EO",I875="EQ"),0,""),LEN(X875)-LEN(SUBSTITUTE(SUBSTITUTE(SUBSTITUTE(SUBSTITUTE(SUBSTITUTE(X875,"|}","--"),"{|","--"),CHAR(10),""),"、",""),"|",""))+IF(AND(OR(I875="EI",I875="EO",I875="EQ"),$AD$1="NESMA"),2,1)))</f>
        <v/>
      </c>
      <c r="O875" s="84">
        <f>IF(I875="EI",IF(OR(X875="估算法",X875="算法类"),"中",IF(X875="无法识别","低",IF(L875&lt;2,IF(N875&lt;16,"低","中"),IF(L875&lt;3,IF(N875&lt;5,"低",IF(N875&lt;16,"中","高")),IF(N875&lt;5,"中","高"))))),IF(OR(I875="EO",I875="EQ"),IF(OR(X875="估算法",X875="算法类"),"中",IF(X875="无法识别","低",IF(L875&lt;2,IF(N875&lt;20,"低","中"),IF(L875&lt;4,IF(N875&lt;6,"低",IF(N875&lt;20,"中","高")),IF(N875&lt;6,"中","高"))))),IF(OR(I875="ILF",I875="EIF"),IF(OR(X875="估算法",X875="算法类",X875="无法识别"),"低",IF(M875&lt;2,IF(N875&lt;51,"低","中"),IF(M875&lt;6,IF(N875&lt;20,"低",IF(N875&lt;51,"中","高")),IF(N875&lt;20,"中","高")))),"不计算")))</f>
        <v/>
      </c>
      <c r="P875" s="142">
        <f>IFERROR(IF(I875="EI",IF(O875="低",3,IF(O875="中",4,6)),IF(I875="EO",IF(O875="低",4,IF(O875="中",5,7)),IF(I875="EQ",IF(O875="低",3,IF(O875="中",4,6)),IF(I875="ILF",IF(O875="低",7,IF(O875="中",10,15)),IF(I875="EIF",IF(O875="低",5,IF(O875="中",7,10)),"不计算")))))*Q875,"不计算")</f>
        <v/>
      </c>
      <c r="Q875" s="142" t="n">
        <v>0.333333333333333</v>
      </c>
      <c r="R875" s="143">
        <f>调整因子!$F$13</f>
        <v/>
      </c>
      <c r="S875" s="70" t="n">
        <v>1</v>
      </c>
      <c r="T875" s="144">
        <f>IFERROR(P875*R875,0)</f>
        <v/>
      </c>
      <c r="U875" s="144">
        <f>T875*S875</f>
        <v/>
      </c>
      <c r="V875" s="88" t="inlineStr">
        <is>
          <t>等效防护设备规划、等效防护设备规划历史记录表</t>
        </is>
      </c>
      <c r="W875" s="89" t="n"/>
      <c r="X875" s="88" t="inlineStr">
        <is>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is>
      </c>
      <c r="Y875" s="88" t="n"/>
      <c r="Z875" s="88" t="n"/>
    </row>
    <row r="876" hidden="1" ht="54" customHeight="1">
      <c r="A876" s="69">
        <f>ROW()-1</f>
        <v/>
      </c>
      <c r="B876" s="53" t="n"/>
      <c r="C876" s="78" t="n">
        <v>2025</v>
      </c>
      <c r="D876" s="78" t="inlineStr">
        <is>
          <t>仲光华</t>
        </is>
      </c>
      <c r="E876" s="53" t="n"/>
      <c r="F876" s="53" t="n"/>
      <c r="G876" s="53" t="n"/>
      <c r="H876" s="80" t="inlineStr">
        <is>
          <t>批量删除规划</t>
        </is>
      </c>
      <c r="I876" s="76" t="inlineStr">
        <is>
          <t>EI</t>
        </is>
      </c>
      <c r="J876" s="108" t="n"/>
      <c r="K876" s="108" t="inlineStr">
        <is>
          <t>批量操作</t>
        </is>
      </c>
      <c r="L876" s="83">
        <f>IF(OR(X876="估算法",X876="算法类",X876="无法识别"),"",IF(V876="",IF(OR(I876="EI",I876="EO",I876="EQ"),0,""),LEN(V876)-LEN(SUBSTITUTE(V876,"、",""))+1))</f>
        <v/>
      </c>
      <c r="M876" s="83">
        <f>IF(OR(X876="估算法",X876="算法类",X876="无法识别"),"",IF(W876="",IF(OR(I876="ILF",I876="EIF"),0,""),LEN(W876)-LEN(SUBSTITUTE(W876,"、",""))+1))</f>
        <v/>
      </c>
      <c r="N876" s="83">
        <f>IF(OR(X876="估算法",X876="算法类",X876="无法识别"),"",IF(X876="",IF(OR(I876="ILF",I876="EIF",I876="EI",I876="EO",I876="EQ"),0,""),LEN(X876)-LEN(SUBSTITUTE(SUBSTITUTE(SUBSTITUTE(SUBSTITUTE(SUBSTITUTE(X876,"|}","--"),"{|","--"),CHAR(10),""),"、",""),"|",""))+IF(AND(OR(I876="EI",I876="EO",I876="EQ"),$AD$1="NESMA"),2,1)))</f>
        <v/>
      </c>
      <c r="O876" s="84">
        <f>IF(I876="EI",IF(OR(X876="估算法",X876="算法类"),"中",IF(X876="无法识别","低",IF(L876&lt;2,IF(N876&lt;16,"低","中"),IF(L876&lt;3,IF(N876&lt;5,"低",IF(N876&lt;16,"中","高")),IF(N876&lt;5,"中","高"))))),IF(OR(I876="EO",I876="EQ"),IF(OR(X876="估算法",X876="算法类"),"中",IF(X876="无法识别","低",IF(L876&lt;2,IF(N876&lt;20,"低","中"),IF(L876&lt;4,IF(N876&lt;6,"低",IF(N876&lt;20,"中","高")),IF(N876&lt;6,"中","高"))))),IF(OR(I876="ILF",I876="EIF"),IF(OR(X876="估算法",X876="算法类",X876="无法识别"),"低",IF(M876&lt;2,IF(N876&lt;51,"低","中"),IF(M876&lt;6,IF(N876&lt;20,"低",IF(N876&lt;51,"中","高")),IF(N876&lt;20,"中","高")))),"不计算")))</f>
        <v/>
      </c>
      <c r="P876" s="142">
        <f>IFERROR(IF(I876="EI",IF(O876="低",3,IF(O876="中",4,6)),IF(I876="EO",IF(O876="低",4,IF(O876="中",5,7)),IF(I876="EQ",IF(O876="低",3,IF(O876="中",4,6)),IF(I876="ILF",IF(O876="低",7,IF(O876="中",10,15)),IF(I876="EIF",IF(O876="低",5,IF(O876="中",7,10)),"不计算")))))*Q876,"不计算")</f>
        <v/>
      </c>
      <c r="Q876" s="142" t="n">
        <v>0.333333333333333</v>
      </c>
      <c r="R876" s="143">
        <f>调整因子!$F$13</f>
        <v/>
      </c>
      <c r="S876" s="76" t="n">
        <v>1</v>
      </c>
      <c r="T876" s="144">
        <f>IFERROR(P876*R876,0)</f>
        <v/>
      </c>
      <c r="U876" s="144">
        <f>T876*S876</f>
        <v/>
      </c>
      <c r="V876" s="88" t="inlineStr">
        <is>
          <t>等效防护设备规划、等效防护设备规划历史记录表</t>
        </is>
      </c>
      <c r="W876" s="89" t="n"/>
      <c r="X876" s="88" t="inlineStr">
        <is>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is>
      </c>
      <c r="Y876" s="88" t="n"/>
      <c r="Z876" s="88" t="n"/>
    </row>
    <row r="877" hidden="1" ht="32.4" customHeight="1">
      <c r="A877" s="69">
        <f>ROW()-1</f>
        <v/>
      </c>
      <c r="B877" s="53" t="n"/>
      <c r="C877" s="78" t="n">
        <v>2025</v>
      </c>
      <c r="D877" s="78" t="inlineStr">
        <is>
          <t>仲光华</t>
        </is>
      </c>
      <c r="E877" s="54" t="n"/>
      <c r="F877" s="54" t="n"/>
      <c r="G877" s="54" t="n"/>
      <c r="H877" s="81" t="inlineStr">
        <is>
          <t>等效防护设备规划表</t>
        </is>
      </c>
      <c r="I877" s="76" t="n"/>
      <c r="J877" s="108" t="n"/>
      <c r="K877" s="108" t="inlineStr">
        <is>
          <t>数据库表未被本系统所使用</t>
        </is>
      </c>
      <c r="L877" s="83">
        <f>IF(OR(X877="估算法",X877="算法类",X877="无法识别"),"",IF(V877="",IF(OR(I877="EI",I877="EO",I877="EQ"),0,""),LEN(V877)-LEN(SUBSTITUTE(V877,"、",""))+1))</f>
        <v/>
      </c>
      <c r="M877" s="83">
        <f>IF(OR(X877="估算法",X877="算法类",X877="无法识别"),"",IF(W877="",IF(OR(I877="ILF",I877="EIF"),0,""),LEN(W877)-LEN(SUBSTITUTE(W877,"、",""))+1))</f>
        <v/>
      </c>
      <c r="N877" s="83">
        <f>IF(OR(X877="估算法",X877="算法类",X877="无法识别"),"",IF(X877="",IF(OR(I877="ILF",I877="EIF",I877="EI",I877="EO",I877="EQ"),0,""),LEN(X877)-LEN(SUBSTITUTE(SUBSTITUTE(SUBSTITUTE(SUBSTITUTE(SUBSTITUTE(X877,"|}","--"),"{|","--"),CHAR(10),""),"、",""),"|",""))+IF(AND(OR(I877="EI",I877="EO",I877="EQ"),$AD$1="NESMA"),2,1)))</f>
        <v/>
      </c>
      <c r="O877" s="84">
        <f>IF(I877="EI",IF(OR(X877="估算法",X877="算法类"),"中",IF(X877="无法识别","低",IF(L877&lt;2,IF(N877&lt;16,"低","中"),IF(L877&lt;3,IF(N877&lt;5,"低",IF(N877&lt;16,"中","高")),IF(N877&lt;5,"中","高"))))),IF(OR(I877="EO",I877="EQ"),IF(OR(X877="估算法",X877="算法类"),"中",IF(X877="无法识别","低",IF(L877&lt;2,IF(N877&lt;20,"低","中"),IF(L877&lt;4,IF(N877&lt;6,"低",IF(N877&lt;20,"中","高")),IF(N877&lt;6,"中","高"))))),IF(OR(I877="ILF",I877="EIF"),IF(OR(X877="估算法",X877="算法类",X877="无法识别"),"低",IF(M877&lt;2,IF(N877&lt;51,"低","中"),IF(M877&lt;6,IF(N877&lt;20,"低",IF(N877&lt;51,"中","高")),IF(N877&lt;20,"中","高")))),"不计算")))</f>
        <v/>
      </c>
      <c r="P877" s="142">
        <f>IFERROR(IF(I877="EI",IF(O877="低",3,IF(O877="中",4,6)),IF(I877="EO",IF(O877="低",4,IF(O877="中",5,7)),IF(I877="EQ",IF(O877="低",3,IF(O877="中",4,6)),IF(I877="ILF",IF(O877="低",7,IF(O877="中",10,15)),IF(I877="EIF",IF(O877="低",5,IF(O877="中",7,10)),"不计算")))))*Q877,"不计算")</f>
        <v/>
      </c>
      <c r="Q877" s="142" t="n">
        <v>1</v>
      </c>
      <c r="R877" s="143">
        <f>调整因子!$F$13</f>
        <v/>
      </c>
      <c r="S877" s="70" t="n">
        <v>1</v>
      </c>
      <c r="T877" s="144">
        <f>IFERROR(P877*R877,0)</f>
        <v/>
      </c>
      <c r="U877" s="144">
        <f>T877*S877</f>
        <v/>
      </c>
      <c r="V877" s="81" t="n"/>
      <c r="W877" s="88" t="inlineStr">
        <is>
          <t>等效防护设备规划表</t>
        </is>
      </c>
      <c r="X877" s="88" t="inlineStr">
        <is>
          <t>等效防护设备规划{ID、设备编号、设备名称、设备类型、防护类别）、厂商、型号、IP地址、MAC地址、策略数量、规则库版本、更新时间、防护范围（内网/外网）、所属部门、责任人、启用状态、备注}</t>
        </is>
      </c>
      <c r="Y877" s="88">
        <f>IF(COUNTIFS(V:V,"*"&amp;H877&amp;"*")&gt;0,"存在","不存在")</f>
        <v/>
      </c>
      <c r="Z877" s="88">
        <f>IF(COUNTIFS(AA:AA,"*"&amp;H877&amp;"*")&gt;0,"存在","不存在")</f>
        <v/>
      </c>
    </row>
    <row r="878" hidden="1" ht="54" customHeight="1">
      <c r="A878" s="69">
        <f>ROW()-1</f>
        <v/>
      </c>
      <c r="B878" s="53" t="n"/>
      <c r="C878" s="78" t="n">
        <v>2025</v>
      </c>
      <c r="D878" s="78" t="inlineStr">
        <is>
          <t>蔡云飞</t>
        </is>
      </c>
      <c r="E878" s="70" t="inlineStr">
        <is>
          <t>跨级任务实时监控</t>
        </is>
      </c>
      <c r="F878" s="79" t="inlineStr">
        <is>
          <t>工单自动化执行</t>
        </is>
      </c>
      <c r="G878" s="79" t="inlineStr">
        <is>
          <t>任务自动化分配</t>
        </is>
      </c>
      <c r="H878" s="80" t="inlineStr">
        <is>
          <t>任务分配策略新增</t>
        </is>
      </c>
      <c r="I878" s="76" t="inlineStr">
        <is>
          <t>EI</t>
        </is>
      </c>
      <c r="J878" s="108" t="n"/>
      <c r="K878" s="108" t="n"/>
      <c r="L878" s="83">
        <f>IF(OR(X878="估算法",X878="算法类",X878="无法识别"),"",IF(V878="",IF(OR(I878="EI",I878="EO",I878="EQ"),0,""),LEN(V878)-LEN(SUBSTITUTE(V878,"、",""))+1))</f>
        <v/>
      </c>
      <c r="M878" s="83">
        <f>IF(OR(X878="估算法",X878="算法类",X878="无法识别"),"",IF(W878="",IF(OR(I878="ILF",I878="EIF"),0,""),LEN(W878)-LEN(SUBSTITUTE(W878,"、",""))+1))</f>
        <v/>
      </c>
      <c r="N878" s="83">
        <f>IF(OR(X878="估算法",X878="算法类",X878="无法识别"),"",IF(X878="",IF(OR(I878="ILF",I878="EIF",I878="EI",I878="EO",I878="EQ"),0,""),LEN(X878)-LEN(SUBSTITUTE(SUBSTITUTE(SUBSTITUTE(SUBSTITUTE(SUBSTITUTE(X878,"|}","--"),"{|","--"),CHAR(10),""),"、",""),"|",""))+IF(AND(OR(I878="EI",I878="EO",I878="EQ"),$AD$1="NESMA"),2,1)))</f>
        <v/>
      </c>
      <c r="O878" s="84">
        <f>IF(I878="EI",IF(OR(X878="估算法",X878="算法类"),"中",IF(X878="无法识别","低",IF(L878&lt;2,IF(N878&lt;16,"低","中"),IF(L878&lt;3,IF(N878&lt;5,"低",IF(N878&lt;16,"中","高")),IF(N878&lt;5,"中","高"))))),IF(OR(I878="EO",I878="EQ"),IF(OR(X878="估算法",X878="算法类"),"中",IF(X878="无法识别","低",IF(L878&lt;2,IF(N878&lt;20,"低","中"),IF(L878&lt;4,IF(N878&lt;6,"低",IF(N878&lt;20,"中","高")),IF(N878&lt;6,"中","高"))))),IF(OR(I878="ILF",I878="EIF"),IF(OR(X878="估算法",X878="算法类",X878="无法识别"),"低",IF(M878&lt;2,IF(N878&lt;51,"低","中"),IF(M878&lt;6,IF(N878&lt;20,"低",IF(N878&lt;51,"中","高")),IF(N878&lt;20,"中","高")))),"不计算")))</f>
        <v/>
      </c>
      <c r="P878" s="142">
        <f>IFERROR(IF(I878="EI",IF(O878="低",3,IF(O878="中",4,6)),IF(I878="EO",IF(O878="低",4,IF(O878="中",5,7)),IF(I878="EQ",IF(O878="低",3,IF(O878="中",4,6)),IF(I878="ILF",IF(O878="低",7,IF(O878="中",10,15)),IF(I878="EIF",IF(O878="低",5,IF(O878="中",7,10)),"不计算")))))*Q878,"不计算")</f>
        <v/>
      </c>
      <c r="Q878" s="142" t="n">
        <v>1</v>
      </c>
      <c r="R878" s="143">
        <f>调整因子!$F$13</f>
        <v/>
      </c>
      <c r="S878" s="70" t="n">
        <v>1</v>
      </c>
      <c r="T878" s="144">
        <f>IFERROR(P878*R878,0)</f>
        <v/>
      </c>
      <c r="U878" s="144">
        <f>T878*S878</f>
        <v/>
      </c>
      <c r="V878" s="88" t="inlineStr">
        <is>
          <t>任务分配策略表</t>
        </is>
      </c>
      <c r="W878" s="89" t="n"/>
      <c r="X878" s="88"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Y878" s="88" t="n"/>
      <c r="Z878" s="88" t="n"/>
    </row>
    <row r="879" hidden="1" ht="54" customHeight="1">
      <c r="A879" s="69">
        <f>ROW()-1</f>
        <v/>
      </c>
      <c r="B879" s="53" t="n"/>
      <c r="C879" s="78" t="n">
        <v>2025</v>
      </c>
      <c r="D879" s="78" t="inlineStr">
        <is>
          <t>蔡云飞</t>
        </is>
      </c>
      <c r="E879" s="53" t="n"/>
      <c r="F879" s="53" t="n"/>
      <c r="G879" s="53" t="n"/>
      <c r="H879" s="80" t="inlineStr">
        <is>
          <t>任务分配策略查询</t>
        </is>
      </c>
      <c r="I879" s="76" t="inlineStr">
        <is>
          <t>EQ</t>
        </is>
      </c>
      <c r="J879" s="108" t="n"/>
      <c r="K879" s="108" t="n"/>
      <c r="L879" s="83">
        <f>IF(OR(X879="估算法",X879="算法类",X879="无法识别"),"",IF(V879="",IF(OR(I879="EI",I879="EO",I879="EQ"),0,""),LEN(V879)-LEN(SUBSTITUTE(V879,"、",""))+1))</f>
        <v/>
      </c>
      <c r="M879" s="83">
        <f>IF(OR(X879="估算法",X879="算法类",X879="无法识别"),"",IF(W879="",IF(OR(I879="ILF",I879="EIF"),0,""),LEN(W879)-LEN(SUBSTITUTE(W879,"、",""))+1))</f>
        <v/>
      </c>
      <c r="N879" s="83">
        <f>IF(OR(X879="估算法",X879="算法类",X879="无法识别"),"",IF(X879="",IF(OR(I879="ILF",I879="EIF",I879="EI",I879="EO",I879="EQ"),0,""),LEN(X879)-LEN(SUBSTITUTE(SUBSTITUTE(SUBSTITUTE(SUBSTITUTE(SUBSTITUTE(X879,"|}","--"),"{|","--"),CHAR(10),""),"、",""),"|",""))+IF(AND(OR(I879="EI",I879="EO",I879="EQ"),$AD$1="NESMA"),2,1)))</f>
        <v/>
      </c>
      <c r="O879" s="84">
        <f>IF(I879="EI",IF(OR(X879="估算法",X879="算法类"),"中",IF(X879="无法识别","低",IF(L879&lt;2,IF(N879&lt;16,"低","中"),IF(L879&lt;3,IF(N879&lt;5,"低",IF(N879&lt;16,"中","高")),IF(N879&lt;5,"中","高"))))),IF(OR(I879="EO",I879="EQ"),IF(OR(X879="估算法",X879="算法类"),"中",IF(X879="无法识别","低",IF(L879&lt;2,IF(N879&lt;20,"低","中"),IF(L879&lt;4,IF(N879&lt;6,"低",IF(N879&lt;20,"中","高")),IF(N879&lt;6,"中","高"))))),IF(OR(I879="ILF",I879="EIF"),IF(OR(X879="估算法",X879="算法类",X879="无法识别"),"低",IF(M879&lt;2,IF(N879&lt;51,"低","中"),IF(M879&lt;6,IF(N879&lt;20,"低",IF(N879&lt;51,"中","高")),IF(N879&lt;20,"中","高")))),"不计算")))</f>
        <v/>
      </c>
      <c r="P879" s="142">
        <f>IFERROR(IF(I879="EI",IF(O879="低",3,IF(O879="中",4,6)),IF(I879="EO",IF(O879="低",4,IF(O879="中",5,7)),IF(I879="EQ",IF(O879="低",3,IF(O879="中",4,6)),IF(I879="ILF",IF(O879="低",7,IF(O879="中",10,15)),IF(I879="EIF",IF(O879="低",5,IF(O879="中",7,10)),"不计算")))))*Q879,"不计算")</f>
        <v/>
      </c>
      <c r="Q879" s="142" t="n">
        <v>1</v>
      </c>
      <c r="R879" s="143">
        <f>调整因子!$F$13</f>
        <v/>
      </c>
      <c r="S879" s="76" t="n">
        <v>1</v>
      </c>
      <c r="T879" s="144">
        <f>IFERROR(P879*R879,0)</f>
        <v/>
      </c>
      <c r="U879" s="144">
        <f>T879*S879</f>
        <v/>
      </c>
      <c r="V879" s="88" t="inlineStr">
        <is>
          <t>任务分配策略表</t>
        </is>
      </c>
      <c r="W879" s="89" t="n"/>
      <c r="X879" s="88"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Y879" s="88" t="n"/>
      <c r="Z879" s="88" t="n"/>
    </row>
    <row r="880" hidden="1" ht="54" customHeight="1">
      <c r="A880" s="69">
        <f>ROW()-1</f>
        <v/>
      </c>
      <c r="B880" s="53" t="n"/>
      <c r="C880" s="78" t="n">
        <v>2025</v>
      </c>
      <c r="D880" s="78" t="inlineStr">
        <is>
          <t>蔡云飞</t>
        </is>
      </c>
      <c r="E880" s="53" t="n"/>
      <c r="F880" s="53" t="n"/>
      <c r="G880" s="53" t="n"/>
      <c r="H880" s="80" t="inlineStr">
        <is>
          <t>任务分配策略修改</t>
        </is>
      </c>
      <c r="I880" s="76" t="inlineStr">
        <is>
          <t>EI</t>
        </is>
      </c>
      <c r="J880" s="108" t="n"/>
      <c r="K880" s="108" t="n"/>
      <c r="L880" s="83">
        <f>IF(OR(X880="估算法",X880="算法类",X880="无法识别"),"",IF(V880="",IF(OR(I880="EI",I880="EO",I880="EQ"),0,""),LEN(V880)-LEN(SUBSTITUTE(V880,"、",""))+1))</f>
        <v/>
      </c>
      <c r="M880" s="83">
        <f>IF(OR(X880="估算法",X880="算法类",X880="无法识别"),"",IF(W880="",IF(OR(I880="ILF",I880="EIF"),0,""),LEN(W880)-LEN(SUBSTITUTE(W880,"、",""))+1))</f>
        <v/>
      </c>
      <c r="N880" s="83">
        <f>IF(OR(X880="估算法",X880="算法类",X880="无法识别"),"",IF(X880="",IF(OR(I880="ILF",I880="EIF",I880="EI",I880="EO",I880="EQ"),0,""),LEN(X880)-LEN(SUBSTITUTE(SUBSTITUTE(SUBSTITUTE(SUBSTITUTE(SUBSTITUTE(X880,"|}","--"),"{|","--"),CHAR(10),""),"、",""),"|",""))+IF(AND(OR(I880="EI",I880="EO",I880="EQ"),$AD$1="NESMA"),2,1)))</f>
        <v/>
      </c>
      <c r="O880" s="84">
        <f>IF(I880="EI",IF(OR(X880="估算法",X880="算法类"),"中",IF(X880="无法识别","低",IF(L880&lt;2,IF(N880&lt;16,"低","中"),IF(L880&lt;3,IF(N880&lt;5,"低",IF(N880&lt;16,"中","高")),IF(N880&lt;5,"中","高"))))),IF(OR(I880="EO",I880="EQ"),IF(OR(X880="估算法",X880="算法类"),"中",IF(X880="无法识别","低",IF(L880&lt;2,IF(N880&lt;20,"低","中"),IF(L880&lt;4,IF(N880&lt;6,"低",IF(N880&lt;20,"中","高")),IF(N880&lt;6,"中","高"))))),IF(OR(I880="ILF",I880="EIF"),IF(OR(X880="估算法",X880="算法类",X880="无法识别"),"低",IF(M880&lt;2,IF(N880&lt;51,"低","中"),IF(M880&lt;6,IF(N880&lt;20,"低",IF(N880&lt;51,"中","高")),IF(N880&lt;20,"中","高")))),"不计算")))</f>
        <v/>
      </c>
      <c r="P880" s="142">
        <f>IFERROR(IF(I880="EI",IF(O880="低",3,IF(O880="中",4,6)),IF(I880="EO",IF(O880="低",4,IF(O880="中",5,7)),IF(I880="EQ",IF(O880="低",3,IF(O880="中",4,6)),IF(I880="ILF",IF(O880="低",7,IF(O880="中",10,15)),IF(I880="EIF",IF(O880="低",5,IF(O880="中",7,10)),"不计算")))))*Q880,"不计算")</f>
        <v/>
      </c>
      <c r="Q880" s="142" t="n">
        <v>0.333333333333333</v>
      </c>
      <c r="R880" s="143">
        <f>调整因子!$F$13</f>
        <v/>
      </c>
      <c r="S880" s="76" t="n">
        <v>1</v>
      </c>
      <c r="T880" s="144">
        <f>IFERROR(P880*R880,0)</f>
        <v/>
      </c>
      <c r="U880" s="144">
        <f>T880*S880</f>
        <v/>
      </c>
      <c r="V880" s="88" t="inlineStr">
        <is>
          <t>任务分配策略表</t>
        </is>
      </c>
      <c r="W880" s="89" t="n"/>
      <c r="X880" s="88"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Y880" s="88" t="n"/>
      <c r="Z880" s="88" t="n"/>
    </row>
    <row r="881" hidden="1" ht="54" customHeight="1">
      <c r="A881" s="69">
        <f>ROW()-1</f>
        <v/>
      </c>
      <c r="B881" s="53" t="n"/>
      <c r="C881" s="78" t="n">
        <v>2025</v>
      </c>
      <c r="D881" s="78" t="inlineStr">
        <is>
          <t>蔡云飞</t>
        </is>
      </c>
      <c r="E881" s="53" t="n"/>
      <c r="F881" s="53" t="n"/>
      <c r="G881" s="53" t="n"/>
      <c r="H881" s="80" t="inlineStr">
        <is>
          <t>任务分配策略删除</t>
        </is>
      </c>
      <c r="I881" s="76" t="inlineStr">
        <is>
          <t>EI</t>
        </is>
      </c>
      <c r="J881" s="108" t="n"/>
      <c r="K881" s="108" t="n"/>
      <c r="L881" s="83">
        <f>IF(OR(X881="估算法",X881="算法类",X881="无法识别"),"",IF(V881="",IF(OR(I881="EI",I881="EO",I881="EQ"),0,""),LEN(V881)-LEN(SUBSTITUTE(V881,"、",""))+1))</f>
        <v/>
      </c>
      <c r="M881" s="83">
        <f>IF(OR(X881="估算法",X881="算法类",X881="无法识别"),"",IF(W881="",IF(OR(I881="ILF",I881="EIF"),0,""),LEN(W881)-LEN(SUBSTITUTE(W881,"、",""))+1))</f>
        <v/>
      </c>
      <c r="N881" s="83">
        <f>IF(OR(X881="估算法",X881="算法类",X881="无法识别"),"",IF(X881="",IF(OR(I881="ILF",I881="EIF",I881="EI",I881="EO",I881="EQ"),0,""),LEN(X881)-LEN(SUBSTITUTE(SUBSTITUTE(SUBSTITUTE(SUBSTITUTE(SUBSTITUTE(X881,"|}","--"),"{|","--"),CHAR(10),""),"、",""),"|",""))+IF(AND(OR(I881="EI",I881="EO",I881="EQ"),$AD$1="NESMA"),2,1)))</f>
        <v/>
      </c>
      <c r="O881" s="84">
        <f>IF(I881="EI",IF(OR(X881="估算法",X881="算法类"),"中",IF(X881="无法识别","低",IF(L881&lt;2,IF(N881&lt;16,"低","中"),IF(L881&lt;3,IF(N881&lt;5,"低",IF(N881&lt;16,"中","高")),IF(N881&lt;5,"中","高"))))),IF(OR(I881="EO",I881="EQ"),IF(OR(X881="估算法",X881="算法类"),"中",IF(X881="无法识别","低",IF(L881&lt;2,IF(N881&lt;20,"低","中"),IF(L881&lt;4,IF(N881&lt;6,"低",IF(N881&lt;20,"中","高")),IF(N881&lt;6,"中","高"))))),IF(OR(I881="ILF",I881="EIF"),IF(OR(X881="估算法",X881="算法类",X881="无法识别"),"低",IF(M881&lt;2,IF(N881&lt;51,"低","中"),IF(M881&lt;6,IF(N881&lt;20,"低",IF(N881&lt;51,"中","高")),IF(N881&lt;20,"中","高")))),"不计算")))</f>
        <v/>
      </c>
      <c r="P881" s="142">
        <f>IFERROR(IF(I881="EI",IF(O881="低",3,IF(O881="中",4,6)),IF(I881="EO",IF(O881="低",4,IF(O881="中",5,7)),IF(I881="EQ",IF(O881="低",3,IF(O881="中",4,6)),IF(I881="ILF",IF(O881="低",7,IF(O881="中",10,15)),IF(I881="EIF",IF(O881="低",5,IF(O881="中",7,10)),"不计算")))))*Q881,"不计算")</f>
        <v/>
      </c>
      <c r="Q881" s="142" t="n">
        <v>0.333333333333333</v>
      </c>
      <c r="R881" s="143">
        <f>调整因子!$F$13</f>
        <v/>
      </c>
      <c r="S881" s="70" t="n">
        <v>1</v>
      </c>
      <c r="T881" s="144">
        <f>IFERROR(P881*R881,0)</f>
        <v/>
      </c>
      <c r="U881" s="144">
        <f>T881*S881</f>
        <v/>
      </c>
      <c r="V881" s="88" t="inlineStr">
        <is>
          <t>任务分配策略表</t>
        </is>
      </c>
      <c r="W881" s="89" t="n"/>
      <c r="X881" s="88"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Y881" s="88" t="n"/>
      <c r="Z881" s="88" t="n"/>
    </row>
    <row r="882" hidden="1" ht="54" customHeight="1">
      <c r="A882" s="69">
        <f>ROW()-1</f>
        <v/>
      </c>
      <c r="B882" s="53" t="n"/>
      <c r="C882" s="78" t="n">
        <v>2025</v>
      </c>
      <c r="D882" s="78" t="inlineStr">
        <is>
          <t>蔡云飞</t>
        </is>
      </c>
      <c r="E882" s="53" t="n"/>
      <c r="F882" s="53" t="n"/>
      <c r="G882" s="53" t="n"/>
      <c r="H882" s="80" t="inlineStr">
        <is>
          <t>扫描过程日志存储</t>
        </is>
      </c>
      <c r="I882" s="76" t="n"/>
      <c r="J882" s="108" t="n"/>
      <c r="K882" s="108" t="inlineStr">
        <is>
          <t>日志记录，非事务功能</t>
        </is>
      </c>
      <c r="L882" s="83">
        <f>IF(OR(X882="估算法",X882="算法类",X882="无法识别"),"",IF(V882="",IF(OR(I882="EI",I882="EO",I882="EQ"),0,""),LEN(V882)-LEN(SUBSTITUTE(V882,"、",""))+1))</f>
        <v/>
      </c>
      <c r="M882" s="83">
        <f>IF(OR(X882="估算法",X882="算法类",X882="无法识别"),"",IF(W882="",IF(OR(I882="ILF",I882="EIF"),0,""),LEN(W882)-LEN(SUBSTITUTE(W882,"、",""))+1))</f>
        <v/>
      </c>
      <c r="N882" s="83">
        <f>IF(OR(X882="估算法",X882="算法类",X882="无法识别"),"",IF(X882="",IF(OR(I882="ILF",I882="EIF",I882="EI",I882="EO",I882="EQ"),0,""),LEN(X882)-LEN(SUBSTITUTE(SUBSTITUTE(SUBSTITUTE(SUBSTITUTE(SUBSTITUTE(X882,"|}","--"),"{|","--"),CHAR(10),""),"、",""),"|",""))+IF(AND(OR(I882="EI",I882="EO",I882="EQ"),$AD$1="NESMA"),2,1)))</f>
        <v/>
      </c>
      <c r="O882" s="84">
        <f>IF(I882="EI",IF(OR(X882="估算法",X882="算法类"),"中",IF(X882="无法识别","低",IF(L882&lt;2,IF(N882&lt;16,"低","中"),IF(L882&lt;3,IF(N882&lt;5,"低",IF(N882&lt;16,"中","高")),IF(N882&lt;5,"中","高"))))),IF(OR(I882="EO",I882="EQ"),IF(OR(X882="估算法",X882="算法类"),"中",IF(X882="无法识别","低",IF(L882&lt;2,IF(N882&lt;20,"低","中"),IF(L882&lt;4,IF(N882&lt;6,"低",IF(N882&lt;20,"中","高")),IF(N882&lt;6,"中","高"))))),IF(OR(I882="ILF",I882="EIF"),IF(OR(X882="估算法",X882="算法类",X882="无法识别"),"低",IF(M882&lt;2,IF(N882&lt;51,"低","中"),IF(M882&lt;6,IF(N882&lt;20,"低",IF(N882&lt;51,"中","高")),IF(N882&lt;20,"中","高")))),"不计算")))</f>
        <v/>
      </c>
      <c r="P882" s="142">
        <f>IFERROR(IF(I882="EI",IF(O882="低",3,IF(O882="中",4,6)),IF(I882="EO",IF(O882="低",4,IF(O882="中",5,7)),IF(I882="EQ",IF(O882="低",3,IF(O882="中",4,6)),IF(I882="ILF",IF(O882="低",7,IF(O882="中",10,15)),IF(I882="EIF",IF(O882="低",5,IF(O882="中",7,10)),"不计算")))))*Q882,"不计算")</f>
        <v/>
      </c>
      <c r="Q882" s="142" t="n">
        <v>1</v>
      </c>
      <c r="R882" s="143">
        <f>调整因子!$F$13</f>
        <v/>
      </c>
      <c r="S882" s="70" t="n">
        <v>1</v>
      </c>
      <c r="T882" s="144">
        <f>IFERROR(P882*R882,0)</f>
        <v/>
      </c>
      <c r="U882" s="144">
        <f>T882*S882</f>
        <v/>
      </c>
      <c r="V882" s="88" t="inlineStr">
        <is>
          <t>任务分配策略表</t>
        </is>
      </c>
      <c r="W882" s="89" t="n"/>
      <c r="X882" s="88"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Y882" s="88" t="n"/>
      <c r="Z882" s="88" t="n"/>
    </row>
    <row r="883" hidden="1" ht="54" customHeight="1">
      <c r="A883" s="69">
        <f>ROW()-1</f>
        <v/>
      </c>
      <c r="B883" s="53" t="n"/>
      <c r="C883" s="78" t="n">
        <v>2025</v>
      </c>
      <c r="D883" s="78" t="inlineStr">
        <is>
          <t>蔡云飞</t>
        </is>
      </c>
      <c r="E883" s="53" t="n"/>
      <c r="F883" s="53" t="n"/>
      <c r="G883" s="53" t="n"/>
      <c r="H883" s="80" t="inlineStr">
        <is>
          <t>跟据策略参数自动扫描任务</t>
        </is>
      </c>
      <c r="I883" s="76" t="n"/>
      <c r="J883" s="108" t="n"/>
      <c r="K883" s="108" t="inlineStr">
        <is>
          <t>非用户触发事务功能</t>
        </is>
      </c>
      <c r="L883" s="83">
        <f>IF(OR(X883="估算法",X883="算法类",X883="无法识别"),"",IF(V883="",IF(OR(I883="EI",I883="EO",I883="EQ"),0,""),LEN(V883)-LEN(SUBSTITUTE(V883,"、",""))+1))</f>
        <v/>
      </c>
      <c r="M883" s="83">
        <f>IF(OR(X883="估算法",X883="算法类",X883="无法识别"),"",IF(W883="",IF(OR(I883="ILF",I883="EIF"),0,""),LEN(W883)-LEN(SUBSTITUTE(W883,"、",""))+1))</f>
        <v/>
      </c>
      <c r="N883" s="83">
        <f>IF(OR(X883="估算法",X883="算法类",X883="无法识别"),"",IF(X883="",IF(OR(I883="ILF",I883="EIF",I883="EI",I883="EO",I883="EQ"),0,""),LEN(X883)-LEN(SUBSTITUTE(SUBSTITUTE(SUBSTITUTE(SUBSTITUTE(SUBSTITUTE(X883,"|}","--"),"{|","--"),CHAR(10),""),"、",""),"|",""))+IF(AND(OR(I883="EI",I883="EO",I883="EQ"),$AD$1="NESMA"),2,1)))</f>
        <v/>
      </c>
      <c r="O883" s="84">
        <f>IF(I883="EI",IF(OR(X883="估算法",X883="算法类"),"中",IF(X883="无法识别","低",IF(L883&lt;2,IF(N883&lt;16,"低","中"),IF(L883&lt;3,IF(N883&lt;5,"低",IF(N883&lt;16,"中","高")),IF(N883&lt;5,"中","高"))))),IF(OR(I883="EO",I883="EQ"),IF(OR(X883="估算法",X883="算法类"),"中",IF(X883="无法识别","低",IF(L883&lt;2,IF(N883&lt;20,"低","中"),IF(L883&lt;4,IF(N883&lt;6,"低",IF(N883&lt;20,"中","高")),IF(N883&lt;6,"中","高"))))),IF(OR(I883="ILF",I883="EIF"),IF(OR(X883="估算法",X883="算法类",X883="无法识别"),"低",IF(M883&lt;2,IF(N883&lt;51,"低","中"),IF(M883&lt;6,IF(N883&lt;20,"低",IF(N883&lt;51,"中","高")),IF(N883&lt;20,"中","高")))),"不计算")))</f>
        <v/>
      </c>
      <c r="P883" s="142">
        <f>IFERROR(IF(I883="EI",IF(O883="低",3,IF(O883="中",4,6)),IF(I883="EO",IF(O883="低",4,IF(O883="中",5,7)),IF(I883="EQ",IF(O883="低",3,IF(O883="中",4,6)),IF(I883="ILF",IF(O883="低",7,IF(O883="中",10,15)),IF(I883="EIF",IF(O883="低",5,IF(O883="中",7,10)),"不计算")))))*Q883,"不计算")</f>
        <v/>
      </c>
      <c r="Q883" s="142" t="n">
        <v>1</v>
      </c>
      <c r="R883" s="143">
        <f>调整因子!$F$13</f>
        <v/>
      </c>
      <c r="S883" s="76" t="n">
        <v>1</v>
      </c>
      <c r="T883" s="144">
        <f>IFERROR(P883*R883,0)</f>
        <v/>
      </c>
      <c r="U883" s="144">
        <f>T883*S883</f>
        <v/>
      </c>
      <c r="V883" s="88" t="inlineStr">
        <is>
          <t>任务分配策略表</t>
        </is>
      </c>
      <c r="W883" s="89" t="n"/>
      <c r="X883" s="88"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Y883" s="88" t="n"/>
      <c r="Z883" s="88" t="n"/>
    </row>
    <row r="884" hidden="1" ht="54" customHeight="1">
      <c r="A884" s="69">
        <f>ROW()-1</f>
        <v/>
      </c>
      <c r="B884" s="53" t="n"/>
      <c r="C884" s="78" t="n">
        <v>2025</v>
      </c>
      <c r="D884" s="78" t="inlineStr">
        <is>
          <t>蔡云飞</t>
        </is>
      </c>
      <c r="E884" s="53" t="n"/>
      <c r="F884" s="53" t="n"/>
      <c r="G884" s="53" t="n"/>
      <c r="H884" s="81" t="inlineStr">
        <is>
          <t>任务分配策略表</t>
        </is>
      </c>
      <c r="I884" s="76" t="inlineStr">
        <is>
          <t>ILF</t>
        </is>
      </c>
      <c r="J884" s="108" t="n"/>
      <c r="K884" s="108" t="n"/>
      <c r="L884" s="83">
        <f>IF(OR(X884="估算法",X884="算法类",X884="无法识别"),"",IF(V884="",IF(OR(I884="EI",I884="EO",I884="EQ"),0,""),LEN(V884)-LEN(SUBSTITUTE(V884,"、",""))+1))</f>
        <v/>
      </c>
      <c r="M884" s="83">
        <f>IF(OR(X884="估算法",X884="算法类",X884="无法识别"),"",IF(W884="",IF(OR(I884="ILF",I884="EIF"),0,""),LEN(W884)-LEN(SUBSTITUTE(W884,"、",""))+1))</f>
        <v/>
      </c>
      <c r="N884" s="83">
        <f>IF(OR(X884="估算法",X884="算法类",X884="无法识别"),"",IF(X884="",IF(OR(I884="ILF",I884="EIF",I884="EI",I884="EO",I884="EQ"),0,""),LEN(X884)-LEN(SUBSTITUTE(SUBSTITUTE(SUBSTITUTE(SUBSTITUTE(SUBSTITUTE(X884,"|}","--"),"{|","--"),CHAR(10),""),"、",""),"|",""))+IF(AND(OR(I884="EI",I884="EO",I884="EQ"),$AD$1="NESMA"),2,1)))</f>
        <v/>
      </c>
      <c r="O884" s="84">
        <f>IF(I884="EI",IF(OR(X884="估算法",X884="算法类"),"中",IF(X884="无法识别","低",IF(L884&lt;2,IF(N884&lt;16,"低","中"),IF(L884&lt;3,IF(N884&lt;5,"低",IF(N884&lt;16,"中","高")),IF(N884&lt;5,"中","高"))))),IF(OR(I884="EO",I884="EQ"),IF(OR(X884="估算法",X884="算法类"),"中",IF(X884="无法识别","低",IF(L884&lt;2,IF(N884&lt;20,"低","中"),IF(L884&lt;4,IF(N884&lt;6,"低",IF(N884&lt;20,"中","高")),IF(N884&lt;6,"中","高"))))),IF(OR(I884="ILF",I884="EIF"),IF(OR(X884="估算法",X884="算法类",X884="无法识别"),"低",IF(M884&lt;2,IF(N884&lt;51,"低","中"),IF(M884&lt;6,IF(N884&lt;20,"低",IF(N884&lt;51,"中","高")),IF(N884&lt;20,"中","高")))),"不计算")))</f>
        <v/>
      </c>
      <c r="P884" s="142">
        <f>IFERROR(IF(I884="EI",IF(O884="低",3,IF(O884="中",4,6)),IF(I884="EO",IF(O884="低",4,IF(O884="中",5,7)),IF(I884="EQ",IF(O884="低",3,IF(O884="中",4,6)),IF(I884="ILF",IF(O884="低",7,IF(O884="中",10,15)),IF(I884="EIF",IF(O884="低",5,IF(O884="中",7,10)),"不计算")))))*Q884,"不计算")</f>
        <v/>
      </c>
      <c r="Q884" s="142" t="n">
        <v>1</v>
      </c>
      <c r="R884" s="143">
        <f>调整因子!$F$13</f>
        <v/>
      </c>
      <c r="S884" s="70" t="n">
        <v>1</v>
      </c>
      <c r="T884" s="144">
        <f>IFERROR(P884*R884,0)</f>
        <v/>
      </c>
      <c r="U884" s="144">
        <f>T884*S884</f>
        <v/>
      </c>
      <c r="V884" s="89" t="n"/>
      <c r="W884" s="88" t="inlineStr">
        <is>
          <t>任务分配策略表</t>
        </is>
      </c>
      <c r="X884" s="88"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Y884" s="88">
        <f>IF(COUNTIFS(V:V,"*"&amp;H884&amp;"*")&gt;0,"存在","不存在")</f>
        <v/>
      </c>
      <c r="Z884" s="88">
        <f>IF(COUNTIFS(AA:AA,"*"&amp;H884&amp;"*")&gt;0,"存在","不存在")</f>
        <v/>
      </c>
    </row>
    <row r="885" hidden="1" ht="21.6" customHeight="1">
      <c r="A885" s="69">
        <f>ROW()-1</f>
        <v/>
      </c>
      <c r="B885" s="53" t="n"/>
      <c r="C885" s="78" t="n">
        <v>2025</v>
      </c>
      <c r="D885" s="78" t="inlineStr">
        <is>
          <t>蔡云飞</t>
        </is>
      </c>
      <c r="E885" s="53" t="n"/>
      <c r="F885" s="53" t="n"/>
      <c r="G885" s="53" t="n"/>
      <c r="H885" s="81" t="inlineStr">
        <is>
          <t>任务分配策略日志表</t>
        </is>
      </c>
      <c r="I885" s="76" t="n"/>
      <c r="J885" s="108" t="n"/>
      <c r="K885" s="108" t="inlineStr">
        <is>
          <t>数据库表未被本系统所使用</t>
        </is>
      </c>
      <c r="L885" s="83">
        <f>IF(OR(X885="估算法",X885="算法类",X885="无法识别"),"",IF(V885="",IF(OR(I885="EI",I885="EO",I885="EQ"),0,""),LEN(V885)-LEN(SUBSTITUTE(V885,"、",""))+1))</f>
        <v/>
      </c>
      <c r="M885" s="83">
        <f>IF(OR(X885="估算法",X885="算法类",X885="无法识别"),"",IF(W885="",IF(OR(I885="ILF",I885="EIF"),0,""),LEN(W885)-LEN(SUBSTITUTE(W885,"、",""))+1))</f>
        <v/>
      </c>
      <c r="N885" s="83">
        <f>IF(OR(X885="估算法",X885="算法类",X885="无法识别"),"",IF(X885="",IF(OR(I885="ILF",I885="EIF",I885="EI",I885="EO",I885="EQ"),0,""),LEN(X885)-LEN(SUBSTITUTE(SUBSTITUTE(SUBSTITUTE(SUBSTITUTE(SUBSTITUTE(X885,"|}","--"),"{|","--"),CHAR(10),""),"、",""),"|",""))+IF(AND(OR(I885="EI",I885="EO",I885="EQ"),$AD$1="NESMA"),2,1)))</f>
        <v/>
      </c>
      <c r="O885" s="84">
        <f>IF(I885="EI",IF(OR(X885="估算法",X885="算法类"),"中",IF(X885="无法识别","低",IF(L885&lt;2,IF(N885&lt;16,"低","中"),IF(L885&lt;3,IF(N885&lt;5,"低",IF(N885&lt;16,"中","高")),IF(N885&lt;5,"中","高"))))),IF(OR(I885="EO",I885="EQ"),IF(OR(X885="估算法",X885="算法类"),"中",IF(X885="无法识别","低",IF(L885&lt;2,IF(N885&lt;20,"低","中"),IF(L885&lt;4,IF(N885&lt;6,"低",IF(N885&lt;20,"中","高")),IF(N885&lt;6,"中","高"))))),IF(OR(I885="ILF",I885="EIF"),IF(OR(X885="估算法",X885="算法类",X885="无法识别"),"低",IF(M885&lt;2,IF(N885&lt;51,"低","中"),IF(M885&lt;6,IF(N885&lt;20,"低",IF(N885&lt;51,"中","高")),IF(N885&lt;20,"中","高")))),"不计算")))</f>
        <v/>
      </c>
      <c r="P885" s="142">
        <f>IFERROR(IF(I885="EI",IF(O885="低",3,IF(O885="中",4,6)),IF(I885="EO",IF(O885="低",4,IF(O885="中",5,7)),IF(I885="EQ",IF(O885="低",3,IF(O885="中",4,6)),IF(I885="ILF",IF(O885="低",7,IF(O885="中",10,15)),IF(I885="EIF",IF(O885="低",5,IF(O885="中",7,10)),"不计算")))))*Q885,"不计算")</f>
        <v/>
      </c>
      <c r="Q885" s="142" t="n">
        <v>1</v>
      </c>
      <c r="R885" s="143">
        <f>调整因子!$F$13</f>
        <v/>
      </c>
      <c r="S885" s="70" t="n">
        <v>1</v>
      </c>
      <c r="T885" s="144">
        <f>IFERROR(P885*R885,0)</f>
        <v/>
      </c>
      <c r="U885" s="144">
        <f>T885*S885</f>
        <v/>
      </c>
      <c r="V885" s="89" t="n"/>
      <c r="W885" s="88" t="inlineStr">
        <is>
          <t>任务分配策略日志表</t>
        </is>
      </c>
      <c r="X885" s="88" t="inlineStr">
        <is>
          <t>任务分配策略日志表
{日志ID、策略ID、操作类型、操作人、操作时间、操作内容、结果状态、备注}</t>
        </is>
      </c>
      <c r="Y885" s="88">
        <f>IF(COUNTIFS(V:V,"*"&amp;H885&amp;"*")&gt;0,"存在","不存在")</f>
        <v/>
      </c>
      <c r="Z885" s="88">
        <f>IF(COUNTIFS(AA:AA,"*"&amp;H885&amp;"*")&gt;0,"存在","不存在")</f>
        <v/>
      </c>
    </row>
    <row r="886" hidden="1" ht="32.4" customHeight="1">
      <c r="A886" s="69">
        <f>ROW()-1</f>
        <v/>
      </c>
      <c r="B886" s="53" t="n"/>
      <c r="C886" s="78" t="n">
        <v>2025</v>
      </c>
      <c r="D886" s="78" t="inlineStr">
        <is>
          <t>蔡云飞</t>
        </is>
      </c>
      <c r="E886" s="53" t="n"/>
      <c r="F886" s="53" t="n"/>
      <c r="G886" s="53" t="n"/>
      <c r="H886" s="81" t="inlineStr">
        <is>
          <t>扫描任务表</t>
        </is>
      </c>
      <c r="I886" s="76" t="inlineStr">
        <is>
          <t>ILF</t>
        </is>
      </c>
      <c r="J886" s="108" t="n"/>
      <c r="K886" s="108" t="n"/>
      <c r="L886" s="83">
        <f>IF(OR(X886="估算法",X886="算法类",X886="无法识别"),"",IF(V886="",IF(OR(I886="EI",I886="EO",I886="EQ"),0,""),LEN(V886)-LEN(SUBSTITUTE(V886,"、",""))+1))</f>
        <v/>
      </c>
      <c r="M886" s="83">
        <f>IF(OR(X886="估算法",X886="算法类",X886="无法识别"),"",IF(W886="",IF(OR(I886="ILF",I886="EIF"),0,""),LEN(W886)-LEN(SUBSTITUTE(W886,"、",""))+1))</f>
        <v/>
      </c>
      <c r="N886" s="83">
        <f>IF(OR(X886="估算法",X886="算法类",X886="无法识别"),"",IF(X886="",IF(OR(I886="ILF",I886="EIF",I886="EI",I886="EO",I886="EQ"),0,""),LEN(X886)-LEN(SUBSTITUTE(SUBSTITUTE(SUBSTITUTE(SUBSTITUTE(SUBSTITUTE(X886,"|}","--"),"{|","--"),CHAR(10),""),"、",""),"|",""))+IF(AND(OR(I886="EI",I886="EO",I886="EQ"),$AD$1="NESMA"),2,1)))</f>
        <v/>
      </c>
      <c r="O886" s="84">
        <f>IF(I886="EI",IF(OR(X886="估算法",X886="算法类"),"中",IF(X886="无法识别","低",IF(L886&lt;2,IF(N886&lt;16,"低","中"),IF(L886&lt;3,IF(N886&lt;5,"低",IF(N886&lt;16,"中","高")),IF(N886&lt;5,"中","高"))))),IF(OR(I886="EO",I886="EQ"),IF(OR(X886="估算法",X886="算法类"),"中",IF(X886="无法识别","低",IF(L886&lt;2,IF(N886&lt;20,"低","中"),IF(L886&lt;4,IF(N886&lt;6,"低",IF(N886&lt;20,"中","高")),IF(N886&lt;6,"中","高"))))),IF(OR(I886="ILF",I886="EIF"),IF(OR(X886="估算法",X886="算法类",X886="无法识别"),"低",IF(M886&lt;2,IF(N886&lt;51,"低","中"),IF(M886&lt;6,IF(N886&lt;20,"低",IF(N886&lt;51,"中","高")),IF(N886&lt;20,"中","高")))),"不计算")))</f>
        <v/>
      </c>
      <c r="P886" s="142">
        <f>IFERROR(IF(I886="EI",IF(O886="低",3,IF(O886="中",4,6)),IF(I886="EO",IF(O886="低",4,IF(O886="中",5,7)),IF(I886="EQ",IF(O886="低",3,IF(O886="中",4,6)),IF(I886="ILF",IF(O886="低",7,IF(O886="中",10,15)),IF(I886="EIF",IF(O886="低",5,IF(O886="中",7,10)),"不计算")))))*Q886,"不计算")</f>
        <v/>
      </c>
      <c r="Q886" s="142" t="n">
        <v>1</v>
      </c>
      <c r="R886" s="143">
        <f>调整因子!$F$13</f>
        <v/>
      </c>
      <c r="S886" s="76" t="n">
        <v>1</v>
      </c>
      <c r="T886" s="144">
        <f>IFERROR(P886*R886,0)</f>
        <v/>
      </c>
      <c r="U886" s="144">
        <f>T886*S886</f>
        <v/>
      </c>
      <c r="V886" s="89" t="n"/>
      <c r="W886" s="88" t="inlineStr">
        <is>
          <t>扫描任务表</t>
        </is>
      </c>
      <c r="X886" s="88" t="inlineStr">
        <is>
          <t>扫描任务表
{任务ID、任务名称、任务类型、关联策略ID、目标资产范围、调度时间、执行状态、开始时间、结束时间、创建人、创建时间、备注}</t>
        </is>
      </c>
      <c r="Y886" s="88">
        <f>IF(COUNTIFS(V:V,"*"&amp;H886&amp;"*")&gt;0,"存在","不存在")</f>
        <v/>
      </c>
      <c r="Z886" s="88">
        <f>IF(COUNTIFS(AA:AA,"*"&amp;H886&amp;"*")&gt;0,"存在","不存在")</f>
        <v/>
      </c>
    </row>
    <row r="887" hidden="1" ht="32.4" customHeight="1">
      <c r="A887" s="69">
        <f>ROW()-1</f>
        <v/>
      </c>
      <c r="B887" s="53" t="n"/>
      <c r="C887" s="78" t="n">
        <v>2025</v>
      </c>
      <c r="D887" s="78" t="inlineStr">
        <is>
          <t>蔡云飞</t>
        </is>
      </c>
      <c r="E887" s="53" t="n"/>
      <c r="F887" s="53" t="n"/>
      <c r="G887" s="54" t="n"/>
      <c r="H887" s="81" t="inlineStr">
        <is>
          <t>扫描过程日志表</t>
        </is>
      </c>
      <c r="I887" s="76" t="n"/>
      <c r="J887" s="108" t="n"/>
      <c r="K887" s="108" t="inlineStr">
        <is>
          <t>数据库表未被本系统所使用</t>
        </is>
      </c>
      <c r="L887" s="83">
        <f>IF(OR(X887="估算法",X887="算法类",X887="无法识别"),"",IF(V887="",IF(OR(I887="EI",I887="EO",I887="EQ"),0,""),LEN(V887)-LEN(SUBSTITUTE(V887,"、",""))+1))</f>
        <v/>
      </c>
      <c r="M887" s="83">
        <f>IF(OR(X887="估算法",X887="算法类",X887="无法识别"),"",IF(W887="",IF(OR(I887="ILF",I887="EIF"),0,""),LEN(W887)-LEN(SUBSTITUTE(W887,"、",""))+1))</f>
        <v/>
      </c>
      <c r="N887" s="83">
        <f>IF(OR(X887="估算法",X887="算法类",X887="无法识别"),"",IF(X887="",IF(OR(I887="ILF",I887="EIF",I887="EI",I887="EO",I887="EQ"),0,""),LEN(X887)-LEN(SUBSTITUTE(SUBSTITUTE(SUBSTITUTE(SUBSTITUTE(SUBSTITUTE(X887,"|}","--"),"{|","--"),CHAR(10),""),"、",""),"|",""))+IF(AND(OR(I887="EI",I887="EO",I887="EQ"),$AD$1="NESMA"),2,1)))</f>
        <v/>
      </c>
      <c r="O887" s="84">
        <f>IF(I887="EI",IF(OR(X887="估算法",X887="算法类"),"中",IF(X887="无法识别","低",IF(L887&lt;2,IF(N887&lt;16,"低","中"),IF(L887&lt;3,IF(N887&lt;5,"低",IF(N887&lt;16,"中","高")),IF(N887&lt;5,"中","高"))))),IF(OR(I887="EO",I887="EQ"),IF(OR(X887="估算法",X887="算法类"),"中",IF(X887="无法识别","低",IF(L887&lt;2,IF(N887&lt;20,"低","中"),IF(L887&lt;4,IF(N887&lt;6,"低",IF(N887&lt;20,"中","高")),IF(N887&lt;6,"中","高"))))),IF(OR(I887="ILF",I887="EIF"),IF(OR(X887="估算法",X887="算法类",X887="无法识别"),"低",IF(M887&lt;2,IF(N887&lt;51,"低","中"),IF(M887&lt;6,IF(N887&lt;20,"低",IF(N887&lt;51,"中","高")),IF(N887&lt;20,"中","高")))),"不计算")))</f>
        <v/>
      </c>
      <c r="P887" s="142">
        <f>IFERROR(IF(I887="EI",IF(O887="低",3,IF(O887="中",4,6)),IF(I887="EO",IF(O887="低",4,IF(O887="中",5,7)),IF(I887="EQ",IF(O887="低",3,IF(O887="中",4,6)),IF(I887="ILF",IF(O887="低",7,IF(O887="中",10,15)),IF(I887="EIF",IF(O887="低",5,IF(O887="中",7,10)),"不计算")))))*Q887,"不计算")</f>
        <v/>
      </c>
      <c r="Q887" s="142" t="n">
        <v>1</v>
      </c>
      <c r="R887" s="143">
        <f>调整因子!$F$13</f>
        <v/>
      </c>
      <c r="S887" s="76" t="n">
        <v>1</v>
      </c>
      <c r="T887" s="144">
        <f>IFERROR(P887*R887,0)</f>
        <v/>
      </c>
      <c r="U887" s="144">
        <f>T887*S887</f>
        <v/>
      </c>
      <c r="V887" s="89" t="n"/>
      <c r="W887" s="88" t="inlineStr">
        <is>
          <t>扫描过程日志表</t>
        </is>
      </c>
      <c r="X887" s="88" t="inlineStr">
        <is>
          <t>扫描过程日志表
{日志ID、任务ID、资产ID、扫描阶段、日志内容、日志等级、记录时间、执行状态、备注}</t>
        </is>
      </c>
      <c r="Y887" s="88">
        <f>IF(COUNTIFS(V:V,"*"&amp;H887&amp;"*")&gt;0,"存在","不存在")</f>
        <v/>
      </c>
      <c r="Z887" s="88">
        <f>IF(COUNTIFS(AA:AA,"*"&amp;H887&amp;"*")&gt;0,"存在","不存在")</f>
        <v/>
      </c>
    </row>
    <row r="888" hidden="1" ht="54" customHeight="1">
      <c r="A888" s="69">
        <f>ROW()-1</f>
        <v/>
      </c>
      <c r="B888" s="53" t="n"/>
      <c r="C888" s="78" t="n">
        <v>2025</v>
      </c>
      <c r="D888" s="78" t="inlineStr">
        <is>
          <t>蔡云飞</t>
        </is>
      </c>
      <c r="E888" s="53" t="n"/>
      <c r="F888" s="53" t="n"/>
      <c r="G888" s="79" t="inlineStr">
        <is>
          <t>执行流程自动化</t>
        </is>
      </c>
      <c r="H888" s="80" t="inlineStr">
        <is>
          <t>自动化执行步骤修改</t>
        </is>
      </c>
      <c r="I888" s="76" t="inlineStr">
        <is>
          <t>EI</t>
        </is>
      </c>
      <c r="J888" s="108" t="n"/>
      <c r="K888" s="108" t="n"/>
      <c r="L888" s="83">
        <f>IF(OR(X888="估算法",X888="算法类",X888="无法识别"),"",IF(V888="",IF(OR(I888="EI",I888="EO",I888="EQ"),0,""),LEN(V888)-LEN(SUBSTITUTE(V888,"、",""))+1))</f>
        <v/>
      </c>
      <c r="M888" s="83">
        <f>IF(OR(X888="估算法",X888="算法类",X888="无法识别"),"",IF(W888="",IF(OR(I888="ILF",I888="EIF"),0,""),LEN(W888)-LEN(SUBSTITUTE(W888,"、",""))+1))</f>
        <v/>
      </c>
      <c r="N888" s="83">
        <f>IF(OR(X888="估算法",X888="算法类",X888="无法识别"),"",IF(X888="",IF(OR(I888="ILF",I888="EIF",I888="EI",I888="EO",I888="EQ"),0,""),LEN(X888)-LEN(SUBSTITUTE(SUBSTITUTE(SUBSTITUTE(SUBSTITUTE(SUBSTITUTE(X888,"|}","--"),"{|","--"),CHAR(10),""),"、",""),"|",""))+IF(AND(OR(I888="EI",I888="EO",I888="EQ"),$AD$1="NESMA"),2,1)))</f>
        <v/>
      </c>
      <c r="O888" s="84">
        <f>IF(I888="EI",IF(OR(X888="估算法",X888="算法类"),"中",IF(X888="无法识别","低",IF(L888&lt;2,IF(N888&lt;16,"低","中"),IF(L888&lt;3,IF(N888&lt;5,"低",IF(N888&lt;16,"中","高")),IF(N888&lt;5,"中","高"))))),IF(OR(I888="EO",I888="EQ"),IF(OR(X888="估算法",X888="算法类"),"中",IF(X888="无法识别","低",IF(L888&lt;2,IF(N888&lt;20,"低","中"),IF(L888&lt;4,IF(N888&lt;6,"低",IF(N888&lt;20,"中","高")),IF(N888&lt;6,"中","高"))))),IF(OR(I888="ILF",I888="EIF"),IF(OR(X888="估算法",X888="算法类",X888="无法识别"),"低",IF(M888&lt;2,IF(N888&lt;51,"低","中"),IF(M888&lt;6,IF(N888&lt;20,"低",IF(N888&lt;51,"中","高")),IF(N888&lt;20,"中","高")))),"不计算")))</f>
        <v/>
      </c>
      <c r="P888" s="142">
        <f>IFERROR(IF(I888="EI",IF(O888="低",3,IF(O888="中",4,6)),IF(I888="EO",IF(O888="低",4,IF(O888="中",5,7)),IF(I888="EQ",IF(O888="低",3,IF(O888="中",4,6)),IF(I888="ILF",IF(O888="低",7,IF(O888="中",10,15)),IF(I888="EIF",IF(O888="低",5,IF(O888="中",7,10)),"不计算")))))*Q888,"不计算")</f>
        <v/>
      </c>
      <c r="Q888" s="142" t="n">
        <v>0.333333333333333</v>
      </c>
      <c r="R888" s="143">
        <f>调整因子!$F$13</f>
        <v/>
      </c>
      <c r="S888" s="70" t="n">
        <v>1</v>
      </c>
      <c r="T888" s="144">
        <f>IFERROR(P888*R888,0)</f>
        <v/>
      </c>
      <c r="U888" s="144">
        <f>T888*S888</f>
        <v/>
      </c>
      <c r="V888" s="88" t="inlineStr">
        <is>
          <t>自动化执行步骤表</t>
        </is>
      </c>
      <c r="W888" s="89" t="n"/>
      <c r="X888" s="88"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Y888" s="88" t="n"/>
      <c r="Z888" s="88" t="n"/>
    </row>
    <row r="889" hidden="1" ht="54" customHeight="1">
      <c r="A889" s="69">
        <f>ROW()-1</f>
        <v/>
      </c>
      <c r="B889" s="53" t="n"/>
      <c r="C889" s="78" t="n">
        <v>2025</v>
      </c>
      <c r="D889" s="78" t="inlineStr">
        <is>
          <t>蔡云飞</t>
        </is>
      </c>
      <c r="E889" s="53" t="n"/>
      <c r="F889" s="53" t="n"/>
      <c r="G889" s="53" t="n"/>
      <c r="H889" s="80" t="inlineStr">
        <is>
          <t>自动化执行步骤删除</t>
        </is>
      </c>
      <c r="I889" s="76" t="inlineStr">
        <is>
          <t>EI</t>
        </is>
      </c>
      <c r="J889" s="108" t="n"/>
      <c r="K889" s="108" t="n"/>
      <c r="L889" s="83">
        <f>IF(OR(X889="估算法",X889="算法类",X889="无法识别"),"",IF(V889="",IF(OR(I889="EI",I889="EO",I889="EQ"),0,""),LEN(V889)-LEN(SUBSTITUTE(V889,"、",""))+1))</f>
        <v/>
      </c>
      <c r="M889" s="83">
        <f>IF(OR(X889="估算法",X889="算法类",X889="无法识别"),"",IF(W889="",IF(OR(I889="ILF",I889="EIF"),0,""),LEN(W889)-LEN(SUBSTITUTE(W889,"、",""))+1))</f>
        <v/>
      </c>
      <c r="N889" s="83">
        <f>IF(OR(X889="估算法",X889="算法类",X889="无法识别"),"",IF(X889="",IF(OR(I889="ILF",I889="EIF",I889="EI",I889="EO",I889="EQ"),0,""),LEN(X889)-LEN(SUBSTITUTE(SUBSTITUTE(SUBSTITUTE(SUBSTITUTE(SUBSTITUTE(X889,"|}","--"),"{|","--"),CHAR(10),""),"、",""),"|",""))+IF(AND(OR(I889="EI",I889="EO",I889="EQ"),$AD$1="NESMA"),2,1)))</f>
        <v/>
      </c>
      <c r="O889" s="84">
        <f>IF(I889="EI",IF(OR(X889="估算法",X889="算法类"),"中",IF(X889="无法识别","低",IF(L889&lt;2,IF(N889&lt;16,"低","中"),IF(L889&lt;3,IF(N889&lt;5,"低",IF(N889&lt;16,"中","高")),IF(N889&lt;5,"中","高"))))),IF(OR(I889="EO",I889="EQ"),IF(OR(X889="估算法",X889="算法类"),"中",IF(X889="无法识别","低",IF(L889&lt;2,IF(N889&lt;20,"低","中"),IF(L889&lt;4,IF(N889&lt;6,"低",IF(N889&lt;20,"中","高")),IF(N889&lt;6,"中","高"))))),IF(OR(I889="ILF",I889="EIF"),IF(OR(X889="估算法",X889="算法类",X889="无法识别"),"低",IF(M889&lt;2,IF(N889&lt;51,"低","中"),IF(M889&lt;6,IF(N889&lt;20,"低",IF(N889&lt;51,"中","高")),IF(N889&lt;20,"中","高")))),"不计算")))</f>
        <v/>
      </c>
      <c r="P889" s="142">
        <f>IFERROR(IF(I889="EI",IF(O889="低",3,IF(O889="中",4,6)),IF(I889="EO",IF(O889="低",4,IF(O889="中",5,7)),IF(I889="EQ",IF(O889="低",3,IF(O889="中",4,6)),IF(I889="ILF",IF(O889="低",7,IF(O889="中",10,15)),IF(I889="EIF",IF(O889="低",5,IF(O889="中",7,10)),"不计算")))))*Q889,"不计算")</f>
        <v/>
      </c>
      <c r="Q889" s="142" t="n">
        <v>0.333333333333333</v>
      </c>
      <c r="R889" s="143">
        <f>调整因子!$F$13</f>
        <v/>
      </c>
      <c r="S889" s="70" t="n">
        <v>1</v>
      </c>
      <c r="T889" s="144">
        <f>IFERROR(P889*R889,0)</f>
        <v/>
      </c>
      <c r="U889" s="144">
        <f>T889*S889</f>
        <v/>
      </c>
      <c r="V889" s="88" t="inlineStr">
        <is>
          <t>自动化执行步骤表</t>
        </is>
      </c>
      <c r="W889" s="89" t="n"/>
      <c r="X889" s="88"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Y889" s="88" t="n"/>
      <c r="Z889" s="88" t="n"/>
    </row>
    <row r="890" hidden="1" ht="54" customHeight="1">
      <c r="A890" s="69">
        <f>ROW()-1</f>
        <v/>
      </c>
      <c r="B890" s="53" t="n"/>
      <c r="C890" s="78" t="n">
        <v>2025</v>
      </c>
      <c r="D890" s="78" t="inlineStr">
        <is>
          <t>蔡云飞</t>
        </is>
      </c>
      <c r="E890" s="53" t="n"/>
      <c r="F890" s="53" t="n"/>
      <c r="G890" s="53" t="n"/>
      <c r="H890" s="80" t="inlineStr">
        <is>
          <t>自动化执行步骤新增</t>
        </is>
      </c>
      <c r="I890" s="76" t="inlineStr">
        <is>
          <t>EI</t>
        </is>
      </c>
      <c r="J890" s="108" t="n"/>
      <c r="K890" s="108" t="n"/>
      <c r="L890" s="83">
        <f>IF(OR(X890="估算法",X890="算法类",X890="无法识别"),"",IF(V890="",IF(OR(I890="EI",I890="EO",I890="EQ"),0,""),LEN(V890)-LEN(SUBSTITUTE(V890,"、",""))+1))</f>
        <v/>
      </c>
      <c r="M890" s="83">
        <f>IF(OR(X890="估算法",X890="算法类",X890="无法识别"),"",IF(W890="",IF(OR(I890="ILF",I890="EIF"),0,""),LEN(W890)-LEN(SUBSTITUTE(W890,"、",""))+1))</f>
        <v/>
      </c>
      <c r="N890" s="83">
        <f>IF(OR(X890="估算法",X890="算法类",X890="无法识别"),"",IF(X890="",IF(OR(I890="ILF",I890="EIF",I890="EI",I890="EO",I890="EQ"),0,""),LEN(X890)-LEN(SUBSTITUTE(SUBSTITUTE(SUBSTITUTE(SUBSTITUTE(SUBSTITUTE(X890,"|}","--"),"{|","--"),CHAR(10),""),"、",""),"|",""))+IF(AND(OR(I890="EI",I890="EO",I890="EQ"),$AD$1="NESMA"),2,1)))</f>
        <v/>
      </c>
      <c r="O890" s="84">
        <f>IF(I890="EI",IF(OR(X890="估算法",X890="算法类"),"中",IF(X890="无法识别","低",IF(L890&lt;2,IF(N890&lt;16,"低","中"),IF(L890&lt;3,IF(N890&lt;5,"低",IF(N890&lt;16,"中","高")),IF(N890&lt;5,"中","高"))))),IF(OR(I890="EO",I890="EQ"),IF(OR(X890="估算法",X890="算法类"),"中",IF(X890="无法识别","低",IF(L890&lt;2,IF(N890&lt;20,"低","中"),IF(L890&lt;4,IF(N890&lt;6,"低",IF(N890&lt;20,"中","高")),IF(N890&lt;6,"中","高"))))),IF(OR(I890="ILF",I890="EIF"),IF(OR(X890="估算法",X890="算法类",X890="无法识别"),"低",IF(M890&lt;2,IF(N890&lt;51,"低","中"),IF(M890&lt;6,IF(N890&lt;20,"低",IF(N890&lt;51,"中","高")),IF(N890&lt;20,"中","高")))),"不计算")))</f>
        <v/>
      </c>
      <c r="P890" s="142">
        <f>IFERROR(IF(I890="EI",IF(O890="低",3,IF(O890="中",4,6)),IF(I890="EO",IF(O890="低",4,IF(O890="中",5,7)),IF(I890="EQ",IF(O890="低",3,IF(O890="中",4,6)),IF(I890="ILF",IF(O890="低",7,IF(O890="中",10,15)),IF(I890="EIF",IF(O890="低",5,IF(O890="中",7,10)),"不计算")))))*Q890,"不计算")</f>
        <v/>
      </c>
      <c r="Q890" s="142" t="n">
        <v>1</v>
      </c>
      <c r="R890" s="143">
        <f>调整因子!$F$13</f>
        <v/>
      </c>
      <c r="S890" s="76" t="n">
        <v>1</v>
      </c>
      <c r="T890" s="144">
        <f>IFERROR(P890*R890,0)</f>
        <v/>
      </c>
      <c r="U890" s="144">
        <f>T890*S890</f>
        <v/>
      </c>
      <c r="V890" s="88" t="inlineStr">
        <is>
          <t>自动化执行步骤表</t>
        </is>
      </c>
      <c r="W890" s="89" t="n"/>
      <c r="X890" s="88"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Y890" s="88" t="n"/>
      <c r="Z890" s="88" t="n"/>
    </row>
    <row r="891" hidden="1" ht="54" customHeight="1">
      <c r="A891" s="69">
        <f>ROW()-1</f>
        <v/>
      </c>
      <c r="B891" s="53" t="n"/>
      <c r="C891" s="78" t="n">
        <v>2025</v>
      </c>
      <c r="D891" s="78" t="inlineStr">
        <is>
          <t>蔡云飞</t>
        </is>
      </c>
      <c r="E891" s="53" t="n"/>
      <c r="F891" s="53" t="n"/>
      <c r="G891" s="53" t="n"/>
      <c r="H891" s="80" t="inlineStr">
        <is>
          <t>自动化执行步骤查询</t>
        </is>
      </c>
      <c r="I891" s="76" t="inlineStr">
        <is>
          <t>EQ</t>
        </is>
      </c>
      <c r="J891" s="108" t="n"/>
      <c r="K891" s="108" t="n"/>
      <c r="L891" s="83">
        <f>IF(OR(X891="估算法",X891="算法类",X891="无法识别"),"",IF(V891="",IF(OR(I891="EI",I891="EO",I891="EQ"),0,""),LEN(V891)-LEN(SUBSTITUTE(V891,"、",""))+1))</f>
        <v/>
      </c>
      <c r="M891" s="83">
        <f>IF(OR(X891="估算法",X891="算法类",X891="无法识别"),"",IF(W891="",IF(OR(I891="ILF",I891="EIF"),0,""),LEN(W891)-LEN(SUBSTITUTE(W891,"、",""))+1))</f>
        <v/>
      </c>
      <c r="N891" s="83">
        <f>IF(OR(X891="估算法",X891="算法类",X891="无法识别"),"",IF(X891="",IF(OR(I891="ILF",I891="EIF",I891="EI",I891="EO",I891="EQ"),0,""),LEN(X891)-LEN(SUBSTITUTE(SUBSTITUTE(SUBSTITUTE(SUBSTITUTE(SUBSTITUTE(X891,"|}","--"),"{|","--"),CHAR(10),""),"、",""),"|",""))+IF(AND(OR(I891="EI",I891="EO",I891="EQ"),$AD$1="NESMA"),2,1)))</f>
        <v/>
      </c>
      <c r="O891" s="84">
        <f>IF(I891="EI",IF(OR(X891="估算法",X891="算法类"),"中",IF(X891="无法识别","低",IF(L891&lt;2,IF(N891&lt;16,"低","中"),IF(L891&lt;3,IF(N891&lt;5,"低",IF(N891&lt;16,"中","高")),IF(N891&lt;5,"中","高"))))),IF(OR(I891="EO",I891="EQ"),IF(OR(X891="估算法",X891="算法类"),"中",IF(X891="无法识别","低",IF(L891&lt;2,IF(N891&lt;20,"低","中"),IF(L891&lt;4,IF(N891&lt;6,"低",IF(N891&lt;20,"中","高")),IF(N891&lt;6,"中","高"))))),IF(OR(I891="ILF",I891="EIF"),IF(OR(X891="估算法",X891="算法类",X891="无法识别"),"低",IF(M891&lt;2,IF(N891&lt;51,"低","中"),IF(M891&lt;6,IF(N891&lt;20,"低",IF(N891&lt;51,"中","高")),IF(N891&lt;20,"中","高")))),"不计算")))</f>
        <v/>
      </c>
      <c r="P891" s="142">
        <f>IFERROR(IF(I891="EI",IF(O891="低",3,IF(O891="中",4,6)),IF(I891="EO",IF(O891="低",4,IF(O891="中",5,7)),IF(I891="EQ",IF(O891="低",3,IF(O891="中",4,6)),IF(I891="ILF",IF(O891="低",7,IF(O891="中",10,15)),IF(I891="EIF",IF(O891="低",5,IF(O891="中",7,10)),"不计算")))))*Q891,"不计算")</f>
        <v/>
      </c>
      <c r="Q891" s="142" t="n">
        <v>1</v>
      </c>
      <c r="R891" s="143">
        <f>调整因子!$F$13</f>
        <v/>
      </c>
      <c r="S891" s="70" t="n">
        <v>1</v>
      </c>
      <c r="T891" s="144">
        <f>IFERROR(P891*R891,0)</f>
        <v/>
      </c>
      <c r="U891" s="144">
        <f>T891*S891</f>
        <v/>
      </c>
      <c r="V891" s="88" t="inlineStr">
        <is>
          <t>自动化执行步骤表</t>
        </is>
      </c>
      <c r="W891" s="89" t="n"/>
      <c r="X891" s="88"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Y891" s="88" t="n"/>
      <c r="Z891" s="88" t="n"/>
    </row>
    <row r="892" hidden="1" ht="54" customHeight="1">
      <c r="A892" s="69">
        <f>ROW()-1</f>
        <v/>
      </c>
      <c r="B892" s="53" t="n"/>
      <c r="C892" s="78" t="n">
        <v>2025</v>
      </c>
      <c r="D892" s="78" t="inlineStr">
        <is>
          <t>蔡云飞</t>
        </is>
      </c>
      <c r="E892" s="53" t="n"/>
      <c r="F892" s="53" t="n"/>
      <c r="G892" s="53" t="n"/>
      <c r="H892" s="81" t="inlineStr">
        <is>
          <t>自动化执行步骤表</t>
        </is>
      </c>
      <c r="I892" s="76" t="inlineStr">
        <is>
          <t>ILF</t>
        </is>
      </c>
      <c r="J892" s="108" t="n"/>
      <c r="K892" s="108" t="n"/>
      <c r="L892" s="83">
        <f>IF(OR(X892="估算法",X892="算法类",X892="无法识别"),"",IF(V892="",IF(OR(I892="EI",I892="EO",I892="EQ"),0,""),LEN(V892)-LEN(SUBSTITUTE(V892,"、",""))+1))</f>
        <v/>
      </c>
      <c r="M892" s="83">
        <f>IF(OR(X892="估算法",X892="算法类",X892="无法识别"),"",IF(W892="",IF(OR(I892="ILF",I892="EIF"),0,""),LEN(W892)-LEN(SUBSTITUTE(W892,"、",""))+1))</f>
        <v/>
      </c>
      <c r="N892" s="83">
        <f>IF(OR(X892="估算法",X892="算法类",X892="无法识别"),"",IF(X892="",IF(OR(I892="ILF",I892="EIF",I892="EI",I892="EO",I892="EQ"),0,""),LEN(X892)-LEN(SUBSTITUTE(SUBSTITUTE(SUBSTITUTE(SUBSTITUTE(SUBSTITUTE(X892,"|}","--"),"{|","--"),CHAR(10),""),"、",""),"|",""))+IF(AND(OR(I892="EI",I892="EO",I892="EQ"),$AD$1="NESMA"),2,1)))</f>
        <v/>
      </c>
      <c r="O892" s="84">
        <f>IF(I892="EI",IF(OR(X892="估算法",X892="算法类"),"中",IF(X892="无法识别","低",IF(L892&lt;2,IF(N892&lt;16,"低","中"),IF(L892&lt;3,IF(N892&lt;5,"低",IF(N892&lt;16,"中","高")),IF(N892&lt;5,"中","高"))))),IF(OR(I892="EO",I892="EQ"),IF(OR(X892="估算法",X892="算法类"),"中",IF(X892="无法识别","低",IF(L892&lt;2,IF(N892&lt;20,"低","中"),IF(L892&lt;4,IF(N892&lt;6,"低",IF(N892&lt;20,"中","高")),IF(N892&lt;6,"中","高"))))),IF(OR(I892="ILF",I892="EIF"),IF(OR(X892="估算法",X892="算法类",X892="无法识别"),"低",IF(M892&lt;2,IF(N892&lt;51,"低","中"),IF(M892&lt;6,IF(N892&lt;20,"低",IF(N892&lt;51,"中","高")),IF(N892&lt;20,"中","高")))),"不计算")))</f>
        <v/>
      </c>
      <c r="P892" s="142">
        <f>IFERROR(IF(I892="EI",IF(O892="低",3,IF(O892="中",4,6)),IF(I892="EO",IF(O892="低",4,IF(O892="中",5,7)),IF(I892="EQ",IF(O892="低",3,IF(O892="中",4,6)),IF(I892="ILF",IF(O892="低",7,IF(O892="中",10,15)),IF(I892="EIF",IF(O892="低",5,IF(O892="中",7,10)),"不计算")))))*Q892,"不计算")</f>
        <v/>
      </c>
      <c r="Q892" s="142" t="n">
        <v>1</v>
      </c>
      <c r="R892" s="143">
        <f>调整因子!$F$13</f>
        <v/>
      </c>
      <c r="S892" s="70" t="n">
        <v>1</v>
      </c>
      <c r="T892" s="144">
        <f>IFERROR(P892*R892,0)</f>
        <v/>
      </c>
      <c r="U892" s="144">
        <f>T892*S892</f>
        <v/>
      </c>
      <c r="V892" s="89" t="n"/>
      <c r="W892" s="88" t="inlineStr">
        <is>
          <t>自动化执行步骤表</t>
        </is>
      </c>
      <c r="X892" s="88"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Y892" s="88">
        <f>IF(COUNTIFS(V:V,"*"&amp;H892&amp;"*")&gt;0,"存在","不存在")</f>
        <v/>
      </c>
      <c r="Z892" s="88">
        <f>IF(COUNTIFS(AA:AA,"*"&amp;H892&amp;"*")&gt;0,"存在","不存在")</f>
        <v/>
      </c>
    </row>
    <row r="893" hidden="1" ht="32.4" customHeight="1">
      <c r="A893" s="69">
        <f>ROW()-1</f>
        <v/>
      </c>
      <c r="B893" s="53" t="n"/>
      <c r="C893" s="78" t="n">
        <v>2025</v>
      </c>
      <c r="D893" s="78" t="inlineStr">
        <is>
          <t>蔡云飞</t>
        </is>
      </c>
      <c r="E893" s="53" t="n"/>
      <c r="F893" s="54" t="n"/>
      <c r="G893" s="54" t="n"/>
      <c r="H893" s="81" t="inlineStr">
        <is>
          <t>自动化执行步骤操作日志表</t>
        </is>
      </c>
      <c r="I893" s="76" t="n"/>
      <c r="J893" s="108" t="n"/>
      <c r="K893" s="108" t="inlineStr">
        <is>
          <t>数据库表未被本系统所使用</t>
        </is>
      </c>
      <c r="L893" s="83">
        <f>IF(OR(X893="估算法",X893="算法类",X893="无法识别"),"",IF(V893="",IF(OR(I893="EI",I893="EO",I893="EQ"),0,""),LEN(V893)-LEN(SUBSTITUTE(V893,"、",""))+1))</f>
        <v/>
      </c>
      <c r="M893" s="83">
        <f>IF(OR(X893="估算法",X893="算法类",X893="无法识别"),"",IF(W893="",IF(OR(I893="ILF",I893="EIF"),0,""),LEN(W893)-LEN(SUBSTITUTE(W893,"、",""))+1))</f>
        <v/>
      </c>
      <c r="N893" s="83">
        <f>IF(OR(X893="估算法",X893="算法类",X893="无法识别"),"",IF(X893="",IF(OR(I893="ILF",I893="EIF",I893="EI",I893="EO",I893="EQ"),0,""),LEN(X893)-LEN(SUBSTITUTE(SUBSTITUTE(SUBSTITUTE(SUBSTITUTE(SUBSTITUTE(X893,"|}","--"),"{|","--"),CHAR(10),""),"、",""),"|",""))+IF(AND(OR(I893="EI",I893="EO",I893="EQ"),$AD$1="NESMA"),2,1)))</f>
        <v/>
      </c>
      <c r="O893" s="84">
        <f>IF(I893="EI",IF(OR(X893="估算法",X893="算法类"),"中",IF(X893="无法识别","低",IF(L893&lt;2,IF(N893&lt;16,"低","中"),IF(L893&lt;3,IF(N893&lt;5,"低",IF(N893&lt;16,"中","高")),IF(N893&lt;5,"中","高"))))),IF(OR(I893="EO",I893="EQ"),IF(OR(X893="估算法",X893="算法类"),"中",IF(X893="无法识别","低",IF(L893&lt;2,IF(N893&lt;20,"低","中"),IF(L893&lt;4,IF(N893&lt;6,"低",IF(N893&lt;20,"中","高")),IF(N893&lt;6,"中","高"))))),IF(OR(I893="ILF",I893="EIF"),IF(OR(X893="估算法",X893="算法类",X893="无法识别"),"低",IF(M893&lt;2,IF(N893&lt;51,"低","中"),IF(M893&lt;6,IF(N893&lt;20,"低",IF(N893&lt;51,"中","高")),IF(N893&lt;20,"中","高")))),"不计算")))</f>
        <v/>
      </c>
      <c r="P893" s="142">
        <f>IFERROR(IF(I893="EI",IF(O893="低",3,IF(O893="中",4,6)),IF(I893="EO",IF(O893="低",4,IF(O893="中",5,7)),IF(I893="EQ",IF(O893="低",3,IF(O893="中",4,6)),IF(I893="ILF",IF(O893="低",7,IF(O893="中",10,15)),IF(I893="EIF",IF(O893="低",5,IF(O893="中",7,10)),"不计算")))))*Q893,"不计算")</f>
        <v/>
      </c>
      <c r="Q893" s="142" t="n">
        <v>1</v>
      </c>
      <c r="R893" s="143">
        <f>调整因子!$F$13</f>
        <v/>
      </c>
      <c r="S893" s="76" t="n">
        <v>1</v>
      </c>
      <c r="T893" s="144">
        <f>IFERROR(P893*R893,0)</f>
        <v/>
      </c>
      <c r="U893" s="144">
        <f>T893*S893</f>
        <v/>
      </c>
      <c r="V893" s="89" t="n"/>
      <c r="W893" s="88" t="inlineStr">
        <is>
          <t>自动化执行步骤操作日志表</t>
        </is>
      </c>
      <c r="X893" s="88" t="inlineStr">
        <is>
          <t>自动化执行步骤操作日志表
{日志ID、步骤ID、操作类型、操作人、操作时间、操作内容、变更前内容、变更后内容、结果状态、备注}</t>
        </is>
      </c>
      <c r="Y893" s="88">
        <f>IF(COUNTIFS(V:V,"*"&amp;H893&amp;"*")&gt;0,"存在","不存在")</f>
        <v/>
      </c>
      <c r="Z893" s="88">
        <f>IF(COUNTIFS(AA:AA,"*"&amp;H893&amp;"*")&gt;0,"存在","不存在")</f>
        <v/>
      </c>
    </row>
    <row r="894" hidden="1">
      <c r="A894" s="69">
        <f>ROW()-1</f>
        <v/>
      </c>
      <c r="B894" s="53" t="n"/>
      <c r="C894" s="78" t="n">
        <v>2025</v>
      </c>
      <c r="D894" s="78" t="inlineStr">
        <is>
          <t>窦鹏岐</t>
        </is>
      </c>
      <c r="E894" s="53" t="n"/>
      <c r="F894" s="79" t="inlineStr">
        <is>
          <t>实时监控记录</t>
        </is>
      </c>
      <c r="G894" s="79" t="inlineStr">
        <is>
          <t>状态数据记录</t>
        </is>
      </c>
      <c r="H894" s="80" t="inlineStr">
        <is>
          <t>创建工单状态记录</t>
        </is>
      </c>
      <c r="I894" s="76" t="inlineStr">
        <is>
          <t>EI</t>
        </is>
      </c>
      <c r="J894" s="108" t="n"/>
      <c r="K894" s="108" t="n"/>
      <c r="L894" s="83">
        <f>IF(OR(X894="估算法",X894="算法类",X894="无法识别"),"",IF(V894="",IF(OR(I894="EI",I894="EO",I894="EQ"),0,""),LEN(V894)-LEN(SUBSTITUTE(V894,"、",""))+1))</f>
        <v/>
      </c>
      <c r="M894" s="83">
        <f>IF(OR(X894="估算法",X894="算法类",X894="无法识别"),"",IF(W894="",IF(OR(I894="ILF",I894="EIF"),0,""),LEN(W894)-LEN(SUBSTITUTE(W894,"、",""))+1))</f>
        <v/>
      </c>
      <c r="N894" s="83">
        <f>IF(OR(X894="估算法",X894="算法类",X894="无法识别"),"",IF(X894="",IF(OR(I894="ILF",I894="EIF",I894="EI",I894="EO",I894="EQ"),0,""),LEN(X894)-LEN(SUBSTITUTE(SUBSTITUTE(SUBSTITUTE(SUBSTITUTE(SUBSTITUTE(X894,"|}","--"),"{|","--"),CHAR(10),""),"、",""),"|",""))+IF(AND(OR(I894="EI",I894="EO",I894="EQ"),$AD$1="NESMA"),2,1)))</f>
        <v/>
      </c>
      <c r="O894" s="84">
        <f>IF(I894="EI",IF(OR(X894="估算法",X894="算法类"),"中",IF(X894="无法识别","低",IF(L894&lt;2,IF(N894&lt;16,"低","中"),IF(L894&lt;3,IF(N894&lt;5,"低",IF(N894&lt;16,"中","高")),IF(N894&lt;5,"中","高"))))),IF(OR(I894="EO",I894="EQ"),IF(OR(X894="估算法",X894="算法类"),"中",IF(X894="无法识别","低",IF(L894&lt;2,IF(N894&lt;20,"低","中"),IF(L894&lt;4,IF(N894&lt;6,"低",IF(N894&lt;20,"中","高")),IF(N894&lt;6,"中","高"))))),IF(OR(I894="ILF",I894="EIF"),IF(OR(X894="估算法",X894="算法类",X894="无法识别"),"低",IF(M894&lt;2,IF(N894&lt;51,"低","中"),IF(M894&lt;6,IF(N894&lt;20,"低",IF(N894&lt;51,"中","高")),IF(N894&lt;20,"中","高")))),"不计算")))</f>
        <v/>
      </c>
      <c r="P894" s="142">
        <f>IFERROR(IF(I894="EI",IF(O894="低",3,IF(O894="中",4,6)),IF(I894="EO",IF(O894="低",4,IF(O894="中",5,7)),IF(I894="EQ",IF(O894="低",3,IF(O894="中",4,6)),IF(I894="ILF",IF(O894="低",7,IF(O894="中",10,15)),IF(I894="EIF",IF(O894="低",5,IF(O894="中",7,10)),"不计算")))))*Q894,"不计算")</f>
        <v/>
      </c>
      <c r="Q894" s="142" t="n">
        <v>1</v>
      </c>
      <c r="R894" s="143">
        <f>调整因子!$F$13</f>
        <v/>
      </c>
      <c r="S894" s="76" t="n">
        <v>1</v>
      </c>
      <c r="T894" s="144">
        <f>IFERROR(P894*R894,0)</f>
        <v/>
      </c>
      <c r="U894" s="144">
        <f>T894*S894</f>
        <v/>
      </c>
      <c r="V894" s="76" t="inlineStr">
        <is>
          <t>工单状态记录表</t>
        </is>
      </c>
      <c r="W894" s="81" t="n"/>
      <c r="X894" s="76" t="inlineStr">
        <is>
          <t>工单状态记录表{主键 id 、工单 id 、原状态、新状态、状态变更时间、变更人}</t>
        </is>
      </c>
      <c r="Y894" s="88" t="n"/>
      <c r="Z894" s="88" t="n"/>
    </row>
    <row r="895" hidden="1">
      <c r="A895" s="69">
        <f>ROW()-1</f>
        <v/>
      </c>
      <c r="B895" s="53" t="n"/>
      <c r="C895" s="78" t="n">
        <v>2025</v>
      </c>
      <c r="D895" s="78" t="inlineStr">
        <is>
          <t>窦鹏岐</t>
        </is>
      </c>
      <c r="E895" s="53" t="n"/>
      <c r="F895" s="53" t="n"/>
      <c r="G895" s="53" t="n"/>
      <c r="H895" s="80" t="inlineStr">
        <is>
          <t>变更工单状态</t>
        </is>
      </c>
      <c r="I895" s="76" t="inlineStr">
        <is>
          <t>EI</t>
        </is>
      </c>
      <c r="J895" s="108" t="n"/>
      <c r="K895" s="108" t="n"/>
      <c r="L895" s="83">
        <f>IF(OR(X895="估算法",X895="算法类",X895="无法识别"),"",IF(V895="",IF(OR(I895="EI",I895="EO",I895="EQ"),0,""),LEN(V895)-LEN(SUBSTITUTE(V895,"、",""))+1))</f>
        <v/>
      </c>
      <c r="M895" s="83">
        <f>IF(OR(X895="估算法",X895="算法类",X895="无法识别"),"",IF(W895="",IF(OR(I895="ILF",I895="EIF"),0,""),LEN(W895)-LEN(SUBSTITUTE(W895,"、",""))+1))</f>
        <v/>
      </c>
      <c r="N895" s="83">
        <f>IF(OR(X895="估算法",X895="算法类",X895="无法识别"),"",IF(X895="",IF(OR(I895="ILF",I895="EIF",I895="EI",I895="EO",I895="EQ"),0,""),LEN(X895)-LEN(SUBSTITUTE(SUBSTITUTE(SUBSTITUTE(SUBSTITUTE(SUBSTITUTE(X895,"|}","--"),"{|","--"),CHAR(10),""),"、",""),"|",""))+IF(AND(OR(I895="EI",I895="EO",I895="EQ"),$AD$1="NESMA"),2,1)))</f>
        <v/>
      </c>
      <c r="O895" s="84">
        <f>IF(I895="EI",IF(OR(X895="估算法",X895="算法类"),"中",IF(X895="无法识别","低",IF(L895&lt;2,IF(N895&lt;16,"低","中"),IF(L895&lt;3,IF(N895&lt;5,"低",IF(N895&lt;16,"中","高")),IF(N895&lt;5,"中","高"))))),IF(OR(I895="EO",I895="EQ"),IF(OR(X895="估算法",X895="算法类"),"中",IF(X895="无法识别","低",IF(L895&lt;2,IF(N895&lt;20,"低","中"),IF(L895&lt;4,IF(N895&lt;6,"低",IF(N895&lt;20,"中","高")),IF(N895&lt;6,"中","高"))))),IF(OR(I895="ILF",I895="EIF"),IF(OR(X895="估算法",X895="算法类",X895="无法识别"),"低",IF(M895&lt;2,IF(N895&lt;51,"低","中"),IF(M895&lt;6,IF(N895&lt;20,"低",IF(N895&lt;51,"中","高")),IF(N895&lt;20,"中","高")))),"不计算")))</f>
        <v/>
      </c>
      <c r="P895" s="142">
        <f>IFERROR(IF(I895="EI",IF(O895="低",3,IF(O895="中",4,6)),IF(I895="EO",IF(O895="低",4,IF(O895="中",5,7)),IF(I895="EQ",IF(O895="低",3,IF(O895="中",4,6)),IF(I895="ILF",IF(O895="低",7,IF(O895="中",10,15)),IF(I895="EIF",IF(O895="低",5,IF(O895="中",7,10)),"不计算")))))*Q895,"不计算")</f>
        <v/>
      </c>
      <c r="Q895" s="142" t="n">
        <v>1</v>
      </c>
      <c r="R895" s="143">
        <f>调整因子!$F$13</f>
        <v/>
      </c>
      <c r="S895" s="70" t="n">
        <v>1</v>
      </c>
      <c r="T895" s="144">
        <f>IFERROR(P895*R895,0)</f>
        <v/>
      </c>
      <c r="U895" s="144">
        <f>T895*S895</f>
        <v/>
      </c>
      <c r="V895" s="76" t="inlineStr">
        <is>
          <t>工单状态记录表</t>
        </is>
      </c>
      <c r="W895" s="81" t="n"/>
      <c r="X895" s="76" t="inlineStr">
        <is>
          <t>工单状态记录表{主键 id 、工单 id 、原状态、新状态、状态变更时间、变更人}</t>
        </is>
      </c>
      <c r="Y895" s="88" t="n"/>
      <c r="Z895" s="88" t="n"/>
    </row>
    <row r="896" hidden="1">
      <c r="A896" s="69">
        <f>ROW()-1</f>
        <v/>
      </c>
      <c r="B896" s="53" t="n"/>
      <c r="C896" s="78" t="n">
        <v>2025</v>
      </c>
      <c r="D896" s="78" t="inlineStr">
        <is>
          <t>窦鹏岐</t>
        </is>
      </c>
      <c r="E896" s="53" t="n"/>
      <c r="F896" s="53" t="n"/>
      <c r="G896" s="53" t="n"/>
      <c r="H896" s="80" t="inlineStr">
        <is>
          <t>导出状态变化日志</t>
        </is>
      </c>
      <c r="I896" s="76" t="inlineStr">
        <is>
          <t>EO</t>
        </is>
      </c>
      <c r="J896" s="108" t="n"/>
      <c r="K896" s="108" t="n"/>
      <c r="L896" s="83">
        <f>IF(OR(X896="估算法",X896="算法类",X896="无法识别"),"",IF(V896="",IF(OR(I896="EI",I896="EO",I896="EQ"),0,""),LEN(V896)-LEN(SUBSTITUTE(V896,"、",""))+1))</f>
        <v/>
      </c>
      <c r="M896" s="83">
        <f>IF(OR(X896="估算法",X896="算法类",X896="无法识别"),"",IF(W896="",IF(OR(I896="ILF",I896="EIF"),0,""),LEN(W896)-LEN(SUBSTITUTE(W896,"、",""))+1))</f>
        <v/>
      </c>
      <c r="N896" s="83">
        <f>IF(OR(X896="估算法",X896="算法类",X896="无法识别"),"",IF(X896="",IF(OR(I896="ILF",I896="EIF",I896="EI",I896="EO",I896="EQ"),0,""),LEN(X896)-LEN(SUBSTITUTE(SUBSTITUTE(SUBSTITUTE(SUBSTITUTE(SUBSTITUTE(X896,"|}","--"),"{|","--"),CHAR(10),""),"、",""),"|",""))+IF(AND(OR(I896="EI",I896="EO",I896="EQ"),$AD$1="NESMA"),2,1)))</f>
        <v/>
      </c>
      <c r="O896" s="84">
        <f>IF(I896="EI",IF(OR(X896="估算法",X896="算法类"),"中",IF(X896="无法识别","低",IF(L896&lt;2,IF(N896&lt;16,"低","中"),IF(L896&lt;3,IF(N896&lt;5,"低",IF(N896&lt;16,"中","高")),IF(N896&lt;5,"中","高"))))),IF(OR(I896="EO",I896="EQ"),IF(OR(X896="估算法",X896="算法类"),"中",IF(X896="无法识别","低",IF(L896&lt;2,IF(N896&lt;20,"低","中"),IF(L896&lt;4,IF(N896&lt;6,"低",IF(N896&lt;20,"中","高")),IF(N896&lt;6,"中","高"))))),IF(OR(I896="ILF",I896="EIF"),IF(OR(X896="估算法",X896="算法类",X896="无法识别"),"低",IF(M896&lt;2,IF(N896&lt;51,"低","中"),IF(M896&lt;6,IF(N896&lt;20,"低",IF(N896&lt;51,"中","高")),IF(N896&lt;20,"中","高")))),"不计算")))</f>
        <v/>
      </c>
      <c r="P896" s="142">
        <f>IFERROR(IF(I896="EI",IF(O896="低",3,IF(O896="中",4,6)),IF(I896="EO",IF(O896="低",4,IF(O896="中",5,7)),IF(I896="EQ",IF(O896="低",3,IF(O896="中",4,6)),IF(I896="ILF",IF(O896="低",7,IF(O896="中",10,15)),IF(I896="EIF",IF(O896="低",5,IF(O896="中",7,10)),"不计算")))))*Q896,"不计算")</f>
        <v/>
      </c>
      <c r="Q896" s="142" t="n">
        <v>1</v>
      </c>
      <c r="R896" s="143">
        <f>调整因子!$F$13</f>
        <v/>
      </c>
      <c r="S896" s="70" t="n">
        <v>1</v>
      </c>
      <c r="T896" s="144">
        <f>IFERROR(P896*R896,0)</f>
        <v/>
      </c>
      <c r="U896" s="144">
        <f>T896*S896</f>
        <v/>
      </c>
      <c r="V896" s="76" t="inlineStr">
        <is>
          <t>状态变化日志表</t>
        </is>
      </c>
      <c r="W896" s="81" t="n"/>
      <c r="X896" s="76" t="inlineStr">
        <is>
          <t>状态变化日志表{主键 id 、工单状态记录表 id 、日志记录时间、日志详情 }</t>
        </is>
      </c>
      <c r="Y896" s="88" t="n"/>
      <c r="Z896" s="88" t="n"/>
    </row>
    <row r="897" hidden="1" ht="32.4" customHeight="1">
      <c r="A897" s="69">
        <f>ROW()-1</f>
        <v/>
      </c>
      <c r="B897" s="53" t="n"/>
      <c r="C897" s="78" t="n">
        <v>2025</v>
      </c>
      <c r="D897" s="78" t="inlineStr">
        <is>
          <t>窦鹏岐</t>
        </is>
      </c>
      <c r="E897" s="53" t="n"/>
      <c r="F897" s="53" t="n"/>
      <c r="G897" s="53" t="n"/>
      <c r="H897" s="80" t="inlineStr">
        <is>
          <t>查看历史状态</t>
        </is>
      </c>
      <c r="I897" s="76" t="inlineStr">
        <is>
          <t>EQ</t>
        </is>
      </c>
      <c r="J897" s="108" t="n"/>
      <c r="K897" s="108" t="n"/>
      <c r="L897" s="83">
        <f>IF(OR(X897="估算法",X897="算法类",X897="无法识别"),"",IF(V897="",IF(OR(I897="EI",I897="EO",I897="EQ"),0,""),LEN(V897)-LEN(SUBSTITUTE(V897,"、",""))+1))</f>
        <v/>
      </c>
      <c r="M897" s="83">
        <f>IF(OR(X897="估算法",X897="算法类",X897="无法识别"),"",IF(W897="",IF(OR(I897="ILF",I897="EIF"),0,""),LEN(W897)-LEN(SUBSTITUTE(W897,"、",""))+1))</f>
        <v/>
      </c>
      <c r="N897" s="83">
        <f>IF(OR(X897="估算法",X897="算法类",X897="无法识别"),"",IF(X897="",IF(OR(I897="ILF",I897="EIF",I897="EI",I897="EO",I897="EQ"),0,""),LEN(X897)-LEN(SUBSTITUTE(SUBSTITUTE(SUBSTITUTE(SUBSTITUTE(SUBSTITUTE(X897,"|}","--"),"{|","--"),CHAR(10),""),"、",""),"|",""))+IF(AND(OR(I897="EI",I897="EO",I897="EQ"),$AD$1="NESMA"),2,1)))</f>
        <v/>
      </c>
      <c r="O897" s="84">
        <f>IF(I897="EI",IF(OR(X897="估算法",X897="算法类"),"中",IF(X897="无法识别","低",IF(L897&lt;2,IF(N897&lt;16,"低","中"),IF(L897&lt;3,IF(N897&lt;5,"低",IF(N897&lt;16,"中","高")),IF(N897&lt;5,"中","高"))))),IF(OR(I897="EO",I897="EQ"),IF(OR(X897="估算法",X897="算法类"),"中",IF(X897="无法识别","低",IF(L897&lt;2,IF(N897&lt;20,"低","中"),IF(L897&lt;4,IF(N897&lt;6,"低",IF(N897&lt;20,"中","高")),IF(N897&lt;6,"中","高"))))),IF(OR(I897="ILF",I897="EIF"),IF(OR(X897="估算法",X897="算法类",X897="无法识别"),"低",IF(M897&lt;2,IF(N897&lt;51,"低","中"),IF(M897&lt;6,IF(N897&lt;20,"低",IF(N897&lt;51,"中","高")),IF(N897&lt;20,"中","高")))),"不计算")))</f>
        <v/>
      </c>
      <c r="P897" s="142">
        <f>IFERROR(IF(I897="EI",IF(O897="低",3,IF(O897="中",4,6)),IF(I897="EO",IF(O897="低",4,IF(O897="中",5,7)),IF(I897="EQ",IF(O897="低",3,IF(O897="中",4,6)),IF(I897="ILF",IF(O897="低",7,IF(O897="中",10,15)),IF(I897="EIF",IF(O897="低",5,IF(O897="中",7,10)),"不计算")))))*Q897,"不计算")</f>
        <v/>
      </c>
      <c r="Q897" s="142" t="n">
        <v>1</v>
      </c>
      <c r="R897" s="143">
        <f>调整因子!$F$13</f>
        <v/>
      </c>
      <c r="S897" s="76" t="n">
        <v>1</v>
      </c>
      <c r="T897" s="144">
        <f>IFERROR(P897*R897,0)</f>
        <v/>
      </c>
      <c r="U897" s="144">
        <f>T897*S897</f>
        <v/>
      </c>
      <c r="V897" s="76" t="inlineStr">
        <is>
          <t>工单状态记录表、状态变化日志表、历史状态查看记录表</t>
        </is>
      </c>
      <c r="W897" s="81" t="n"/>
      <c r="X897" s="76" t="inlineStr">
        <is>
          <t>工单状态记录表{主键 id 、工单 id 、原状态、新状态、状态变更时间、变更人}
状态变化日志表{主键 id 、工单状态记录表 id 、日志记录时间、日志详情 }
历史状态查看记录表{主键 id 、工单 id 、查看时间、查看人、查看时状态}</t>
        </is>
      </c>
      <c r="Y897" s="88" t="n"/>
      <c r="Z897" s="88" t="n"/>
    </row>
    <row r="898" hidden="1" ht="21.6" customHeight="1">
      <c r="A898" s="69">
        <f>ROW()-1</f>
        <v/>
      </c>
      <c r="B898" s="53" t="n"/>
      <c r="C898" s="78" t="n">
        <v>2025</v>
      </c>
      <c r="D898" s="78" t="inlineStr">
        <is>
          <t>窦鹏岐</t>
        </is>
      </c>
      <c r="E898" s="53" t="n"/>
      <c r="F898" s="53" t="n"/>
      <c r="G898" s="54" t="n"/>
      <c r="H898" s="80" t="inlineStr">
        <is>
          <t>过滤查询</t>
        </is>
      </c>
      <c r="I898" s="76" t="inlineStr">
        <is>
          <t>EQ</t>
        </is>
      </c>
      <c r="J898" s="108" t="n"/>
      <c r="K898" s="108" t="n"/>
      <c r="L898" s="83">
        <f>IF(OR(X898="估算法",X898="算法类",X898="无法识别"),"",IF(V898="",IF(OR(I898="EI",I898="EO",I898="EQ"),0,""),LEN(V898)-LEN(SUBSTITUTE(V898,"、",""))+1))</f>
        <v/>
      </c>
      <c r="M898" s="83">
        <f>IF(OR(X898="估算法",X898="算法类",X898="无法识别"),"",IF(W898="",IF(OR(I898="ILF",I898="EIF"),0,""),LEN(W898)-LEN(SUBSTITUTE(W898,"、",""))+1))</f>
        <v/>
      </c>
      <c r="N898" s="83">
        <f>IF(OR(X898="估算法",X898="算法类",X898="无法识别"),"",IF(X898="",IF(OR(I898="ILF",I898="EIF",I898="EI",I898="EO",I898="EQ"),0,""),LEN(X898)-LEN(SUBSTITUTE(SUBSTITUTE(SUBSTITUTE(SUBSTITUTE(SUBSTITUTE(X898,"|}","--"),"{|","--"),CHAR(10),""),"、",""),"|",""))+IF(AND(OR(I898="EI",I898="EO",I898="EQ"),$AD$1="NESMA"),2,1)))</f>
        <v/>
      </c>
      <c r="O898" s="84">
        <f>IF(I898="EI",IF(OR(X898="估算法",X898="算法类"),"中",IF(X898="无法识别","低",IF(L898&lt;2,IF(N898&lt;16,"低","中"),IF(L898&lt;3,IF(N898&lt;5,"低",IF(N898&lt;16,"中","高")),IF(N898&lt;5,"中","高"))))),IF(OR(I898="EO",I898="EQ"),IF(OR(X898="估算法",X898="算法类"),"中",IF(X898="无法识别","低",IF(L898&lt;2,IF(N898&lt;20,"低","中"),IF(L898&lt;4,IF(N898&lt;6,"低",IF(N898&lt;20,"中","高")),IF(N898&lt;6,"中","高"))))),IF(OR(I898="ILF",I898="EIF"),IF(OR(X898="估算法",X898="算法类",X898="无法识别"),"低",IF(M898&lt;2,IF(N898&lt;51,"低","中"),IF(M898&lt;6,IF(N898&lt;20,"低",IF(N898&lt;51,"中","高")),IF(N898&lt;20,"中","高")))),"不计算")))</f>
        <v/>
      </c>
      <c r="P898" s="142">
        <f>IFERROR(IF(I898="EI",IF(O898="低",3,IF(O898="中",4,6)),IF(I898="EO",IF(O898="低",4,IF(O898="中",5,7)),IF(I898="EQ",IF(O898="低",3,IF(O898="中",4,6)),IF(I898="ILF",IF(O898="低",7,IF(O898="中",10,15)),IF(I898="EIF",IF(O898="低",5,IF(O898="中",7,10)),"不计算")))))*Q898,"不计算")</f>
        <v/>
      </c>
      <c r="Q898" s="142" t="n">
        <v>1</v>
      </c>
      <c r="R898" s="143">
        <f>调整因子!$F$13</f>
        <v/>
      </c>
      <c r="S898" s="70" t="n">
        <v>1</v>
      </c>
      <c r="T898" s="144">
        <f>IFERROR(P898*R898,0)</f>
        <v/>
      </c>
      <c r="U898" s="144">
        <f>T898*S898</f>
        <v/>
      </c>
      <c r="V898" s="76" t="inlineStr">
        <is>
          <t>工单状态记录表、状态过滤查询记录表</t>
        </is>
      </c>
      <c r="W898" s="81" t="n"/>
      <c r="X898" s="76" t="inlineStr">
        <is>
          <t>工单状态记录表{主键 id 、工单 id 、原状态、新状态、状态变更时间、变更人}
状态过滤查询记录表{主键 id 、用户 id 、过滤条件、查询时间、查询结果摘要}</t>
        </is>
      </c>
      <c r="Y898" s="88" t="n"/>
      <c r="Z898" s="88" t="n"/>
    </row>
    <row r="899" hidden="1" ht="21.6" customHeight="1">
      <c r="A899" s="69">
        <f>ROW()-1</f>
        <v/>
      </c>
      <c r="B899" s="53" t="n"/>
      <c r="C899" s="78" t="n">
        <v>2025</v>
      </c>
      <c r="D899" s="78" t="inlineStr">
        <is>
          <t>窦鹏岐</t>
        </is>
      </c>
      <c r="E899" s="53" t="n"/>
      <c r="F899" s="53" t="n"/>
      <c r="G899" s="79" t="inlineStr">
        <is>
          <t>异常情况捕捉</t>
        </is>
      </c>
      <c r="H899" s="80" t="inlineStr">
        <is>
          <t>修改异常捕捉规则</t>
        </is>
      </c>
      <c r="I899" s="76" t="inlineStr">
        <is>
          <t>EI</t>
        </is>
      </c>
      <c r="J899" s="108" t="n"/>
      <c r="K899" s="108" t="n"/>
      <c r="L899" s="83">
        <f>IF(OR(X899="估算法",X899="算法类",X899="无法识别"),"",IF(V899="",IF(OR(I899="EI",I899="EO",I899="EQ"),0,""),LEN(V899)-LEN(SUBSTITUTE(V899,"、",""))+1))</f>
        <v/>
      </c>
      <c r="M899" s="83">
        <f>IF(OR(X899="估算法",X899="算法类",X899="无法识别"),"",IF(W899="",IF(OR(I899="ILF",I899="EIF"),0,""),LEN(W899)-LEN(SUBSTITUTE(W899,"、",""))+1))</f>
        <v/>
      </c>
      <c r="N899" s="83">
        <f>IF(OR(X899="估算法",X899="算法类",X899="无法识别"),"",IF(X899="",IF(OR(I899="ILF",I899="EIF",I899="EI",I899="EO",I899="EQ"),0,""),LEN(X899)-LEN(SUBSTITUTE(SUBSTITUTE(SUBSTITUTE(SUBSTITUTE(SUBSTITUTE(X899,"|}","--"),"{|","--"),CHAR(10),""),"、",""),"|",""))+IF(AND(OR(I899="EI",I899="EO",I899="EQ"),$AD$1="NESMA"),2,1)))</f>
        <v/>
      </c>
      <c r="O899" s="84">
        <f>IF(I899="EI",IF(OR(X899="估算法",X899="算法类"),"中",IF(X899="无法识别","低",IF(L899&lt;2,IF(N899&lt;16,"低","中"),IF(L899&lt;3,IF(N899&lt;5,"低",IF(N899&lt;16,"中","高")),IF(N899&lt;5,"中","高"))))),IF(OR(I899="EO",I899="EQ"),IF(OR(X899="估算法",X899="算法类"),"中",IF(X899="无法识别","低",IF(L899&lt;2,IF(N899&lt;20,"低","中"),IF(L899&lt;4,IF(N899&lt;6,"低",IF(N899&lt;20,"中","高")),IF(N899&lt;6,"中","高"))))),IF(OR(I899="ILF",I899="EIF"),IF(OR(X899="估算法",X899="算法类",X899="无法识别"),"低",IF(M899&lt;2,IF(N899&lt;51,"低","中"),IF(M899&lt;6,IF(N899&lt;20,"低",IF(N899&lt;51,"中","高")),IF(N899&lt;20,"中","高")))),"不计算")))</f>
        <v/>
      </c>
      <c r="P899" s="142">
        <f>IFERROR(IF(I899="EI",IF(O899="低",3,IF(O899="中",4,6)),IF(I899="EO",IF(O899="低",4,IF(O899="中",5,7)),IF(I899="EQ",IF(O899="低",3,IF(O899="中",4,6)),IF(I899="ILF",IF(O899="低",7,IF(O899="中",10,15)),IF(I899="EIF",IF(O899="低",5,IF(O899="中",7,10)),"不计算")))))*Q899,"不计算")</f>
        <v/>
      </c>
      <c r="Q899" s="142" t="n">
        <v>0.333333333333333</v>
      </c>
      <c r="R899" s="143">
        <f>调整因子!$F$13</f>
        <v/>
      </c>
      <c r="S899" s="70" t="n">
        <v>1</v>
      </c>
      <c r="T899" s="144">
        <f>IFERROR(P899*R899,0)</f>
        <v/>
      </c>
      <c r="U899" s="144">
        <f>T899*S899</f>
        <v/>
      </c>
      <c r="V899" s="76" t="inlineStr">
        <is>
          <t>异常捕捉规则表</t>
        </is>
      </c>
      <c r="W899" s="81" t="n"/>
      <c r="X899" s="76" t="inlineStr">
        <is>
          <t>异常捕捉规则表{主键 id 、规则名称、规则描述、规则条件、规则状态（启用 / 禁用）、创建时间、更新时间}</t>
        </is>
      </c>
      <c r="Y899" s="88" t="n"/>
      <c r="Z899" s="88" t="n"/>
    </row>
    <row r="900" hidden="1" ht="21.6" customHeight="1">
      <c r="A900" s="69">
        <f>ROW()-1</f>
        <v/>
      </c>
      <c r="B900" s="53" t="n"/>
      <c r="C900" s="78" t="n">
        <v>2025</v>
      </c>
      <c r="D900" s="78" t="inlineStr">
        <is>
          <t>窦鹏岐</t>
        </is>
      </c>
      <c r="E900" s="53" t="n"/>
      <c r="F900" s="53" t="n"/>
      <c r="G900" s="53" t="n"/>
      <c r="H900" s="80" t="inlineStr">
        <is>
          <t>新增捕捉规则</t>
        </is>
      </c>
      <c r="I900" s="76" t="inlineStr">
        <is>
          <t>EI</t>
        </is>
      </c>
      <c r="J900" s="108" t="n"/>
      <c r="K900" s="108" t="n"/>
      <c r="L900" s="83">
        <f>IF(OR(X900="估算法",X900="算法类",X900="无法识别"),"",IF(V900="",IF(OR(I900="EI",I900="EO",I900="EQ"),0,""),LEN(V900)-LEN(SUBSTITUTE(V900,"、",""))+1))</f>
        <v/>
      </c>
      <c r="M900" s="83">
        <f>IF(OR(X900="估算法",X900="算法类",X900="无法识别"),"",IF(W900="",IF(OR(I900="ILF",I900="EIF"),0,""),LEN(W900)-LEN(SUBSTITUTE(W900,"、",""))+1))</f>
        <v/>
      </c>
      <c r="N900" s="83">
        <f>IF(OR(X900="估算法",X900="算法类",X900="无法识别"),"",IF(X900="",IF(OR(I900="ILF",I900="EIF",I900="EI",I900="EO",I900="EQ"),0,""),LEN(X900)-LEN(SUBSTITUTE(SUBSTITUTE(SUBSTITUTE(SUBSTITUTE(SUBSTITUTE(X900,"|}","--"),"{|","--"),CHAR(10),""),"、",""),"|",""))+IF(AND(OR(I900="EI",I900="EO",I900="EQ"),$AD$1="NESMA"),2,1)))</f>
        <v/>
      </c>
      <c r="O900" s="84">
        <f>IF(I900="EI",IF(OR(X900="估算法",X900="算法类"),"中",IF(X900="无法识别","低",IF(L900&lt;2,IF(N900&lt;16,"低","中"),IF(L900&lt;3,IF(N900&lt;5,"低",IF(N900&lt;16,"中","高")),IF(N900&lt;5,"中","高"))))),IF(OR(I900="EO",I900="EQ"),IF(OR(X900="估算法",X900="算法类"),"中",IF(X900="无法识别","低",IF(L900&lt;2,IF(N900&lt;20,"低","中"),IF(L900&lt;4,IF(N900&lt;6,"低",IF(N900&lt;20,"中","高")),IF(N900&lt;6,"中","高"))))),IF(OR(I900="ILF",I900="EIF"),IF(OR(X900="估算法",X900="算法类",X900="无法识别"),"低",IF(M900&lt;2,IF(N900&lt;51,"低","中"),IF(M900&lt;6,IF(N900&lt;20,"低",IF(N900&lt;51,"中","高")),IF(N900&lt;20,"中","高")))),"不计算")))</f>
        <v/>
      </c>
      <c r="P900" s="142">
        <f>IFERROR(IF(I900="EI",IF(O900="低",3,IF(O900="中",4,6)),IF(I900="EO",IF(O900="低",4,IF(O900="中",5,7)),IF(I900="EQ",IF(O900="低",3,IF(O900="中",4,6)),IF(I900="ILF",IF(O900="低",7,IF(O900="中",10,15)),IF(I900="EIF",IF(O900="低",5,IF(O900="中",7,10)),"不计算")))))*Q900,"不计算")</f>
        <v/>
      </c>
      <c r="Q900" s="142" t="n">
        <v>1</v>
      </c>
      <c r="R900" s="143">
        <f>调整因子!$F$13</f>
        <v/>
      </c>
      <c r="S900" s="76" t="n">
        <v>1</v>
      </c>
      <c r="T900" s="144">
        <f>IFERROR(P900*R900,0)</f>
        <v/>
      </c>
      <c r="U900" s="144">
        <f>T900*S900</f>
        <v/>
      </c>
      <c r="V900" s="76" t="inlineStr">
        <is>
          <t>异常捕捉规则表</t>
        </is>
      </c>
      <c r="W900" s="81" t="n"/>
      <c r="X900" s="76" t="inlineStr">
        <is>
          <t>异常捕捉规则表{主键 id 、规则名称、规则描述、规则条件、规则状态（启用 / 禁用）、创建时间、更新时间}</t>
        </is>
      </c>
      <c r="Y900" s="88" t="n"/>
      <c r="Z900" s="88" t="n"/>
    </row>
    <row r="901" hidden="1" ht="43.2" customHeight="1">
      <c r="A901" s="69">
        <f>ROW()-1</f>
        <v/>
      </c>
      <c r="B901" s="53" t="n"/>
      <c r="C901" s="78" t="n">
        <v>2025</v>
      </c>
      <c r="D901" s="78" t="inlineStr">
        <is>
          <t>窦鹏岐</t>
        </is>
      </c>
      <c r="E901" s="53" t="n"/>
      <c r="F901" s="53" t="n"/>
      <c r="G901" s="53" t="n"/>
      <c r="H901" s="80" t="inlineStr">
        <is>
          <t>查询异常记录</t>
        </is>
      </c>
      <c r="I901" s="76" t="inlineStr">
        <is>
          <t>EQ</t>
        </is>
      </c>
      <c r="J901" s="108" t="n"/>
      <c r="K901" s="108" t="n"/>
      <c r="L901" s="83">
        <f>IF(OR(X901="估算法",X901="算法类",X901="无法识别"),"",IF(V901="",IF(OR(I901="EI",I901="EO",I901="EQ"),0,""),LEN(V901)-LEN(SUBSTITUTE(V901,"、",""))+1))</f>
        <v/>
      </c>
      <c r="M901" s="83">
        <f>IF(OR(X901="估算法",X901="算法类",X901="无法识别"),"",IF(W901="",IF(OR(I901="ILF",I901="EIF"),0,""),LEN(W901)-LEN(SUBSTITUTE(W901,"、",""))+1))</f>
        <v/>
      </c>
      <c r="N901" s="83">
        <f>IF(OR(X901="估算法",X901="算法类",X901="无法识别"),"",IF(X901="",IF(OR(I901="ILF",I901="EIF",I901="EI",I901="EO",I901="EQ"),0,""),LEN(X901)-LEN(SUBSTITUTE(SUBSTITUTE(SUBSTITUTE(SUBSTITUTE(SUBSTITUTE(X901,"|}","--"),"{|","--"),CHAR(10),""),"、",""),"|",""))+IF(AND(OR(I901="EI",I901="EO",I901="EQ"),$AD$1="NESMA"),2,1)))</f>
        <v/>
      </c>
      <c r="O901" s="84">
        <f>IF(I901="EI",IF(OR(X901="估算法",X901="算法类"),"中",IF(X901="无法识别","低",IF(L901&lt;2,IF(N901&lt;16,"低","中"),IF(L901&lt;3,IF(N901&lt;5,"低",IF(N901&lt;16,"中","高")),IF(N901&lt;5,"中","高"))))),IF(OR(I901="EO",I901="EQ"),IF(OR(X901="估算法",X901="算法类"),"中",IF(X901="无法识别","低",IF(L901&lt;2,IF(N901&lt;20,"低","中"),IF(L901&lt;4,IF(N901&lt;6,"低",IF(N901&lt;20,"中","高")),IF(N901&lt;6,"中","高"))))),IF(OR(I901="ILF",I901="EIF"),IF(OR(X901="估算法",X901="算法类",X901="无法识别"),"低",IF(M901&lt;2,IF(N901&lt;51,"低","中"),IF(M901&lt;6,IF(N901&lt;20,"低",IF(N901&lt;51,"中","高")),IF(N901&lt;20,"中","高")))),"不计算")))</f>
        <v/>
      </c>
      <c r="P901" s="142">
        <f>IFERROR(IF(I901="EI",IF(O901="低",3,IF(O901="中",4,6)),IF(I901="EO",IF(O901="低",4,IF(O901="中",5,7)),IF(I901="EQ",IF(O901="低",3,IF(O901="中",4,6)),IF(I901="ILF",IF(O901="低",7,IF(O901="中",10,15)),IF(I901="EIF",IF(O901="低",5,IF(O901="中",7,10)),"不计算")))))*Q901,"不计算")</f>
        <v/>
      </c>
      <c r="Q901" s="142" t="n">
        <v>1</v>
      </c>
      <c r="R901" s="143">
        <f>调整因子!$F$13</f>
        <v/>
      </c>
      <c r="S901" s="76" t="n">
        <v>1</v>
      </c>
      <c r="T901" s="144">
        <f>IFERROR(P901*R901,0)</f>
        <v/>
      </c>
      <c r="U901" s="144">
        <f>T901*S901</f>
        <v/>
      </c>
      <c r="V901" s="76" t="inlineStr">
        <is>
          <t>异常捕捉规则表、异常记录表</t>
        </is>
      </c>
      <c r="W901" s="81" t="n"/>
      <c r="X901" s="76" t="inlineStr">
        <is>
          <t>异常捕捉规则表{主键 id 、规则名称、规则描述、规则条件、规则状态（启用 / 禁用）、创建时间、更新时间}
异常记录表{主键 id 、异常类型、异常描述、异常发生时间、关联规则 id、异常处理状态、处理时间}</t>
        </is>
      </c>
      <c r="Y901" s="88" t="n"/>
      <c r="Z901" s="88" t="n"/>
    </row>
    <row r="902" hidden="1">
      <c r="A902" s="69">
        <f>ROW()-1</f>
        <v/>
      </c>
      <c r="B902" s="53" t="n"/>
      <c r="C902" s="78" t="n">
        <v>2025</v>
      </c>
      <c r="D902" s="78" t="inlineStr">
        <is>
          <t>窦鹏岐</t>
        </is>
      </c>
      <c r="E902" s="53" t="n"/>
      <c r="F902" s="53" t="n"/>
      <c r="G902" s="53" t="n"/>
      <c r="H902" s="80" t="inlineStr">
        <is>
          <t>工单状态记录表</t>
        </is>
      </c>
      <c r="I902" s="81" t="inlineStr">
        <is>
          <t>ILF</t>
        </is>
      </c>
      <c r="J902" s="108" t="n"/>
      <c r="K902" s="108" t="n"/>
      <c r="L902" s="83">
        <f>IF(OR(X902="估算法",X902="算法类",X902="无法识别"),"",IF(V902="",IF(OR(I902="EI",I902="EO",I902="EQ"),0,""),LEN(V902)-LEN(SUBSTITUTE(V902,"、",""))+1))</f>
        <v/>
      </c>
      <c r="M902" s="83">
        <f>IF(OR(X902="估算法",X902="算法类",X902="无法识别"),"",IF(W902="",IF(OR(I902="ILF",I902="EIF"),0,""),LEN(W902)-LEN(SUBSTITUTE(W902,"、",""))+1))</f>
        <v/>
      </c>
      <c r="N902" s="83">
        <f>IF(OR(X902="估算法",X902="算法类",X902="无法识别"),"",IF(X902="",IF(OR(I902="ILF",I902="EIF",I902="EI",I902="EO",I902="EQ"),0,""),LEN(X902)-LEN(SUBSTITUTE(SUBSTITUTE(SUBSTITUTE(SUBSTITUTE(SUBSTITUTE(X902,"|}","--"),"{|","--"),CHAR(10),""),"、",""),"|",""))+IF(AND(OR(I902="EI",I902="EO",I902="EQ"),$AD$1="NESMA"),2,1)))</f>
        <v/>
      </c>
      <c r="O902" s="84">
        <f>IF(I902="EI",IF(OR(X902="估算法",X902="算法类"),"中",IF(X902="无法识别","低",IF(L902&lt;2,IF(N902&lt;16,"低","中"),IF(L902&lt;3,IF(N902&lt;5,"低",IF(N902&lt;16,"中","高")),IF(N902&lt;5,"中","高"))))),IF(OR(I902="EO",I902="EQ"),IF(OR(X902="估算法",X902="算法类"),"中",IF(X902="无法识别","低",IF(L902&lt;2,IF(N902&lt;20,"低","中"),IF(L902&lt;4,IF(N902&lt;6,"低",IF(N902&lt;20,"中","高")),IF(N902&lt;6,"中","高"))))),IF(OR(I902="ILF",I902="EIF"),IF(OR(X902="估算法",X902="算法类",X902="无法识别"),"低",IF(M902&lt;2,IF(N902&lt;51,"低","中"),IF(M902&lt;6,IF(N902&lt;20,"低",IF(N902&lt;51,"中","高")),IF(N902&lt;20,"中","高")))),"不计算")))</f>
        <v/>
      </c>
      <c r="P902" s="142">
        <f>IFERROR(IF(I902="EI",IF(O902="低",3,IF(O902="中",4,6)),IF(I902="EO",IF(O902="低",4,IF(O902="中",5,7)),IF(I902="EQ",IF(O902="低",3,IF(O902="中",4,6)),IF(I902="ILF",IF(O902="低",7,IF(O902="中",10,15)),IF(I902="EIF",IF(O902="低",5,IF(O902="中",7,10)),"不计算")))))*Q902,"不计算")</f>
        <v/>
      </c>
      <c r="Q902" s="142" t="n">
        <v>1</v>
      </c>
      <c r="R902" s="143">
        <f>调整因子!$F$13</f>
        <v/>
      </c>
      <c r="S902" s="70" t="n">
        <v>1</v>
      </c>
      <c r="T902" s="144">
        <f>IFERROR(P902*R902,0)</f>
        <v/>
      </c>
      <c r="U902" s="144">
        <f>T902*S902</f>
        <v/>
      </c>
      <c r="V902" s="81" t="n"/>
      <c r="W902" s="79" t="inlineStr">
        <is>
          <t>工单状态记录表</t>
        </is>
      </c>
      <c r="X902" s="76" t="inlineStr">
        <is>
          <t>工单状态记录表{主键 id 、工单 id 、原状态、新状态、状态变更时间、变更人}</t>
        </is>
      </c>
      <c r="Y902" s="88">
        <f>IF(COUNTIFS(V:V,"*"&amp;H902&amp;"*")&gt;0,"存在","不存在")</f>
        <v/>
      </c>
      <c r="Z902" s="88">
        <f>IF(COUNTIFS(AA:AA,"*"&amp;H902&amp;"*")&gt;0,"存在","不存在")</f>
        <v/>
      </c>
    </row>
    <row r="903" hidden="1">
      <c r="A903" s="69">
        <f>ROW()-1</f>
        <v/>
      </c>
      <c r="B903" s="53" t="n"/>
      <c r="C903" s="78" t="n">
        <v>2025</v>
      </c>
      <c r="D903" s="78" t="inlineStr">
        <is>
          <t>窦鹏岐</t>
        </is>
      </c>
      <c r="E903" s="53" t="n"/>
      <c r="F903" s="53" t="n"/>
      <c r="G903" s="53" t="n"/>
      <c r="H903" s="80" t="inlineStr">
        <is>
          <t>状态变化日志表</t>
        </is>
      </c>
      <c r="I903" s="81" t="n"/>
      <c r="J903" s="95" t="n"/>
      <c r="K903" s="95" t="inlineStr">
        <is>
          <t>非ILF,日志表</t>
        </is>
      </c>
      <c r="L903" s="83">
        <f>IF(OR(X903="估算法",X903="算法类",X903="无法识别"),"",IF(V903="",IF(OR(I903="EI",I903="EO",I903="EQ"),0,""),LEN(V903)-LEN(SUBSTITUTE(V903,"、",""))+1))</f>
        <v/>
      </c>
      <c r="M903" s="83">
        <f>IF(OR(X903="估算法",X903="算法类",X903="无法识别"),"",IF(W903="",IF(OR(I903="ILF",I903="EIF"),0,""),LEN(W903)-LEN(SUBSTITUTE(W903,"、",""))+1))</f>
        <v/>
      </c>
      <c r="N903" s="83">
        <f>IF(OR(X903="估算法",X903="算法类",X903="无法识别"),"",IF(X903="",IF(OR(I903="ILF",I903="EIF",I903="EI",I903="EO",I903="EQ"),0,""),LEN(X903)-LEN(SUBSTITUTE(SUBSTITUTE(SUBSTITUTE(SUBSTITUTE(SUBSTITUTE(X903,"|}","--"),"{|","--"),CHAR(10),""),"、",""),"|",""))+IF(AND(OR(I903="EI",I903="EO",I903="EQ"),$AD$1="NESMA"),2,1)))</f>
        <v/>
      </c>
      <c r="O903" s="84">
        <f>IF(I903="EI",IF(OR(X903="估算法",X903="算法类"),"中",IF(X903="无法识别","低",IF(L903&lt;2,IF(N903&lt;16,"低","中"),IF(L903&lt;3,IF(N903&lt;5,"低",IF(N903&lt;16,"中","高")),IF(N903&lt;5,"中","高"))))),IF(OR(I903="EO",I903="EQ"),IF(OR(X903="估算法",X903="算法类"),"中",IF(X903="无法识别","低",IF(L903&lt;2,IF(N903&lt;20,"低","中"),IF(L903&lt;4,IF(N903&lt;6,"低",IF(N903&lt;20,"中","高")),IF(N903&lt;6,"中","高"))))),IF(OR(I903="ILF",I903="EIF"),IF(OR(X903="估算法",X903="算法类",X903="无法识别"),"低",IF(M903&lt;2,IF(N903&lt;51,"低","中"),IF(M903&lt;6,IF(N903&lt;20,"低",IF(N903&lt;51,"中","高")),IF(N903&lt;20,"中","高")))),"不计算")))</f>
        <v/>
      </c>
      <c r="P903" s="142">
        <f>IFERROR(IF(I903="EI",IF(O903="低",3,IF(O903="中",4,6)),IF(I903="EO",IF(O903="低",4,IF(O903="中",5,7)),IF(I903="EQ",IF(O903="低",3,IF(O903="中",4,6)),IF(I903="ILF",IF(O903="低",7,IF(O903="中",10,15)),IF(I903="EIF",IF(O903="低",5,IF(O903="中",7,10)),"不计算")))))*Q903,"不计算")</f>
        <v/>
      </c>
      <c r="Q903" s="142" t="n">
        <v>1</v>
      </c>
      <c r="R903" s="143">
        <f>调整因子!$F$13</f>
        <v/>
      </c>
      <c r="S903" s="70" t="n">
        <v>1</v>
      </c>
      <c r="T903" s="144">
        <f>IFERROR(P903*R903,0)</f>
        <v/>
      </c>
      <c r="U903" s="144">
        <f>T903*S903</f>
        <v/>
      </c>
      <c r="V903" s="81" t="n"/>
      <c r="W903" s="79" t="inlineStr">
        <is>
          <t>状态变化日志表</t>
        </is>
      </c>
      <c r="X903" s="76" t="inlineStr">
        <is>
          <t>状态变化日志表{主键 id 、工单状态记录表 id 、日志记录时间、日志详情 }</t>
        </is>
      </c>
      <c r="Y903" s="88">
        <f>IF(COUNTIFS(V:V,"*"&amp;H903&amp;"*")&gt;0,"存在","不存在")</f>
        <v/>
      </c>
      <c r="Z903" s="88">
        <f>IF(COUNTIFS(AA:AA,"*"&amp;H903&amp;"*")&gt;0,"存在","不存在")</f>
        <v/>
      </c>
    </row>
    <row r="904" hidden="1">
      <c r="A904" s="69">
        <f>ROW()-1</f>
        <v/>
      </c>
      <c r="B904" s="53" t="n"/>
      <c r="C904" s="78" t="n">
        <v>2025</v>
      </c>
      <c r="D904" s="78" t="inlineStr">
        <is>
          <t>窦鹏岐</t>
        </is>
      </c>
      <c r="E904" s="53" t="n"/>
      <c r="F904" s="53" t="n"/>
      <c r="G904" s="53" t="n"/>
      <c r="H904" s="80" t="inlineStr">
        <is>
          <t>历史状态查看记录表</t>
        </is>
      </c>
      <c r="I904" s="81" t="inlineStr">
        <is>
          <t>ILF</t>
        </is>
      </c>
      <c r="J904" s="108" t="n"/>
      <c r="K904" s="108" t="inlineStr">
        <is>
          <t>数据库表未被本系统所维护</t>
        </is>
      </c>
      <c r="L904" s="83">
        <f>IF(OR(X904="估算法",X904="算法类",X904="无法识别"),"",IF(V904="",IF(OR(I904="EI",I904="EO",I904="EQ"),0,""),LEN(V904)-LEN(SUBSTITUTE(V904,"、",""))+1))</f>
        <v/>
      </c>
      <c r="M904" s="83">
        <f>IF(OR(X904="估算法",X904="算法类",X904="无法识别"),"",IF(W904="",IF(OR(I904="ILF",I904="EIF"),0,""),LEN(W904)-LEN(SUBSTITUTE(W904,"、",""))+1))</f>
        <v/>
      </c>
      <c r="N904" s="83">
        <f>IF(OR(X904="估算法",X904="算法类",X904="无法识别"),"",IF(X904="",IF(OR(I904="ILF",I904="EIF",I904="EI",I904="EO",I904="EQ"),0,""),LEN(X904)-LEN(SUBSTITUTE(SUBSTITUTE(SUBSTITUTE(SUBSTITUTE(SUBSTITUTE(X904,"|}","--"),"{|","--"),CHAR(10),""),"、",""),"|",""))+IF(AND(OR(I904="EI",I904="EO",I904="EQ"),$AD$1="NESMA"),2,1)))</f>
        <v/>
      </c>
      <c r="O904" s="84">
        <f>IF(I904="EI",IF(OR(X904="估算法",X904="算法类"),"中",IF(X904="无法识别","低",IF(L904&lt;2,IF(N904&lt;16,"低","中"),IF(L904&lt;3,IF(N904&lt;5,"低",IF(N904&lt;16,"中","高")),IF(N904&lt;5,"中","高"))))),IF(OR(I904="EO",I904="EQ"),IF(OR(X904="估算法",X904="算法类"),"中",IF(X904="无法识别","低",IF(L904&lt;2,IF(N904&lt;20,"低","中"),IF(L904&lt;4,IF(N904&lt;6,"低",IF(N904&lt;20,"中","高")),IF(N904&lt;6,"中","高"))))),IF(OR(I904="ILF",I904="EIF"),IF(OR(X904="估算法",X904="算法类",X904="无法识别"),"低",IF(M904&lt;2,IF(N904&lt;51,"低","中"),IF(M904&lt;6,IF(N904&lt;20,"低",IF(N904&lt;51,"中","高")),IF(N904&lt;20,"中","高")))),"不计算")))</f>
        <v/>
      </c>
      <c r="P904" s="142">
        <f>IFERROR(IF(I904="EI",IF(O904="低",3,IF(O904="中",4,6)),IF(I904="EO",IF(O904="低",4,IF(O904="中",5,7)),IF(I904="EQ",IF(O904="低",3,IF(O904="中",4,6)),IF(I904="ILF",IF(O904="低",7,IF(O904="中",10,15)),IF(I904="EIF",IF(O904="低",5,IF(O904="中",7,10)),"不计算")))))*Q904,"不计算")</f>
        <v/>
      </c>
      <c r="Q904" s="142" t="n">
        <v>0</v>
      </c>
      <c r="R904" s="143">
        <f>调整因子!$F$13</f>
        <v/>
      </c>
      <c r="S904" s="76" t="n">
        <v>1</v>
      </c>
      <c r="T904" s="144">
        <f>IFERROR(P904*R904,0)</f>
        <v/>
      </c>
      <c r="U904" s="144">
        <f>T904*S904</f>
        <v/>
      </c>
      <c r="V904" s="81" t="n"/>
      <c r="W904" s="79" t="inlineStr">
        <is>
          <t>历史状态查看记录表</t>
        </is>
      </c>
      <c r="X904" s="76" t="inlineStr">
        <is>
          <t>历史状态查看记录表{主键 id 、工单 id 、查看时间、查看人、查看时状态}</t>
        </is>
      </c>
      <c r="Y904" s="88">
        <f>IF(COUNTIFS(V:V,"*"&amp;H904&amp;"*")&gt;0,"存在","不存在")</f>
        <v/>
      </c>
      <c r="Z904" s="88">
        <f>IF(COUNTIFS(AA:AA,"*"&amp;H904&amp;"*")&gt;0,"存在","不存在")</f>
        <v/>
      </c>
    </row>
    <row r="905" hidden="1">
      <c r="A905" s="69">
        <f>ROW()-1</f>
        <v/>
      </c>
      <c r="B905" s="53" t="n"/>
      <c r="C905" s="78" t="n">
        <v>2025</v>
      </c>
      <c r="D905" s="78" t="inlineStr">
        <is>
          <t>窦鹏岐</t>
        </is>
      </c>
      <c r="E905" s="53" t="n"/>
      <c r="F905" s="53" t="n"/>
      <c r="G905" s="53" t="n"/>
      <c r="H905" s="80" t="inlineStr">
        <is>
          <t>状态过滤查询记录表</t>
        </is>
      </c>
      <c r="I905" s="81" t="inlineStr">
        <is>
          <t>ILF</t>
        </is>
      </c>
      <c r="J905" s="108" t="n"/>
      <c r="K905" s="108" t="inlineStr">
        <is>
          <t>数据库表未被本系统所维护</t>
        </is>
      </c>
      <c r="L905" s="83">
        <f>IF(OR(X905="估算法",X905="算法类",X905="无法识别"),"",IF(V905="",IF(OR(I905="EI",I905="EO",I905="EQ"),0,""),LEN(V905)-LEN(SUBSTITUTE(V905,"、",""))+1))</f>
        <v/>
      </c>
      <c r="M905" s="83">
        <f>IF(OR(X905="估算法",X905="算法类",X905="无法识别"),"",IF(W905="",IF(OR(I905="ILF",I905="EIF"),0,""),LEN(W905)-LEN(SUBSTITUTE(W905,"、",""))+1))</f>
        <v/>
      </c>
      <c r="N905" s="83">
        <f>IF(OR(X905="估算法",X905="算法类",X905="无法识别"),"",IF(X905="",IF(OR(I905="ILF",I905="EIF",I905="EI",I905="EO",I905="EQ"),0,""),LEN(X905)-LEN(SUBSTITUTE(SUBSTITUTE(SUBSTITUTE(SUBSTITUTE(SUBSTITUTE(X905,"|}","--"),"{|","--"),CHAR(10),""),"、",""),"|",""))+IF(AND(OR(I905="EI",I905="EO",I905="EQ"),$AD$1="NESMA"),2,1)))</f>
        <v/>
      </c>
      <c r="O905" s="84">
        <f>IF(I905="EI",IF(OR(X905="估算法",X905="算法类"),"中",IF(X905="无法识别","低",IF(L905&lt;2,IF(N905&lt;16,"低","中"),IF(L905&lt;3,IF(N905&lt;5,"低",IF(N905&lt;16,"中","高")),IF(N905&lt;5,"中","高"))))),IF(OR(I905="EO",I905="EQ"),IF(OR(X905="估算法",X905="算法类"),"中",IF(X905="无法识别","低",IF(L905&lt;2,IF(N905&lt;20,"低","中"),IF(L905&lt;4,IF(N905&lt;6,"低",IF(N905&lt;20,"中","高")),IF(N905&lt;6,"中","高"))))),IF(OR(I905="ILF",I905="EIF"),IF(OR(X905="估算法",X905="算法类",X905="无法识别"),"低",IF(M905&lt;2,IF(N905&lt;51,"低","中"),IF(M905&lt;6,IF(N905&lt;20,"低",IF(N905&lt;51,"中","高")),IF(N905&lt;20,"中","高")))),"不计算")))</f>
        <v/>
      </c>
      <c r="P905" s="142">
        <f>IFERROR(IF(I905="EI",IF(O905="低",3,IF(O905="中",4,6)),IF(I905="EO",IF(O905="低",4,IF(O905="中",5,7)),IF(I905="EQ",IF(O905="低",3,IF(O905="中",4,6)),IF(I905="ILF",IF(O905="低",7,IF(O905="中",10,15)),IF(I905="EIF",IF(O905="低",5,IF(O905="中",7,10)),"不计算")))))*Q905,"不计算")</f>
        <v/>
      </c>
      <c r="Q905" s="142" t="n">
        <v>0</v>
      </c>
      <c r="R905" s="143">
        <f>调整因子!$F$13</f>
        <v/>
      </c>
      <c r="S905" s="70" t="n">
        <v>1</v>
      </c>
      <c r="T905" s="144">
        <f>IFERROR(P905*R905,0)</f>
        <v/>
      </c>
      <c r="U905" s="144">
        <f>T905*S905</f>
        <v/>
      </c>
      <c r="V905" s="81" t="n"/>
      <c r="W905" s="79" t="inlineStr">
        <is>
          <t>状态过滤查询记录表</t>
        </is>
      </c>
      <c r="X905" s="76" t="inlineStr">
        <is>
          <t>状态过滤查询记录表{主键 id 、用户 id 、过滤条件、查询时间、查询结果摘要}</t>
        </is>
      </c>
      <c r="Y905" s="88">
        <f>IF(COUNTIFS(V:V,"*"&amp;H905&amp;"*")&gt;0,"存在","不存在")</f>
        <v/>
      </c>
      <c r="Z905" s="88">
        <f>IF(COUNTIFS(AA:AA,"*"&amp;H905&amp;"*")&gt;0,"存在","不存在")</f>
        <v/>
      </c>
    </row>
    <row r="906" hidden="1" ht="21.6" customHeight="1">
      <c r="A906" s="69">
        <f>ROW()-1</f>
        <v/>
      </c>
      <c r="B906" s="53" t="n"/>
      <c r="C906" s="78" t="n">
        <v>2025</v>
      </c>
      <c r="D906" s="78" t="inlineStr">
        <is>
          <t>窦鹏岐</t>
        </is>
      </c>
      <c r="E906" s="53" t="n"/>
      <c r="F906" s="53" t="n"/>
      <c r="G906" s="53" t="n"/>
      <c r="H906" s="80" t="inlineStr">
        <is>
          <t>异常捕捉规则表</t>
        </is>
      </c>
      <c r="I906" s="81" t="inlineStr">
        <is>
          <t>ILF</t>
        </is>
      </c>
      <c r="J906" s="108" t="n"/>
      <c r="K906" s="108" t="n"/>
      <c r="L906" s="83">
        <f>IF(OR(X906="估算法",X906="算法类",X906="无法识别"),"",IF(V906="",IF(OR(I906="EI",I906="EO",I906="EQ"),0,""),LEN(V906)-LEN(SUBSTITUTE(V906,"、",""))+1))</f>
        <v/>
      </c>
      <c r="M906" s="83">
        <f>IF(OR(X906="估算法",X906="算法类",X906="无法识别"),"",IF(W906="",IF(OR(I906="ILF",I906="EIF"),0,""),LEN(W906)-LEN(SUBSTITUTE(W906,"、",""))+1))</f>
        <v/>
      </c>
      <c r="N906" s="83">
        <f>IF(OR(X906="估算法",X906="算法类",X906="无法识别"),"",IF(X906="",IF(OR(I906="ILF",I906="EIF",I906="EI",I906="EO",I906="EQ"),0,""),LEN(X906)-LEN(SUBSTITUTE(SUBSTITUTE(SUBSTITUTE(SUBSTITUTE(SUBSTITUTE(X906,"|}","--"),"{|","--"),CHAR(10),""),"、",""),"|",""))+IF(AND(OR(I906="EI",I906="EO",I906="EQ"),$AD$1="NESMA"),2,1)))</f>
        <v/>
      </c>
      <c r="O906" s="84">
        <f>IF(I906="EI",IF(OR(X906="估算法",X906="算法类"),"中",IF(X906="无法识别","低",IF(L906&lt;2,IF(N906&lt;16,"低","中"),IF(L906&lt;3,IF(N906&lt;5,"低",IF(N906&lt;16,"中","高")),IF(N906&lt;5,"中","高"))))),IF(OR(I906="EO",I906="EQ"),IF(OR(X906="估算法",X906="算法类"),"中",IF(X906="无法识别","低",IF(L906&lt;2,IF(N906&lt;20,"低","中"),IF(L906&lt;4,IF(N906&lt;6,"低",IF(N906&lt;20,"中","高")),IF(N906&lt;6,"中","高"))))),IF(OR(I906="ILF",I906="EIF"),IF(OR(X906="估算法",X906="算法类",X906="无法识别"),"低",IF(M906&lt;2,IF(N906&lt;51,"低","中"),IF(M906&lt;6,IF(N906&lt;20,"低",IF(N906&lt;51,"中","高")),IF(N906&lt;20,"中","高")))),"不计算")))</f>
        <v/>
      </c>
      <c r="P906" s="142">
        <f>IFERROR(IF(I906="EI",IF(O906="低",3,IF(O906="中",4,6)),IF(I906="EO",IF(O906="低",4,IF(O906="中",5,7)),IF(I906="EQ",IF(O906="低",3,IF(O906="中",4,6)),IF(I906="ILF",IF(O906="低",7,IF(O906="中",10,15)),IF(I906="EIF",IF(O906="低",5,IF(O906="中",7,10)),"不计算")))))*Q906,"不计算")</f>
        <v/>
      </c>
      <c r="Q906" s="142" t="n">
        <v>1</v>
      </c>
      <c r="R906" s="143">
        <f>调整因子!$F$13</f>
        <v/>
      </c>
      <c r="S906" s="70" t="n">
        <v>1</v>
      </c>
      <c r="T906" s="144">
        <f>IFERROR(P906*R906,0)</f>
        <v/>
      </c>
      <c r="U906" s="144">
        <f>T906*S906</f>
        <v/>
      </c>
      <c r="V906" s="81" t="n"/>
      <c r="W906" s="79" t="inlineStr">
        <is>
          <t>异常捕捉规则表</t>
        </is>
      </c>
      <c r="X906" s="76" t="inlineStr">
        <is>
          <t>异常捕捉规则表{主键 id 、规则名称、规则描述、规则条件、规则状态（启用 / 禁用）、创建时间、更新时间}</t>
        </is>
      </c>
      <c r="Y906" s="88">
        <f>IF(COUNTIFS(V:V,"*"&amp;H906&amp;"*")&gt;0,"存在","不存在")</f>
        <v/>
      </c>
      <c r="Z906" s="88">
        <f>IF(COUNTIFS(AA:AA,"*"&amp;H906&amp;"*")&gt;0,"存在","不存在")</f>
        <v/>
      </c>
    </row>
    <row r="907" hidden="1" ht="21.6" customHeight="1">
      <c r="A907" s="69">
        <f>ROW()-1</f>
        <v/>
      </c>
      <c r="B907" s="53" t="n"/>
      <c r="C907" s="78" t="n">
        <v>2025</v>
      </c>
      <c r="D907" s="78" t="inlineStr">
        <is>
          <t>窦鹏岐</t>
        </is>
      </c>
      <c r="E907" s="53" t="n"/>
      <c r="F907" s="54" t="n"/>
      <c r="G907" s="54" t="n"/>
      <c r="H907" s="80" t="inlineStr">
        <is>
          <t>异常记录表</t>
        </is>
      </c>
      <c r="I907" s="81" t="inlineStr">
        <is>
          <t>ILF</t>
        </is>
      </c>
      <c r="J907" s="108" t="n"/>
      <c r="K907" s="108" t="inlineStr">
        <is>
          <t>数据库表未被本系统所维护</t>
        </is>
      </c>
      <c r="L907" s="83">
        <f>IF(OR(X907="估算法",X907="算法类",X907="无法识别"),"",IF(V907="",IF(OR(I907="EI",I907="EO",I907="EQ"),0,""),LEN(V907)-LEN(SUBSTITUTE(V907,"、",""))+1))</f>
        <v/>
      </c>
      <c r="M907" s="83">
        <f>IF(OR(X907="估算法",X907="算法类",X907="无法识别"),"",IF(W907="",IF(OR(I907="ILF",I907="EIF"),0,""),LEN(W907)-LEN(SUBSTITUTE(W907,"、",""))+1))</f>
        <v/>
      </c>
      <c r="N907" s="83">
        <f>IF(OR(X907="估算法",X907="算法类",X907="无法识别"),"",IF(X907="",IF(OR(I907="ILF",I907="EIF",I907="EI",I907="EO",I907="EQ"),0,""),LEN(X907)-LEN(SUBSTITUTE(SUBSTITUTE(SUBSTITUTE(SUBSTITUTE(SUBSTITUTE(X907,"|}","--"),"{|","--"),CHAR(10),""),"、",""),"|",""))+IF(AND(OR(I907="EI",I907="EO",I907="EQ"),$AD$1="NESMA"),2,1)))</f>
        <v/>
      </c>
      <c r="O907" s="84">
        <f>IF(I907="EI",IF(OR(X907="估算法",X907="算法类"),"中",IF(X907="无法识别","低",IF(L907&lt;2,IF(N907&lt;16,"低","中"),IF(L907&lt;3,IF(N907&lt;5,"低",IF(N907&lt;16,"中","高")),IF(N907&lt;5,"中","高"))))),IF(OR(I907="EO",I907="EQ"),IF(OR(X907="估算法",X907="算法类"),"中",IF(X907="无法识别","低",IF(L907&lt;2,IF(N907&lt;20,"低","中"),IF(L907&lt;4,IF(N907&lt;6,"低",IF(N907&lt;20,"中","高")),IF(N907&lt;6,"中","高"))))),IF(OR(I907="ILF",I907="EIF"),IF(OR(X907="估算法",X907="算法类",X907="无法识别"),"低",IF(M907&lt;2,IF(N907&lt;51,"低","中"),IF(M907&lt;6,IF(N907&lt;20,"低",IF(N907&lt;51,"中","高")),IF(N907&lt;20,"中","高")))),"不计算")))</f>
        <v/>
      </c>
      <c r="P907" s="142">
        <f>IFERROR(IF(I907="EI",IF(O907="低",3,IF(O907="中",4,6)),IF(I907="EO",IF(O907="低",4,IF(O907="中",5,7)),IF(I907="EQ",IF(O907="低",3,IF(O907="中",4,6)),IF(I907="ILF",IF(O907="低",7,IF(O907="中",10,15)),IF(I907="EIF",IF(O907="低",5,IF(O907="中",7,10)),"不计算")))))*Q907,"不计算")</f>
        <v/>
      </c>
      <c r="Q907" s="142" t="n">
        <v>0</v>
      </c>
      <c r="R907" s="143">
        <f>调整因子!$F$13</f>
        <v/>
      </c>
      <c r="S907" s="76" t="n">
        <v>1</v>
      </c>
      <c r="T907" s="144">
        <f>IFERROR(P907*R907,0)</f>
        <v/>
      </c>
      <c r="U907" s="144">
        <f>T907*S907</f>
        <v/>
      </c>
      <c r="V907" s="81" t="n"/>
      <c r="W907" s="79" t="inlineStr">
        <is>
          <t>异常记录表</t>
        </is>
      </c>
      <c r="X907" s="76" t="inlineStr">
        <is>
          <t>异常记录表{主键 id 、异常类型、异常描述、异常发生时间、关联规则 id、异常处理状态、处理时间}</t>
        </is>
      </c>
      <c r="Y907" s="88">
        <f>IF(COUNTIFS(V:V,"*"&amp;H907&amp;"*")&gt;0,"存在","不存在")</f>
        <v/>
      </c>
      <c r="Z907" s="88">
        <f>IF(COUNTIFS(AA:AA,"*"&amp;H907&amp;"*")&gt;0,"存在","不存在")</f>
        <v/>
      </c>
    </row>
    <row r="908" hidden="1" ht="32.4" customHeight="1">
      <c r="A908" s="69">
        <f>ROW()-1</f>
        <v/>
      </c>
      <c r="B908" s="53" t="n"/>
      <c r="C908" s="78" t="n">
        <v>2025</v>
      </c>
      <c r="D908" s="78" t="inlineStr">
        <is>
          <t>窦鹏岐</t>
        </is>
      </c>
      <c r="E908" s="53" t="n"/>
      <c r="F908" s="79" t="inlineStr">
        <is>
          <t>分批结果上报管理</t>
        </is>
      </c>
      <c r="G908" s="79" t="inlineStr">
        <is>
          <t>分批结果上报</t>
        </is>
      </c>
      <c r="H908" s="80" t="inlineStr">
        <is>
          <t>上报通过审核</t>
        </is>
      </c>
      <c r="I908" s="76" t="n"/>
      <c r="J908" s="108" t="n"/>
      <c r="K908" s="108" t="inlineStr">
        <is>
          <t>和新增上报批次合并，相同功能</t>
        </is>
      </c>
      <c r="L908" s="83">
        <f>IF(OR(X908="估算法",X908="算法类",X908="无法识别"),"",IF(V908="",IF(OR(I908="EI",I908="EO",I908="EQ"),0,""),LEN(V908)-LEN(SUBSTITUTE(V908,"、",""))+1))</f>
        <v/>
      </c>
      <c r="M908" s="83">
        <f>IF(OR(X908="估算法",X908="算法类",X908="无法识别"),"",IF(W908="",IF(OR(I908="ILF",I908="EIF"),0,""),LEN(W908)-LEN(SUBSTITUTE(W908,"、",""))+1))</f>
        <v/>
      </c>
      <c r="N908" s="83">
        <f>IF(OR(X908="估算法",X908="算法类",X908="无法识别"),"",IF(X908="",IF(OR(I908="ILF",I908="EIF",I908="EI",I908="EO",I908="EQ"),0,""),LEN(X908)-LEN(SUBSTITUTE(SUBSTITUTE(SUBSTITUTE(SUBSTITUTE(SUBSTITUTE(X908,"|}","--"),"{|","--"),CHAR(10),""),"、",""),"|",""))+IF(AND(OR(I908="EI",I908="EO",I908="EQ"),$AD$1="NESMA"),2,1)))</f>
        <v/>
      </c>
      <c r="O908" s="84">
        <f>IF(I908="EI",IF(OR(X908="估算法",X908="算法类"),"中",IF(X908="无法识别","低",IF(L908&lt;2,IF(N908&lt;16,"低","中"),IF(L908&lt;3,IF(N908&lt;5,"低",IF(N908&lt;16,"中","高")),IF(N908&lt;5,"中","高"))))),IF(OR(I908="EO",I908="EQ"),IF(OR(X908="估算法",X908="算法类"),"中",IF(X908="无法识别","低",IF(L908&lt;2,IF(N908&lt;20,"低","中"),IF(L908&lt;4,IF(N908&lt;6,"低",IF(N908&lt;20,"中","高")),IF(N908&lt;6,"中","高"))))),IF(OR(I908="ILF",I908="EIF"),IF(OR(X908="估算法",X908="算法类",X908="无法识别"),"低",IF(M908&lt;2,IF(N908&lt;51,"低","中"),IF(M908&lt;6,IF(N908&lt;20,"低",IF(N908&lt;51,"中","高")),IF(N908&lt;20,"中","高")))),"不计算")))</f>
        <v/>
      </c>
      <c r="P908" s="142">
        <f>IFERROR(IF(I908="EI",IF(O908="低",3,IF(O908="中",4,6)),IF(I908="EO",IF(O908="低",4,IF(O908="中",5,7)),IF(I908="EQ",IF(O908="低",3,IF(O908="中",4,6)),IF(I908="ILF",IF(O908="低",7,IF(O908="中",10,15)),IF(I908="EIF",IF(O908="低",5,IF(O908="中",7,10)),"不计算")))))*Q908,"不计算")</f>
        <v/>
      </c>
      <c r="Q908" s="142" t="n">
        <v>1</v>
      </c>
      <c r="R908" s="143">
        <f>调整因子!$F$13</f>
        <v/>
      </c>
      <c r="S908" s="76" t="n">
        <v>1</v>
      </c>
      <c r="T908" s="144">
        <f>IFERROR(P908*R908,0)</f>
        <v/>
      </c>
      <c r="U908" s="144">
        <f>T908*S908</f>
        <v/>
      </c>
      <c r="V908" s="76" t="inlineStr">
        <is>
          <t>上报批次记录表、上报结果表</t>
        </is>
      </c>
      <c r="W908" s="81" t="n"/>
      <c r="X908" s="76" t="inlineStr">
        <is>
          <t>上报批次记录表{主键 id 、批次名称、批次描述、创建时间、创建人}
上报结果表{主键 id 、上报批次记录表 id（关联的上报批次）、上报内容、上报时间、上报人}</t>
        </is>
      </c>
      <c r="Y908" s="88" t="n"/>
      <c r="Z908" s="88" t="n"/>
    </row>
    <row r="909" hidden="1" ht="54" customHeight="1">
      <c r="A909" s="69">
        <f>ROW()-1</f>
        <v/>
      </c>
      <c r="B909" s="53" t="n"/>
      <c r="C909" s="78" t="n">
        <v>2025</v>
      </c>
      <c r="D909" s="78" t="inlineStr">
        <is>
          <t>窦鹏岐</t>
        </is>
      </c>
      <c r="E909" s="53" t="n"/>
      <c r="F909" s="53" t="n"/>
      <c r="G909" s="53" t="n"/>
      <c r="H909" s="80" t="inlineStr">
        <is>
          <t>修改上报批次</t>
        </is>
      </c>
      <c r="I909" s="76" t="inlineStr">
        <is>
          <t>EI</t>
        </is>
      </c>
      <c r="J909" s="108" t="n"/>
      <c r="K909" s="108" t="n"/>
      <c r="L909" s="83">
        <f>IF(OR(X909="估算法",X909="算法类",X909="无法识别"),"",IF(V909="",IF(OR(I909="EI",I909="EO",I909="EQ"),0,""),LEN(V909)-LEN(SUBSTITUTE(V909,"、",""))+1))</f>
        <v/>
      </c>
      <c r="M909" s="83">
        <f>IF(OR(X909="估算法",X909="算法类",X909="无法识别"),"",IF(W909="",IF(OR(I909="ILF",I909="EIF"),0,""),LEN(W909)-LEN(SUBSTITUTE(W909,"、",""))+1))</f>
        <v/>
      </c>
      <c r="N909" s="83">
        <f>IF(OR(X909="估算法",X909="算法类",X909="无法识别"),"",IF(X909="",IF(OR(I909="ILF",I909="EIF",I909="EI",I909="EO",I909="EQ"),0,""),LEN(X909)-LEN(SUBSTITUTE(SUBSTITUTE(SUBSTITUTE(SUBSTITUTE(SUBSTITUTE(X909,"|}","--"),"{|","--"),CHAR(10),""),"、",""),"|",""))+IF(AND(OR(I909="EI",I909="EO",I909="EQ"),$AD$1="NESMA"),2,1)))</f>
        <v/>
      </c>
      <c r="O909" s="84">
        <f>IF(I909="EI",IF(OR(X909="估算法",X909="算法类"),"中",IF(X909="无法识别","低",IF(L909&lt;2,IF(N909&lt;16,"低","中"),IF(L909&lt;3,IF(N909&lt;5,"低",IF(N909&lt;16,"中","高")),IF(N909&lt;5,"中","高"))))),IF(OR(I909="EO",I909="EQ"),IF(OR(X909="估算法",X909="算法类"),"中",IF(X909="无法识别","低",IF(L909&lt;2,IF(N909&lt;20,"低","中"),IF(L909&lt;4,IF(N909&lt;6,"低",IF(N909&lt;20,"中","高")),IF(N909&lt;6,"中","高"))))),IF(OR(I909="ILF",I909="EIF"),IF(OR(X909="估算法",X909="算法类",X909="无法识别"),"低",IF(M909&lt;2,IF(N909&lt;51,"低","中"),IF(M909&lt;6,IF(N909&lt;20,"低",IF(N909&lt;51,"中","高")),IF(N909&lt;20,"中","高")))),"不计算")))</f>
        <v/>
      </c>
      <c r="P909" s="142">
        <f>IFERROR(IF(I909="EI",IF(O909="低",3,IF(O909="中",4,6)),IF(I909="EO",IF(O909="低",4,IF(O909="中",5,7)),IF(I909="EQ",IF(O909="低",3,IF(O909="中",4,6)),IF(I909="ILF",IF(O909="低",7,IF(O909="中",10,15)),IF(I909="EIF",IF(O909="低",5,IF(O909="中",7,10)),"不计算")))))*Q909,"不计算")</f>
        <v/>
      </c>
      <c r="Q909" s="142" t="n">
        <v>0.333333333333333</v>
      </c>
      <c r="R909" s="143">
        <f>调整因子!$F$13</f>
        <v/>
      </c>
      <c r="S909" s="70" t="n">
        <v>1</v>
      </c>
      <c r="T909" s="144">
        <f>IFERROR(P909*R909,0)</f>
        <v/>
      </c>
      <c r="U909" s="144">
        <f>T909*S909</f>
        <v/>
      </c>
      <c r="V909" s="76" t="inlineStr">
        <is>
          <t>上报批次记录表、上报结果表、上报状态记录表</t>
        </is>
      </c>
      <c r="W909" s="81" t="n"/>
      <c r="X909" s="76"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t>
        </is>
      </c>
      <c r="Y909" s="88" t="n"/>
      <c r="Z909" s="88" t="n"/>
    </row>
    <row r="910" hidden="1" ht="75.59999999999999" customHeight="1">
      <c r="A910" s="69">
        <f>ROW()-1</f>
        <v/>
      </c>
      <c r="B910" s="53" t="n"/>
      <c r="C910" s="78" t="n">
        <v>2025</v>
      </c>
      <c r="D910" s="78" t="inlineStr">
        <is>
          <t>窦鹏岐</t>
        </is>
      </c>
      <c r="E910" s="53" t="n"/>
      <c r="F910" s="53" t="n"/>
      <c r="G910" s="53" t="n"/>
      <c r="H910" s="80" t="inlineStr">
        <is>
          <t>修改上报结果</t>
        </is>
      </c>
      <c r="I910" s="76" t="inlineStr">
        <is>
          <t>EI</t>
        </is>
      </c>
      <c r="J910" s="108" t="n"/>
      <c r="K910" s="108" t="n"/>
      <c r="L910" s="83">
        <f>IF(OR(X910="估算法",X910="算法类",X910="无法识别"),"",IF(V910="",IF(OR(I910="EI",I910="EO",I910="EQ"),0,""),LEN(V910)-LEN(SUBSTITUTE(V910,"、",""))+1))</f>
        <v/>
      </c>
      <c r="M910" s="83">
        <f>IF(OR(X910="估算法",X910="算法类",X910="无法识别"),"",IF(W910="",IF(OR(I910="ILF",I910="EIF"),0,""),LEN(W910)-LEN(SUBSTITUTE(W910,"、",""))+1))</f>
        <v/>
      </c>
      <c r="N910" s="83">
        <f>IF(OR(X910="估算法",X910="算法类",X910="无法识别"),"",IF(X910="",IF(OR(I910="ILF",I910="EIF",I910="EI",I910="EO",I910="EQ"),0,""),LEN(X910)-LEN(SUBSTITUTE(SUBSTITUTE(SUBSTITUTE(SUBSTITUTE(SUBSTITUTE(X910,"|}","--"),"{|","--"),CHAR(10),""),"、",""),"|",""))+IF(AND(OR(I910="EI",I910="EO",I910="EQ"),$AD$1="NESMA"),2,1)))</f>
        <v/>
      </c>
      <c r="O910" s="84">
        <f>IF(I910="EI",IF(OR(X910="估算法",X910="算法类"),"中",IF(X910="无法识别","低",IF(L910&lt;2,IF(N910&lt;16,"低","中"),IF(L910&lt;3,IF(N910&lt;5,"低",IF(N910&lt;16,"中","高")),IF(N910&lt;5,"中","高"))))),IF(OR(I910="EO",I910="EQ"),IF(OR(X910="估算法",X910="算法类"),"中",IF(X910="无法识别","低",IF(L910&lt;2,IF(N910&lt;20,"低","中"),IF(L910&lt;4,IF(N910&lt;6,"低",IF(N910&lt;20,"中","高")),IF(N910&lt;6,"中","高"))))),IF(OR(I910="ILF",I910="EIF"),IF(OR(X910="估算法",X910="算法类",X910="无法识别"),"低",IF(M910&lt;2,IF(N910&lt;51,"低","中"),IF(M910&lt;6,IF(N910&lt;20,"低",IF(N910&lt;51,"中","高")),IF(N910&lt;20,"中","高")))),"不计算")))</f>
        <v/>
      </c>
      <c r="P910" s="142">
        <f>IFERROR(IF(I910="EI",IF(O910="低",3,IF(O910="中",4,6)),IF(I910="EO",IF(O910="低",4,IF(O910="中",5,7)),IF(I910="EQ",IF(O910="低",3,IF(O910="中",4,6)),IF(I910="ILF",IF(O910="低",7,IF(O910="中",10,15)),IF(I910="EIF",IF(O910="低",5,IF(O910="中",7,10)),"不计算")))))*Q910,"不计算")</f>
        <v/>
      </c>
      <c r="Q910" s="142" t="n">
        <v>0.333333333333333</v>
      </c>
      <c r="R910" s="143">
        <f>调整因子!$F$13</f>
        <v/>
      </c>
      <c r="S910" s="70" t="n">
        <v>1</v>
      </c>
      <c r="T910" s="144">
        <f>IFERROR(P910*R910,0)</f>
        <v/>
      </c>
      <c r="U910" s="144">
        <f>T910*S910</f>
        <v/>
      </c>
      <c r="V910" s="76" t="inlineStr">
        <is>
          <t>上报批次记录表、上报结果表、上报状态记录表、状态变化日志表</t>
        </is>
      </c>
      <c r="W910" s="81" t="n"/>
      <c r="X910" s="76"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is>
      </c>
      <c r="Y910" s="88" t="n"/>
      <c r="Z910" s="88" t="n"/>
    </row>
    <row r="911" hidden="1" ht="75.59999999999999" customHeight="1">
      <c r="A911" s="69">
        <f>ROW()-1</f>
        <v/>
      </c>
      <c r="B911" s="53" t="n"/>
      <c r="C911" s="78" t="n">
        <v>2025</v>
      </c>
      <c r="D911" s="78" t="inlineStr">
        <is>
          <t>窦鹏岐</t>
        </is>
      </c>
      <c r="E911" s="53" t="n"/>
      <c r="F911" s="53" t="n"/>
      <c r="G911" s="53" t="n"/>
      <c r="H911" s="80" t="inlineStr">
        <is>
          <t>删除上报批次</t>
        </is>
      </c>
      <c r="I911" s="76" t="inlineStr">
        <is>
          <t>EI</t>
        </is>
      </c>
      <c r="J911" s="108" t="n"/>
      <c r="K911" s="108" t="n"/>
      <c r="L911" s="83">
        <f>IF(OR(X911="估算法",X911="算法类",X911="无法识别"),"",IF(V911="",IF(OR(I911="EI",I911="EO",I911="EQ"),0,""),LEN(V911)-LEN(SUBSTITUTE(V911,"、",""))+1))</f>
        <v/>
      </c>
      <c r="M911" s="83">
        <f>IF(OR(X911="估算法",X911="算法类",X911="无法识别"),"",IF(W911="",IF(OR(I911="ILF",I911="EIF"),0,""),LEN(W911)-LEN(SUBSTITUTE(W911,"、",""))+1))</f>
        <v/>
      </c>
      <c r="N911" s="83">
        <f>IF(OR(X911="估算法",X911="算法类",X911="无法识别"),"",IF(X911="",IF(OR(I911="ILF",I911="EIF",I911="EI",I911="EO",I911="EQ"),0,""),LEN(X911)-LEN(SUBSTITUTE(SUBSTITUTE(SUBSTITUTE(SUBSTITUTE(SUBSTITUTE(X911,"|}","--"),"{|","--"),CHAR(10),""),"、",""),"|",""))+IF(AND(OR(I911="EI",I911="EO",I911="EQ"),$AD$1="NESMA"),2,1)))</f>
        <v/>
      </c>
      <c r="O911" s="84">
        <f>IF(I911="EI",IF(OR(X911="估算法",X911="算法类"),"中",IF(X911="无法识别","低",IF(L911&lt;2,IF(N911&lt;16,"低","中"),IF(L911&lt;3,IF(N911&lt;5,"低",IF(N911&lt;16,"中","高")),IF(N911&lt;5,"中","高"))))),IF(OR(I911="EO",I911="EQ"),IF(OR(X911="估算法",X911="算法类"),"中",IF(X911="无法识别","低",IF(L911&lt;2,IF(N911&lt;20,"低","中"),IF(L911&lt;4,IF(N911&lt;6,"低",IF(N911&lt;20,"中","高")),IF(N911&lt;6,"中","高"))))),IF(OR(I911="ILF",I911="EIF"),IF(OR(X911="估算法",X911="算法类",X911="无法识别"),"低",IF(M911&lt;2,IF(N911&lt;51,"低","中"),IF(M911&lt;6,IF(N911&lt;20,"低",IF(N911&lt;51,"中","高")),IF(N911&lt;20,"中","高")))),"不计算")))</f>
        <v/>
      </c>
      <c r="P911" s="142">
        <f>IFERROR(IF(I911="EI",IF(O911="低",3,IF(O911="中",4,6)),IF(I911="EO",IF(O911="低",4,IF(O911="中",5,7)),IF(I911="EQ",IF(O911="低",3,IF(O911="中",4,6)),IF(I911="ILF",IF(O911="低",7,IF(O911="中",10,15)),IF(I911="EIF",IF(O911="低",5,IF(O911="中",7,10)),"不计算")))))*Q911,"不计算")</f>
        <v/>
      </c>
      <c r="Q911" s="142" t="n">
        <v>0.333333333333333</v>
      </c>
      <c r="R911" s="143">
        <f>调整因子!$F$13</f>
        <v/>
      </c>
      <c r="S911" s="76" t="n">
        <v>1</v>
      </c>
      <c r="T911" s="144">
        <f>IFERROR(P911*R911,0)</f>
        <v/>
      </c>
      <c r="U911" s="144">
        <f>T911*S911</f>
        <v/>
      </c>
      <c r="V911" s="76" t="inlineStr">
        <is>
          <t>上报批次记录表、上报结果表、上报状态记录表、状态变化日志表</t>
        </is>
      </c>
      <c r="W911" s="81" t="n"/>
      <c r="X911" s="76"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is>
      </c>
      <c r="Y911" s="88" t="n"/>
      <c r="Z911" s="88" t="n"/>
    </row>
    <row r="912" hidden="1" ht="32.4" customHeight="1">
      <c r="A912" s="69">
        <f>ROW()-1</f>
        <v/>
      </c>
      <c r="B912" s="53" t="n"/>
      <c r="C912" s="78" t="n">
        <v>2025</v>
      </c>
      <c r="D912" s="78" t="inlineStr">
        <is>
          <t>窦鹏岐</t>
        </is>
      </c>
      <c r="E912" s="53" t="n"/>
      <c r="F912" s="53" t="n"/>
      <c r="G912" s="53" t="n"/>
      <c r="H912" s="80" t="inlineStr">
        <is>
          <t>导出上报批次</t>
        </is>
      </c>
      <c r="I912" s="76" t="inlineStr">
        <is>
          <t>EO</t>
        </is>
      </c>
      <c r="J912" s="108" t="n"/>
      <c r="K912" s="108" t="n"/>
      <c r="L912" s="83">
        <f>IF(OR(X912="估算法",X912="算法类",X912="无法识别"),"",IF(V912="",IF(OR(I912="EI",I912="EO",I912="EQ"),0,""),LEN(V912)-LEN(SUBSTITUTE(V912,"、",""))+1))</f>
        <v/>
      </c>
      <c r="M912" s="83">
        <f>IF(OR(X912="估算法",X912="算法类",X912="无法识别"),"",IF(W912="",IF(OR(I912="ILF",I912="EIF"),0,""),LEN(W912)-LEN(SUBSTITUTE(W912,"、",""))+1))</f>
        <v/>
      </c>
      <c r="N912" s="83">
        <f>IF(OR(X912="估算法",X912="算法类",X912="无法识别"),"",IF(X912="",IF(OR(I912="ILF",I912="EIF",I912="EI",I912="EO",I912="EQ"),0,""),LEN(X912)-LEN(SUBSTITUTE(SUBSTITUTE(SUBSTITUTE(SUBSTITUTE(SUBSTITUTE(X912,"|}","--"),"{|","--"),CHAR(10),""),"、",""),"|",""))+IF(AND(OR(I912="EI",I912="EO",I912="EQ"),$AD$1="NESMA"),2,1)))</f>
        <v/>
      </c>
      <c r="O912" s="84">
        <f>IF(I912="EI",IF(OR(X912="估算法",X912="算法类"),"中",IF(X912="无法识别","低",IF(L912&lt;2,IF(N912&lt;16,"低","中"),IF(L912&lt;3,IF(N912&lt;5,"低",IF(N912&lt;16,"中","高")),IF(N912&lt;5,"中","高"))))),IF(OR(I912="EO",I912="EQ"),IF(OR(X912="估算法",X912="算法类"),"中",IF(X912="无法识别","低",IF(L912&lt;2,IF(N912&lt;20,"低","中"),IF(L912&lt;4,IF(N912&lt;6,"低",IF(N912&lt;20,"中","高")),IF(N912&lt;6,"中","高"))))),IF(OR(I912="ILF",I912="EIF"),IF(OR(X912="估算法",X912="算法类",X912="无法识别"),"低",IF(M912&lt;2,IF(N912&lt;51,"低","中"),IF(M912&lt;6,IF(N912&lt;20,"低",IF(N912&lt;51,"中","高")),IF(N912&lt;20,"中","高")))),"不计算")))</f>
        <v/>
      </c>
      <c r="P912" s="142">
        <f>IFERROR(IF(I912="EI",IF(O912="低",3,IF(O912="中",4,6)),IF(I912="EO",IF(O912="低",4,IF(O912="中",5,7)),IF(I912="EQ",IF(O912="低",3,IF(O912="中",4,6)),IF(I912="ILF",IF(O912="低",7,IF(O912="中",10,15)),IF(I912="EIF",IF(O912="低",5,IF(O912="中",7,10)),"不计算")))))*Q912,"不计算")</f>
        <v/>
      </c>
      <c r="Q912" s="142" t="n">
        <v>1</v>
      </c>
      <c r="R912" s="143">
        <f>调整因子!$F$13</f>
        <v/>
      </c>
      <c r="S912" s="70" t="n">
        <v>1</v>
      </c>
      <c r="T912" s="144">
        <f>IFERROR(P912*R912,0)</f>
        <v/>
      </c>
      <c r="U912" s="144">
        <f>T912*S912</f>
        <v/>
      </c>
      <c r="V912" s="76" t="inlineStr">
        <is>
          <t>上报批次记录表、上报结果表</t>
        </is>
      </c>
      <c r="W912" s="81" t="n"/>
      <c r="X912" s="76" t="inlineStr">
        <is>
          <t>上报批次记录表{主键 id 、批次名称、批次描述、创建时间、创建人}
上报结果表{主键 id 、上报批次记录表 id（关联的上报批次）、上报内容、上报时间、上报人}</t>
        </is>
      </c>
      <c r="Y912" s="88" t="n"/>
      <c r="Z912" s="88" t="n"/>
    </row>
    <row r="913" hidden="1" ht="32.4" customHeight="1">
      <c r="A913" s="69">
        <f>ROW()-1</f>
        <v/>
      </c>
      <c r="B913" s="53" t="n"/>
      <c r="C913" s="78" t="n">
        <v>2025</v>
      </c>
      <c r="D913" s="78" t="inlineStr">
        <is>
          <t>窦鹏岐</t>
        </is>
      </c>
      <c r="E913" s="53" t="n"/>
      <c r="F913" s="53" t="n"/>
      <c r="G913" s="53" t="n"/>
      <c r="H913" s="80" t="inlineStr">
        <is>
          <t>新增上报批次</t>
        </is>
      </c>
      <c r="I913" s="76" t="inlineStr">
        <is>
          <t>EI</t>
        </is>
      </c>
      <c r="J913" s="108" t="n"/>
      <c r="K913" s="108" t="n"/>
      <c r="L913" s="83">
        <f>IF(OR(X913="估算法",X913="算法类",X913="无法识别"),"",IF(V913="",IF(OR(I913="EI",I913="EO",I913="EQ"),0,""),LEN(V913)-LEN(SUBSTITUTE(V913,"、",""))+1))</f>
        <v/>
      </c>
      <c r="M913" s="83">
        <f>IF(OR(X913="估算法",X913="算法类",X913="无法识别"),"",IF(W913="",IF(OR(I913="ILF",I913="EIF"),0,""),LEN(W913)-LEN(SUBSTITUTE(W913,"、",""))+1))</f>
        <v/>
      </c>
      <c r="N913" s="83">
        <f>IF(OR(X913="估算法",X913="算法类",X913="无法识别"),"",IF(X913="",IF(OR(I913="ILF",I913="EIF",I913="EI",I913="EO",I913="EQ"),0,""),LEN(X913)-LEN(SUBSTITUTE(SUBSTITUTE(SUBSTITUTE(SUBSTITUTE(SUBSTITUTE(X913,"|}","--"),"{|","--"),CHAR(10),""),"、",""),"|",""))+IF(AND(OR(I913="EI",I913="EO",I913="EQ"),$AD$1="NESMA"),2,1)))</f>
        <v/>
      </c>
      <c r="O913" s="84">
        <f>IF(I913="EI",IF(OR(X913="估算法",X913="算法类"),"中",IF(X913="无法识别","低",IF(L913&lt;2,IF(N913&lt;16,"低","中"),IF(L913&lt;3,IF(N913&lt;5,"低",IF(N913&lt;16,"中","高")),IF(N913&lt;5,"中","高"))))),IF(OR(I913="EO",I913="EQ"),IF(OR(X913="估算法",X913="算法类"),"中",IF(X913="无法识别","低",IF(L913&lt;2,IF(N913&lt;20,"低","中"),IF(L913&lt;4,IF(N913&lt;6,"低",IF(N913&lt;20,"中","高")),IF(N913&lt;6,"中","高"))))),IF(OR(I913="ILF",I913="EIF"),IF(OR(X913="估算法",X913="算法类",X913="无法识别"),"低",IF(M913&lt;2,IF(N913&lt;51,"低","中"),IF(M913&lt;6,IF(N913&lt;20,"低",IF(N913&lt;51,"中","高")),IF(N913&lt;20,"中","高")))),"不计算")))</f>
        <v/>
      </c>
      <c r="P913" s="142">
        <f>IFERROR(IF(I913="EI",IF(O913="低",3,IF(O913="中",4,6)),IF(I913="EO",IF(O913="低",4,IF(O913="中",5,7)),IF(I913="EQ",IF(O913="低",3,IF(O913="中",4,6)),IF(I913="ILF",IF(O913="低",7,IF(O913="中",10,15)),IF(I913="EIF",IF(O913="低",5,IF(O913="中",7,10)),"不计算")))))*Q913,"不计算")</f>
        <v/>
      </c>
      <c r="Q913" s="142" t="n">
        <v>1</v>
      </c>
      <c r="R913" s="143">
        <f>调整因子!$F$13</f>
        <v/>
      </c>
      <c r="S913" s="70" t="n">
        <v>1</v>
      </c>
      <c r="T913" s="144">
        <f>IFERROR(P913*R913,0)</f>
        <v/>
      </c>
      <c r="U913" s="144">
        <f>T913*S913</f>
        <v/>
      </c>
      <c r="V913" s="76" t="inlineStr">
        <is>
          <t>上报批次记录表、上报结果表</t>
        </is>
      </c>
      <c r="W913" s="81" t="n"/>
      <c r="X913" s="76" t="inlineStr">
        <is>
          <t>上报批次记录表{主键 id 、批次名称、批次描述、创建时间、创建人}
上报结果表{主键 id 、上报批次记录表 id（关联的上报批次）、上报内容、上报时间、上报人}</t>
        </is>
      </c>
      <c r="Y913" s="88" t="n"/>
      <c r="Z913" s="88" t="n"/>
    </row>
    <row r="914" hidden="1" ht="32.4" customHeight="1">
      <c r="A914" s="69">
        <f>ROW()-1</f>
        <v/>
      </c>
      <c r="B914" s="53" t="n"/>
      <c r="C914" s="78" t="n">
        <v>2025</v>
      </c>
      <c r="D914" s="78" t="inlineStr">
        <is>
          <t>窦鹏岐</t>
        </is>
      </c>
      <c r="E914" s="53" t="n"/>
      <c r="F914" s="53" t="n"/>
      <c r="G914" s="53" t="n"/>
      <c r="H914" s="80" t="inlineStr">
        <is>
          <t>条件搜索</t>
        </is>
      </c>
      <c r="I914" s="76" t="inlineStr">
        <is>
          <t>EQ</t>
        </is>
      </c>
      <c r="J914" s="108" t="n"/>
      <c r="K914" s="108" t="n"/>
      <c r="L914" s="83">
        <f>IF(OR(X914="估算法",X914="算法类",X914="无法识别"),"",IF(V914="",IF(OR(I914="EI",I914="EO",I914="EQ"),0,""),LEN(V914)-LEN(SUBSTITUTE(V914,"、",""))+1))</f>
        <v/>
      </c>
      <c r="M914" s="83">
        <f>IF(OR(X914="估算法",X914="算法类",X914="无法识别"),"",IF(W914="",IF(OR(I914="ILF",I914="EIF"),0,""),LEN(W914)-LEN(SUBSTITUTE(W914,"、",""))+1))</f>
        <v/>
      </c>
      <c r="N914" s="83">
        <f>IF(OR(X914="估算法",X914="算法类",X914="无法识别"),"",IF(X914="",IF(OR(I914="ILF",I914="EIF",I914="EI",I914="EO",I914="EQ"),0,""),LEN(X914)-LEN(SUBSTITUTE(SUBSTITUTE(SUBSTITUTE(SUBSTITUTE(SUBSTITUTE(X914,"|}","--"),"{|","--"),CHAR(10),""),"、",""),"|",""))+IF(AND(OR(I914="EI",I914="EO",I914="EQ"),$AD$1="NESMA"),2,1)))</f>
        <v/>
      </c>
      <c r="O914" s="84">
        <f>IF(I914="EI",IF(OR(X914="估算法",X914="算法类"),"中",IF(X914="无法识别","低",IF(L914&lt;2,IF(N914&lt;16,"低","中"),IF(L914&lt;3,IF(N914&lt;5,"低",IF(N914&lt;16,"中","高")),IF(N914&lt;5,"中","高"))))),IF(OR(I914="EO",I914="EQ"),IF(OR(X914="估算法",X914="算法类"),"中",IF(X914="无法识别","低",IF(L914&lt;2,IF(N914&lt;20,"低","中"),IF(L914&lt;4,IF(N914&lt;6,"低",IF(N914&lt;20,"中","高")),IF(N914&lt;6,"中","高"))))),IF(OR(I914="ILF",I914="EIF"),IF(OR(X914="估算法",X914="算法类",X914="无法识别"),"低",IF(M914&lt;2,IF(N914&lt;51,"低","中"),IF(M914&lt;6,IF(N914&lt;20,"低",IF(N914&lt;51,"中","高")),IF(N914&lt;20,"中","高")))),"不计算")))</f>
        <v/>
      </c>
      <c r="P914" s="142">
        <f>IFERROR(IF(I914="EI",IF(O914="低",3,IF(O914="中",4,6)),IF(I914="EO",IF(O914="低",4,IF(O914="中",5,7)),IF(I914="EQ",IF(O914="低",3,IF(O914="中",4,6)),IF(I914="ILF",IF(O914="低",7,IF(O914="中",10,15)),IF(I914="EIF",IF(O914="低",5,IF(O914="中",7,10)),"不计算")))))*Q914,"不计算")</f>
        <v/>
      </c>
      <c r="Q914" s="142" t="n">
        <v>1</v>
      </c>
      <c r="R914" s="143">
        <f>调整因子!$F$13</f>
        <v/>
      </c>
      <c r="S914" s="76" t="n">
        <v>1</v>
      </c>
      <c r="T914" s="144">
        <f>IFERROR(P914*R914,0)</f>
        <v/>
      </c>
      <c r="U914" s="144">
        <f>T914*S914</f>
        <v/>
      </c>
      <c r="V914" s="76" t="inlineStr">
        <is>
          <t>上报批次记录表、上报结果表</t>
        </is>
      </c>
      <c r="W914" s="81" t="n"/>
      <c r="X914" s="76" t="inlineStr">
        <is>
          <t>上报批次记录表{主键 id 、批次名称、批次描述、创建时间、创建人}
上报结果表{主键 id 、上报批次记录表 id（关联的上报批次）、上报内容、上报时间、上报人}</t>
        </is>
      </c>
      <c r="Y914" s="88" t="n"/>
      <c r="Z914" s="88" t="n"/>
    </row>
    <row r="915" hidden="1" ht="32.4" customHeight="1">
      <c r="A915" s="69">
        <f>ROW()-1</f>
        <v/>
      </c>
      <c r="B915" s="53" t="n"/>
      <c r="C915" s="78" t="n">
        <v>2025</v>
      </c>
      <c r="D915" s="78" t="inlineStr">
        <is>
          <t>窦鹏岐</t>
        </is>
      </c>
      <c r="E915" s="53" t="n"/>
      <c r="F915" s="53" t="n"/>
      <c r="G915" s="54" t="n"/>
      <c r="H915" s="80" t="inlineStr">
        <is>
          <t>查询上报批次</t>
        </is>
      </c>
      <c r="I915" s="76" t="inlineStr">
        <is>
          <t>EQ</t>
        </is>
      </c>
      <c r="J915" s="108" t="n"/>
      <c r="K915" s="108" t="n"/>
      <c r="L915" s="83">
        <f>IF(OR(X915="估算法",X915="算法类",X915="无法识别"),"",IF(V915="",IF(OR(I915="EI",I915="EO",I915="EQ"),0,""),LEN(V915)-LEN(SUBSTITUTE(V915,"、",""))+1))</f>
        <v/>
      </c>
      <c r="M915" s="83">
        <f>IF(OR(X915="估算法",X915="算法类",X915="无法识别"),"",IF(W915="",IF(OR(I915="ILF",I915="EIF"),0,""),LEN(W915)-LEN(SUBSTITUTE(W915,"、",""))+1))</f>
        <v/>
      </c>
      <c r="N915" s="83">
        <f>IF(OR(X915="估算法",X915="算法类",X915="无法识别"),"",IF(X915="",IF(OR(I915="ILF",I915="EIF",I915="EI",I915="EO",I915="EQ"),0,""),LEN(X915)-LEN(SUBSTITUTE(SUBSTITUTE(SUBSTITUTE(SUBSTITUTE(SUBSTITUTE(X915,"|}","--"),"{|","--"),CHAR(10),""),"、",""),"|",""))+IF(AND(OR(I915="EI",I915="EO",I915="EQ"),$AD$1="NESMA"),2,1)))</f>
        <v/>
      </c>
      <c r="O915" s="84">
        <f>IF(I915="EI",IF(OR(X915="估算法",X915="算法类"),"中",IF(X915="无法识别","低",IF(L915&lt;2,IF(N915&lt;16,"低","中"),IF(L915&lt;3,IF(N915&lt;5,"低",IF(N915&lt;16,"中","高")),IF(N915&lt;5,"中","高"))))),IF(OR(I915="EO",I915="EQ"),IF(OR(X915="估算法",X915="算法类"),"中",IF(X915="无法识别","低",IF(L915&lt;2,IF(N915&lt;20,"低","中"),IF(L915&lt;4,IF(N915&lt;6,"低",IF(N915&lt;20,"中","高")),IF(N915&lt;6,"中","高"))))),IF(OR(I915="ILF",I915="EIF"),IF(OR(X915="估算法",X915="算法类",X915="无法识别"),"低",IF(M915&lt;2,IF(N915&lt;51,"低","中"),IF(M915&lt;6,IF(N915&lt;20,"低",IF(N915&lt;51,"中","高")),IF(N915&lt;20,"中","高")))),"不计算")))</f>
        <v/>
      </c>
      <c r="P915" s="142">
        <f>IFERROR(IF(I915="EI",IF(O915="低",3,IF(O915="中",4,6)),IF(I915="EO",IF(O915="低",4,IF(O915="中",5,7)),IF(I915="EQ",IF(O915="低",3,IF(O915="中",4,6)),IF(I915="ILF",IF(O915="低",7,IF(O915="中",10,15)),IF(I915="EIF",IF(O915="低",5,IF(O915="中",7,10)),"不计算")))))*Q915,"不计算")</f>
        <v/>
      </c>
      <c r="Q915" s="142" t="n">
        <v>1</v>
      </c>
      <c r="R915" s="143">
        <f>调整因子!$F$13</f>
        <v/>
      </c>
      <c r="S915" s="76" t="n">
        <v>1</v>
      </c>
      <c r="T915" s="144">
        <f>IFERROR(P915*R915,0)</f>
        <v/>
      </c>
      <c r="U915" s="144">
        <f>T915*S915</f>
        <v/>
      </c>
      <c r="V915" s="76" t="inlineStr">
        <is>
          <t>上报批次记录表、上报结果表</t>
        </is>
      </c>
      <c r="W915" s="81" t="n"/>
      <c r="X915" s="76" t="inlineStr">
        <is>
          <t>上报批次记录表{主键 id 、批次名称、批次描述、创建时间、创建人}
上报结果表{主键 id 、上报批次记录表 id（关联的上报批次）、上报内容、上报时间、上报人}</t>
        </is>
      </c>
      <c r="Y915" s="88" t="n"/>
      <c r="Z915" s="88" t="n"/>
    </row>
    <row r="916" hidden="1" ht="21.6" customHeight="1">
      <c r="A916" s="69">
        <f>ROW()-1</f>
        <v/>
      </c>
      <c r="B916" s="53" t="n"/>
      <c r="C916" s="78" t="n">
        <v>2025</v>
      </c>
      <c r="D916" s="78" t="inlineStr">
        <is>
          <t>窦鹏岐</t>
        </is>
      </c>
      <c r="E916" s="53" t="n"/>
      <c r="F916" s="53" t="n"/>
      <c r="G916" s="76" t="inlineStr">
        <is>
          <t>上报记录查询</t>
        </is>
      </c>
      <c r="H916" s="80" t="inlineStr">
        <is>
          <t>条件查询检索</t>
        </is>
      </c>
      <c r="I916" s="76" t="inlineStr">
        <is>
          <t>EQ</t>
        </is>
      </c>
      <c r="J916" s="108" t="n"/>
      <c r="K916" s="108" t="n"/>
      <c r="L916" s="83">
        <f>IF(OR(X916="估算法",X916="算法类",X916="无法识别"),"",IF(V916="",IF(OR(I916="EI",I916="EO",I916="EQ"),0,""),LEN(V916)-LEN(SUBSTITUTE(V916,"、",""))+1))</f>
        <v/>
      </c>
      <c r="M916" s="83">
        <f>IF(OR(X916="估算法",X916="算法类",X916="无法识别"),"",IF(W916="",IF(OR(I916="ILF",I916="EIF"),0,""),LEN(W916)-LEN(SUBSTITUTE(W916,"、",""))+1))</f>
        <v/>
      </c>
      <c r="N916" s="83">
        <f>IF(OR(X916="估算法",X916="算法类",X916="无法识别"),"",IF(X916="",IF(OR(I916="ILF",I916="EIF",I916="EI",I916="EO",I916="EQ"),0,""),LEN(X916)-LEN(SUBSTITUTE(SUBSTITUTE(SUBSTITUTE(SUBSTITUTE(SUBSTITUTE(X916,"|}","--"),"{|","--"),CHAR(10),""),"、",""),"|",""))+IF(AND(OR(I916="EI",I916="EO",I916="EQ"),$AD$1="NESMA"),2,1)))</f>
        <v/>
      </c>
      <c r="O916" s="84">
        <f>IF(I916="EI",IF(OR(X916="估算法",X916="算法类"),"中",IF(X916="无法识别","低",IF(L916&lt;2,IF(N916&lt;16,"低","中"),IF(L916&lt;3,IF(N916&lt;5,"低",IF(N916&lt;16,"中","高")),IF(N916&lt;5,"中","高"))))),IF(OR(I916="EO",I916="EQ"),IF(OR(X916="估算法",X916="算法类"),"中",IF(X916="无法识别","低",IF(L916&lt;2,IF(N916&lt;20,"低","中"),IF(L916&lt;4,IF(N916&lt;6,"低",IF(N916&lt;20,"中","高")),IF(N916&lt;6,"中","高"))))),IF(OR(I916="ILF",I916="EIF"),IF(OR(X916="估算法",X916="算法类",X916="无法识别"),"低",IF(M916&lt;2,IF(N916&lt;51,"低","中"),IF(M916&lt;6,IF(N916&lt;20,"低",IF(N916&lt;51,"中","高")),IF(N916&lt;20,"中","高")))),"不计算")))</f>
        <v/>
      </c>
      <c r="P916" s="142">
        <f>IFERROR(IF(I916="EI",IF(O916="低",3,IF(O916="中",4,6)),IF(I916="EO",IF(O916="低",4,IF(O916="中",5,7)),IF(I916="EQ",IF(O916="低",3,IF(O916="中",4,6)),IF(I916="ILF",IF(O916="低",7,IF(O916="中",10,15)),IF(I916="EIF",IF(O916="低",5,IF(O916="中",7,10)),"不计算")))))*Q916,"不计算")</f>
        <v/>
      </c>
      <c r="Q916" s="142" t="n">
        <v>1</v>
      </c>
      <c r="R916" s="143">
        <f>调整因子!$F$13</f>
        <v/>
      </c>
      <c r="S916" s="70" t="n">
        <v>1</v>
      </c>
      <c r="T916" s="144">
        <f>IFERROR(P916*R916,0)</f>
        <v/>
      </c>
      <c r="U916" s="144">
        <f>T916*S916</f>
        <v/>
      </c>
      <c r="V916" s="76" t="inlineStr">
        <is>
          <t>上报结果表</t>
        </is>
      </c>
      <c r="W916" s="81" t="n"/>
      <c r="X916" s="76" t="inlineStr">
        <is>
          <t>上报结果表{主键 id 、上报批次记录表 id（关联的上报批次）、上报内容、上报时间、上报人}</t>
        </is>
      </c>
      <c r="Y916" s="88" t="n"/>
      <c r="Z916" s="88" t="n"/>
    </row>
    <row r="917" hidden="1" ht="32.4" customHeight="1">
      <c r="A917" s="69">
        <f>ROW()-1</f>
        <v/>
      </c>
      <c r="B917" s="53" t="n"/>
      <c r="C917" s="78" t="n">
        <v>2025</v>
      </c>
      <c r="D917" s="78" t="inlineStr">
        <is>
          <t>窦鹏岐</t>
        </is>
      </c>
      <c r="E917" s="53" t="n"/>
      <c r="F917" s="53" t="n"/>
      <c r="G917" s="53" t="n"/>
      <c r="H917" s="80" t="inlineStr">
        <is>
          <t>结果上报记录查看</t>
        </is>
      </c>
      <c r="I917" s="76" t="inlineStr">
        <is>
          <t>EQ</t>
        </is>
      </c>
      <c r="J917" s="108" t="n"/>
      <c r="K917" s="108" t="n"/>
      <c r="L917" s="83">
        <f>IF(OR(X917="估算法",X917="算法类",X917="无法识别"),"",IF(V917="",IF(OR(I917="EI",I917="EO",I917="EQ"),0,""),LEN(V917)-LEN(SUBSTITUTE(V917,"、",""))+1))</f>
        <v/>
      </c>
      <c r="M917" s="83">
        <f>IF(OR(X917="估算法",X917="算法类",X917="无法识别"),"",IF(W917="",IF(OR(I917="ILF",I917="EIF"),0,""),LEN(W917)-LEN(SUBSTITUTE(W917,"、",""))+1))</f>
        <v/>
      </c>
      <c r="N917" s="83">
        <f>IF(OR(X917="估算法",X917="算法类",X917="无法识别"),"",IF(X917="",IF(OR(I917="ILF",I917="EIF",I917="EI",I917="EO",I917="EQ"),0,""),LEN(X917)-LEN(SUBSTITUTE(SUBSTITUTE(SUBSTITUTE(SUBSTITUTE(SUBSTITUTE(X917,"|}","--"),"{|","--"),CHAR(10),""),"、",""),"|",""))+IF(AND(OR(I917="EI",I917="EO",I917="EQ"),$AD$1="NESMA"),2,1)))</f>
        <v/>
      </c>
      <c r="O917" s="84">
        <f>IF(I917="EI",IF(OR(X917="估算法",X917="算法类"),"中",IF(X917="无法识别","低",IF(L917&lt;2,IF(N917&lt;16,"低","中"),IF(L917&lt;3,IF(N917&lt;5,"低",IF(N917&lt;16,"中","高")),IF(N917&lt;5,"中","高"))))),IF(OR(I917="EO",I917="EQ"),IF(OR(X917="估算法",X917="算法类"),"中",IF(X917="无法识别","低",IF(L917&lt;2,IF(N917&lt;20,"低","中"),IF(L917&lt;4,IF(N917&lt;6,"低",IF(N917&lt;20,"中","高")),IF(N917&lt;6,"中","高"))))),IF(OR(I917="ILF",I917="EIF"),IF(OR(X917="估算法",X917="算法类",X917="无法识别"),"低",IF(M917&lt;2,IF(N917&lt;51,"低","中"),IF(M917&lt;6,IF(N917&lt;20,"低",IF(N917&lt;51,"中","高")),IF(N917&lt;20,"中","高")))),"不计算")))</f>
        <v/>
      </c>
      <c r="P917" s="142">
        <f>IFERROR(IF(I917="EI",IF(O917="低",3,IF(O917="中",4,6)),IF(I917="EO",IF(O917="低",4,IF(O917="中",5,7)),IF(I917="EQ",IF(O917="低",3,IF(O917="中",4,6)),IF(I917="ILF",IF(O917="低",7,IF(O917="中",10,15)),IF(I917="EIF",IF(O917="低",5,IF(O917="中",7,10)),"不计算")))))*Q917,"不计算")</f>
        <v/>
      </c>
      <c r="Q917" s="142" t="n">
        <v>1</v>
      </c>
      <c r="R917" s="143">
        <f>调整因子!$F$13</f>
        <v/>
      </c>
      <c r="S917" s="70" t="n">
        <v>1</v>
      </c>
      <c r="T917" s="144">
        <f>IFERROR(P917*R917,0)</f>
        <v/>
      </c>
      <c r="U917" s="144">
        <f>T917*S917</f>
        <v/>
      </c>
      <c r="V917" s="76" t="inlineStr">
        <is>
          <t>上报结果表、结果上报记录查看表</t>
        </is>
      </c>
      <c r="W917" s="81" t="n"/>
      <c r="X917" s="76" t="inlineStr">
        <is>
          <t>上报结果表{主键 id 、上报批次记录表 id（关联的上报批次）、上报内容、上报时间、上报人}
结果上报记录查看表{主键 id 、上报结果表 id、查看时间、查看人、查看详情}</t>
        </is>
      </c>
      <c r="Y917" s="88" t="n"/>
      <c r="Z917" s="88" t="n"/>
    </row>
    <row r="918" hidden="1">
      <c r="A918" s="69">
        <f>ROW()-1</f>
        <v/>
      </c>
      <c r="B918" s="53" t="n"/>
      <c r="C918" s="78" t="n">
        <v>2025</v>
      </c>
      <c r="D918" s="78" t="inlineStr">
        <is>
          <t>窦鹏岐</t>
        </is>
      </c>
      <c r="E918" s="53" t="n"/>
      <c r="F918" s="53" t="n"/>
      <c r="G918" s="53" t="n"/>
      <c r="H918" s="80" t="inlineStr">
        <is>
          <t>上报批次记录表</t>
        </is>
      </c>
      <c r="I918" s="81" t="inlineStr">
        <is>
          <t>ILF</t>
        </is>
      </c>
      <c r="J918" s="108" t="n"/>
      <c r="K918" s="108" t="n"/>
      <c r="L918" s="83">
        <f>IF(OR(X918="估算法",X918="算法类",X918="无法识别"),"",IF(V918="",IF(OR(I918="EI",I918="EO",I918="EQ"),0,""),LEN(V918)-LEN(SUBSTITUTE(V918,"、",""))+1))</f>
        <v/>
      </c>
      <c r="M918" s="83">
        <f>IF(OR(X918="估算法",X918="算法类",X918="无法识别"),"",IF(W918="",IF(OR(I918="ILF",I918="EIF"),0,""),LEN(W918)-LEN(SUBSTITUTE(W918,"、",""))+1))</f>
        <v/>
      </c>
      <c r="N918" s="83">
        <f>IF(OR(X918="估算法",X918="算法类",X918="无法识别"),"",IF(X918="",IF(OR(I918="ILF",I918="EIF",I918="EI",I918="EO",I918="EQ"),0,""),LEN(X918)-LEN(SUBSTITUTE(SUBSTITUTE(SUBSTITUTE(SUBSTITUTE(SUBSTITUTE(X918,"|}","--"),"{|","--"),CHAR(10),""),"、",""),"|",""))+IF(AND(OR(I918="EI",I918="EO",I918="EQ"),$AD$1="NESMA"),2,1)))</f>
        <v/>
      </c>
      <c r="O918" s="84">
        <f>IF(I918="EI",IF(OR(X918="估算法",X918="算法类"),"中",IF(X918="无法识别","低",IF(L918&lt;2,IF(N918&lt;16,"低","中"),IF(L918&lt;3,IF(N918&lt;5,"低",IF(N918&lt;16,"中","高")),IF(N918&lt;5,"中","高"))))),IF(OR(I918="EO",I918="EQ"),IF(OR(X918="估算法",X918="算法类"),"中",IF(X918="无法识别","低",IF(L918&lt;2,IF(N918&lt;20,"低","中"),IF(L918&lt;4,IF(N918&lt;6,"低",IF(N918&lt;20,"中","高")),IF(N918&lt;6,"中","高"))))),IF(OR(I918="ILF",I918="EIF"),IF(OR(X918="估算法",X918="算法类",X918="无法识别"),"低",IF(M918&lt;2,IF(N918&lt;51,"低","中"),IF(M918&lt;6,IF(N918&lt;20,"低",IF(N918&lt;51,"中","高")),IF(N918&lt;20,"中","高")))),"不计算")))</f>
        <v/>
      </c>
      <c r="P918" s="142">
        <f>IFERROR(IF(I918="EI",IF(O918="低",3,IF(O918="中",4,6)),IF(I918="EO",IF(O918="低",4,IF(O918="中",5,7)),IF(I918="EQ",IF(O918="低",3,IF(O918="中",4,6)),IF(I918="ILF",IF(O918="低",7,IF(O918="中",10,15)),IF(I918="EIF",IF(O918="低",5,IF(O918="中",7,10)),"不计算")))))*Q918,"不计算")</f>
        <v/>
      </c>
      <c r="Q918" s="142" t="n">
        <v>1</v>
      </c>
      <c r="R918" s="143">
        <f>调整因子!$F$13</f>
        <v/>
      </c>
      <c r="S918" s="76" t="n">
        <v>1</v>
      </c>
      <c r="T918" s="144">
        <f>IFERROR(P918*R918,0)</f>
        <v/>
      </c>
      <c r="U918" s="144">
        <f>T918*S918</f>
        <v/>
      </c>
      <c r="V918" s="81" t="n"/>
      <c r="W918" s="79" t="inlineStr">
        <is>
          <t>上报批次记录表</t>
        </is>
      </c>
      <c r="X918" s="76" t="inlineStr">
        <is>
          <t>上报批次记录表{主键 id 、批次名称、批次描述、创建时间、创建人}</t>
        </is>
      </c>
      <c r="Y918" s="88">
        <f>IF(COUNTIFS(V:V,"*"&amp;H918&amp;"*")&gt;0,"存在","不存在")</f>
        <v/>
      </c>
      <c r="Z918" s="88">
        <f>IF(COUNTIFS(AA:AA,"*"&amp;H918&amp;"*")&gt;0,"存在","不存在")</f>
        <v/>
      </c>
    </row>
    <row r="919" hidden="1" ht="21.6" customHeight="1">
      <c r="A919" s="69">
        <f>ROW()-1</f>
        <v/>
      </c>
      <c r="B919" s="53" t="n"/>
      <c r="C919" s="78" t="n">
        <v>2025</v>
      </c>
      <c r="D919" s="78" t="inlineStr">
        <is>
          <t>窦鹏岐</t>
        </is>
      </c>
      <c r="E919" s="53" t="n"/>
      <c r="F919" s="53" t="n"/>
      <c r="G919" s="53" t="n"/>
      <c r="H919" s="80" t="inlineStr">
        <is>
          <t>上报结果表</t>
        </is>
      </c>
      <c r="I919" s="81" t="inlineStr">
        <is>
          <t>ILF</t>
        </is>
      </c>
      <c r="J919" s="108" t="n"/>
      <c r="K919" s="108" t="n"/>
      <c r="L919" s="83">
        <f>IF(OR(X919="估算法",X919="算法类",X919="无法识别"),"",IF(V919="",IF(OR(I919="EI",I919="EO",I919="EQ"),0,""),LEN(V919)-LEN(SUBSTITUTE(V919,"、",""))+1))</f>
        <v/>
      </c>
      <c r="M919" s="83">
        <f>IF(OR(X919="估算法",X919="算法类",X919="无法识别"),"",IF(W919="",IF(OR(I919="ILF",I919="EIF"),0,""),LEN(W919)-LEN(SUBSTITUTE(W919,"、",""))+1))</f>
        <v/>
      </c>
      <c r="N919" s="83">
        <f>IF(OR(X919="估算法",X919="算法类",X919="无法识别"),"",IF(X919="",IF(OR(I919="ILF",I919="EIF",I919="EI",I919="EO",I919="EQ"),0,""),LEN(X919)-LEN(SUBSTITUTE(SUBSTITUTE(SUBSTITUTE(SUBSTITUTE(SUBSTITUTE(X919,"|}","--"),"{|","--"),CHAR(10),""),"、",""),"|",""))+IF(AND(OR(I919="EI",I919="EO",I919="EQ"),$AD$1="NESMA"),2,1)))</f>
        <v/>
      </c>
      <c r="O919" s="84">
        <f>IF(I919="EI",IF(OR(X919="估算法",X919="算法类"),"中",IF(X919="无法识别","低",IF(L919&lt;2,IF(N919&lt;16,"低","中"),IF(L919&lt;3,IF(N919&lt;5,"低",IF(N919&lt;16,"中","高")),IF(N919&lt;5,"中","高"))))),IF(OR(I919="EO",I919="EQ"),IF(OR(X919="估算法",X919="算法类"),"中",IF(X919="无法识别","低",IF(L919&lt;2,IF(N919&lt;20,"低","中"),IF(L919&lt;4,IF(N919&lt;6,"低",IF(N919&lt;20,"中","高")),IF(N919&lt;6,"中","高"))))),IF(OR(I919="ILF",I919="EIF"),IF(OR(X919="估算法",X919="算法类",X919="无法识别"),"低",IF(M919&lt;2,IF(N919&lt;51,"低","中"),IF(M919&lt;6,IF(N919&lt;20,"低",IF(N919&lt;51,"中","高")),IF(N919&lt;20,"中","高")))),"不计算")))</f>
        <v/>
      </c>
      <c r="P919" s="142">
        <f>IFERROR(IF(I919="EI",IF(O919="低",3,IF(O919="中",4,6)),IF(I919="EO",IF(O919="低",4,IF(O919="中",5,7)),IF(I919="EQ",IF(O919="低",3,IF(O919="中",4,6)),IF(I919="ILF",IF(O919="低",7,IF(O919="中",10,15)),IF(I919="EIF",IF(O919="低",5,IF(O919="中",7,10)),"不计算")))))*Q919,"不计算")</f>
        <v/>
      </c>
      <c r="Q919" s="142" t="n">
        <v>1</v>
      </c>
      <c r="R919" s="143">
        <f>调整因子!$F$13</f>
        <v/>
      </c>
      <c r="S919" s="70" t="n">
        <v>1</v>
      </c>
      <c r="T919" s="144">
        <f>IFERROR(P919*R919,0)</f>
        <v/>
      </c>
      <c r="U919" s="144">
        <f>T919*S919</f>
        <v/>
      </c>
      <c r="V919" s="81" t="n"/>
      <c r="W919" s="79" t="inlineStr">
        <is>
          <t>上报结果表</t>
        </is>
      </c>
      <c r="X919" s="76" t="inlineStr">
        <is>
          <t>上报结果表{主键 id 、上报批次记录表 id（关联的上报批次）、上报内容、上报时间、上报人}</t>
        </is>
      </c>
      <c r="Y919" s="88">
        <f>IF(COUNTIFS(V:V,"*"&amp;H919&amp;"*")&gt;0,"存在","不存在")</f>
        <v/>
      </c>
      <c r="Z919" s="88">
        <f>IF(COUNTIFS(AA:AA,"*"&amp;H919&amp;"*")&gt;0,"存在","不存在")</f>
        <v/>
      </c>
    </row>
    <row r="920" hidden="1" ht="21.6" customHeight="1">
      <c r="A920" s="69">
        <f>ROW()-1</f>
        <v/>
      </c>
      <c r="B920" s="53" t="n"/>
      <c r="C920" s="78" t="n">
        <v>2025</v>
      </c>
      <c r="D920" s="78" t="inlineStr">
        <is>
          <t>窦鹏岐</t>
        </is>
      </c>
      <c r="E920" s="53" t="n"/>
      <c r="F920" s="53" t="n"/>
      <c r="G920" s="53" t="n"/>
      <c r="H920" s="80" t="inlineStr">
        <is>
          <t>上报状态记录表</t>
        </is>
      </c>
      <c r="I920" s="81" t="inlineStr">
        <is>
          <t>ILF</t>
        </is>
      </c>
      <c r="J920" s="108" t="n"/>
      <c r="K920" s="108" t="n"/>
      <c r="L920" s="83">
        <f>IF(OR(X920="估算法",X920="算法类",X920="无法识别"),"",IF(V920="",IF(OR(I920="EI",I920="EO",I920="EQ"),0,""),LEN(V920)-LEN(SUBSTITUTE(V920,"、",""))+1))</f>
        <v/>
      </c>
      <c r="M920" s="83">
        <f>IF(OR(X920="估算法",X920="算法类",X920="无法识别"),"",IF(W920="",IF(OR(I920="ILF",I920="EIF"),0,""),LEN(W920)-LEN(SUBSTITUTE(W920,"、",""))+1))</f>
        <v/>
      </c>
      <c r="N920" s="83">
        <f>IF(OR(X920="估算法",X920="算法类",X920="无法识别"),"",IF(X920="",IF(OR(I920="ILF",I920="EIF",I920="EI",I920="EO",I920="EQ"),0,""),LEN(X920)-LEN(SUBSTITUTE(SUBSTITUTE(SUBSTITUTE(SUBSTITUTE(SUBSTITUTE(X920,"|}","--"),"{|","--"),CHAR(10),""),"、",""),"|",""))+IF(AND(OR(I920="EI",I920="EO",I920="EQ"),$AD$1="NESMA"),2,1)))</f>
        <v/>
      </c>
      <c r="O920" s="84">
        <f>IF(I920="EI",IF(OR(X920="估算法",X920="算法类"),"中",IF(X920="无法识别","低",IF(L920&lt;2,IF(N920&lt;16,"低","中"),IF(L920&lt;3,IF(N920&lt;5,"低",IF(N920&lt;16,"中","高")),IF(N920&lt;5,"中","高"))))),IF(OR(I920="EO",I920="EQ"),IF(OR(X920="估算法",X920="算法类"),"中",IF(X920="无法识别","低",IF(L920&lt;2,IF(N920&lt;20,"低","中"),IF(L920&lt;4,IF(N920&lt;6,"低",IF(N920&lt;20,"中","高")),IF(N920&lt;6,"中","高"))))),IF(OR(I920="ILF",I920="EIF"),IF(OR(X920="估算法",X920="算法类",X920="无法识别"),"低",IF(M920&lt;2,IF(N920&lt;51,"低","中"),IF(M920&lt;6,IF(N920&lt;20,"低",IF(N920&lt;51,"中","高")),IF(N920&lt;20,"中","高")))),"不计算")))</f>
        <v/>
      </c>
      <c r="P920" s="142">
        <f>IFERROR(IF(I920="EI",IF(O920="低",3,IF(O920="中",4,6)),IF(I920="EO",IF(O920="低",4,IF(O920="中",5,7)),IF(I920="EQ",IF(O920="低",3,IF(O920="中",4,6)),IF(I920="ILF",IF(O920="低",7,IF(O920="中",10,15)),IF(I920="EIF",IF(O920="低",5,IF(O920="中",7,10)),"不计算")))))*Q920,"不计算")</f>
        <v/>
      </c>
      <c r="Q920" s="142" t="n">
        <v>1</v>
      </c>
      <c r="R920" s="143">
        <f>调整因子!$F$13</f>
        <v/>
      </c>
      <c r="S920" s="70" t="n">
        <v>1</v>
      </c>
      <c r="T920" s="144">
        <f>IFERROR(P920*R920,0)</f>
        <v/>
      </c>
      <c r="U920" s="144">
        <f>T920*S920</f>
        <v/>
      </c>
      <c r="V920" s="81" t="n"/>
      <c r="W920" s="79" t="inlineStr">
        <is>
          <t>上报状态记录表</t>
        </is>
      </c>
      <c r="X920" s="76" t="inlineStr">
        <is>
          <t>上报状态记录表{主键 id 、上报结果表 id（关联的上报结果）、状态、状态变更时间、变更人}</t>
        </is>
      </c>
      <c r="Y920" s="88">
        <f>IF(COUNTIFS(V:V,"*"&amp;H920&amp;"*")&gt;0,"存在","不存在")</f>
        <v/>
      </c>
      <c r="Z920" s="88">
        <f>IF(COUNTIFS(AA:AA,"*"&amp;H920&amp;"*")&gt;0,"存在","不存在")</f>
        <v/>
      </c>
    </row>
    <row r="921" hidden="1" ht="21.6" customHeight="1">
      <c r="A921" s="69">
        <f>ROW()-1</f>
        <v/>
      </c>
      <c r="B921" s="53" t="n"/>
      <c r="C921" s="78" t="n">
        <v>2025</v>
      </c>
      <c r="D921" s="78" t="inlineStr">
        <is>
          <t>窦鹏岐</t>
        </is>
      </c>
      <c r="E921" s="53" t="n"/>
      <c r="F921" s="53" t="n"/>
      <c r="G921" s="53" t="n"/>
      <c r="H921" s="80" t="inlineStr">
        <is>
          <t>状态变化日志表</t>
        </is>
      </c>
      <c r="I921" s="81" t="n"/>
      <c r="J921" s="108" t="n"/>
      <c r="K921" s="108" t="inlineStr">
        <is>
          <t>重复数据库表</t>
        </is>
      </c>
      <c r="L921" s="83">
        <f>IF(OR(X921="估算法",X921="算法类",X921="无法识别"),"",IF(V921="",IF(OR(I921="EI",I921="EO",I921="EQ"),0,""),LEN(V921)-LEN(SUBSTITUTE(V921,"、",""))+1))</f>
        <v/>
      </c>
      <c r="M921" s="83">
        <f>IF(OR(X921="估算法",X921="算法类",X921="无法识别"),"",IF(W921="",IF(OR(I921="ILF",I921="EIF"),0,""),LEN(W921)-LEN(SUBSTITUTE(W921,"、",""))+1))</f>
        <v/>
      </c>
      <c r="N921" s="83">
        <f>IF(OR(X921="估算法",X921="算法类",X921="无法识别"),"",IF(X921="",IF(OR(I921="ILF",I921="EIF",I921="EI",I921="EO",I921="EQ"),0,""),LEN(X921)-LEN(SUBSTITUTE(SUBSTITUTE(SUBSTITUTE(SUBSTITUTE(SUBSTITUTE(X921,"|}","--"),"{|","--"),CHAR(10),""),"、",""),"|",""))+IF(AND(OR(I921="EI",I921="EO",I921="EQ"),$AD$1="NESMA"),2,1)))</f>
        <v/>
      </c>
      <c r="O921" s="84">
        <f>IF(I921="EI",IF(OR(X921="估算法",X921="算法类"),"中",IF(X921="无法识别","低",IF(L921&lt;2,IF(N921&lt;16,"低","中"),IF(L921&lt;3,IF(N921&lt;5,"低",IF(N921&lt;16,"中","高")),IF(N921&lt;5,"中","高"))))),IF(OR(I921="EO",I921="EQ"),IF(OR(X921="估算法",X921="算法类"),"中",IF(X921="无法识别","低",IF(L921&lt;2,IF(N921&lt;20,"低","中"),IF(L921&lt;4,IF(N921&lt;6,"低",IF(N921&lt;20,"中","高")),IF(N921&lt;6,"中","高"))))),IF(OR(I921="ILF",I921="EIF"),IF(OR(X921="估算法",X921="算法类",X921="无法识别"),"低",IF(M921&lt;2,IF(N921&lt;51,"低","中"),IF(M921&lt;6,IF(N921&lt;20,"低",IF(N921&lt;51,"中","高")),IF(N921&lt;20,"中","高")))),"不计算")))</f>
        <v/>
      </c>
      <c r="P921" s="142">
        <f>IFERROR(IF(I921="EI",IF(O921="低",3,IF(O921="中",4,6)),IF(I921="EO",IF(O921="低",4,IF(O921="中",5,7)),IF(I921="EQ",IF(O921="低",3,IF(O921="中",4,6)),IF(I921="ILF",IF(O921="低",7,IF(O921="中",10,15)),IF(I921="EIF",IF(O921="低",5,IF(O921="中",7,10)),"不计算")))))*Q921,"不计算")</f>
        <v/>
      </c>
      <c r="Q921" s="142" t="n">
        <v>1</v>
      </c>
      <c r="R921" s="143">
        <f>调整因子!$F$13</f>
        <v/>
      </c>
      <c r="S921" s="76" t="n">
        <v>1</v>
      </c>
      <c r="T921" s="144">
        <f>IFERROR(P921*R921,0)</f>
        <v/>
      </c>
      <c r="U921" s="144">
        <f>T921*S921</f>
        <v/>
      </c>
      <c r="V921" s="81" t="n"/>
      <c r="W921" s="79" t="inlineStr">
        <is>
          <t>状态变化日志表</t>
        </is>
      </c>
      <c r="X921" s="76" t="inlineStr">
        <is>
          <t>状态变化日志表{主键 id 、上报状态记录表 id（关联的状态变更记录）、日志记录时间、日志详情}</t>
        </is>
      </c>
      <c r="Y921" s="88">
        <f>IF(COUNTIFS(V:V,"*"&amp;H921&amp;"*")&gt;0,"存在","不存在")</f>
        <v/>
      </c>
      <c r="Z921" s="88">
        <f>IF(COUNTIFS(AA:AA,"*"&amp;H921&amp;"*")&gt;0,"存在","不存在")</f>
        <v/>
      </c>
    </row>
    <row r="922" hidden="1">
      <c r="A922" s="69">
        <f>ROW()-1</f>
        <v/>
      </c>
      <c r="B922" s="53" t="n"/>
      <c r="C922" s="78" t="n">
        <v>2025</v>
      </c>
      <c r="D922" s="78" t="inlineStr">
        <is>
          <t>窦鹏岐</t>
        </is>
      </c>
      <c r="E922" s="54" t="n"/>
      <c r="F922" s="54" t="n"/>
      <c r="G922" s="54" t="n"/>
      <c r="H922" s="113" t="inlineStr">
        <is>
          <t>结果上报记录查看表</t>
        </is>
      </c>
      <c r="I922" s="114" t="inlineStr">
        <is>
          <t>ILF</t>
        </is>
      </c>
      <c r="J922" s="108" t="n"/>
      <c r="K922" s="108" t="inlineStr">
        <is>
          <t>数据库表未被本系统所维护</t>
        </is>
      </c>
      <c r="L922" s="83">
        <f>IF(OR(X922="估算法",X922="算法类",X922="无法识别"),"",IF(V922="",IF(OR(I922="EI",I922="EO",I922="EQ"),0,""),LEN(V922)-LEN(SUBSTITUTE(V922,"、",""))+1))</f>
        <v/>
      </c>
      <c r="M922" s="83">
        <f>IF(OR(X922="估算法",X922="算法类",X922="无法识别"),"",IF(W922="",IF(OR(I922="ILF",I922="EIF"),0,""),LEN(W922)-LEN(SUBSTITUTE(W922,"、",""))+1))</f>
        <v/>
      </c>
      <c r="N922" s="83">
        <f>IF(OR(X922="估算法",X922="算法类",X922="无法识别"),"",IF(X922="",IF(OR(I922="ILF",I922="EIF",I922="EI",I922="EO",I922="EQ"),0,""),LEN(X922)-LEN(SUBSTITUTE(SUBSTITUTE(SUBSTITUTE(SUBSTITUTE(SUBSTITUTE(X922,"|}","--"),"{|","--"),CHAR(10),""),"、",""),"|",""))+IF(AND(OR(I922="EI",I922="EO",I922="EQ"),$AD$1="NESMA"),2,1)))</f>
        <v/>
      </c>
      <c r="O922" s="84">
        <f>IF(I922="EI",IF(OR(X922="估算法",X922="算法类"),"中",IF(X922="无法识别","低",IF(L922&lt;2,IF(N922&lt;16,"低","中"),IF(L922&lt;3,IF(N922&lt;5,"低",IF(N922&lt;16,"中","高")),IF(N922&lt;5,"中","高"))))),IF(OR(I922="EO",I922="EQ"),IF(OR(X922="估算法",X922="算法类"),"中",IF(X922="无法识别","低",IF(L922&lt;2,IF(N922&lt;20,"低","中"),IF(L922&lt;4,IF(N922&lt;6,"低",IF(N922&lt;20,"中","高")),IF(N922&lt;6,"中","高"))))),IF(OR(I922="ILF",I922="EIF"),IF(OR(X922="估算法",X922="算法类",X922="无法识别"),"低",IF(M922&lt;2,IF(N922&lt;51,"低","中"),IF(M922&lt;6,IF(N922&lt;20,"低",IF(N922&lt;51,"中","高")),IF(N922&lt;20,"中","高")))),"不计算")))</f>
        <v/>
      </c>
      <c r="P922" s="142">
        <f>IFERROR(IF(I922="EI",IF(O922="低",3,IF(O922="中",4,6)),IF(I922="EO",IF(O922="低",4,IF(O922="中",5,7)),IF(I922="EQ",IF(O922="低",3,IF(O922="中",4,6)),IF(I922="ILF",IF(O922="低",7,IF(O922="中",10,15)),IF(I922="EIF",IF(O922="低",5,IF(O922="中",7,10)),"不计算")))))*Q922,"不计算")</f>
        <v/>
      </c>
      <c r="Q922" s="142" t="n">
        <v>0</v>
      </c>
      <c r="R922" s="143">
        <f>调整因子!$F$13</f>
        <v/>
      </c>
      <c r="S922" s="76" t="n">
        <v>1</v>
      </c>
      <c r="T922" s="144">
        <f>IFERROR(P922*R922,0)</f>
        <v/>
      </c>
      <c r="U922" s="144">
        <f>T922*S922</f>
        <v/>
      </c>
      <c r="V922" s="114" t="n"/>
      <c r="W922" s="115" t="inlineStr">
        <is>
          <t>结果上报记录查看表</t>
        </is>
      </c>
      <c r="X922" s="116" t="inlineStr">
        <is>
          <t>结果上报记录查看表{主键 id 、上报结果表 id、查看时间、查看人、查看详情}</t>
        </is>
      </c>
      <c r="Y922" s="88">
        <f>IF(COUNTIFS(V:V,"*"&amp;H922&amp;"*")&gt;0,"存在","不存在")</f>
        <v/>
      </c>
      <c r="Z922" s="88">
        <f>IF(COUNTIFS(AA:AA,"*"&amp;H922&amp;"*")&gt;0,"存在","不存在")</f>
        <v/>
      </c>
    </row>
    <row r="923" hidden="1" ht="21.6" customHeight="1">
      <c r="A923" s="69">
        <f>ROW()-1</f>
        <v/>
      </c>
      <c r="B923" s="53" t="n"/>
      <c r="C923" s="117" t="n">
        <v>2026</v>
      </c>
      <c r="D923" s="64" t="n"/>
      <c r="E923" s="111" t="inlineStr">
        <is>
          <t>资产管理</t>
        </is>
      </c>
      <c r="F923" s="111" t="inlineStr">
        <is>
          <t>资产数据标准化处理</t>
        </is>
      </c>
      <c r="G923" s="111" t="inlineStr">
        <is>
          <t>数据清洗管理</t>
        </is>
      </c>
      <c r="H923" s="96" t="inlineStr">
        <is>
          <t>数据清洗任务表</t>
        </is>
      </c>
      <c r="I923" s="76" t="inlineStr">
        <is>
          <t>ILF</t>
        </is>
      </c>
      <c r="J923" s="95" t="n"/>
      <c r="K923" s="95" t="n"/>
      <c r="L923" s="83">
        <f>IF(OR(X923="估算法",X923="算法类",X923="无法识别"),"",IF(V923="",IF(OR(I923="EI",I923="EO",I923="EQ"),0,""),LEN(V923)-LEN(SUBSTITUTE(V923,"、",""))+1))</f>
        <v/>
      </c>
      <c r="M923" s="83">
        <f>IF(OR(X923="估算法",X923="算法类",X923="无法识别"),"",IF(W923="",IF(OR(I923="ILF",I923="EIF"),0,""),LEN(W923)-LEN(SUBSTITUTE(W923,"、",""))+1))</f>
        <v/>
      </c>
      <c r="N923" s="83">
        <f>IF(OR(X923="估算法",X923="算法类",X923="无法识别"),"",IF(X923="",IF(OR(I923="ILF",I923="EIF",I923="EI",I923="EO",I923="EQ"),0,""),LEN(X923)-LEN(SUBSTITUTE(SUBSTITUTE(SUBSTITUTE(SUBSTITUTE(SUBSTITUTE(X923,"|}","--"),"{|","--"),CHAR(10),""),"、",""),"|",""))+IF(AND(OR(I923="EI",I923="EO",I923="EQ"),$AD$1="NESMA"),2,1)))</f>
        <v/>
      </c>
      <c r="O923" s="84">
        <f>IF(I923="EI",IF(OR(X923="估算法",X923="算法类"),"中",IF(X923="无法识别","低",IF(L923&lt;2,IF(N923&lt;16,"低","中"),IF(L923&lt;3,IF(N923&lt;5,"低",IF(N923&lt;16,"中","高")),IF(N923&lt;5,"中","高"))))),IF(OR(I923="EO",I923="EQ"),IF(OR(X923="估算法",X923="算法类"),"中",IF(X923="无法识别","低",IF(L923&lt;2,IF(N923&lt;20,"低","中"),IF(L923&lt;4,IF(N923&lt;6,"低",IF(N923&lt;20,"中","高")),IF(N923&lt;6,"中","高"))))),IF(OR(I923="ILF",I923="EIF"),IF(OR(X923="估算法",X923="算法类",X923="无法识别"),"低",IF(M923&lt;2,IF(N923&lt;51,"低","中"),IF(M923&lt;6,IF(N923&lt;20,"低",IF(N923&lt;51,"中","高")),IF(N923&lt;20,"中","高")))),"不计算")))</f>
        <v/>
      </c>
      <c r="P923" s="142">
        <f>IFERROR(IF(I923="EI",IF(O923="低",3,IF(O923="中",4,6)),IF(I923="EO",IF(O923="低",4,IF(O923="中",5,7)),IF(I923="EQ",IF(O923="低",3,IF(O923="中",4,6)),IF(I923="ILF",IF(O923="低",7,IF(O923="中",10,15)),IF(I923="EIF",IF(O923="低",5,IF(O923="中",7,10)),"不计算")))))*Q923,"不计算")</f>
        <v/>
      </c>
      <c r="Q923" s="142" t="n">
        <v>1</v>
      </c>
      <c r="R923" s="143">
        <f>调整因子!$F$13</f>
        <v/>
      </c>
      <c r="S923" s="70" t="n">
        <v>1</v>
      </c>
      <c r="T923" s="144">
        <f>IFERROR(P923*R923,0)</f>
        <v/>
      </c>
      <c r="U923" s="145">
        <f>T923*S923</f>
        <v/>
      </c>
      <c r="V923" s="96" t="inlineStr"/>
      <c r="W923" s="96" t="inlineStr">
        <is>
          <t>扫描任务、发现任务</t>
        </is>
      </c>
      <c r="X923" s="111" t="inlineStr">
        <is>
          <t>数据清洗任务表{任务ID、任务名称、任务类型|任务ID、任务名称、任务类型、任务状态、创建时间、执行时间}</t>
        </is>
      </c>
      <c r="Y923" s="88">
        <f>IF(COUNTIFS(V:V,"*"&amp;H923&amp;"*")&gt;0,"存在","不存在")</f>
        <v/>
      </c>
      <c r="Z923" s="88">
        <f>IF(COUNTIFS(AA:AA,"*"&amp;H923&amp;"*")&gt;0,"存在","不存在")</f>
        <v/>
      </c>
    </row>
    <row r="924" hidden="1" ht="108" customHeight="1">
      <c r="A924" s="69">
        <f>ROW()-1</f>
        <v/>
      </c>
      <c r="B924" s="53" t="n"/>
      <c r="C924" s="117" t="n">
        <v>2026</v>
      </c>
      <c r="D924" s="64" t="n"/>
      <c r="E924" s="53" t="n"/>
      <c r="F924" s="53" t="n"/>
      <c r="G924" s="53" t="n"/>
      <c r="H924" s="96" t="inlineStr">
        <is>
          <t>编辑清洗任务</t>
        </is>
      </c>
      <c r="I924" s="76" t="inlineStr">
        <is>
          <t>EI</t>
        </is>
      </c>
      <c r="J924" s="95" t="n"/>
      <c r="K924" s="95" t="n"/>
      <c r="L924" s="83">
        <f>IF(OR(X924="估算法",X924="算法类",X924="无法识别"),"",IF(V924="",IF(OR(I924="EI",I924="EO",I924="EQ"),0,""),LEN(V924)-LEN(SUBSTITUTE(V924,"、",""))+1))</f>
        <v/>
      </c>
      <c r="M924" s="83">
        <f>IF(OR(X924="估算法",X924="算法类",X924="无法识别"),"",IF(W924="",IF(OR(I924="ILF",I924="EIF"),0,""),LEN(W924)-LEN(SUBSTITUTE(W924,"、",""))+1))</f>
        <v/>
      </c>
      <c r="N924" s="83">
        <f>IF(OR(X924="估算法",X924="算法类",X924="无法识别"),"",IF(X924="",IF(OR(I924="ILF",I924="EIF",I924="EI",I924="EO",I924="EQ"),0,""),LEN(X924)-LEN(SUBSTITUTE(SUBSTITUTE(SUBSTITUTE(SUBSTITUTE(SUBSTITUTE(X924,"|}","--"),"{|","--"),CHAR(10),""),"、",""),"|",""))+IF(AND(OR(I924="EI",I924="EO",I924="EQ"),$AD$1="NESMA"),2,1)))</f>
        <v/>
      </c>
      <c r="O924" s="84">
        <f>IF(I924="EI",IF(OR(X924="估算法",X924="算法类"),"中",IF(X924="无法识别","低",IF(L924&lt;2,IF(N924&lt;16,"低","中"),IF(L924&lt;3,IF(N924&lt;5,"低",IF(N924&lt;16,"中","高")),IF(N924&lt;5,"中","高"))))),IF(OR(I924="EO",I924="EQ"),IF(OR(X924="估算法",X924="算法类"),"中",IF(X924="无法识别","低",IF(L924&lt;2,IF(N924&lt;20,"低","中"),IF(L924&lt;4,IF(N924&lt;6,"低",IF(N924&lt;20,"中","高")),IF(N924&lt;6,"中","高"))))),IF(OR(I924="ILF",I924="EIF"),IF(OR(X924="估算法",X924="算法类",X924="无法识别"),"低",IF(M924&lt;2,IF(N924&lt;51,"低","中"),IF(M924&lt;6,IF(N924&lt;20,"低",IF(N924&lt;51,"中","高")),IF(N924&lt;20,"中","高")))),"不计算")))</f>
        <v/>
      </c>
      <c r="P924" s="142">
        <f>IFERROR(IF(I924="EI",IF(O924="低",3,IF(O924="中",4,6)),IF(I924="EO",IF(O924="低",4,IF(O924="中",5,7)),IF(I924="EQ",IF(O924="低",3,IF(O924="中",4,6)),IF(I924="ILF",IF(O924="低",7,IF(O924="中",10,15)),IF(I924="EIF",IF(O924="低",5,IF(O924="中",7,10)),"不计算")))))*Q924,"不计算")</f>
        <v/>
      </c>
      <c r="Q924" s="142" t="n">
        <v>1</v>
      </c>
      <c r="R924" s="143">
        <f>调整因子!$F$13</f>
        <v/>
      </c>
      <c r="S924" s="70" t="n">
        <v>1</v>
      </c>
      <c r="T924" s="144">
        <f>IFERROR(P924*R924,0)</f>
        <v/>
      </c>
      <c r="U924" s="145">
        <f>T924*S924</f>
        <v/>
      </c>
      <c r="V924" s="96" t="inlineStr">
        <is>
          <t>数据清洗任务表、资产同步任务表、同步任务调度表、任务统计数据表、任务趋势分析表</t>
        </is>
      </c>
      <c r="W924" s="96" t="inlineStr"/>
      <c r="X924"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Y924" s="88" t="n"/>
      <c r="Z924" s="88" t="n"/>
    </row>
    <row r="925" hidden="1" ht="86.40000000000001" customHeight="1">
      <c r="A925" s="69">
        <f>ROW()-1</f>
        <v/>
      </c>
      <c r="B925" s="53" t="n"/>
      <c r="C925" s="117" t="n">
        <v>2026</v>
      </c>
      <c r="D925" s="64" t="n"/>
      <c r="E925" s="53" t="n"/>
      <c r="F925" s="53" t="n"/>
      <c r="G925" s="54" t="n"/>
      <c r="H925" s="96" t="inlineStr">
        <is>
          <t>删除清洗任务</t>
        </is>
      </c>
      <c r="I925" s="76" t="inlineStr">
        <is>
          <t>EI</t>
        </is>
      </c>
      <c r="J925" s="95" t="n"/>
      <c r="K925" s="95" t="n"/>
      <c r="L925" s="83">
        <f>IF(OR(X925="估算法",X925="算法类",X925="无法识别"),"",IF(V925="",IF(OR(I925="EI",I925="EO",I925="EQ"),0,""),LEN(V925)-LEN(SUBSTITUTE(V925,"、",""))+1))</f>
        <v/>
      </c>
      <c r="M925" s="83">
        <f>IF(OR(X925="估算法",X925="算法类",X925="无法识别"),"",IF(W925="",IF(OR(I925="ILF",I925="EIF"),0,""),LEN(W925)-LEN(SUBSTITUTE(W925,"、",""))+1))</f>
        <v/>
      </c>
      <c r="N925" s="83">
        <f>IF(OR(X925="估算法",X925="算法类",X925="无法识别"),"",IF(X925="",IF(OR(I925="ILF",I925="EIF",I925="EI",I925="EO",I925="EQ"),0,""),LEN(X925)-LEN(SUBSTITUTE(SUBSTITUTE(SUBSTITUTE(SUBSTITUTE(SUBSTITUTE(X925,"|}","--"),"{|","--"),CHAR(10),""),"、",""),"|",""))+IF(AND(OR(I925="EI",I925="EO",I925="EQ"),$AD$1="NESMA"),2,1)))</f>
        <v/>
      </c>
      <c r="O925" s="84">
        <f>IF(I925="EI",IF(OR(X925="估算法",X925="算法类"),"中",IF(X925="无法识别","低",IF(L925&lt;2,IF(N925&lt;16,"低","中"),IF(L925&lt;3,IF(N925&lt;5,"低",IF(N925&lt;16,"中","高")),IF(N925&lt;5,"中","高"))))),IF(OR(I925="EO",I925="EQ"),IF(OR(X925="估算法",X925="算法类"),"中",IF(X925="无法识别","低",IF(L925&lt;2,IF(N925&lt;20,"低","中"),IF(L925&lt;4,IF(N925&lt;6,"低",IF(N925&lt;20,"中","高")),IF(N925&lt;6,"中","高"))))),IF(OR(I925="ILF",I925="EIF"),IF(OR(X925="估算法",X925="算法类",X925="无法识别"),"低",IF(M925&lt;2,IF(N925&lt;51,"低","中"),IF(M925&lt;6,IF(N925&lt;20,"低",IF(N925&lt;51,"中","高")),IF(N925&lt;20,"中","高")))),"不计算")))</f>
        <v/>
      </c>
      <c r="P925" s="142">
        <f>IFERROR(IF(I925="EI",IF(O925="低",3,IF(O925="中",4,6)),IF(I925="EO",IF(O925="低",4,IF(O925="中",5,7)),IF(I925="EQ",IF(O925="低",3,IF(O925="中",4,6)),IF(I925="ILF",IF(O925="低",7,IF(O925="中",10,15)),IF(I925="EIF",IF(O925="低",5,IF(O925="中",7,10)),"不计算")))))*Q925,"不计算")</f>
        <v/>
      </c>
      <c r="Q925" s="142" t="n">
        <v>0.333333333333333</v>
      </c>
      <c r="R925" s="143">
        <f>调整因子!$F$13</f>
        <v/>
      </c>
      <c r="S925" s="76" t="n">
        <v>1</v>
      </c>
      <c r="T925" s="144">
        <f>IFERROR(P925*R925,0)</f>
        <v/>
      </c>
      <c r="U925" s="145">
        <f>T925*S925</f>
        <v/>
      </c>
      <c r="V925" s="96" t="inlineStr">
        <is>
          <t>数据清洗任务表、资产同步任务表、同步任务调度表、任务统计数据表</t>
        </is>
      </c>
      <c r="W925" s="96" t="inlineStr"/>
      <c r="X925"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Y925" s="88" t="n"/>
      <c r="Z925" s="88" t="n"/>
    </row>
    <row r="926" hidden="1" ht="64.8" customHeight="1">
      <c r="A926" s="69">
        <f>ROW()-1</f>
        <v/>
      </c>
      <c r="B926" s="53" t="n"/>
      <c r="C926" s="117" t="n">
        <v>2026</v>
      </c>
      <c r="D926" s="64" t="n"/>
      <c r="E926" s="53" t="n"/>
      <c r="F926" s="53" t="n"/>
      <c r="G926" s="111" t="inlineStr">
        <is>
          <t>数据去重管理</t>
        </is>
      </c>
      <c r="H926" s="96" t="inlineStr">
        <is>
          <t>编辑去重任务</t>
        </is>
      </c>
      <c r="I926" s="76" t="inlineStr">
        <is>
          <t>EI</t>
        </is>
      </c>
      <c r="J926" s="95" t="n"/>
      <c r="K926" s="95" t="n"/>
      <c r="L926" s="83">
        <f>IF(OR(X926="估算法",X926="算法类",X926="无法识别"),"",IF(V926="",IF(OR(I926="EI",I926="EO",I926="EQ"),0,""),LEN(V926)-LEN(SUBSTITUTE(V926,"、",""))+1))</f>
        <v/>
      </c>
      <c r="M926" s="83">
        <f>IF(OR(X926="估算法",X926="算法类",X926="无法识别"),"",IF(W926="",IF(OR(I926="ILF",I926="EIF"),0,""),LEN(W926)-LEN(SUBSTITUTE(W926,"、",""))+1))</f>
        <v/>
      </c>
      <c r="N926" s="83">
        <f>IF(OR(X926="估算法",X926="算法类",X926="无法识别"),"",IF(X926="",IF(OR(I926="ILF",I926="EIF",I926="EI",I926="EO",I926="EQ"),0,""),LEN(X926)-LEN(SUBSTITUTE(SUBSTITUTE(SUBSTITUTE(SUBSTITUTE(SUBSTITUTE(X926,"|}","--"),"{|","--"),CHAR(10),""),"、",""),"|",""))+IF(AND(OR(I926="EI",I926="EO",I926="EQ"),$AD$1="NESMA"),2,1)))</f>
        <v/>
      </c>
      <c r="O926" s="84">
        <f>IF(I926="EI",IF(OR(X926="估算法",X926="算法类"),"中",IF(X926="无法识别","低",IF(L926&lt;2,IF(N926&lt;16,"低","中"),IF(L926&lt;3,IF(N926&lt;5,"低",IF(N926&lt;16,"中","高")),IF(N926&lt;5,"中","高"))))),IF(OR(I926="EO",I926="EQ"),IF(OR(X926="估算法",X926="算法类"),"中",IF(X926="无法识别","低",IF(L926&lt;2,IF(N926&lt;20,"低","中"),IF(L926&lt;4,IF(N926&lt;6,"低",IF(N926&lt;20,"中","高")),IF(N926&lt;6,"中","高"))))),IF(OR(I926="ILF",I926="EIF"),IF(OR(X926="估算法",X926="算法类",X926="无法识别"),"低",IF(M926&lt;2,IF(N926&lt;51,"低","中"),IF(M926&lt;6,IF(N926&lt;20,"低",IF(N926&lt;51,"中","高")),IF(N926&lt;20,"中","高")))),"不计算")))</f>
        <v/>
      </c>
      <c r="P926" s="142">
        <f>IFERROR(IF(I926="EI",IF(O926="低",3,IF(O926="中",4,6)),IF(I926="EO",IF(O926="低",4,IF(O926="中",5,7)),IF(I926="EQ",IF(O926="低",3,IF(O926="中",4,6)),IF(I926="ILF",IF(O926="低",7,IF(O926="中",10,15)),IF(I926="EIF",IF(O926="低",5,IF(O926="中",7,10)),"不计算")))))*Q926,"不计算")</f>
        <v/>
      </c>
      <c r="Q926" s="142" t="n">
        <v>1</v>
      </c>
      <c r="R926" s="143">
        <f>调整因子!$F$13</f>
        <v/>
      </c>
      <c r="S926" s="70" t="n">
        <v>1</v>
      </c>
      <c r="T926" s="144">
        <f>IFERROR(P926*R926,0)</f>
        <v/>
      </c>
      <c r="U926" s="145">
        <f>T926*S926</f>
        <v/>
      </c>
      <c r="V926" s="96" t="inlineStr">
        <is>
          <t>数据清洗任务表、资产同步任务表、同步任务调度表</t>
        </is>
      </c>
      <c r="W926" s="96" t="inlineStr"/>
      <c r="X926"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Y926" s="88" t="n"/>
      <c r="Z926" s="88" t="n"/>
    </row>
    <row r="927" hidden="1" ht="64.8" customHeight="1">
      <c r="A927" s="69">
        <f>ROW()-1</f>
        <v/>
      </c>
      <c r="B927" s="53" t="n"/>
      <c r="C927" s="117" t="n">
        <v>2026</v>
      </c>
      <c r="D927" s="64" t="n"/>
      <c r="E927" s="53" t="n"/>
      <c r="F927" s="53" t="n"/>
      <c r="G927" s="54" t="n"/>
      <c r="H927" s="96" t="inlineStr">
        <is>
          <t>删除去重任务</t>
        </is>
      </c>
      <c r="I927" s="76" t="inlineStr">
        <is>
          <t>EI</t>
        </is>
      </c>
      <c r="J927" s="95" t="n"/>
      <c r="K927" s="95" t="n"/>
      <c r="L927" s="83">
        <f>IF(OR(X927="估算法",X927="算法类",X927="无法识别"),"",IF(V927="",IF(OR(I927="EI",I927="EO",I927="EQ"),0,""),LEN(V927)-LEN(SUBSTITUTE(V927,"、",""))+1))</f>
        <v/>
      </c>
      <c r="M927" s="83">
        <f>IF(OR(X927="估算法",X927="算法类",X927="无法识别"),"",IF(W927="",IF(OR(I927="ILF",I927="EIF"),0,""),LEN(W927)-LEN(SUBSTITUTE(W927,"、",""))+1))</f>
        <v/>
      </c>
      <c r="N927" s="83">
        <f>IF(OR(X927="估算法",X927="算法类",X927="无法识别"),"",IF(X927="",IF(OR(I927="ILF",I927="EIF",I927="EI",I927="EO",I927="EQ"),0,""),LEN(X927)-LEN(SUBSTITUTE(SUBSTITUTE(SUBSTITUTE(SUBSTITUTE(SUBSTITUTE(X927,"|}","--"),"{|","--"),CHAR(10),""),"、",""),"|",""))+IF(AND(OR(I927="EI",I927="EO",I927="EQ"),$AD$1="NESMA"),2,1)))</f>
        <v/>
      </c>
      <c r="O927" s="84">
        <f>IF(I927="EI",IF(OR(X927="估算法",X927="算法类"),"中",IF(X927="无法识别","低",IF(L927&lt;2,IF(N927&lt;16,"低","中"),IF(L927&lt;3,IF(N927&lt;5,"低",IF(N927&lt;16,"中","高")),IF(N927&lt;5,"中","高"))))),IF(OR(I927="EO",I927="EQ"),IF(OR(X927="估算法",X927="算法类"),"中",IF(X927="无法识别","低",IF(L927&lt;2,IF(N927&lt;20,"低","中"),IF(L927&lt;4,IF(N927&lt;6,"低",IF(N927&lt;20,"中","高")),IF(N927&lt;6,"中","高"))))),IF(OR(I927="ILF",I927="EIF"),IF(OR(X927="估算法",X927="算法类",X927="无法识别"),"低",IF(M927&lt;2,IF(N927&lt;51,"低","中"),IF(M927&lt;6,IF(N927&lt;20,"低",IF(N927&lt;51,"中","高")),IF(N927&lt;20,"中","高")))),"不计算")))</f>
        <v/>
      </c>
      <c r="P927" s="142">
        <f>IFERROR(IF(I927="EI",IF(O927="低",3,IF(O927="中",4,6)),IF(I927="EO",IF(O927="低",4,IF(O927="中",5,7)),IF(I927="EQ",IF(O927="低",3,IF(O927="中",4,6)),IF(I927="ILF",IF(O927="低",7,IF(O927="中",10,15)),IF(I927="EIF",IF(O927="低",5,IF(O927="中",7,10)),"不计算")))))*Q927,"不计算")</f>
        <v/>
      </c>
      <c r="Q927" s="142" t="n">
        <v>0.333333333333333</v>
      </c>
      <c r="R927" s="143">
        <f>调整因子!$F$13</f>
        <v/>
      </c>
      <c r="S927" s="70" t="n">
        <v>1</v>
      </c>
      <c r="T927" s="144">
        <f>IFERROR(P927*R927,0)</f>
        <v/>
      </c>
      <c r="U927" s="145">
        <f>T927*S927</f>
        <v/>
      </c>
      <c r="V927" s="96" t="inlineStr">
        <is>
          <t>数据清洗任务表、资产同步任务表、同步任务调度表</t>
        </is>
      </c>
      <c r="W927" s="96" t="inlineStr"/>
      <c r="X927"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Y927" s="88" t="n"/>
      <c r="Z927" s="88" t="n"/>
    </row>
    <row r="928" hidden="1" ht="64.8" customHeight="1">
      <c r="A928" s="69">
        <f>ROW()-1</f>
        <v/>
      </c>
      <c r="B928" s="53" t="n"/>
      <c r="C928" s="117" t="n">
        <v>2026</v>
      </c>
      <c r="D928" s="64" t="n"/>
      <c r="E928" s="53" t="n"/>
      <c r="F928" s="53" t="n"/>
      <c r="G928" s="111" t="inlineStr">
        <is>
          <t>数据合并管理</t>
        </is>
      </c>
      <c r="H928" s="96" t="inlineStr">
        <is>
          <t>编辑合并任务</t>
        </is>
      </c>
      <c r="I928" s="76" t="inlineStr">
        <is>
          <t>EI</t>
        </is>
      </c>
      <c r="J928" s="95" t="n"/>
      <c r="K928" s="95" t="n"/>
      <c r="L928" s="83">
        <f>IF(OR(X928="估算法",X928="算法类",X928="无法识别"),"",IF(V928="",IF(OR(I928="EI",I928="EO",I928="EQ"),0,""),LEN(V928)-LEN(SUBSTITUTE(V928,"、",""))+1))</f>
        <v/>
      </c>
      <c r="M928" s="83">
        <f>IF(OR(X928="估算法",X928="算法类",X928="无法识别"),"",IF(W928="",IF(OR(I928="ILF",I928="EIF"),0,""),LEN(W928)-LEN(SUBSTITUTE(W928,"、",""))+1))</f>
        <v/>
      </c>
      <c r="N928" s="83">
        <f>IF(OR(X928="估算法",X928="算法类",X928="无法识别"),"",IF(X928="",IF(OR(I928="ILF",I928="EIF",I928="EI",I928="EO",I928="EQ"),0,""),LEN(X928)-LEN(SUBSTITUTE(SUBSTITUTE(SUBSTITUTE(SUBSTITUTE(SUBSTITUTE(X928,"|}","--"),"{|","--"),CHAR(10),""),"、",""),"|",""))+IF(AND(OR(I928="EI",I928="EO",I928="EQ"),$AD$1="NESMA"),2,1)))</f>
        <v/>
      </c>
      <c r="O928" s="84">
        <f>IF(I928="EI",IF(OR(X928="估算法",X928="算法类"),"中",IF(X928="无法识别","低",IF(L928&lt;2,IF(N928&lt;16,"低","中"),IF(L928&lt;3,IF(N928&lt;5,"低",IF(N928&lt;16,"中","高")),IF(N928&lt;5,"中","高"))))),IF(OR(I928="EO",I928="EQ"),IF(OR(X928="估算法",X928="算法类"),"中",IF(X928="无法识别","低",IF(L928&lt;2,IF(N928&lt;20,"低","中"),IF(L928&lt;4,IF(N928&lt;6,"低",IF(N928&lt;20,"中","高")),IF(N928&lt;6,"中","高"))))),IF(OR(I928="ILF",I928="EIF"),IF(OR(X928="估算法",X928="算法类",X928="无法识别"),"低",IF(M928&lt;2,IF(N928&lt;51,"低","中"),IF(M928&lt;6,IF(N928&lt;20,"低",IF(N928&lt;51,"中","高")),IF(N928&lt;20,"中","高")))),"不计算")))</f>
        <v/>
      </c>
      <c r="P928" s="142">
        <f>IFERROR(IF(I928="EI",IF(O928="低",3,IF(O928="中",4,6)),IF(I928="EO",IF(O928="低",4,IF(O928="中",5,7)),IF(I928="EQ",IF(O928="低",3,IF(O928="中",4,6)),IF(I928="ILF",IF(O928="低",7,IF(O928="中",10,15)),IF(I928="EIF",IF(O928="低",5,IF(O928="中",7,10)),"不计算")))))*Q928,"不计算")</f>
        <v/>
      </c>
      <c r="Q928" s="142" t="n">
        <v>1</v>
      </c>
      <c r="R928" s="143">
        <f>调整因子!$F$13</f>
        <v/>
      </c>
      <c r="S928" s="76" t="n">
        <v>1</v>
      </c>
      <c r="T928" s="144">
        <f>IFERROR(P928*R928,0)</f>
        <v/>
      </c>
      <c r="U928" s="145">
        <f>T928*S928</f>
        <v/>
      </c>
      <c r="V928" s="96" t="inlineStr">
        <is>
          <t>数据清洗任务表、资产同步任务表、同步任务调度表</t>
        </is>
      </c>
      <c r="W928" s="96" t="inlineStr"/>
      <c r="X928"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Y928" s="88" t="n"/>
      <c r="Z928" s="88" t="n"/>
    </row>
    <row r="929" hidden="1" ht="64.8" customHeight="1">
      <c r="A929" s="69">
        <f>ROW()-1</f>
        <v/>
      </c>
      <c r="B929" s="53" t="n"/>
      <c r="C929" s="117" t="n">
        <v>2026</v>
      </c>
      <c r="D929" s="64" t="n"/>
      <c r="E929" s="53" t="n"/>
      <c r="F929" s="53" t="n"/>
      <c r="G929" s="54" t="n"/>
      <c r="H929" s="96" t="inlineStr">
        <is>
          <t>删除合并任务</t>
        </is>
      </c>
      <c r="I929" s="76" t="inlineStr">
        <is>
          <t>EI</t>
        </is>
      </c>
      <c r="J929" s="95" t="n"/>
      <c r="K929" s="95" t="n"/>
      <c r="L929" s="83">
        <f>IF(OR(X929="估算法",X929="算法类",X929="无法识别"),"",IF(V929="",IF(OR(I929="EI",I929="EO",I929="EQ"),0,""),LEN(V929)-LEN(SUBSTITUTE(V929,"、",""))+1))</f>
        <v/>
      </c>
      <c r="M929" s="83">
        <f>IF(OR(X929="估算法",X929="算法类",X929="无法识别"),"",IF(W929="",IF(OR(I929="ILF",I929="EIF"),0,""),LEN(W929)-LEN(SUBSTITUTE(W929,"、",""))+1))</f>
        <v/>
      </c>
      <c r="N929" s="83">
        <f>IF(OR(X929="估算法",X929="算法类",X929="无法识别"),"",IF(X929="",IF(OR(I929="ILF",I929="EIF",I929="EI",I929="EO",I929="EQ"),0,""),LEN(X929)-LEN(SUBSTITUTE(SUBSTITUTE(SUBSTITUTE(SUBSTITUTE(SUBSTITUTE(X929,"|}","--"),"{|","--"),CHAR(10),""),"、",""),"|",""))+IF(AND(OR(I929="EI",I929="EO",I929="EQ"),$AD$1="NESMA"),2,1)))</f>
        <v/>
      </c>
      <c r="O929" s="84">
        <f>IF(I929="EI",IF(OR(X929="估算法",X929="算法类"),"中",IF(X929="无法识别","低",IF(L929&lt;2,IF(N929&lt;16,"低","中"),IF(L929&lt;3,IF(N929&lt;5,"低",IF(N929&lt;16,"中","高")),IF(N929&lt;5,"中","高"))))),IF(OR(I929="EO",I929="EQ"),IF(OR(X929="估算法",X929="算法类"),"中",IF(X929="无法识别","低",IF(L929&lt;2,IF(N929&lt;20,"低","中"),IF(L929&lt;4,IF(N929&lt;6,"低",IF(N929&lt;20,"中","高")),IF(N929&lt;6,"中","高"))))),IF(OR(I929="ILF",I929="EIF"),IF(OR(X929="估算法",X929="算法类",X929="无法识别"),"低",IF(M929&lt;2,IF(N929&lt;51,"低","中"),IF(M929&lt;6,IF(N929&lt;20,"低",IF(N929&lt;51,"中","高")),IF(N929&lt;20,"中","高")))),"不计算")))</f>
        <v/>
      </c>
      <c r="P929" s="142">
        <f>IFERROR(IF(I929="EI",IF(O929="低",3,IF(O929="中",4,6)),IF(I929="EO",IF(O929="低",4,IF(O929="中",5,7)),IF(I929="EQ",IF(O929="低",3,IF(O929="中",4,6)),IF(I929="ILF",IF(O929="低",7,IF(O929="中",10,15)),IF(I929="EIF",IF(O929="低",5,IF(O929="中",7,10)),"不计算")))))*Q929,"不计算")</f>
        <v/>
      </c>
      <c r="Q929" s="142" t="n">
        <v>0.333333333333333</v>
      </c>
      <c r="R929" s="143">
        <f>调整因子!$F$13</f>
        <v/>
      </c>
      <c r="S929" s="76" t="n">
        <v>1</v>
      </c>
      <c r="T929" s="144">
        <f>IFERROR(P929*R929,0)</f>
        <v/>
      </c>
      <c r="U929" s="145">
        <f>T929*S929</f>
        <v/>
      </c>
      <c r="V929" s="96" t="inlineStr">
        <is>
          <t>数据清洗任务表、资产同步任务表、同步任务调度表</t>
        </is>
      </c>
      <c r="W929" s="96" t="inlineStr"/>
      <c r="X929"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Y929" s="88" t="n"/>
      <c r="Z929" s="88" t="n"/>
    </row>
    <row r="930" hidden="1" ht="64.8" customHeight="1">
      <c r="A930" s="69">
        <f>ROW()-1</f>
        <v/>
      </c>
      <c r="B930" s="53" t="n"/>
      <c r="C930" s="117" t="n">
        <v>2026</v>
      </c>
      <c r="D930" s="64" t="n"/>
      <c r="E930" s="53" t="n"/>
      <c r="F930" s="53" t="n"/>
      <c r="G930" s="111" t="inlineStr">
        <is>
          <t>数据转换规则配置</t>
        </is>
      </c>
      <c r="H930" s="96" t="inlineStr">
        <is>
          <t>新增转换规则</t>
        </is>
      </c>
      <c r="I930" s="76" t="inlineStr">
        <is>
          <t>EI</t>
        </is>
      </c>
      <c r="J930" s="95" t="n"/>
      <c r="K930" s="95" t="n"/>
      <c r="L930" s="83">
        <f>IF(OR(X930="估算法",X930="算法类",X930="无法识别"),"",IF(V930="",IF(OR(I930="EI",I930="EO",I930="EQ"),0,""),LEN(V930)-LEN(SUBSTITUTE(V930,"、",""))+1))</f>
        <v/>
      </c>
      <c r="M930" s="83">
        <f>IF(OR(X930="估算法",X930="算法类",X930="无法识别"),"",IF(W930="",IF(OR(I930="ILF",I930="EIF"),0,""),LEN(W930)-LEN(SUBSTITUTE(W930,"、",""))+1))</f>
        <v/>
      </c>
      <c r="N930" s="83">
        <f>IF(OR(X930="估算法",X930="算法类",X930="无法识别"),"",IF(X930="",IF(OR(I930="ILF",I930="EIF",I930="EI",I930="EO",I930="EQ"),0,""),LEN(X930)-LEN(SUBSTITUTE(SUBSTITUTE(SUBSTITUTE(SUBSTITUTE(SUBSTITUTE(X930,"|}","--"),"{|","--"),CHAR(10),""),"、",""),"|",""))+IF(AND(OR(I930="EI",I930="EO",I930="EQ"),$AD$1="NESMA"),2,1)))</f>
        <v/>
      </c>
      <c r="O930" s="84">
        <f>IF(I930="EI",IF(OR(X930="估算法",X930="算法类"),"中",IF(X930="无法识别","低",IF(L930&lt;2,IF(N930&lt;16,"低","中"),IF(L930&lt;3,IF(N930&lt;5,"低",IF(N930&lt;16,"中","高")),IF(N930&lt;5,"中","高"))))),IF(OR(I930="EO",I930="EQ"),IF(OR(X930="估算法",X930="算法类"),"中",IF(X930="无法识别","低",IF(L930&lt;2,IF(N930&lt;20,"低","中"),IF(L930&lt;4,IF(N930&lt;6,"低",IF(N930&lt;20,"中","高")),IF(N930&lt;6,"中","高"))))),IF(OR(I930="ILF",I930="EIF"),IF(OR(X930="估算法",X930="算法类",X930="无法识别"),"低",IF(M930&lt;2,IF(N930&lt;51,"低","中"),IF(M930&lt;6,IF(N930&lt;20,"低",IF(N930&lt;51,"中","高")),IF(N930&lt;20,"中","高")))),"不计算")))</f>
        <v/>
      </c>
      <c r="P930" s="142">
        <f>IFERROR(IF(I930="EI",IF(O930="低",3,IF(O930="中",4,6)),IF(I930="EO",IF(O930="低",4,IF(O930="中",5,7)),IF(I930="EQ",IF(O930="低",3,IF(O930="中",4,6)),IF(I930="ILF",IF(O930="低",7,IF(O930="中",10,15)),IF(I930="EIF",IF(O930="低",5,IF(O930="中",7,10)),"不计算")))))*Q930,"不计算")</f>
        <v/>
      </c>
      <c r="Q930" s="142" t="n">
        <v>1</v>
      </c>
      <c r="R930" s="143">
        <f>调整因子!$F$13</f>
        <v/>
      </c>
      <c r="S930" s="70" t="n">
        <v>1</v>
      </c>
      <c r="T930" s="144">
        <f>IFERROR(P930*R930,0)</f>
        <v/>
      </c>
      <c r="U930" s="145">
        <f>T930*S930</f>
        <v/>
      </c>
      <c r="V930" s="96" t="inlineStr">
        <is>
          <t>推送规则表、提醒规则表、脱敏规则表</t>
        </is>
      </c>
      <c r="W930" s="96" t="inlineStr"/>
      <c r="X930"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Y930" s="88" t="n"/>
      <c r="Z930" s="88" t="n"/>
    </row>
    <row r="931" hidden="1" ht="86.40000000000001" customHeight="1">
      <c r="A931" s="69">
        <f>ROW()-1</f>
        <v/>
      </c>
      <c r="B931" s="53" t="n"/>
      <c r="C931" s="117" t="n">
        <v>2026</v>
      </c>
      <c r="D931" s="64" t="n"/>
      <c r="E931" s="53" t="n"/>
      <c r="F931" s="53" t="n"/>
      <c r="G931" s="53" t="n"/>
      <c r="H931" s="96" t="inlineStr">
        <is>
          <t>编辑转换规则</t>
        </is>
      </c>
      <c r="I931" s="76" t="inlineStr">
        <is>
          <t>EI</t>
        </is>
      </c>
      <c r="J931" s="95" t="n"/>
      <c r="K931" s="95" t="n"/>
      <c r="L931" s="83">
        <f>IF(OR(X931="估算法",X931="算法类",X931="无法识别"),"",IF(V931="",IF(OR(I931="EI",I931="EO",I931="EQ"),0,""),LEN(V931)-LEN(SUBSTITUTE(V931,"、",""))+1))</f>
        <v/>
      </c>
      <c r="M931" s="83">
        <f>IF(OR(X931="估算法",X931="算法类",X931="无法识别"),"",IF(W931="",IF(OR(I931="ILF",I931="EIF"),0,""),LEN(W931)-LEN(SUBSTITUTE(W931,"、",""))+1))</f>
        <v/>
      </c>
      <c r="N931" s="83">
        <f>IF(OR(X931="估算法",X931="算法类",X931="无法识别"),"",IF(X931="",IF(OR(I931="ILF",I931="EIF",I931="EI",I931="EO",I931="EQ"),0,""),LEN(X931)-LEN(SUBSTITUTE(SUBSTITUTE(SUBSTITUTE(SUBSTITUTE(SUBSTITUTE(X931,"|}","--"),"{|","--"),CHAR(10),""),"、",""),"|",""))+IF(AND(OR(I931="EI",I931="EO",I931="EQ"),$AD$1="NESMA"),2,1)))</f>
        <v/>
      </c>
      <c r="O931" s="84">
        <f>IF(I931="EI",IF(OR(X931="估算法",X931="算法类"),"中",IF(X931="无法识别","低",IF(L931&lt;2,IF(N931&lt;16,"低","中"),IF(L931&lt;3,IF(N931&lt;5,"低",IF(N931&lt;16,"中","高")),IF(N931&lt;5,"中","高"))))),IF(OR(I931="EO",I931="EQ"),IF(OR(X931="估算法",X931="算法类"),"中",IF(X931="无法识别","低",IF(L931&lt;2,IF(N931&lt;20,"低","中"),IF(L931&lt;4,IF(N931&lt;6,"低",IF(N931&lt;20,"中","高")),IF(N931&lt;6,"中","高"))))),IF(OR(I931="ILF",I931="EIF"),IF(OR(X931="估算法",X931="算法类",X931="无法识别"),"低",IF(M931&lt;2,IF(N931&lt;51,"低","中"),IF(M931&lt;6,IF(N931&lt;20,"低",IF(N931&lt;51,"中","高")),IF(N931&lt;20,"中","高")))),"不计算")))</f>
        <v/>
      </c>
      <c r="P931" s="142">
        <f>IFERROR(IF(I931="EI",IF(O931="低",3,IF(O931="中",4,6)),IF(I931="EO",IF(O931="低",4,IF(O931="中",5,7)),IF(I931="EQ",IF(O931="低",3,IF(O931="中",4,6)),IF(I931="ILF",IF(O931="低",7,IF(O931="中",10,15)),IF(I931="EIF",IF(O931="低",5,IF(O931="中",7,10)),"不计算")))))*Q931,"不计算")</f>
        <v/>
      </c>
      <c r="Q931" s="142" t="n">
        <v>1</v>
      </c>
      <c r="R931" s="143">
        <f>调整因子!$F$13</f>
        <v/>
      </c>
      <c r="S931" s="70" t="n">
        <v>1</v>
      </c>
      <c r="T931" s="144">
        <f>IFERROR(P931*R931,0)</f>
        <v/>
      </c>
      <c r="U931" s="145">
        <f>T931*S931</f>
        <v/>
      </c>
      <c r="V931" s="96" t="inlineStr">
        <is>
          <t>推送规则表、提醒规则表、脱敏规则表、加密规则表</t>
        </is>
      </c>
      <c r="W931" s="96" t="inlineStr"/>
      <c r="X931"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Y931" s="88" t="n"/>
      <c r="Z931" s="88" t="n"/>
    </row>
    <row r="932" hidden="1" ht="108" customHeight="1">
      <c r="A932" s="69">
        <f>ROW()-1</f>
        <v/>
      </c>
      <c r="B932" s="53" t="n"/>
      <c r="C932" s="117" t="n">
        <v>2026</v>
      </c>
      <c r="D932" s="64" t="n"/>
      <c r="E932" s="53" t="n"/>
      <c r="F932" s="53" t="n"/>
      <c r="G932" s="53" t="n"/>
      <c r="H932" s="96" t="inlineStr">
        <is>
          <t>删除转换规则</t>
        </is>
      </c>
      <c r="I932" s="76" t="inlineStr">
        <is>
          <t>EI</t>
        </is>
      </c>
      <c r="J932" s="95" t="n"/>
      <c r="K932" s="95" t="n"/>
      <c r="L932" s="83">
        <f>IF(OR(X932="估算法",X932="算法类",X932="无法识别"),"",IF(V932="",IF(OR(I932="EI",I932="EO",I932="EQ"),0,""),LEN(V932)-LEN(SUBSTITUTE(V932,"、",""))+1))</f>
        <v/>
      </c>
      <c r="M932" s="83">
        <f>IF(OR(X932="估算法",X932="算法类",X932="无法识别"),"",IF(W932="",IF(OR(I932="ILF",I932="EIF"),0,""),LEN(W932)-LEN(SUBSTITUTE(W932,"、",""))+1))</f>
        <v/>
      </c>
      <c r="N932" s="83">
        <f>IF(OR(X932="估算法",X932="算法类",X932="无法识别"),"",IF(X932="",IF(OR(I932="ILF",I932="EIF",I932="EI",I932="EO",I932="EQ"),0,""),LEN(X932)-LEN(SUBSTITUTE(SUBSTITUTE(SUBSTITUTE(SUBSTITUTE(SUBSTITUTE(X932,"|}","--"),"{|","--"),CHAR(10),""),"、",""),"|",""))+IF(AND(OR(I932="EI",I932="EO",I932="EQ"),$AD$1="NESMA"),2,1)))</f>
        <v/>
      </c>
      <c r="O932" s="84">
        <f>IF(I932="EI",IF(OR(X932="估算法",X932="算法类"),"中",IF(X932="无法识别","低",IF(L932&lt;2,IF(N932&lt;16,"低","中"),IF(L932&lt;3,IF(N932&lt;5,"低",IF(N932&lt;16,"中","高")),IF(N932&lt;5,"中","高"))))),IF(OR(I932="EO",I932="EQ"),IF(OR(X932="估算法",X932="算法类"),"中",IF(X932="无法识别","低",IF(L932&lt;2,IF(N932&lt;20,"低","中"),IF(L932&lt;4,IF(N932&lt;6,"低",IF(N932&lt;20,"中","高")),IF(N932&lt;6,"中","高"))))),IF(OR(I932="ILF",I932="EIF"),IF(OR(X932="估算法",X932="算法类",X932="无法识别"),"低",IF(M932&lt;2,IF(N932&lt;51,"低","中"),IF(M932&lt;6,IF(N932&lt;20,"低",IF(N932&lt;51,"中","高")),IF(N932&lt;20,"中","高")))),"不计算")))</f>
        <v/>
      </c>
      <c r="P932" s="142">
        <f>IFERROR(IF(I932="EI",IF(O932="低",3,IF(O932="中",4,6)),IF(I932="EO",IF(O932="低",4,IF(O932="中",5,7)),IF(I932="EQ",IF(O932="低",3,IF(O932="中",4,6)),IF(I932="ILF",IF(O932="低",7,IF(O932="中",10,15)),IF(I932="EIF",IF(O932="低",5,IF(O932="中",7,10)),"不计算")))))*Q932,"不计算")</f>
        <v/>
      </c>
      <c r="Q932" s="142" t="n">
        <v>0.333333333333333</v>
      </c>
      <c r="R932" s="143">
        <f>调整因子!$F$13</f>
        <v/>
      </c>
      <c r="S932" s="76" t="n">
        <v>1</v>
      </c>
      <c r="T932" s="144">
        <f>IFERROR(P932*R932,0)</f>
        <v/>
      </c>
      <c r="U932" s="145">
        <f>T932*S932</f>
        <v/>
      </c>
      <c r="V932" s="96" t="inlineStr">
        <is>
          <t>推送规则表、提醒规则表、脱敏规则表、加密规则表、提醒规则表</t>
        </is>
      </c>
      <c r="W932" s="96" t="inlineStr"/>
      <c r="X932"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提醒规则表{规则ID、规则名称、规则类型、规则条件、创建时间|规则ID、规则名称、规则类型}</t>
        </is>
      </c>
      <c r="Y932" s="88" t="n"/>
      <c r="Z932" s="88" t="n"/>
    </row>
    <row r="933" hidden="1" ht="97.2" customHeight="1">
      <c r="A933" s="69">
        <f>ROW()-1</f>
        <v/>
      </c>
      <c r="B933" s="53" t="n"/>
      <c r="C933" s="117" t="n">
        <v>2026</v>
      </c>
      <c r="D933" s="64" t="n"/>
      <c r="E933" s="53" t="n"/>
      <c r="F933" s="53" t="n"/>
      <c r="G933" s="53" t="n"/>
      <c r="H933" s="96" t="inlineStr">
        <is>
          <t>启用转换规则</t>
        </is>
      </c>
      <c r="I933" s="76" t="inlineStr">
        <is>
          <t>EI</t>
        </is>
      </c>
      <c r="J933" s="95" t="n"/>
      <c r="K933" s="95" t="n"/>
      <c r="L933" s="83">
        <f>IF(OR(X933="估算法",X933="算法类",X933="无法识别"),"",IF(V933="",IF(OR(I933="EI",I933="EO",I933="EQ"),0,""),LEN(V933)-LEN(SUBSTITUTE(V933,"、",""))+1))</f>
        <v/>
      </c>
      <c r="M933" s="83">
        <f>IF(OR(X933="估算法",X933="算法类",X933="无法识别"),"",IF(W933="",IF(OR(I933="ILF",I933="EIF"),0,""),LEN(W933)-LEN(SUBSTITUTE(W933,"、",""))+1))</f>
        <v/>
      </c>
      <c r="N933" s="83">
        <f>IF(OR(X933="估算法",X933="算法类",X933="无法识别"),"",IF(X933="",IF(OR(I933="ILF",I933="EIF",I933="EI",I933="EO",I933="EQ"),0,""),LEN(X933)-LEN(SUBSTITUTE(SUBSTITUTE(SUBSTITUTE(SUBSTITUTE(SUBSTITUTE(X933,"|}","--"),"{|","--"),CHAR(10),""),"、",""),"|",""))+IF(AND(OR(I933="EI",I933="EO",I933="EQ"),$AD$1="NESMA"),2,1)))</f>
        <v/>
      </c>
      <c r="O933" s="84">
        <f>IF(I933="EI",IF(OR(X933="估算法",X933="算法类"),"中",IF(X933="无法识别","低",IF(L933&lt;2,IF(N933&lt;16,"低","中"),IF(L933&lt;3,IF(N933&lt;5,"低",IF(N933&lt;16,"中","高")),IF(N933&lt;5,"中","高"))))),IF(OR(I933="EO",I933="EQ"),IF(OR(X933="估算法",X933="算法类"),"中",IF(X933="无法识别","低",IF(L933&lt;2,IF(N933&lt;20,"低","中"),IF(L933&lt;4,IF(N933&lt;6,"低",IF(N933&lt;20,"中","高")),IF(N933&lt;6,"中","高"))))),IF(OR(I933="ILF",I933="EIF"),IF(OR(X933="估算法",X933="算法类",X933="无法识别"),"低",IF(M933&lt;2,IF(N933&lt;51,"低","中"),IF(M933&lt;6,IF(N933&lt;20,"低",IF(N933&lt;51,"中","高")),IF(N933&lt;20,"中","高")))),"不计算")))</f>
        <v/>
      </c>
      <c r="P933" s="142">
        <f>IFERROR(IF(I933="EI",IF(O933="低",3,IF(O933="中",4,6)),IF(I933="EO",IF(O933="低",4,IF(O933="中",5,7)),IF(I933="EQ",IF(O933="低",3,IF(O933="中",4,6)),IF(I933="ILF",IF(O933="低",7,IF(O933="中",10,15)),IF(I933="EIF",IF(O933="低",5,IF(O933="中",7,10)),"不计算")))))*Q933,"不计算")</f>
        <v/>
      </c>
      <c r="Q933" s="142" t="n">
        <v>1</v>
      </c>
      <c r="R933" s="143">
        <f>调整因子!$F$13</f>
        <v/>
      </c>
      <c r="S933" s="70" t="n">
        <v>1</v>
      </c>
      <c r="T933" s="144">
        <f>IFERROR(P933*R933,0)</f>
        <v/>
      </c>
      <c r="U933" s="145">
        <f>T933*S933</f>
        <v/>
      </c>
      <c r="V933" s="96" t="inlineStr">
        <is>
          <t>推送规则表、提醒规则表、脱敏规则表、加密规则表、标签分类表</t>
        </is>
      </c>
      <c r="W933" s="96" t="inlineStr"/>
      <c r="X933"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标签分类表{ID、名称、类型、状态、创建时间、更新时间|ID、名称、类型}</t>
        </is>
      </c>
      <c r="Y933" s="88" t="n"/>
      <c r="Z933" s="88" t="n"/>
    </row>
    <row r="934" hidden="1" ht="86.40000000000001" customHeight="1">
      <c r="A934" s="69">
        <f>ROW()-1</f>
        <v/>
      </c>
      <c r="B934" s="53" t="n"/>
      <c r="C934" s="117" t="n">
        <v>2026</v>
      </c>
      <c r="D934" s="64" t="n"/>
      <c r="E934" s="53" t="n"/>
      <c r="F934" s="53" t="n"/>
      <c r="G934" s="53" t="n"/>
      <c r="H934" s="96" t="inlineStr">
        <is>
          <t>停用转换规则</t>
        </is>
      </c>
      <c r="I934" s="76" t="n"/>
      <c r="J934" s="95" t="n"/>
      <c r="K934" s="95" t="inlineStr">
        <is>
          <t>和上行合并，启停为相同功能</t>
        </is>
      </c>
      <c r="L934" s="83">
        <f>IF(OR(X934="估算法",X934="算法类",X934="无法识别"),"",IF(V934="",IF(OR(I934="EI",I934="EO",I934="EQ"),0,""),LEN(V934)-LEN(SUBSTITUTE(V934,"、",""))+1))</f>
        <v/>
      </c>
      <c r="M934" s="83">
        <f>IF(OR(X934="估算法",X934="算法类",X934="无法识别"),"",IF(W934="",IF(OR(I934="ILF",I934="EIF"),0,""),LEN(W934)-LEN(SUBSTITUTE(W934,"、",""))+1))</f>
        <v/>
      </c>
      <c r="N934" s="83">
        <f>IF(OR(X934="估算法",X934="算法类",X934="无法识别"),"",IF(X934="",IF(OR(I934="ILF",I934="EIF",I934="EI",I934="EO",I934="EQ"),0,""),LEN(X934)-LEN(SUBSTITUTE(SUBSTITUTE(SUBSTITUTE(SUBSTITUTE(SUBSTITUTE(X934,"|}","--"),"{|","--"),CHAR(10),""),"、",""),"|",""))+IF(AND(OR(I934="EI",I934="EO",I934="EQ"),$AD$1="NESMA"),2,1)))</f>
        <v/>
      </c>
      <c r="O934" s="84">
        <f>IF(I934="EI",IF(OR(X934="估算法",X934="算法类"),"中",IF(X934="无法识别","低",IF(L934&lt;2,IF(N934&lt;16,"低","中"),IF(L934&lt;3,IF(N934&lt;5,"低",IF(N934&lt;16,"中","高")),IF(N934&lt;5,"中","高"))))),IF(OR(I934="EO",I934="EQ"),IF(OR(X934="估算法",X934="算法类"),"中",IF(X934="无法识别","低",IF(L934&lt;2,IF(N934&lt;20,"低","中"),IF(L934&lt;4,IF(N934&lt;6,"低",IF(N934&lt;20,"中","高")),IF(N934&lt;6,"中","高"))))),IF(OR(I934="ILF",I934="EIF"),IF(OR(X934="估算法",X934="算法类",X934="无法识别"),"低",IF(M934&lt;2,IF(N934&lt;51,"低","中"),IF(M934&lt;6,IF(N934&lt;20,"低",IF(N934&lt;51,"中","高")),IF(N934&lt;20,"中","高")))),"不计算")))</f>
        <v/>
      </c>
      <c r="P934" s="142">
        <f>IFERROR(IF(I934="EI",IF(O934="低",3,IF(O934="中",4,6)),IF(I934="EO",IF(O934="低",4,IF(O934="中",5,7)),IF(I934="EQ",IF(O934="低",3,IF(O934="中",4,6)),IF(I934="ILF",IF(O934="低",7,IF(O934="中",10,15)),IF(I934="EIF",IF(O934="低",5,IF(O934="中",7,10)),"不计算")))))*Q934,"不计算")</f>
        <v/>
      </c>
      <c r="Q934" s="142" t="n">
        <v>1</v>
      </c>
      <c r="R934" s="143">
        <f>调整因子!$F$13</f>
        <v/>
      </c>
      <c r="S934" s="70" t="n">
        <v>1</v>
      </c>
      <c r="T934" s="144">
        <f>IFERROR(P934*R934,0)</f>
        <v/>
      </c>
      <c r="U934" s="145">
        <f>T934*S934</f>
        <v/>
      </c>
      <c r="V934" s="96" t="inlineStr">
        <is>
          <t>推送规则表、提醒规则表、脱敏规则表、加密规则表</t>
        </is>
      </c>
      <c r="W934" s="96" t="inlineStr"/>
      <c r="X934"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Y934" s="88" t="n"/>
      <c r="Z934" s="88" t="n"/>
    </row>
    <row r="935" hidden="1" ht="32.4" customHeight="1">
      <c r="A935" s="69">
        <f>ROW()-1</f>
        <v/>
      </c>
      <c r="B935" s="53" t="n"/>
      <c r="C935" s="117" t="n">
        <v>2026</v>
      </c>
      <c r="D935" s="64" t="n"/>
      <c r="E935" s="53" t="n"/>
      <c r="F935" s="53" t="n"/>
      <c r="G935" s="53" t="n"/>
      <c r="H935" s="96" t="inlineStr">
        <is>
          <t>导出转换规则</t>
        </is>
      </c>
      <c r="I935" s="76" t="inlineStr">
        <is>
          <t>EO</t>
        </is>
      </c>
      <c r="J935" s="95" t="n"/>
      <c r="K935" s="95" t="n"/>
      <c r="L935" s="83">
        <f>IF(OR(X935="估算法",X935="算法类",X935="无法识别"),"",IF(V935="",IF(OR(I935="EI",I935="EO",I935="EQ"),0,""),LEN(V935)-LEN(SUBSTITUTE(V935,"、",""))+1))</f>
        <v/>
      </c>
      <c r="M935" s="83">
        <f>IF(OR(X935="估算法",X935="算法类",X935="无法识别"),"",IF(W935="",IF(OR(I935="ILF",I935="EIF"),0,""),LEN(W935)-LEN(SUBSTITUTE(W935,"、",""))+1))</f>
        <v/>
      </c>
      <c r="N935" s="83">
        <f>IF(OR(X935="估算法",X935="算法类",X935="无法识别"),"",IF(X935="",IF(OR(I935="ILF",I935="EIF",I935="EI",I935="EO",I935="EQ"),0,""),LEN(X935)-LEN(SUBSTITUTE(SUBSTITUTE(SUBSTITUTE(SUBSTITUTE(SUBSTITUTE(X935,"|}","--"),"{|","--"),CHAR(10),""),"、",""),"|",""))+IF(AND(OR(I935="EI",I935="EO",I935="EQ"),$AD$1="NESMA"),2,1)))</f>
        <v/>
      </c>
      <c r="O935" s="84">
        <f>IF(I935="EI",IF(OR(X935="估算法",X935="算法类"),"中",IF(X935="无法识别","低",IF(L935&lt;2,IF(N935&lt;16,"低","中"),IF(L935&lt;3,IF(N935&lt;5,"低",IF(N935&lt;16,"中","高")),IF(N935&lt;5,"中","高"))))),IF(OR(I935="EO",I935="EQ"),IF(OR(X935="估算法",X935="算法类"),"中",IF(X935="无法识别","低",IF(L935&lt;2,IF(N935&lt;20,"低","中"),IF(L935&lt;4,IF(N935&lt;6,"低",IF(N935&lt;20,"中","高")),IF(N935&lt;6,"中","高"))))),IF(OR(I935="ILF",I935="EIF"),IF(OR(X935="估算法",X935="算法类",X935="无法识别"),"低",IF(M935&lt;2,IF(N935&lt;51,"低","中"),IF(M935&lt;6,IF(N935&lt;20,"低",IF(N935&lt;51,"中","高")),IF(N935&lt;20,"中","高")))),"不计算")))</f>
        <v/>
      </c>
      <c r="P935" s="142">
        <f>IFERROR(IF(I935="EI",IF(O935="低",3,IF(O935="中",4,6)),IF(I935="EO",IF(O935="低",4,IF(O935="中",5,7)),IF(I935="EQ",IF(O935="低",3,IF(O935="中",4,6)),IF(I935="ILF",IF(O935="低",7,IF(O935="中",10,15)),IF(I935="EIF",IF(O935="低",5,IF(O935="中",7,10)),"不计算")))))*Q935,"不计算")</f>
        <v/>
      </c>
      <c r="Q935" s="142" t="n">
        <v>1</v>
      </c>
      <c r="R935" s="143">
        <f>调整因子!$F$13</f>
        <v/>
      </c>
      <c r="S935" s="76" t="n">
        <v>1</v>
      </c>
      <c r="T935" s="144">
        <f>IFERROR(P935*R935,0)</f>
        <v/>
      </c>
      <c r="U935" s="145">
        <f>T935*S935</f>
        <v/>
      </c>
      <c r="V935" s="96" t="inlineStr">
        <is>
          <t>推送规则表、提醒规则表、脱敏规则表</t>
        </is>
      </c>
      <c r="W935" s="96" t="inlineStr"/>
      <c r="X935"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Y935" s="88" t="n"/>
      <c r="Z935" s="88" t="n"/>
    </row>
    <row r="936" hidden="1" ht="43.2" customHeight="1">
      <c r="A936" s="69">
        <f>ROW()-1</f>
        <v/>
      </c>
      <c r="B936" s="53" t="n"/>
      <c r="C936" s="117" t="n">
        <v>2026</v>
      </c>
      <c r="D936" s="64" t="n"/>
      <c r="E936" s="53" t="n"/>
      <c r="F936" s="53" t="n"/>
      <c r="G936" s="54" t="n"/>
      <c r="H936" s="96" t="inlineStr">
        <is>
          <t>下载规则模板</t>
        </is>
      </c>
      <c r="I936" s="76" t="inlineStr">
        <is>
          <t>EO</t>
        </is>
      </c>
      <c r="J936" s="95" t="n"/>
      <c r="K936" s="95" t="n"/>
      <c r="L936" s="83">
        <f>IF(OR(X936="估算法",X936="算法类",X936="无法识别"),"",IF(V936="",IF(OR(I936="EI",I936="EO",I936="EQ"),0,""),LEN(V936)-LEN(SUBSTITUTE(V936,"、",""))+1))</f>
        <v/>
      </c>
      <c r="M936" s="83">
        <f>IF(OR(X936="估算法",X936="算法类",X936="无法识别"),"",IF(W936="",IF(OR(I936="ILF",I936="EIF"),0,""),LEN(W936)-LEN(SUBSTITUTE(W936,"、",""))+1))</f>
        <v/>
      </c>
      <c r="N936" s="83">
        <f>IF(OR(X936="估算法",X936="算法类",X936="无法识别"),"",IF(X936="",IF(OR(I936="ILF",I936="EIF",I936="EI",I936="EO",I936="EQ"),0,""),LEN(X936)-LEN(SUBSTITUTE(SUBSTITUTE(SUBSTITUTE(SUBSTITUTE(SUBSTITUTE(X936,"|}","--"),"{|","--"),CHAR(10),""),"、",""),"|",""))+IF(AND(OR(I936="EI",I936="EO",I936="EQ"),$AD$1="NESMA"),2,1)))</f>
        <v/>
      </c>
      <c r="O936" s="84">
        <f>IF(I936="EI",IF(OR(X936="估算法",X936="算法类"),"中",IF(X936="无法识别","低",IF(L936&lt;2,IF(N936&lt;16,"低","中"),IF(L936&lt;3,IF(N936&lt;5,"低",IF(N936&lt;16,"中","高")),IF(N936&lt;5,"中","高"))))),IF(OR(I936="EO",I936="EQ"),IF(OR(X936="估算法",X936="算法类"),"中",IF(X936="无法识别","低",IF(L936&lt;2,IF(N936&lt;20,"低","中"),IF(L936&lt;4,IF(N936&lt;6,"低",IF(N936&lt;20,"中","高")),IF(N936&lt;6,"中","高"))))),IF(OR(I936="ILF",I936="EIF"),IF(OR(X936="估算法",X936="算法类",X936="无法识别"),"低",IF(M936&lt;2,IF(N936&lt;51,"低","中"),IF(M936&lt;6,IF(N936&lt;20,"低",IF(N936&lt;51,"中","高")),IF(N936&lt;20,"中","高")))),"不计算")))</f>
        <v/>
      </c>
      <c r="P936" s="142">
        <f>IFERROR(IF(I936="EI",IF(O936="低",3,IF(O936="中",4,6)),IF(I936="EO",IF(O936="低",4,IF(O936="中",5,7)),IF(I936="EQ",IF(O936="低",3,IF(O936="中",4,6)),IF(I936="ILF",IF(O936="低",7,IF(O936="中",10,15)),IF(I936="EIF",IF(O936="低",5,IF(O936="中",7,10)),"不计算")))))*Q936,"不计算")</f>
        <v/>
      </c>
      <c r="Q936" s="142" t="n">
        <v>1</v>
      </c>
      <c r="R936" s="143">
        <f>调整因子!$F$13</f>
        <v/>
      </c>
      <c r="S936" s="76" t="n">
        <v>1</v>
      </c>
      <c r="T936" s="144">
        <f>IFERROR(P936*R936,0)</f>
        <v/>
      </c>
      <c r="U936" s="145">
        <f>T936*S936</f>
        <v/>
      </c>
      <c r="V936" s="96" t="inlineStr">
        <is>
          <t>推送规则表、提醒规则表、脱敏规则表、加密规则表</t>
        </is>
      </c>
      <c r="W936" s="96" t="inlineStr"/>
      <c r="X936"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Y936" s="88" t="n"/>
      <c r="Z936" s="88" t="n"/>
    </row>
    <row r="937" hidden="1" ht="108" customHeight="1">
      <c r="A937" s="69">
        <f>ROW()-1</f>
        <v/>
      </c>
      <c r="B937" s="53" t="n"/>
      <c r="C937" s="117" t="n">
        <v>2026</v>
      </c>
      <c r="D937" s="64" t="n"/>
      <c r="E937" s="53" t="n"/>
      <c r="F937" s="53" t="n"/>
      <c r="G937" s="111" t="inlineStr">
        <is>
          <t>数据质量管理</t>
        </is>
      </c>
      <c r="H937" s="96" t="inlineStr">
        <is>
          <t>编辑质量评分任务</t>
        </is>
      </c>
      <c r="I937" s="76" t="inlineStr">
        <is>
          <t>EI</t>
        </is>
      </c>
      <c r="J937" s="95" t="n"/>
      <c r="K937" s="95" t="n"/>
      <c r="L937" s="83">
        <f>IF(OR(X937="估算法",X937="算法类",X937="无法识别"),"",IF(V937="",IF(OR(I937="EI",I937="EO",I937="EQ"),0,""),LEN(V937)-LEN(SUBSTITUTE(V937,"、",""))+1))</f>
        <v/>
      </c>
      <c r="M937" s="83">
        <f>IF(OR(X937="估算法",X937="算法类",X937="无法识别"),"",IF(W937="",IF(OR(I937="ILF",I937="EIF"),0,""),LEN(W937)-LEN(SUBSTITUTE(W937,"、",""))+1))</f>
        <v/>
      </c>
      <c r="N937" s="83">
        <f>IF(OR(X937="估算法",X937="算法类",X937="无法识别"),"",IF(X937="",IF(OR(I937="ILF",I937="EIF",I937="EI",I937="EO",I937="EQ"),0,""),LEN(X937)-LEN(SUBSTITUTE(SUBSTITUTE(SUBSTITUTE(SUBSTITUTE(SUBSTITUTE(X937,"|}","--"),"{|","--"),CHAR(10),""),"、",""),"|",""))+IF(AND(OR(I937="EI",I937="EO",I937="EQ"),$AD$1="NESMA"),2,1)))</f>
        <v/>
      </c>
      <c r="O937" s="84">
        <f>IF(I937="EI",IF(OR(X937="估算法",X937="算法类"),"中",IF(X937="无法识别","低",IF(L937&lt;2,IF(N937&lt;16,"低","中"),IF(L937&lt;3,IF(N937&lt;5,"低",IF(N937&lt;16,"中","高")),IF(N937&lt;5,"中","高"))))),IF(OR(I937="EO",I937="EQ"),IF(OR(X937="估算法",X937="算法类"),"中",IF(X937="无法识别","低",IF(L937&lt;2,IF(N937&lt;20,"低","中"),IF(L937&lt;4,IF(N937&lt;6,"低",IF(N937&lt;20,"中","高")),IF(N937&lt;6,"中","高"))))),IF(OR(I937="ILF",I937="EIF"),IF(OR(X937="估算法",X937="算法类",X937="无法识别"),"低",IF(M937&lt;2,IF(N937&lt;51,"低","中"),IF(M937&lt;6,IF(N937&lt;20,"低",IF(N937&lt;51,"中","高")),IF(N937&lt;20,"中","高")))),"不计算")))</f>
        <v/>
      </c>
      <c r="P937" s="142">
        <f>IFERROR(IF(I937="EI",IF(O937="低",3,IF(O937="中",4,6)),IF(I937="EO",IF(O937="低",4,IF(O937="中",5,7)),IF(I937="EQ",IF(O937="低",3,IF(O937="中",4,6)),IF(I937="ILF",IF(O937="低",7,IF(O937="中",10,15)),IF(I937="EIF",IF(O937="低",5,IF(O937="中",7,10)),"不计算")))))*Q937,"不计算")</f>
        <v/>
      </c>
      <c r="Q937" s="142" t="n">
        <v>1</v>
      </c>
      <c r="R937" s="143">
        <f>调整因子!$F$13</f>
        <v/>
      </c>
      <c r="S937" s="70" t="n">
        <v>1</v>
      </c>
      <c r="T937" s="144">
        <f>IFERROR(P937*R937,0)</f>
        <v/>
      </c>
      <c r="U937" s="145">
        <f>T937*S937</f>
        <v/>
      </c>
      <c r="V937" s="96" t="inlineStr">
        <is>
          <t>数据清洗任务表、资产同步任务表、同步任务调度表、任务统计数据表、任务趋势分析表</t>
        </is>
      </c>
      <c r="W937" s="96" t="inlineStr"/>
      <c r="X937"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Y937" s="88" t="n"/>
      <c r="Z937" s="88" t="n"/>
    </row>
    <row r="938" hidden="1" ht="64.8" customHeight="1">
      <c r="A938" s="69">
        <f>ROW()-1</f>
        <v/>
      </c>
      <c r="B938" s="53" t="n"/>
      <c r="C938" s="117" t="n">
        <v>2026</v>
      </c>
      <c r="D938" s="64" t="n"/>
      <c r="E938" s="53" t="n"/>
      <c r="F938" s="54" t="n"/>
      <c r="G938" s="54" t="n"/>
      <c r="H938" s="96" t="inlineStr">
        <is>
          <t>删除质量评分任务</t>
        </is>
      </c>
      <c r="I938" s="76" t="inlineStr">
        <is>
          <t>EI</t>
        </is>
      </c>
      <c r="J938" s="95" t="n"/>
      <c r="K938" s="95" t="n"/>
      <c r="L938" s="83">
        <f>IF(OR(X938="估算法",X938="算法类",X938="无法识别"),"",IF(V938="",IF(OR(I938="EI",I938="EO",I938="EQ"),0,""),LEN(V938)-LEN(SUBSTITUTE(V938,"、",""))+1))</f>
        <v/>
      </c>
      <c r="M938" s="83">
        <f>IF(OR(X938="估算法",X938="算法类",X938="无法识别"),"",IF(W938="",IF(OR(I938="ILF",I938="EIF"),0,""),LEN(W938)-LEN(SUBSTITUTE(W938,"、",""))+1))</f>
        <v/>
      </c>
      <c r="N938" s="83">
        <f>IF(OR(X938="估算法",X938="算法类",X938="无法识别"),"",IF(X938="",IF(OR(I938="ILF",I938="EIF",I938="EI",I938="EO",I938="EQ"),0,""),LEN(X938)-LEN(SUBSTITUTE(SUBSTITUTE(SUBSTITUTE(SUBSTITUTE(SUBSTITUTE(X938,"|}","--"),"{|","--"),CHAR(10),""),"、",""),"|",""))+IF(AND(OR(I938="EI",I938="EO",I938="EQ"),$AD$1="NESMA"),2,1)))</f>
        <v/>
      </c>
      <c r="O938" s="84">
        <f>IF(I938="EI",IF(OR(X938="估算法",X938="算法类"),"中",IF(X938="无法识别","低",IF(L938&lt;2,IF(N938&lt;16,"低","中"),IF(L938&lt;3,IF(N938&lt;5,"低",IF(N938&lt;16,"中","高")),IF(N938&lt;5,"中","高"))))),IF(OR(I938="EO",I938="EQ"),IF(OR(X938="估算法",X938="算法类"),"中",IF(X938="无法识别","低",IF(L938&lt;2,IF(N938&lt;20,"低","中"),IF(L938&lt;4,IF(N938&lt;6,"低",IF(N938&lt;20,"中","高")),IF(N938&lt;6,"中","高"))))),IF(OR(I938="ILF",I938="EIF"),IF(OR(X938="估算法",X938="算法类",X938="无法识别"),"低",IF(M938&lt;2,IF(N938&lt;51,"低","中"),IF(M938&lt;6,IF(N938&lt;20,"低",IF(N938&lt;51,"中","高")),IF(N938&lt;20,"中","高")))),"不计算")))</f>
        <v/>
      </c>
      <c r="P938" s="142">
        <f>IFERROR(IF(I938="EI",IF(O938="低",3,IF(O938="中",4,6)),IF(I938="EO",IF(O938="低",4,IF(O938="中",5,7)),IF(I938="EQ",IF(O938="低",3,IF(O938="中",4,6)),IF(I938="ILF",IF(O938="低",7,IF(O938="中",10,15)),IF(I938="EIF",IF(O938="低",5,IF(O938="中",7,10)),"不计算")))))*Q938,"不计算")</f>
        <v/>
      </c>
      <c r="Q938" s="142" t="n">
        <v>0.333333333333333</v>
      </c>
      <c r="R938" s="143">
        <f>调整因子!$F$13</f>
        <v/>
      </c>
      <c r="S938" s="70" t="n">
        <v>1</v>
      </c>
      <c r="T938" s="144">
        <f>IFERROR(P938*R938,0)</f>
        <v/>
      </c>
      <c r="U938" s="145">
        <f>T938*S938</f>
        <v/>
      </c>
      <c r="V938" s="96" t="inlineStr">
        <is>
          <t>数据清洗任务表、资产同步任务表、同步任务调度表</t>
        </is>
      </c>
      <c r="W938" s="96" t="inlineStr"/>
      <c r="X938"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Y938" s="88" t="n"/>
      <c r="Z938" s="88" t="n"/>
    </row>
    <row r="939" hidden="1">
      <c r="A939" s="69">
        <f>ROW()-1</f>
        <v/>
      </c>
      <c r="B939" s="53" t="n"/>
      <c r="C939" s="117" t="n">
        <v>2026</v>
      </c>
      <c r="D939" s="64" t="n"/>
      <c r="E939" s="53" t="n"/>
      <c r="F939" s="111" t="inlineStr">
        <is>
          <t>资产标签体系管理</t>
        </is>
      </c>
      <c r="G939" s="111" t="inlineStr">
        <is>
          <t>标签分类管理</t>
        </is>
      </c>
      <c r="H939" s="96" t="inlineStr">
        <is>
          <t>标签分类表</t>
        </is>
      </c>
      <c r="I939" s="76" t="inlineStr">
        <is>
          <t>ILF</t>
        </is>
      </c>
      <c r="J939" s="95" t="n"/>
      <c r="K939" s="95" t="n"/>
      <c r="L939" s="83">
        <f>IF(OR(X939="估算法",X939="算法类",X939="无法识别"),"",IF(V939="",IF(OR(I939="EI",I939="EO",I939="EQ"),0,""),LEN(V939)-LEN(SUBSTITUTE(V939,"、",""))+1))</f>
        <v/>
      </c>
      <c r="M939" s="83">
        <f>IF(OR(X939="估算法",X939="算法类",X939="无法识别"),"",IF(W939="",IF(OR(I939="ILF",I939="EIF"),0,""),LEN(W939)-LEN(SUBSTITUTE(W939,"、",""))+1))</f>
        <v/>
      </c>
      <c r="N939" s="83">
        <f>IF(OR(X939="估算法",X939="算法类",X939="无法识别"),"",IF(X939="",IF(OR(I939="ILF",I939="EIF",I939="EI",I939="EO",I939="EQ"),0,""),LEN(X939)-LEN(SUBSTITUTE(SUBSTITUTE(SUBSTITUTE(SUBSTITUTE(SUBSTITUTE(X939,"|}","--"),"{|","--"),CHAR(10),""),"、",""),"|",""))+IF(AND(OR(I939="EI",I939="EO",I939="EQ"),$AD$1="NESMA"),2,1)))</f>
        <v/>
      </c>
      <c r="O939" s="84">
        <f>IF(I939="EI",IF(OR(X939="估算法",X939="算法类"),"中",IF(X939="无法识别","低",IF(L939&lt;2,IF(N939&lt;16,"低","中"),IF(L939&lt;3,IF(N939&lt;5,"低",IF(N939&lt;16,"中","高")),IF(N939&lt;5,"中","高"))))),IF(OR(I939="EO",I939="EQ"),IF(OR(X939="估算法",X939="算法类"),"中",IF(X939="无法识别","低",IF(L939&lt;2,IF(N939&lt;20,"低","中"),IF(L939&lt;4,IF(N939&lt;6,"低",IF(N939&lt;20,"中","高")),IF(N939&lt;6,"中","高"))))),IF(OR(I939="ILF",I939="EIF"),IF(OR(X939="估算法",X939="算法类",X939="无法识别"),"低",IF(M939&lt;2,IF(N939&lt;51,"低","中"),IF(M939&lt;6,IF(N939&lt;20,"低",IF(N939&lt;51,"中","高")),IF(N939&lt;20,"中","高")))),"不计算")))</f>
        <v/>
      </c>
      <c r="P939" s="142">
        <f>IFERROR(IF(I939="EI",IF(O939="低",3,IF(O939="中",4,6)),IF(I939="EO",IF(O939="低",4,IF(O939="中",5,7)),IF(I939="EQ",IF(O939="低",3,IF(O939="中",4,6)),IF(I939="ILF",IF(O939="低",7,IF(O939="中",10,15)),IF(I939="EIF",IF(O939="低",5,IF(O939="中",7,10)),"不计算")))))*Q939,"不计算")</f>
        <v/>
      </c>
      <c r="Q939" s="142" t="n">
        <v>1</v>
      </c>
      <c r="R939" s="143">
        <f>调整因子!$F$13</f>
        <v/>
      </c>
      <c r="S939" s="76" t="n">
        <v>1</v>
      </c>
      <c r="T939" s="144">
        <f>IFERROR(P939*R939,0)</f>
        <v/>
      </c>
      <c r="U939" s="145">
        <f>T939*S939</f>
        <v/>
      </c>
      <c r="V939" s="96" t="inlineStr"/>
      <c r="W939" s="96" t="inlineStr">
        <is>
          <t>数据记录</t>
        </is>
      </c>
      <c r="X939" s="111" t="inlineStr">
        <is>
          <t>标签分类表{ID、名称、类型|ID、名称、类型、状态、创建时间、更新时间}</t>
        </is>
      </c>
      <c r="Y939" s="88">
        <f>IF(COUNTIFS(V:V,"*"&amp;H939&amp;"*")&gt;0,"存在","不存在")</f>
        <v/>
      </c>
      <c r="Z939" s="88">
        <f>IF(COUNTIFS(AA:AA,"*"&amp;H939&amp;"*")&gt;0,"存在","不存在")</f>
        <v/>
      </c>
    </row>
    <row r="940" hidden="1">
      <c r="A940" s="69">
        <f>ROW()-1</f>
        <v/>
      </c>
      <c r="B940" s="53" t="n"/>
      <c r="C940" s="117" t="n">
        <v>2026</v>
      </c>
      <c r="D940" s="64" t="n"/>
      <c r="E940" s="53" t="n"/>
      <c r="F940" s="53" t="n"/>
      <c r="G940" s="53" t="n"/>
      <c r="H940" s="96" t="inlineStr">
        <is>
          <t>分类层级关系表</t>
        </is>
      </c>
      <c r="I940" s="76" t="inlineStr">
        <is>
          <t>ILF</t>
        </is>
      </c>
      <c r="J940" s="95" t="n"/>
      <c r="K940" s="95" t="n"/>
      <c r="L940" s="83">
        <f>IF(OR(X940="估算法",X940="算法类",X940="无法识别"),"",IF(V940="",IF(OR(I940="EI",I940="EO",I940="EQ"),0,""),LEN(V940)-LEN(SUBSTITUTE(V940,"、",""))+1))</f>
        <v/>
      </c>
      <c r="M940" s="83">
        <f>IF(OR(X940="估算法",X940="算法类",X940="无法识别"),"",IF(W940="",IF(OR(I940="ILF",I940="EIF"),0,""),LEN(W940)-LEN(SUBSTITUTE(W940,"、",""))+1))</f>
        <v/>
      </c>
      <c r="N940" s="83">
        <f>IF(OR(X940="估算法",X940="算法类",X940="无法识别"),"",IF(X940="",IF(OR(I940="ILF",I940="EIF",I940="EI",I940="EO",I940="EQ"),0,""),LEN(X940)-LEN(SUBSTITUTE(SUBSTITUTE(SUBSTITUTE(SUBSTITUTE(SUBSTITUTE(X940,"|}","--"),"{|","--"),CHAR(10),""),"、",""),"|",""))+IF(AND(OR(I940="EI",I940="EO",I940="EQ"),$AD$1="NESMA"),2,1)))</f>
        <v/>
      </c>
      <c r="O940" s="84">
        <f>IF(I940="EI",IF(OR(X940="估算法",X940="算法类"),"中",IF(X940="无法识别","低",IF(L940&lt;2,IF(N940&lt;16,"低","中"),IF(L940&lt;3,IF(N940&lt;5,"低",IF(N940&lt;16,"中","高")),IF(N940&lt;5,"中","高"))))),IF(OR(I940="EO",I940="EQ"),IF(OR(X940="估算法",X940="算法类"),"中",IF(X940="无法识别","低",IF(L940&lt;2,IF(N940&lt;20,"低","中"),IF(L940&lt;4,IF(N940&lt;6,"低",IF(N940&lt;20,"中","高")),IF(N940&lt;6,"中","高"))))),IF(OR(I940="ILF",I940="EIF"),IF(OR(X940="估算法",X940="算法类",X940="无法识别"),"低",IF(M940&lt;2,IF(N940&lt;51,"低","中"),IF(M940&lt;6,IF(N940&lt;20,"低",IF(N940&lt;51,"中","高")),IF(N940&lt;20,"中","高")))),"不计算")))</f>
        <v/>
      </c>
      <c r="P940" s="142">
        <f>IFERROR(IF(I940="EI",IF(O940="低",3,IF(O940="中",4,6)),IF(I940="EO",IF(O940="低",4,IF(O940="中",5,7)),IF(I940="EQ",IF(O940="低",3,IF(O940="中",4,6)),IF(I940="ILF",IF(O940="低",7,IF(O940="中",10,15)),IF(I940="EIF",IF(O940="低",5,IF(O940="中",7,10)),"不计算")))))*Q940,"不计算")</f>
        <v/>
      </c>
      <c r="Q940" s="142" t="n">
        <v>1</v>
      </c>
      <c r="R940" s="143">
        <f>调整因子!$F$13</f>
        <v/>
      </c>
      <c r="S940" s="70" t="n">
        <v>1</v>
      </c>
      <c r="T940" s="144">
        <f>IFERROR(P940*R940,0)</f>
        <v/>
      </c>
      <c r="U940" s="145">
        <f>T940*S940</f>
        <v/>
      </c>
      <c r="V940" s="96" t="inlineStr"/>
      <c r="W940" s="96" t="inlineStr">
        <is>
          <t>数据记录</t>
        </is>
      </c>
      <c r="X940" s="111" t="inlineStr">
        <is>
          <t>分类层级关系表{ID、名称、类型|ID、名称、类型、状态、创建时间、更新时间}</t>
        </is>
      </c>
      <c r="Y940" s="88">
        <f>IF(COUNTIFS(V:V,"*"&amp;H940&amp;"*")&gt;0,"存在","不存在")</f>
        <v/>
      </c>
      <c r="Z940" s="88">
        <f>IF(COUNTIFS(AA:AA,"*"&amp;H940&amp;"*")&gt;0,"存在","不存在")</f>
        <v/>
      </c>
    </row>
    <row r="941" hidden="1" ht="86.40000000000001" customHeight="1">
      <c r="A941" s="69">
        <f>ROW()-1</f>
        <v/>
      </c>
      <c r="B941" s="53" t="n"/>
      <c r="C941" s="117" t="n">
        <v>2026</v>
      </c>
      <c r="D941" s="64" t="n"/>
      <c r="E941" s="53" t="n"/>
      <c r="F941" s="53" t="n"/>
      <c r="G941" s="53" t="n"/>
      <c r="H941" s="96" t="inlineStr">
        <is>
          <t>新增标签分类</t>
        </is>
      </c>
      <c r="I941" s="76" t="inlineStr">
        <is>
          <t>EI</t>
        </is>
      </c>
      <c r="J941" s="95" t="n"/>
      <c r="K941" s="95" t="n"/>
      <c r="L941" s="83">
        <f>IF(OR(X941="估算法",X941="算法类",X941="无法识别"),"",IF(V941="",IF(OR(I941="EI",I941="EO",I941="EQ"),0,""),LEN(V941)-LEN(SUBSTITUTE(V941,"、",""))+1))</f>
        <v/>
      </c>
      <c r="M941" s="83">
        <f>IF(OR(X941="估算法",X941="算法类",X941="无法识别"),"",IF(W941="",IF(OR(I941="ILF",I941="EIF"),0,""),LEN(W941)-LEN(SUBSTITUTE(W941,"、",""))+1))</f>
        <v/>
      </c>
      <c r="N941" s="83">
        <f>IF(OR(X941="估算法",X941="算法类",X941="无法识别"),"",IF(X941="",IF(OR(I941="ILF",I941="EIF",I941="EI",I941="EO",I941="EQ"),0,""),LEN(X941)-LEN(SUBSTITUTE(SUBSTITUTE(SUBSTITUTE(SUBSTITUTE(SUBSTITUTE(X941,"|}","--"),"{|","--"),CHAR(10),""),"、",""),"|",""))+IF(AND(OR(I941="EI",I941="EO",I941="EQ"),$AD$1="NESMA"),2,1)))</f>
        <v/>
      </c>
      <c r="O941" s="84">
        <f>IF(I941="EI",IF(OR(X941="估算法",X941="算法类"),"中",IF(X941="无法识别","低",IF(L941&lt;2,IF(N941&lt;16,"低","中"),IF(L941&lt;3,IF(N941&lt;5,"低",IF(N941&lt;16,"中","高")),IF(N941&lt;5,"中","高"))))),IF(OR(I941="EO",I941="EQ"),IF(OR(X941="估算法",X941="算法类"),"中",IF(X941="无法识别","低",IF(L941&lt;2,IF(N941&lt;20,"低","中"),IF(L941&lt;4,IF(N941&lt;6,"低",IF(N941&lt;20,"中","高")),IF(N941&lt;6,"中","高"))))),IF(OR(I941="ILF",I941="EIF"),IF(OR(X941="估算法",X941="算法类",X941="无法识别"),"低",IF(M941&lt;2,IF(N941&lt;51,"低","中"),IF(M941&lt;6,IF(N941&lt;20,"低",IF(N941&lt;51,"中","高")),IF(N941&lt;20,"中","高")))),"不计算")))</f>
        <v/>
      </c>
      <c r="P941" s="142">
        <f>IFERROR(IF(I941="EI",IF(O941="低",3,IF(O941="中",4,6)),IF(I941="EO",IF(O941="低",4,IF(O941="中",5,7)),IF(I941="EQ",IF(O941="低",3,IF(O941="中",4,6)),IF(I941="ILF",IF(O941="低",7,IF(O941="中",10,15)),IF(I941="EIF",IF(O941="低",5,IF(O941="中",7,10)),"不计算")))))*Q941,"不计算")</f>
        <v/>
      </c>
      <c r="Q941" s="142" t="n">
        <v>1</v>
      </c>
      <c r="R941" s="143">
        <f>调整因子!$F$13</f>
        <v/>
      </c>
      <c r="S941" s="70" t="n">
        <v>1</v>
      </c>
      <c r="T941" s="144">
        <f>IFERROR(P941*R941,0)</f>
        <v/>
      </c>
      <c r="U941" s="145">
        <f>T941*S941</f>
        <v/>
      </c>
      <c r="V941" s="96" t="inlineStr">
        <is>
          <t>审计日志表、漏洞处置推送接口配置表、提醒规则表、扫描策略模板表</t>
        </is>
      </c>
      <c r="W941" s="96" t="inlineStr"/>
      <c r="X941" s="111" t="inlineStr">
        <is>
          <t>审计日志表{日志ID、操作人、操作类型、操作时间、操作内容|日志ID、操作人、操作类型}
漏洞处置推送接口配置表{漏洞ID、漏洞名称、漏洞等级、漏洞类型、CVE编号、发现时间、修复状态|漏洞ID、漏洞名称、漏洞等级}
提醒规则表{规则ID、规则名称、规则类型、规则条件、创建时间|规则ID、规则名称、规则类型}
扫描策略模板表{任务ID、任务名称、任务状态、扫描器类型、开始时间、结束时间、扫描结果|任务ID、任务名称、任务状态}</t>
        </is>
      </c>
      <c r="Y941" s="88" t="n"/>
      <c r="Z941" s="88" t="n"/>
    </row>
    <row r="942" hidden="1" ht="108" customHeight="1">
      <c r="A942" s="69">
        <f>ROW()-1</f>
        <v/>
      </c>
      <c r="B942" s="53" t="n"/>
      <c r="C942" s="117" t="n">
        <v>2026</v>
      </c>
      <c r="D942" s="64" t="n"/>
      <c r="E942" s="53" t="n"/>
      <c r="F942" s="53" t="n"/>
      <c r="G942" s="53" t="n"/>
      <c r="H942" s="96" t="inlineStr">
        <is>
          <t>编辑标签分类</t>
        </is>
      </c>
      <c r="I942" s="76" t="inlineStr">
        <is>
          <t>EI</t>
        </is>
      </c>
      <c r="J942" s="95" t="n"/>
      <c r="K942" s="95" t="n"/>
      <c r="L942" s="83">
        <f>IF(OR(X942="估算法",X942="算法类",X942="无法识别"),"",IF(V942="",IF(OR(I942="EI",I942="EO",I942="EQ"),0,""),LEN(V942)-LEN(SUBSTITUTE(V942,"、",""))+1))</f>
        <v/>
      </c>
      <c r="M942" s="83">
        <f>IF(OR(X942="估算法",X942="算法类",X942="无法识别"),"",IF(W942="",IF(OR(I942="ILF",I942="EIF"),0,""),LEN(W942)-LEN(SUBSTITUTE(W942,"、",""))+1))</f>
        <v/>
      </c>
      <c r="N942" s="83">
        <f>IF(OR(X942="估算法",X942="算法类",X942="无法识别"),"",IF(X942="",IF(OR(I942="ILF",I942="EIF",I942="EI",I942="EO",I942="EQ"),0,""),LEN(X942)-LEN(SUBSTITUTE(SUBSTITUTE(SUBSTITUTE(SUBSTITUTE(SUBSTITUTE(X942,"|}","--"),"{|","--"),CHAR(10),""),"、",""),"|",""))+IF(AND(OR(I942="EI",I942="EO",I942="EQ"),$AD$1="NESMA"),2,1)))</f>
        <v/>
      </c>
      <c r="O942" s="84">
        <f>IF(I942="EI",IF(OR(X942="估算法",X942="算法类"),"中",IF(X942="无法识别","低",IF(L942&lt;2,IF(N942&lt;16,"低","中"),IF(L942&lt;3,IF(N942&lt;5,"低",IF(N942&lt;16,"中","高")),IF(N942&lt;5,"中","高"))))),IF(OR(I942="EO",I942="EQ"),IF(OR(X942="估算法",X942="算法类"),"中",IF(X942="无法识别","低",IF(L942&lt;2,IF(N942&lt;20,"低","中"),IF(L942&lt;4,IF(N942&lt;6,"低",IF(N942&lt;20,"中","高")),IF(N942&lt;6,"中","高"))))),IF(OR(I942="ILF",I942="EIF"),IF(OR(X942="估算法",X942="算法类",X942="无法识别"),"低",IF(M942&lt;2,IF(N942&lt;51,"低","中"),IF(M942&lt;6,IF(N942&lt;20,"低",IF(N942&lt;51,"中","高")),IF(N942&lt;20,"中","高")))),"不计算")))</f>
        <v/>
      </c>
      <c r="P942" s="142">
        <f>IFERROR(IF(I942="EI",IF(O942="低",3,IF(O942="中",4,6)),IF(I942="EO",IF(O942="低",4,IF(O942="中",5,7)),IF(I942="EQ",IF(O942="低",3,IF(O942="中",4,6)),IF(I942="ILF",IF(O942="低",7,IF(O942="中",10,15)),IF(I942="EIF",IF(O942="低",5,IF(O942="中",7,10)),"不计算")))))*Q942,"不计算")</f>
        <v/>
      </c>
      <c r="Q942" s="142" t="n">
        <v>1</v>
      </c>
      <c r="R942" s="143">
        <f>调整因子!$F$13</f>
        <v/>
      </c>
      <c r="S942" s="76" t="n">
        <v>1</v>
      </c>
      <c r="T942" s="144">
        <f>IFERROR(P942*R942,0)</f>
        <v/>
      </c>
      <c r="U942" s="145">
        <f>T942*S942</f>
        <v/>
      </c>
      <c r="V942" s="96" t="inlineStr">
        <is>
          <t>接口参数配置表、任务日志表、提醒规则表、考核指标配置表、漏洞查询接口配置表</t>
        </is>
      </c>
      <c r="W942" s="96" t="inlineStr"/>
      <c r="X942" s="111" t="inlineStr">
        <is>
          <t>接口参数配置表{配置ID、配置名称、配置类型、配置值、创建时间|配置ID、配置名称、配置类型}
任务日志表{任务ID、任务名称、任务类型、任务状态、创建时间、执行时间|任务ID、任务名称、任务类型}
提醒规则表{规则ID、规则名称、规则类型、规则条件、创建时间|规则ID、规则名称、规则类型}
考核指标配置表{配置ID、配置名称、配置类型、配置值、创建时间|配置ID、配置名称、配置类型}
漏洞查询接口配置表{漏洞ID、漏洞名称、漏洞等级、漏洞类型、CVE编号、发现时间、修复状态|漏洞ID、漏洞名称、漏洞等级}</t>
        </is>
      </c>
      <c r="Y942" s="88" t="n"/>
      <c r="Z942" s="88" t="n"/>
    </row>
    <row r="943" hidden="1" ht="64.8" customHeight="1">
      <c r="A943" s="69">
        <f>ROW()-1</f>
        <v/>
      </c>
      <c r="B943" s="53" t="n"/>
      <c r="C943" s="117" t="n">
        <v>2026</v>
      </c>
      <c r="D943" s="64" t="n"/>
      <c r="E943" s="53" t="n"/>
      <c r="F943" s="53" t="n"/>
      <c r="G943" s="53" t="n"/>
      <c r="H943" s="96" t="inlineStr">
        <is>
          <t>删除标签分类</t>
        </is>
      </c>
      <c r="I943" s="76" t="inlineStr">
        <is>
          <t>EI</t>
        </is>
      </c>
      <c r="J943" s="95" t="n"/>
      <c r="K943" s="95" t="n"/>
      <c r="L943" s="83">
        <f>IF(OR(X943="估算法",X943="算法类",X943="无法识别"),"",IF(V943="",IF(OR(I943="EI",I943="EO",I943="EQ"),0,""),LEN(V943)-LEN(SUBSTITUTE(V943,"、",""))+1))</f>
        <v/>
      </c>
      <c r="M943" s="83">
        <f>IF(OR(X943="估算法",X943="算法类",X943="无法识别"),"",IF(W943="",IF(OR(I943="ILF",I943="EIF"),0,""),LEN(W943)-LEN(SUBSTITUTE(W943,"、",""))+1))</f>
        <v/>
      </c>
      <c r="N943" s="83">
        <f>IF(OR(X943="估算法",X943="算法类",X943="无法识别"),"",IF(X943="",IF(OR(I943="ILF",I943="EIF",I943="EI",I943="EO",I943="EQ"),0,""),LEN(X943)-LEN(SUBSTITUTE(SUBSTITUTE(SUBSTITUTE(SUBSTITUTE(SUBSTITUTE(X943,"|}","--"),"{|","--"),CHAR(10),""),"、",""),"|",""))+IF(AND(OR(I943="EI",I943="EO",I943="EQ"),$AD$1="NESMA"),2,1)))</f>
        <v/>
      </c>
      <c r="O943" s="84">
        <f>IF(I943="EI",IF(OR(X943="估算法",X943="算法类"),"中",IF(X943="无法识别","低",IF(L943&lt;2,IF(N943&lt;16,"低","中"),IF(L943&lt;3,IF(N943&lt;5,"低",IF(N943&lt;16,"中","高")),IF(N943&lt;5,"中","高"))))),IF(OR(I943="EO",I943="EQ"),IF(OR(X943="估算法",X943="算法类"),"中",IF(X943="无法识别","低",IF(L943&lt;2,IF(N943&lt;20,"低","中"),IF(L943&lt;4,IF(N943&lt;6,"低",IF(N943&lt;20,"中","高")),IF(N943&lt;6,"中","高"))))),IF(OR(I943="ILF",I943="EIF"),IF(OR(X943="估算法",X943="算法类",X943="无法识别"),"低",IF(M943&lt;2,IF(N943&lt;51,"低","中"),IF(M943&lt;6,IF(N943&lt;20,"低",IF(N943&lt;51,"中","高")),IF(N943&lt;20,"中","高")))),"不计算")))</f>
        <v/>
      </c>
      <c r="P943" s="142">
        <f>IFERROR(IF(I943="EI",IF(O943="低",3,IF(O943="中",4,6)),IF(I943="EO",IF(O943="低",4,IF(O943="中",5,7)),IF(I943="EQ",IF(O943="低",3,IF(O943="中",4,6)),IF(I943="ILF",IF(O943="低",7,IF(O943="中",10,15)),IF(I943="EIF",IF(O943="低",5,IF(O943="中",7,10)),"不计算")))))*Q943,"不计算")</f>
        <v/>
      </c>
      <c r="Q943" s="142" t="n">
        <v>0.333333333333333</v>
      </c>
      <c r="R943" s="143">
        <f>调整因子!$F$13</f>
        <v/>
      </c>
      <c r="S943" s="76" t="n">
        <v>1</v>
      </c>
      <c r="T943" s="144">
        <f>IFERROR(P943*R943,0)</f>
        <v/>
      </c>
      <c r="U943" s="145">
        <f>T943*S943</f>
        <v/>
      </c>
      <c r="V943" s="96" t="inlineStr">
        <is>
          <t>处置单配置表、验证任务表、验证记录表、报告模板表</t>
        </is>
      </c>
      <c r="W943" s="96" t="inlineStr"/>
      <c r="X943" s="111" t="inlineStr">
        <is>
          <t>处置单配置表{配置ID、配置名称、配置类型、配置值、创建时间|配置ID、配置名称、配置类型}
验证任务表{任务ID、任务名称、任务类型、任务状态、创建时间、执行时间|任务ID、任务名称、任务类型}
验证记录表{ID、名称、类型、状态、创建时间、更新时间|ID、名称、类型}
报告模板表{ID、名称、类型、状态、创建时间、更新时间|ID、名称、类型}</t>
        </is>
      </c>
      <c r="Y943" s="88" t="n"/>
      <c r="Z943" s="88" t="n"/>
    </row>
    <row r="944" hidden="1" ht="75.59999999999999" customHeight="1">
      <c r="A944" s="69">
        <f>ROW()-1</f>
        <v/>
      </c>
      <c r="B944" s="53" t="n"/>
      <c r="C944" s="117" t="n">
        <v>2026</v>
      </c>
      <c r="D944" s="64" t="n"/>
      <c r="E944" s="53" t="n"/>
      <c r="F944" s="53" t="n"/>
      <c r="G944" s="53" t="n"/>
      <c r="H944" s="96" t="inlineStr">
        <is>
          <t>启用标签分类</t>
        </is>
      </c>
      <c r="I944" s="76" t="inlineStr">
        <is>
          <t>EI</t>
        </is>
      </c>
      <c r="J944" s="95" t="n"/>
      <c r="K944" s="95" t="n"/>
      <c r="L944" s="83">
        <f>IF(OR(X944="估算法",X944="算法类",X944="无法识别"),"",IF(V944="",IF(OR(I944="EI",I944="EO",I944="EQ"),0,""),LEN(V944)-LEN(SUBSTITUTE(V944,"、",""))+1))</f>
        <v/>
      </c>
      <c r="M944" s="83">
        <f>IF(OR(X944="估算法",X944="算法类",X944="无法识别"),"",IF(W944="",IF(OR(I944="ILF",I944="EIF"),0,""),LEN(W944)-LEN(SUBSTITUTE(W944,"、",""))+1))</f>
        <v/>
      </c>
      <c r="N944" s="83">
        <f>IF(OR(X944="估算法",X944="算法类",X944="无法识别"),"",IF(X944="",IF(OR(I944="ILF",I944="EIF",I944="EI",I944="EO",I944="EQ"),0,""),LEN(X944)-LEN(SUBSTITUTE(SUBSTITUTE(SUBSTITUTE(SUBSTITUTE(SUBSTITUTE(X944,"|}","--"),"{|","--"),CHAR(10),""),"、",""),"|",""))+IF(AND(OR(I944="EI",I944="EO",I944="EQ"),$AD$1="NESMA"),2,1)))</f>
        <v/>
      </c>
      <c r="O944" s="84">
        <f>IF(I944="EI",IF(OR(X944="估算法",X944="算法类"),"中",IF(X944="无法识别","低",IF(L944&lt;2,IF(N944&lt;16,"低","中"),IF(L944&lt;3,IF(N944&lt;5,"低",IF(N944&lt;16,"中","高")),IF(N944&lt;5,"中","高"))))),IF(OR(I944="EO",I944="EQ"),IF(OR(X944="估算法",X944="算法类"),"中",IF(X944="无法识别","低",IF(L944&lt;2,IF(N944&lt;20,"低","中"),IF(L944&lt;4,IF(N944&lt;6,"低",IF(N944&lt;20,"中","高")),IF(N944&lt;6,"中","高"))))),IF(OR(I944="ILF",I944="EIF"),IF(OR(X944="估算法",X944="算法类",X944="无法识别"),"低",IF(M944&lt;2,IF(N944&lt;51,"低","中"),IF(M944&lt;6,IF(N944&lt;20,"低",IF(N944&lt;51,"中","高")),IF(N944&lt;20,"中","高")))),"不计算")))</f>
        <v/>
      </c>
      <c r="P944" s="142">
        <f>IFERROR(IF(I944="EI",IF(O944="低",3,IF(O944="中",4,6)),IF(I944="EO",IF(O944="低",4,IF(O944="中",5,7)),IF(I944="EQ",IF(O944="低",3,IF(O944="中",4,6)),IF(I944="ILF",IF(O944="低",7,IF(O944="中",10,15)),IF(I944="EIF",IF(O944="低",5,IF(O944="中",7,10)),"不计算")))))*Q944,"不计算")</f>
        <v/>
      </c>
      <c r="Q944" s="142" t="n">
        <v>1</v>
      </c>
      <c r="R944" s="143">
        <f>调整因子!$F$13</f>
        <v/>
      </c>
      <c r="S944" s="70" t="n">
        <v>1</v>
      </c>
      <c r="T944" s="144">
        <f>IFERROR(P944*R944,0)</f>
        <v/>
      </c>
      <c r="U944" s="145">
        <f>T944*S944</f>
        <v/>
      </c>
      <c r="V944" s="96" t="inlineStr">
        <is>
          <t>分布分析表、接口参数表、报告导入记录表、扫描能力缺口表、处置单关联表</t>
        </is>
      </c>
      <c r="W944" s="96" t="inlineStr"/>
      <c r="X944" s="111" t="inlineStr">
        <is>
          <t>分布分析表{ID、名称、类型、状态、创建时间、更新时间|ID、名称、类型}
接口参数表{接口ID、接口名称、接口类型、接口地址、调用时间|接口ID、接口名称、接口类型}
报告导入记录表{ID、名称、类型、状态、创建时间、更新时间|ID、名称、类型}
扫描能力缺口表{任务ID、任务名称、任务状态、扫描器类型、开始时间、结束时间、扫描结果|任务ID、任务名称、任务状态}
处置单关联表{ID、名称、类型、状态、创建时间、更新时间|ID、名称、类型}</t>
        </is>
      </c>
      <c r="Y944" s="88" t="n"/>
      <c r="Z944" s="88" t="n"/>
    </row>
    <row r="945" hidden="1" ht="64.8" customHeight="1">
      <c r="A945" s="69">
        <f>ROW()-1</f>
        <v/>
      </c>
      <c r="B945" s="53" t="n"/>
      <c r="C945" s="117" t="n">
        <v>2026</v>
      </c>
      <c r="D945" s="64" t="n"/>
      <c r="E945" s="53" t="n"/>
      <c r="F945" s="53" t="n"/>
      <c r="G945" s="53" t="n"/>
      <c r="H945" s="96" t="inlineStr">
        <is>
          <t>停用标签分类</t>
        </is>
      </c>
      <c r="I945" s="76" t="n"/>
      <c r="J945" s="95" t="n"/>
      <c r="K945" s="95" t="inlineStr">
        <is>
          <t>和上行合并，启停为相同功能</t>
        </is>
      </c>
      <c r="L945" s="83">
        <f>IF(OR(X945="估算法",X945="算法类",X945="无法识别"),"",IF(V945="",IF(OR(I945="EI",I945="EO",I945="EQ"),0,""),LEN(V945)-LEN(SUBSTITUTE(V945,"、",""))+1))</f>
        <v/>
      </c>
      <c r="M945" s="83">
        <f>IF(OR(X945="估算法",X945="算法类",X945="无法识别"),"",IF(W945="",IF(OR(I945="ILF",I945="EIF"),0,""),LEN(W945)-LEN(SUBSTITUTE(W945,"、",""))+1))</f>
        <v/>
      </c>
      <c r="N945" s="83">
        <f>IF(OR(X945="估算法",X945="算法类",X945="无法识别"),"",IF(X945="",IF(OR(I945="ILF",I945="EIF",I945="EI",I945="EO",I945="EQ"),0,""),LEN(X945)-LEN(SUBSTITUTE(SUBSTITUTE(SUBSTITUTE(SUBSTITUTE(SUBSTITUTE(X945,"|}","--"),"{|","--"),CHAR(10),""),"、",""),"|",""))+IF(AND(OR(I945="EI",I945="EO",I945="EQ"),$AD$1="NESMA"),2,1)))</f>
        <v/>
      </c>
      <c r="O945" s="84">
        <f>IF(I945="EI",IF(OR(X945="估算法",X945="算法类"),"中",IF(X945="无法识别","低",IF(L945&lt;2,IF(N945&lt;16,"低","中"),IF(L945&lt;3,IF(N945&lt;5,"低",IF(N945&lt;16,"中","高")),IF(N945&lt;5,"中","高"))))),IF(OR(I945="EO",I945="EQ"),IF(OR(X945="估算法",X945="算法类"),"中",IF(X945="无法识别","低",IF(L945&lt;2,IF(N945&lt;20,"低","中"),IF(L945&lt;4,IF(N945&lt;6,"低",IF(N945&lt;20,"中","高")),IF(N945&lt;6,"中","高"))))),IF(OR(I945="ILF",I945="EIF"),IF(OR(X945="估算法",X945="算法类",X945="无法识别"),"低",IF(M945&lt;2,IF(N945&lt;51,"低","中"),IF(M945&lt;6,IF(N945&lt;20,"低",IF(N945&lt;51,"中","高")),IF(N945&lt;20,"中","高")))),"不计算")))</f>
        <v/>
      </c>
      <c r="P945" s="142">
        <f>IFERROR(IF(I945="EI",IF(O945="低",3,IF(O945="中",4,6)),IF(I945="EO",IF(O945="低",4,IF(O945="中",5,7)),IF(I945="EQ",IF(O945="低",3,IF(O945="中",4,6)),IF(I945="ILF",IF(O945="低",7,IF(O945="中",10,15)),IF(I945="EIF",IF(O945="低",5,IF(O945="中",7,10)),"不计算")))))*Q945,"不计算")</f>
        <v/>
      </c>
      <c r="Q945" s="142" t="n">
        <v>1</v>
      </c>
      <c r="R945" s="143">
        <f>调整因子!$F$13</f>
        <v/>
      </c>
      <c r="S945" s="70" t="n">
        <v>1</v>
      </c>
      <c r="T945" s="144">
        <f>IFERROR(P945*R945,0)</f>
        <v/>
      </c>
      <c r="U945" s="145">
        <f>T945*S945</f>
        <v/>
      </c>
      <c r="V945" s="96" t="inlineStr">
        <is>
          <t>漏洞处置单表、复测任务表、资产同步任务表</t>
        </is>
      </c>
      <c r="W945" s="96" t="inlineStr"/>
      <c r="X945" s="111" t="inlineStr">
        <is>
          <t>漏洞处置单表{漏洞ID、漏洞名称、漏洞等级、漏洞类型、CVE编号、发现时间、修复状态|漏洞ID、漏洞名称、漏洞等级}
复测任务表{任务ID、任务名称、任务类型、任务状态、创建时间、执行时间|任务ID、任务名称、任务类型}
资产同步任务表{资产ID、资产名称、IP地址、资产类型、资产状态、创建时间、更新时间|资产ID、资产名称、IP地址}</t>
        </is>
      </c>
      <c r="Y945" s="88" t="n"/>
      <c r="Z945" s="88" t="n"/>
    </row>
    <row r="946" hidden="1" ht="86.40000000000001" customHeight="1">
      <c r="A946" s="69">
        <f>ROW()-1</f>
        <v/>
      </c>
      <c r="B946" s="53" t="n"/>
      <c r="C946" s="117" t="n">
        <v>2026</v>
      </c>
      <c r="D946" s="64" t="n"/>
      <c r="E946" s="53" t="n"/>
      <c r="F946" s="53" t="n"/>
      <c r="G946" s="54" t="n"/>
      <c r="H946" s="96" t="inlineStr">
        <is>
          <t>查看标签分类详情</t>
        </is>
      </c>
      <c r="I946" s="76" t="inlineStr">
        <is>
          <t>EQ</t>
        </is>
      </c>
      <c r="J946" s="95" t="n"/>
      <c r="K946" s="95" t="n"/>
      <c r="L946" s="83">
        <f>IF(OR(X946="估算法",X946="算法类",X946="无法识别"),"",IF(V946="",IF(OR(I946="EI",I946="EO",I946="EQ"),0,""),LEN(V946)-LEN(SUBSTITUTE(V946,"、",""))+1))</f>
        <v/>
      </c>
      <c r="M946" s="83">
        <f>IF(OR(X946="估算法",X946="算法类",X946="无法识别"),"",IF(W946="",IF(OR(I946="ILF",I946="EIF"),0,""),LEN(W946)-LEN(SUBSTITUTE(W946,"、",""))+1))</f>
        <v/>
      </c>
      <c r="N946" s="83">
        <f>IF(OR(X946="估算法",X946="算法类",X946="无法识别"),"",IF(X946="",IF(OR(I946="ILF",I946="EIF",I946="EI",I946="EO",I946="EQ"),0,""),LEN(X946)-LEN(SUBSTITUTE(SUBSTITUTE(SUBSTITUTE(SUBSTITUTE(SUBSTITUTE(X946,"|}","--"),"{|","--"),CHAR(10),""),"、",""),"|",""))+IF(AND(OR(I946="EI",I946="EO",I946="EQ"),$AD$1="NESMA"),2,1)))</f>
        <v/>
      </c>
      <c r="O946" s="84">
        <f>IF(I946="EI",IF(OR(X946="估算法",X946="算法类"),"中",IF(X946="无法识别","低",IF(L946&lt;2,IF(N946&lt;16,"低","中"),IF(L946&lt;3,IF(N946&lt;5,"低",IF(N946&lt;16,"中","高")),IF(N946&lt;5,"中","高"))))),IF(OR(I946="EO",I946="EQ"),IF(OR(X946="估算法",X946="算法类"),"中",IF(X946="无法识别","低",IF(L946&lt;2,IF(N946&lt;20,"低","中"),IF(L946&lt;4,IF(N946&lt;6,"低",IF(N946&lt;20,"中","高")),IF(N946&lt;6,"中","高"))))),IF(OR(I946="ILF",I946="EIF"),IF(OR(X946="估算法",X946="算法类",X946="无法识别"),"低",IF(M946&lt;2,IF(N946&lt;51,"低","中"),IF(M946&lt;6,IF(N946&lt;20,"低",IF(N946&lt;51,"中","高")),IF(N946&lt;20,"中","高")))),"不计算")))</f>
        <v/>
      </c>
      <c r="P946" s="142">
        <f>IFERROR(IF(I946="EI",IF(O946="低",3,IF(O946="中",4,6)),IF(I946="EO",IF(O946="低",4,IF(O946="中",5,7)),IF(I946="EQ",IF(O946="低",3,IF(O946="中",4,6)),IF(I946="ILF",IF(O946="低",7,IF(O946="中",10,15)),IF(I946="EIF",IF(O946="低",5,IF(O946="中",7,10)),"不计算")))))*Q946,"不计算")</f>
        <v/>
      </c>
      <c r="Q946" s="142" t="n">
        <v>1</v>
      </c>
      <c r="R946" s="143">
        <f>调整因子!$F$13</f>
        <v/>
      </c>
      <c r="S946" s="76" t="n">
        <v>1</v>
      </c>
      <c r="T946" s="144">
        <f>IFERROR(P946*R946,0)</f>
        <v/>
      </c>
      <c r="U946" s="145">
        <f>T946*S946</f>
        <v/>
      </c>
      <c r="V946" s="96" t="inlineStr">
        <is>
          <t>通报模板表、任务统计数据表、考核指标配置表、推送配置表、扫描盲区记录表</t>
        </is>
      </c>
      <c r="W946" s="96" t="inlineStr"/>
      <c r="X946" s="111" t="inlineStr">
        <is>
          <t>通报模板表{ID、名称|ID、名称、类型、状态、创建时间、更新时间}
任务统计数据表{任务ID、任务名称|任务ID、任务名称、任务类型、任务状态、创建时间、执行时间}
考核指标配置表{配置ID、配置名称|配置ID、配置名称、配置类型、配置值、创建时间}
推送配置表{配置ID、配置名称|配置ID、配置名称、配置类型、配置值、创建时间}
扫描盲区记录表{任务ID、任务名称|任务ID、任务名称、任务状态、扫描器类型、开始时间、结束时间、扫描结果}</t>
        </is>
      </c>
      <c r="Y946" s="88" t="n"/>
      <c r="Z946" s="88" t="n"/>
    </row>
    <row r="947" hidden="1">
      <c r="A947" s="69">
        <f>ROW()-1</f>
        <v/>
      </c>
      <c r="B947" s="53" t="n"/>
      <c r="C947" s="117" t="n">
        <v>2026</v>
      </c>
      <c r="D947" s="64" t="n"/>
      <c r="E947" s="53" t="n"/>
      <c r="F947" s="53" t="n"/>
      <c r="G947" s="111" t="inlineStr">
        <is>
          <t>标签定义管理</t>
        </is>
      </c>
      <c r="H947" s="96" t="inlineStr">
        <is>
          <t>标签定义表</t>
        </is>
      </c>
      <c r="I947" s="76" t="inlineStr">
        <is>
          <t>ILF</t>
        </is>
      </c>
      <c r="J947" s="95" t="n"/>
      <c r="K947" s="95" t="n"/>
      <c r="L947" s="83">
        <f>IF(OR(X947="估算法",X947="算法类",X947="无法识别"),"",IF(V947="",IF(OR(I947="EI",I947="EO",I947="EQ"),0,""),LEN(V947)-LEN(SUBSTITUTE(V947,"、",""))+1))</f>
        <v/>
      </c>
      <c r="M947" s="83">
        <f>IF(OR(X947="估算法",X947="算法类",X947="无法识别"),"",IF(W947="",IF(OR(I947="ILF",I947="EIF"),0,""),LEN(W947)-LEN(SUBSTITUTE(W947,"、",""))+1))</f>
        <v/>
      </c>
      <c r="N947" s="83">
        <f>IF(OR(X947="估算法",X947="算法类",X947="无法识别"),"",IF(X947="",IF(OR(I947="ILF",I947="EIF",I947="EI",I947="EO",I947="EQ"),0,""),LEN(X947)-LEN(SUBSTITUTE(SUBSTITUTE(SUBSTITUTE(SUBSTITUTE(SUBSTITUTE(X947,"|}","--"),"{|","--"),CHAR(10),""),"、",""),"|",""))+IF(AND(OR(I947="EI",I947="EO",I947="EQ"),$AD$1="NESMA"),2,1)))</f>
        <v/>
      </c>
      <c r="O947" s="84">
        <f>IF(I947="EI",IF(OR(X947="估算法",X947="算法类"),"中",IF(X947="无法识别","低",IF(L947&lt;2,IF(N947&lt;16,"低","中"),IF(L947&lt;3,IF(N947&lt;5,"低",IF(N947&lt;16,"中","高")),IF(N947&lt;5,"中","高"))))),IF(OR(I947="EO",I947="EQ"),IF(OR(X947="估算法",X947="算法类"),"中",IF(X947="无法识别","低",IF(L947&lt;2,IF(N947&lt;20,"低","中"),IF(L947&lt;4,IF(N947&lt;6,"低",IF(N947&lt;20,"中","高")),IF(N947&lt;6,"中","高"))))),IF(OR(I947="ILF",I947="EIF"),IF(OR(X947="估算法",X947="算法类",X947="无法识别"),"低",IF(M947&lt;2,IF(N947&lt;51,"低","中"),IF(M947&lt;6,IF(N947&lt;20,"低",IF(N947&lt;51,"中","高")),IF(N947&lt;20,"中","高")))),"不计算")))</f>
        <v/>
      </c>
      <c r="P947" s="142">
        <f>IFERROR(IF(I947="EI",IF(O947="低",3,IF(O947="中",4,6)),IF(I947="EO",IF(O947="低",4,IF(O947="中",5,7)),IF(I947="EQ",IF(O947="低",3,IF(O947="中",4,6)),IF(I947="ILF",IF(O947="低",7,IF(O947="中",10,15)),IF(I947="EIF",IF(O947="低",5,IF(O947="中",7,10)),"不计算")))))*Q947,"不计算")</f>
        <v/>
      </c>
      <c r="Q947" s="142" t="n">
        <v>1</v>
      </c>
      <c r="R947" s="143">
        <f>调整因子!$F$13</f>
        <v/>
      </c>
      <c r="S947" s="70" t="n">
        <v>1</v>
      </c>
      <c r="T947" s="144">
        <f>IFERROR(P947*R947,0)</f>
        <v/>
      </c>
      <c r="U947" s="145">
        <f>T947*S947</f>
        <v/>
      </c>
      <c r="V947" s="96" t="inlineStr"/>
      <c r="W947" s="96" t="inlineStr">
        <is>
          <t>数据记录</t>
        </is>
      </c>
      <c r="X947" s="111" t="inlineStr">
        <is>
          <t>标签定义表{ID、名称、类型|ID、名称、类型、状态、创建时间、更新时间}</t>
        </is>
      </c>
      <c r="Y947" s="88">
        <f>IF(COUNTIFS(V:V,"*"&amp;H947&amp;"*")&gt;0,"存在","不存在")</f>
        <v/>
      </c>
      <c r="Z947" s="88">
        <f>IF(COUNTIFS(AA:AA,"*"&amp;H947&amp;"*")&gt;0,"存在","不存在")</f>
        <v/>
      </c>
    </row>
    <row r="948" hidden="1" ht="86.40000000000001" customHeight="1">
      <c r="A948" s="69">
        <f>ROW()-1</f>
        <v/>
      </c>
      <c r="B948" s="53" t="n"/>
      <c r="C948" s="117" t="n">
        <v>2026</v>
      </c>
      <c r="D948" s="64" t="n"/>
      <c r="E948" s="53" t="n"/>
      <c r="F948" s="53" t="n"/>
      <c r="G948" s="53" t="n"/>
      <c r="H948" s="96" t="inlineStr">
        <is>
          <t>新增标签</t>
        </is>
      </c>
      <c r="I948" s="76" t="inlineStr">
        <is>
          <t>EI</t>
        </is>
      </c>
      <c r="J948" s="95" t="n"/>
      <c r="K948" s="95" t="n"/>
      <c r="L948" s="83">
        <f>IF(OR(X948="估算法",X948="算法类",X948="无法识别"),"",IF(V948="",IF(OR(I948="EI",I948="EO",I948="EQ"),0,""),LEN(V948)-LEN(SUBSTITUTE(V948,"、",""))+1))</f>
        <v/>
      </c>
      <c r="M948" s="83">
        <f>IF(OR(X948="估算法",X948="算法类",X948="无法识别"),"",IF(W948="",IF(OR(I948="ILF",I948="EIF"),0,""),LEN(W948)-LEN(SUBSTITUTE(W948,"、",""))+1))</f>
        <v/>
      </c>
      <c r="N948" s="83">
        <f>IF(OR(X948="估算法",X948="算法类",X948="无法识别"),"",IF(X948="",IF(OR(I948="ILF",I948="EIF",I948="EI",I948="EO",I948="EQ"),0,""),LEN(X948)-LEN(SUBSTITUTE(SUBSTITUTE(SUBSTITUTE(SUBSTITUTE(SUBSTITUTE(X948,"|}","--"),"{|","--"),CHAR(10),""),"、",""),"|",""))+IF(AND(OR(I948="EI",I948="EO",I948="EQ"),$AD$1="NESMA"),2,1)))</f>
        <v/>
      </c>
      <c r="O948" s="84">
        <f>IF(I948="EI",IF(OR(X948="估算法",X948="算法类"),"中",IF(X948="无法识别","低",IF(L948&lt;2,IF(N948&lt;16,"低","中"),IF(L948&lt;3,IF(N948&lt;5,"低",IF(N948&lt;16,"中","高")),IF(N948&lt;5,"中","高"))))),IF(OR(I948="EO",I948="EQ"),IF(OR(X948="估算法",X948="算法类"),"中",IF(X948="无法识别","低",IF(L948&lt;2,IF(N948&lt;20,"低","中"),IF(L948&lt;4,IF(N948&lt;6,"低",IF(N948&lt;20,"中","高")),IF(N948&lt;6,"中","高"))))),IF(OR(I948="ILF",I948="EIF"),IF(OR(X948="估算法",X948="算法类",X948="无法识别"),"低",IF(M948&lt;2,IF(N948&lt;51,"低","中"),IF(M948&lt;6,IF(N948&lt;20,"低",IF(N948&lt;51,"中","高")),IF(N948&lt;20,"中","高")))),"不计算")))</f>
        <v/>
      </c>
      <c r="P948" s="142">
        <f>IFERROR(IF(I948="EI",IF(O948="低",3,IF(O948="中",4,6)),IF(I948="EO",IF(O948="低",4,IF(O948="中",5,7)),IF(I948="EQ",IF(O948="低",3,IF(O948="中",4,6)),IF(I948="ILF",IF(O948="低",7,IF(O948="中",10,15)),IF(I948="EIF",IF(O948="低",5,IF(O948="中",7,10)),"不计算")))))*Q948,"不计算")</f>
        <v/>
      </c>
      <c r="Q948" s="142" t="n">
        <v>1</v>
      </c>
      <c r="R948" s="143">
        <f>调整因子!$F$13</f>
        <v/>
      </c>
      <c r="S948" s="70" t="n">
        <v>1</v>
      </c>
      <c r="T948" s="144">
        <f>IFERROR(P948*R948,0)</f>
        <v/>
      </c>
      <c r="U948" s="145">
        <f>T948*S948</f>
        <v/>
      </c>
      <c r="V948" s="96" t="inlineStr">
        <is>
          <t>漏洞统计数据表、通报配置表、任务优先级配置表、验证任务表</t>
        </is>
      </c>
      <c r="W948" s="96" t="inlineStr"/>
      <c r="X948" s="111" t="inlineStr">
        <is>
          <t>漏洞统计数据表{漏洞ID、漏洞名称、漏洞等级、漏洞类型、CVE编号、发现时间、修复状态|漏洞ID、漏洞名称、漏洞等级}
通报配置表{配置ID、配置名称、配置类型、配置值、创建时间|配置ID、配置名称、配置类型}
任务优先级配置表{任务ID、任务名称、任务类型、任务状态、创建时间、执行时间|任务ID、任务名称、任务类型}
验证任务表{任务ID、任务名称、任务类型、任务状态、创建时间、执行时间|任务ID、任务名称、任务类型}</t>
        </is>
      </c>
      <c r="Y948" s="88" t="n"/>
      <c r="Z948" s="88" t="n"/>
    </row>
    <row r="949" hidden="1" ht="75.59999999999999" customHeight="1">
      <c r="A949" s="69">
        <f>ROW()-1</f>
        <v/>
      </c>
      <c r="B949" s="53" t="n"/>
      <c r="C949" s="117" t="n">
        <v>2026</v>
      </c>
      <c r="D949" s="64" t="n"/>
      <c r="E949" s="53" t="n"/>
      <c r="F949" s="53" t="n"/>
      <c r="G949" s="53" t="n"/>
      <c r="H949" s="96" t="inlineStr">
        <is>
          <t>编辑标签</t>
        </is>
      </c>
      <c r="I949" s="76" t="inlineStr">
        <is>
          <t>EI</t>
        </is>
      </c>
      <c r="J949" s="95" t="n"/>
      <c r="K949" s="95" t="n"/>
      <c r="L949" s="83">
        <f>IF(OR(X949="估算法",X949="算法类",X949="无法识别"),"",IF(V949="",IF(OR(I949="EI",I949="EO",I949="EQ"),0,""),LEN(V949)-LEN(SUBSTITUTE(V949,"、",""))+1))</f>
        <v/>
      </c>
      <c r="M949" s="83">
        <f>IF(OR(X949="估算法",X949="算法类",X949="无法识别"),"",IF(W949="",IF(OR(I949="ILF",I949="EIF"),0,""),LEN(W949)-LEN(SUBSTITUTE(W949,"、",""))+1))</f>
        <v/>
      </c>
      <c r="N949" s="83">
        <f>IF(OR(X949="估算法",X949="算法类",X949="无法识别"),"",IF(X949="",IF(OR(I949="ILF",I949="EIF",I949="EI",I949="EO",I949="EQ"),0,""),LEN(X949)-LEN(SUBSTITUTE(SUBSTITUTE(SUBSTITUTE(SUBSTITUTE(SUBSTITUTE(X949,"|}","--"),"{|","--"),CHAR(10),""),"、",""),"|",""))+IF(AND(OR(I949="EI",I949="EO",I949="EQ"),$AD$1="NESMA"),2,1)))</f>
        <v/>
      </c>
      <c r="O949" s="84">
        <f>IF(I949="EI",IF(OR(X949="估算法",X949="算法类"),"中",IF(X949="无法识别","低",IF(L949&lt;2,IF(N949&lt;16,"低","中"),IF(L949&lt;3,IF(N949&lt;5,"低",IF(N949&lt;16,"中","高")),IF(N949&lt;5,"中","高"))))),IF(OR(I949="EO",I949="EQ"),IF(OR(X949="估算法",X949="算法类"),"中",IF(X949="无法识别","低",IF(L949&lt;2,IF(N949&lt;20,"低","中"),IF(L949&lt;4,IF(N949&lt;6,"低",IF(N949&lt;20,"中","高")),IF(N949&lt;6,"中","高"))))),IF(OR(I949="ILF",I949="EIF"),IF(OR(X949="估算法",X949="算法类",X949="无法识别"),"低",IF(M949&lt;2,IF(N949&lt;51,"低","中"),IF(M949&lt;6,IF(N949&lt;20,"低",IF(N949&lt;51,"中","高")),IF(N949&lt;20,"中","高")))),"不计算")))</f>
        <v/>
      </c>
      <c r="P949" s="142">
        <f>IFERROR(IF(I949="EI",IF(O949="低",3,IF(O949="中",4,6)),IF(I949="EO",IF(O949="低",4,IF(O949="中",5,7)),IF(I949="EQ",IF(O949="低",3,IF(O949="中",4,6)),IF(I949="ILF",IF(O949="低",7,IF(O949="中",10,15)),IF(I949="EIF",IF(O949="低",5,IF(O949="中",7,10)),"不计算")))))*Q949,"不计算")</f>
        <v/>
      </c>
      <c r="Q949" s="142" t="n">
        <v>1</v>
      </c>
      <c r="R949" s="143">
        <f>调整因子!$F$13</f>
        <v/>
      </c>
      <c r="S949" s="76" t="n">
        <v>1</v>
      </c>
      <c r="T949" s="144">
        <f>IFERROR(P949*R949,0)</f>
        <v/>
      </c>
      <c r="U949" s="145">
        <f>T949*S949</f>
        <v/>
      </c>
      <c r="V949" s="96" t="inlineStr">
        <is>
          <t>推送任务表、数据清洗任务表、脱敏规则表、通报模板表</t>
        </is>
      </c>
      <c r="W949" s="96" t="inlineStr"/>
      <c r="X949" s="111" t="inlineStr">
        <is>
          <t>推送任务表{任务ID、任务名称、任务类型、任务状态、创建时间、执行时间|任务ID、任务名称、任务类型}
数据清洗任务表{任务ID、任务名称、任务类型、任务状态、创建时间、执行时间|任务ID、任务名称、任务类型}
脱敏规则表{规则ID、规则名称、规则类型、规则条件、创建时间|规则ID、规则名称、规则类型}
通报模板表{ID、名称、类型、状态、创建时间、更新时间|ID、名称、类型}</t>
        </is>
      </c>
      <c r="Y949" s="88" t="n"/>
      <c r="Z949" s="88" t="n"/>
    </row>
    <row r="950" hidden="1" ht="64.8" customHeight="1">
      <c r="A950" s="69">
        <f>ROW()-1</f>
        <v/>
      </c>
      <c r="B950" s="53" t="n"/>
      <c r="C950" s="117" t="n">
        <v>2026</v>
      </c>
      <c r="D950" s="64" t="n"/>
      <c r="E950" s="53" t="n"/>
      <c r="F950" s="53" t="n"/>
      <c r="G950" s="53" t="n"/>
      <c r="H950" s="96" t="inlineStr">
        <is>
          <t>删除标签</t>
        </is>
      </c>
      <c r="I950" s="76" t="inlineStr">
        <is>
          <t>EI</t>
        </is>
      </c>
      <c r="J950" s="95" t="n"/>
      <c r="K950" s="95" t="n"/>
      <c r="L950" s="83">
        <f>IF(OR(X950="估算法",X950="算法类",X950="无法识别"),"",IF(V950="",IF(OR(I950="EI",I950="EO",I950="EQ"),0,""),LEN(V950)-LEN(SUBSTITUTE(V950,"、",""))+1))</f>
        <v/>
      </c>
      <c r="M950" s="83">
        <f>IF(OR(X950="估算法",X950="算法类",X950="无法识别"),"",IF(W950="",IF(OR(I950="ILF",I950="EIF"),0,""),LEN(W950)-LEN(SUBSTITUTE(W950,"、",""))+1))</f>
        <v/>
      </c>
      <c r="N950" s="83">
        <f>IF(OR(X950="估算法",X950="算法类",X950="无法识别"),"",IF(X950="",IF(OR(I950="ILF",I950="EIF",I950="EI",I950="EO",I950="EQ"),0,""),LEN(X950)-LEN(SUBSTITUTE(SUBSTITUTE(SUBSTITUTE(SUBSTITUTE(SUBSTITUTE(X950,"|}","--"),"{|","--"),CHAR(10),""),"、",""),"|",""))+IF(AND(OR(I950="EI",I950="EO",I950="EQ"),$AD$1="NESMA"),2,1)))</f>
        <v/>
      </c>
      <c r="O950" s="84">
        <f>IF(I950="EI",IF(OR(X950="估算法",X950="算法类"),"中",IF(X950="无法识别","低",IF(L950&lt;2,IF(N950&lt;16,"低","中"),IF(L950&lt;3,IF(N950&lt;5,"低",IF(N950&lt;16,"中","高")),IF(N950&lt;5,"中","高"))))),IF(OR(I950="EO",I950="EQ"),IF(OR(X950="估算法",X950="算法类"),"中",IF(X950="无法识别","低",IF(L950&lt;2,IF(N950&lt;20,"低","中"),IF(L950&lt;4,IF(N950&lt;6,"低",IF(N950&lt;20,"中","高")),IF(N950&lt;6,"中","高"))))),IF(OR(I950="ILF",I950="EIF"),IF(OR(X950="估算法",X950="算法类",X950="无法识别"),"低",IF(M950&lt;2,IF(N950&lt;51,"低","中"),IF(M950&lt;6,IF(N950&lt;20,"低",IF(N950&lt;51,"中","高")),IF(N950&lt;20,"中","高")))),"不计算")))</f>
        <v/>
      </c>
      <c r="P950" s="142">
        <f>IFERROR(IF(I950="EI",IF(O950="低",3,IF(O950="中",4,6)),IF(I950="EO",IF(O950="低",4,IF(O950="中",5,7)),IF(I950="EQ",IF(O950="低",3,IF(O950="中",4,6)),IF(I950="ILF",IF(O950="低",7,IF(O950="中",10,15)),IF(I950="EIF",IF(O950="低",5,IF(O950="中",7,10)),"不计算")))))*Q950,"不计算")</f>
        <v/>
      </c>
      <c r="Q950" s="142" t="n">
        <v>0.333333333333333</v>
      </c>
      <c r="R950" s="143">
        <f>调整因子!$F$13</f>
        <v/>
      </c>
      <c r="S950" s="76" t="n">
        <v>1</v>
      </c>
      <c r="T950" s="144">
        <f>IFERROR(P950*R950,0)</f>
        <v/>
      </c>
      <c r="U950" s="145">
        <f>T950*S950</f>
        <v/>
      </c>
      <c r="V950" s="96" t="inlineStr">
        <is>
          <t>推送日志表、加密策略表、资产扫描覆盖表</t>
        </is>
      </c>
      <c r="W950" s="96" t="inlineStr"/>
      <c r="X950" s="111" t="inlineStr">
        <is>
          <t>推送日志表{日志ID、操作人、操作类型、操作时间、操作内容|日志ID、操作人、操作类型}
加密策略表{策略ID、策略名称、策略类型、策略内容、生效时间|策略ID、策略名称、策略类型}
资产扫描覆盖表{资产ID、资产名称、IP地址、资产类型、资产状态、创建时间、更新时间|资产ID、资产名称、IP地址}</t>
        </is>
      </c>
      <c r="Y950" s="88" t="n"/>
      <c r="Z950" s="88" t="n"/>
    </row>
    <row r="951" hidden="1" ht="86.40000000000001" customHeight="1">
      <c r="A951" s="69">
        <f>ROW()-1</f>
        <v/>
      </c>
      <c r="B951" s="53" t="n"/>
      <c r="C951" s="117" t="n">
        <v>2026</v>
      </c>
      <c r="D951" s="64" t="n"/>
      <c r="E951" s="53" t="n"/>
      <c r="F951" s="53" t="n"/>
      <c r="G951" s="53" t="n"/>
      <c r="H951" s="96" t="inlineStr">
        <is>
          <t>启用标签</t>
        </is>
      </c>
      <c r="I951" s="76" t="inlineStr">
        <is>
          <t>EI</t>
        </is>
      </c>
      <c r="J951" s="95" t="n"/>
      <c r="K951" s="95" t="n"/>
      <c r="L951" s="83">
        <f>IF(OR(X951="估算法",X951="算法类",X951="无法识别"),"",IF(V951="",IF(OR(I951="EI",I951="EO",I951="EQ"),0,""),LEN(V951)-LEN(SUBSTITUTE(V951,"、",""))+1))</f>
        <v/>
      </c>
      <c r="M951" s="83">
        <f>IF(OR(X951="估算法",X951="算法类",X951="无法识别"),"",IF(W951="",IF(OR(I951="ILF",I951="EIF"),0,""),LEN(W951)-LEN(SUBSTITUTE(W951,"、",""))+1))</f>
        <v/>
      </c>
      <c r="N951" s="83">
        <f>IF(OR(X951="估算法",X951="算法类",X951="无法识别"),"",IF(X951="",IF(OR(I951="ILF",I951="EIF",I951="EI",I951="EO",I951="EQ"),0,""),LEN(X951)-LEN(SUBSTITUTE(SUBSTITUTE(SUBSTITUTE(SUBSTITUTE(SUBSTITUTE(X951,"|}","--"),"{|","--"),CHAR(10),""),"、",""),"|",""))+IF(AND(OR(I951="EI",I951="EO",I951="EQ"),$AD$1="NESMA"),2,1)))</f>
        <v/>
      </c>
      <c r="O951" s="84">
        <f>IF(I951="EI",IF(OR(X951="估算法",X951="算法类"),"中",IF(X951="无法识别","低",IF(L951&lt;2,IF(N951&lt;16,"低","中"),IF(L951&lt;3,IF(N951&lt;5,"低",IF(N951&lt;16,"中","高")),IF(N951&lt;5,"中","高"))))),IF(OR(I951="EO",I951="EQ"),IF(OR(X951="估算法",X951="算法类"),"中",IF(X951="无法识别","低",IF(L951&lt;2,IF(N951&lt;20,"低","中"),IF(L951&lt;4,IF(N951&lt;6,"低",IF(N951&lt;20,"中","高")),IF(N951&lt;6,"中","高"))))),IF(OR(I951="ILF",I951="EIF"),IF(OR(X951="估算法",X951="算法类",X951="无法识别"),"低",IF(M951&lt;2,IF(N951&lt;51,"低","中"),IF(M951&lt;6,IF(N951&lt;20,"低",IF(N951&lt;51,"中","高")),IF(N951&lt;20,"中","高")))),"不计算")))</f>
        <v/>
      </c>
      <c r="P951" s="142">
        <f>IFERROR(IF(I951="EI",IF(O951="低",3,IF(O951="中",4,6)),IF(I951="EO",IF(O951="低",4,IF(O951="中",5,7)),IF(I951="EQ",IF(O951="低",3,IF(O951="中",4,6)),IF(I951="ILF",IF(O951="低",7,IF(O951="中",10,15)),IF(I951="EIF",IF(O951="低",5,IF(O951="中",7,10)),"不计算")))))*Q951,"不计算")</f>
        <v/>
      </c>
      <c r="Q951" s="142" t="n">
        <v>1</v>
      </c>
      <c r="R951" s="143">
        <f>调整因子!$F$13</f>
        <v/>
      </c>
      <c r="S951" s="70" t="n">
        <v>1</v>
      </c>
      <c r="T951" s="144">
        <f>IFERROR(P951*R951,0)</f>
        <v/>
      </c>
      <c r="U951" s="145">
        <f>T951*S951</f>
        <v/>
      </c>
      <c r="V951" s="96" t="inlineStr">
        <is>
          <t>加密规则表、漏洞处置单表、同步任务调度表、分类层级关系表、通报对象表</t>
        </is>
      </c>
      <c r="W951" s="96" t="inlineStr"/>
      <c r="X951" s="111" t="inlineStr">
        <is>
          <t>加密规则表{规则ID、规则名称、规则类型、规则条件、创建时间|规则ID、规则名称、规则类型}
漏洞处置单表{漏洞ID、漏洞名称、漏洞等级、漏洞类型、CVE编号、发现时间、修复状态|漏洞ID、漏洞名称、漏洞等级}
同步任务调度表{任务ID、任务名称、任务类型、任务状态、创建时间、执行时间|任务ID、任务名称、任务类型}
分类层级关系表{ID、名称、类型、状态、创建时间、更新时间|ID、名称、类型}
通报对象表{ID、名称、类型、状态、创建时间、更新时间|ID、名称、类型}</t>
        </is>
      </c>
      <c r="Y951" s="88" t="n"/>
      <c r="Z951" s="88" t="n"/>
    </row>
    <row r="952" hidden="1" ht="97.2" customHeight="1">
      <c r="A952" s="69">
        <f>ROW()-1</f>
        <v/>
      </c>
      <c r="B952" s="53" t="n"/>
      <c r="C952" s="117" t="n">
        <v>2026</v>
      </c>
      <c r="D952" s="64" t="n"/>
      <c r="E952" s="53" t="n"/>
      <c r="F952" s="53" t="n"/>
      <c r="G952" s="54" t="n"/>
      <c r="H952" s="96" t="inlineStr">
        <is>
          <t>停用标签</t>
        </is>
      </c>
      <c r="I952" s="76" t="n"/>
      <c r="J952" s="95" t="n"/>
      <c r="K952" s="95" t="inlineStr">
        <is>
          <t>和上行合并，启停为相同功能</t>
        </is>
      </c>
      <c r="L952" s="83">
        <f>IF(OR(X952="估算法",X952="算法类",X952="无法识别"),"",IF(V952="",IF(OR(I952="EI",I952="EO",I952="EQ"),0,""),LEN(V952)-LEN(SUBSTITUTE(V952,"、",""))+1))</f>
        <v/>
      </c>
      <c r="M952" s="83">
        <f>IF(OR(X952="估算法",X952="算法类",X952="无法识别"),"",IF(W952="",IF(OR(I952="ILF",I952="EIF"),0,""),LEN(W952)-LEN(SUBSTITUTE(W952,"、",""))+1))</f>
        <v/>
      </c>
      <c r="N952" s="83">
        <f>IF(OR(X952="估算法",X952="算法类",X952="无法识别"),"",IF(X952="",IF(OR(I952="ILF",I952="EIF",I952="EI",I952="EO",I952="EQ"),0,""),LEN(X952)-LEN(SUBSTITUTE(SUBSTITUTE(SUBSTITUTE(SUBSTITUTE(SUBSTITUTE(X952,"|}","--"),"{|","--"),CHAR(10),""),"、",""),"|",""))+IF(AND(OR(I952="EI",I952="EO",I952="EQ"),$AD$1="NESMA"),2,1)))</f>
        <v/>
      </c>
      <c r="O952" s="84">
        <f>IF(I952="EI",IF(OR(X952="估算法",X952="算法类"),"中",IF(X952="无法识别","低",IF(L952&lt;2,IF(N952&lt;16,"低","中"),IF(L952&lt;3,IF(N952&lt;5,"低",IF(N952&lt;16,"中","高")),IF(N952&lt;5,"中","高"))))),IF(OR(I952="EO",I952="EQ"),IF(OR(X952="估算法",X952="算法类"),"中",IF(X952="无法识别","低",IF(L952&lt;2,IF(N952&lt;20,"低","中"),IF(L952&lt;4,IF(N952&lt;6,"低",IF(N952&lt;20,"中","高")),IF(N952&lt;6,"中","高"))))),IF(OR(I952="ILF",I952="EIF"),IF(OR(X952="估算法",X952="算法类",X952="无法识别"),"低",IF(M952&lt;2,IF(N952&lt;51,"低","中"),IF(M952&lt;6,IF(N952&lt;20,"低",IF(N952&lt;51,"中","高")),IF(N952&lt;20,"中","高")))),"不计算")))</f>
        <v/>
      </c>
      <c r="P952" s="142">
        <f>IFERROR(IF(I952="EI",IF(O952="低",3,IF(O952="中",4,6)),IF(I952="EO",IF(O952="低",4,IF(O952="中",5,7)),IF(I952="EQ",IF(O952="低",3,IF(O952="中",4,6)),IF(I952="ILF",IF(O952="低",7,IF(O952="中",10,15)),IF(I952="EIF",IF(O952="低",5,IF(O952="中",7,10)),"不计算")))))*Q952,"不计算")</f>
        <v/>
      </c>
      <c r="Q952" s="142" t="n">
        <v>1</v>
      </c>
      <c r="R952" s="143">
        <f>调整因子!$F$13</f>
        <v/>
      </c>
      <c r="S952" s="70" t="n">
        <v>1</v>
      </c>
      <c r="T952" s="144">
        <f>IFERROR(P952*R952,0)</f>
        <v/>
      </c>
      <c r="U952" s="145">
        <f>T952*S952</f>
        <v/>
      </c>
      <c r="V952" s="96" t="inlineStr">
        <is>
          <t>复测配置表、修复方案表、验证配置表、接口监控配置表、考核指标配置表</t>
        </is>
      </c>
      <c r="W952" s="96" t="inlineStr"/>
      <c r="X952" s="111" t="inlineStr">
        <is>
          <t>复测配置表{配置ID、配置名称、配置类型、配置值、创建时间|配置ID、配置名称、配置类型}
修复方案表{ID、名称、类型、状态、创建时间、更新时间|ID、名称、类型}
验证配置表{配置ID、配置名称、配置类型、配置值、创建时间|配置ID、配置名称、配置类型}
接口监控配置表{配置ID、配置名称、配置类型、配置值、创建时间|配置ID、配置名称、配置类型}
考核指标配置表{配置ID、配置名称、配置类型、配置值、创建时间|配置ID、配置名称、配置类型}</t>
        </is>
      </c>
      <c r="Y952" s="88" t="n"/>
      <c r="Z952" s="88" t="n"/>
    </row>
    <row r="953" hidden="1" ht="54" customHeight="1">
      <c r="A953" s="69">
        <f>ROW()-1</f>
        <v/>
      </c>
      <c r="B953" s="53" t="n"/>
      <c r="C953" s="117" t="n">
        <v>2026</v>
      </c>
      <c r="D953" s="64" t="n"/>
      <c r="E953" s="53" t="n"/>
      <c r="F953" s="53" t="n"/>
      <c r="G953" s="111" t="inlineStr">
        <is>
          <t>资产打标管理</t>
        </is>
      </c>
      <c r="H953" s="96" t="inlineStr">
        <is>
          <t>启用自动打标</t>
        </is>
      </c>
      <c r="I953" s="76" t="inlineStr">
        <is>
          <t>EI</t>
        </is>
      </c>
      <c r="J953" s="95" t="n"/>
      <c r="K953" s="95" t="n"/>
      <c r="L953" s="83">
        <f>IF(OR(X953="估算法",X953="算法类",X953="无法识别"),"",IF(V953="",IF(OR(I953="EI",I953="EO",I953="EQ"),0,""),LEN(V953)-LEN(SUBSTITUTE(V953,"、",""))+1))</f>
        <v/>
      </c>
      <c r="M953" s="83">
        <f>IF(OR(X953="估算法",X953="算法类",X953="无法识别"),"",IF(W953="",IF(OR(I953="ILF",I953="EIF"),0,""),LEN(W953)-LEN(SUBSTITUTE(W953,"、",""))+1))</f>
        <v/>
      </c>
      <c r="N953" s="83">
        <f>IF(OR(X953="估算法",X953="算法类",X953="无法识别"),"",IF(X953="",IF(OR(I953="ILF",I953="EIF",I953="EI",I953="EO",I953="EQ"),0,""),LEN(X953)-LEN(SUBSTITUTE(SUBSTITUTE(SUBSTITUTE(SUBSTITUTE(SUBSTITUTE(X953,"|}","--"),"{|","--"),CHAR(10),""),"、",""),"|",""))+IF(AND(OR(I953="EI",I953="EO",I953="EQ"),$AD$1="NESMA"),2,1)))</f>
        <v/>
      </c>
      <c r="O953" s="84">
        <f>IF(I953="EI",IF(OR(X953="估算法",X953="算法类"),"中",IF(X953="无法识别","低",IF(L953&lt;2,IF(N953&lt;16,"低","中"),IF(L953&lt;3,IF(N953&lt;5,"低",IF(N953&lt;16,"中","高")),IF(N953&lt;5,"中","高"))))),IF(OR(I953="EO",I953="EQ"),IF(OR(X953="估算法",X953="算法类"),"中",IF(X953="无法识别","低",IF(L953&lt;2,IF(N953&lt;20,"低","中"),IF(L953&lt;4,IF(N953&lt;6,"低",IF(N953&lt;20,"中","高")),IF(N953&lt;6,"中","高"))))),IF(OR(I953="ILF",I953="EIF"),IF(OR(X953="估算法",X953="算法类",X953="无法识别"),"低",IF(M953&lt;2,IF(N953&lt;51,"低","中"),IF(M953&lt;6,IF(N953&lt;20,"低",IF(N953&lt;51,"中","高")),IF(N953&lt;20,"中","高")))),"不计算")))</f>
        <v/>
      </c>
      <c r="P953" s="142">
        <f>IFERROR(IF(I953="EI",IF(O953="低",3,IF(O953="中",4,6)),IF(I953="EO",IF(O953="低",4,IF(O953="中",5,7)),IF(I953="EQ",IF(O953="低",3,IF(O953="中",4,6)),IF(I953="ILF",IF(O953="低",7,IF(O953="中",10,15)),IF(I953="EIF",IF(O953="低",5,IF(O953="中",7,10)),"不计算")))))*Q953,"不计算")</f>
        <v/>
      </c>
      <c r="Q953" s="142" t="n">
        <v>1</v>
      </c>
      <c r="R953" s="143">
        <f>调整因子!$F$13</f>
        <v/>
      </c>
      <c r="S953" s="76" t="n">
        <v>1</v>
      </c>
      <c r="T953" s="144">
        <f>IFERROR(P953*R953,0)</f>
        <v/>
      </c>
      <c r="U953" s="145">
        <f>T953*S953</f>
        <v/>
      </c>
      <c r="V953" s="96" t="inlineStr">
        <is>
          <t>复测任务表、推送结果表、报表模板表</t>
        </is>
      </c>
      <c r="W953" s="96" t="inlineStr"/>
      <c r="X953" s="111" t="inlineStr">
        <is>
          <t>复测任务表{任务ID、任务名称、任务类型、任务状态、创建时间、执行时间|任务ID、任务名称、任务类型}
推送结果表{ID、名称、类型、状态、创建时间、更新时间|ID、名称、类型}
报表模板表{报表ID、报表名称、报表类型、生成时间、报表内容|报表ID、报表名称、报表类型}</t>
        </is>
      </c>
      <c r="Y953" s="88" t="n"/>
      <c r="Z953" s="88" t="n"/>
    </row>
    <row r="954" hidden="1" ht="86.40000000000001" customHeight="1">
      <c r="A954" s="69">
        <f>ROW()-1</f>
        <v/>
      </c>
      <c r="B954" s="53" t="n"/>
      <c r="C954" s="117" t="n">
        <v>2026</v>
      </c>
      <c r="D954" s="64" t="n"/>
      <c r="E954" s="53" t="n"/>
      <c r="F954" s="54" t="n"/>
      <c r="G954" s="54" t="n"/>
      <c r="H954" s="96" t="inlineStr">
        <is>
          <t>停用自动打标</t>
        </is>
      </c>
      <c r="I954" s="76" t="n"/>
      <c r="J954" s="95" t="n"/>
      <c r="K954" s="95" t="inlineStr">
        <is>
          <t>和上行合并，启停为相同功能</t>
        </is>
      </c>
      <c r="L954" s="83">
        <f>IF(OR(X954="估算法",X954="算法类",X954="无法识别"),"",IF(V954="",IF(OR(I954="EI",I954="EO",I954="EQ"),0,""),LEN(V954)-LEN(SUBSTITUTE(V954,"、",""))+1))</f>
        <v/>
      </c>
      <c r="M954" s="83">
        <f>IF(OR(X954="估算法",X954="算法类",X954="无法识别"),"",IF(W954="",IF(OR(I954="ILF",I954="EIF"),0,""),LEN(W954)-LEN(SUBSTITUTE(W954,"、",""))+1))</f>
        <v/>
      </c>
      <c r="N954" s="83">
        <f>IF(OR(X954="估算法",X954="算法类",X954="无法识别"),"",IF(X954="",IF(OR(I954="ILF",I954="EIF",I954="EI",I954="EO",I954="EQ"),0,""),LEN(X954)-LEN(SUBSTITUTE(SUBSTITUTE(SUBSTITUTE(SUBSTITUTE(SUBSTITUTE(X954,"|}","--"),"{|","--"),CHAR(10),""),"、",""),"|",""))+IF(AND(OR(I954="EI",I954="EO",I954="EQ"),$AD$1="NESMA"),2,1)))</f>
        <v/>
      </c>
      <c r="O954" s="84">
        <f>IF(I954="EI",IF(OR(X954="估算法",X954="算法类"),"中",IF(X954="无法识别","低",IF(L954&lt;2,IF(N954&lt;16,"低","中"),IF(L954&lt;3,IF(N954&lt;5,"低",IF(N954&lt;16,"中","高")),IF(N954&lt;5,"中","高"))))),IF(OR(I954="EO",I954="EQ"),IF(OR(X954="估算法",X954="算法类"),"中",IF(X954="无法识别","低",IF(L954&lt;2,IF(N954&lt;20,"低","中"),IF(L954&lt;4,IF(N954&lt;6,"低",IF(N954&lt;20,"中","高")),IF(N954&lt;6,"中","高"))))),IF(OR(I954="ILF",I954="EIF"),IF(OR(X954="估算法",X954="算法类",X954="无法识别"),"低",IF(M954&lt;2,IF(N954&lt;51,"低","中"),IF(M954&lt;6,IF(N954&lt;20,"低",IF(N954&lt;51,"中","高")),IF(N954&lt;20,"中","高")))),"不计算")))</f>
        <v/>
      </c>
      <c r="P954" s="142">
        <f>IFERROR(IF(I954="EI",IF(O954="低",3,IF(O954="中",4,6)),IF(I954="EO",IF(O954="低",4,IF(O954="中",5,7)),IF(I954="EQ",IF(O954="低",3,IF(O954="中",4,6)),IF(I954="ILF",IF(O954="低",7,IF(O954="中",10,15)),IF(I954="EIF",IF(O954="低",5,IF(O954="中",7,10)),"不计算")))))*Q954,"不计算")</f>
        <v/>
      </c>
      <c r="Q954" s="142" t="n">
        <v>1</v>
      </c>
      <c r="R954" s="143">
        <f>调整因子!$F$13</f>
        <v/>
      </c>
      <c r="S954" s="70" t="n">
        <v>1</v>
      </c>
      <c r="T954" s="144">
        <f>IFERROR(P954*R954,0)</f>
        <v/>
      </c>
      <c r="U954" s="145">
        <f>T954*S954</f>
        <v/>
      </c>
      <c r="V954" s="96" t="inlineStr">
        <is>
          <t>推送结果表、修复方案表、通报配置表、接口参数配置表、扫描盲区记录表</t>
        </is>
      </c>
      <c r="W954" s="96" t="inlineStr"/>
      <c r="X954" s="111" t="inlineStr">
        <is>
          <t>推送结果表{ID、名称、类型、状态、创建时间、更新时间|ID、名称、类型}
修复方案表{ID、名称、类型、状态、创建时间、更新时间|ID、名称、类型}
通报配置表{配置ID、配置名称、配置类型、配置值、创建时间|配置ID、配置名称、配置类型}
接口参数配置表{配置ID、配置名称、配置类型、配置值、创建时间|配置ID、配置名称、配置类型}
扫描盲区记录表{任务ID、任务名称、任务状态、扫描器类型、开始时间、结束时间、扫描结果|任务ID、任务名称、任务状态}</t>
        </is>
      </c>
      <c r="Y954" s="88" t="n"/>
      <c r="Z954" s="88" t="n"/>
    </row>
    <row r="955" hidden="1" ht="108" customHeight="1">
      <c r="A955" s="69">
        <f>ROW()-1</f>
        <v/>
      </c>
      <c r="B955" s="53" t="n"/>
      <c r="C955" s="117" t="n">
        <v>2026</v>
      </c>
      <c r="D955" s="64" t="n"/>
      <c r="E955" s="53" t="n"/>
      <c r="F955" s="111" t="inlineStr">
        <is>
          <t>资产分组管理</t>
        </is>
      </c>
      <c r="G955" s="111" t="inlineStr">
        <is>
          <t>分组定义管理</t>
        </is>
      </c>
      <c r="H955" s="96" t="inlineStr">
        <is>
          <t>新增资产分组</t>
        </is>
      </c>
      <c r="I955" s="76" t="inlineStr">
        <is>
          <t>EI</t>
        </is>
      </c>
      <c r="J955" s="95" t="n"/>
      <c r="K955" s="95" t="n"/>
      <c r="L955" s="83">
        <f>IF(OR(X955="估算法",X955="算法类",X955="无法识别"),"",IF(V955="",IF(OR(I955="EI",I955="EO",I955="EQ"),0,""),LEN(V955)-LEN(SUBSTITUTE(V955,"、",""))+1))</f>
        <v/>
      </c>
      <c r="M955" s="83">
        <f>IF(OR(X955="估算法",X955="算法类",X955="无法识别"),"",IF(W955="",IF(OR(I955="ILF",I955="EIF"),0,""),LEN(W955)-LEN(SUBSTITUTE(W955,"、",""))+1))</f>
        <v/>
      </c>
      <c r="N955" s="83">
        <f>IF(OR(X955="估算法",X955="算法类",X955="无法识别"),"",IF(X955="",IF(OR(I955="ILF",I955="EIF",I955="EI",I955="EO",I955="EQ"),0,""),LEN(X955)-LEN(SUBSTITUTE(SUBSTITUTE(SUBSTITUTE(SUBSTITUTE(SUBSTITUTE(X955,"|}","--"),"{|","--"),CHAR(10),""),"、",""),"|",""))+IF(AND(OR(I955="EI",I955="EO",I955="EQ"),$AD$1="NESMA"),2,1)))</f>
        <v/>
      </c>
      <c r="O955" s="84">
        <f>IF(I955="EI",IF(OR(X955="估算法",X955="算法类"),"中",IF(X955="无法识别","低",IF(L955&lt;2,IF(N955&lt;16,"低","中"),IF(L955&lt;3,IF(N955&lt;5,"低",IF(N955&lt;16,"中","高")),IF(N955&lt;5,"中","高"))))),IF(OR(I955="EO",I955="EQ"),IF(OR(X955="估算法",X955="算法类"),"中",IF(X955="无法识别","低",IF(L955&lt;2,IF(N955&lt;20,"低","中"),IF(L955&lt;4,IF(N955&lt;6,"低",IF(N955&lt;20,"中","高")),IF(N955&lt;6,"中","高"))))),IF(OR(I955="ILF",I955="EIF"),IF(OR(X955="估算法",X955="算法类",X955="无法识别"),"低",IF(M955&lt;2,IF(N955&lt;51,"低","中"),IF(M955&lt;6,IF(N955&lt;20,"低",IF(N955&lt;51,"中","高")),IF(N955&lt;20,"中","高")))),"不计算")))</f>
        <v/>
      </c>
      <c r="P955" s="142">
        <f>IFERROR(IF(I955="EI",IF(O955="低",3,IF(O955="中",4,6)),IF(I955="EO",IF(O955="低",4,IF(O955="中",5,7)),IF(I955="EQ",IF(O955="低",3,IF(O955="中",4,6)),IF(I955="ILF",IF(O955="低",7,IF(O955="中",10,15)),IF(I955="EIF",IF(O955="低",5,IF(O955="中",7,10)),"不计算")))))*Q955,"不计算")</f>
        <v/>
      </c>
      <c r="Q955" s="142" t="n">
        <v>1</v>
      </c>
      <c r="R955" s="143">
        <f>调整因子!$F$13</f>
        <v/>
      </c>
      <c r="S955" s="70" t="n">
        <v>1</v>
      </c>
      <c r="T955" s="144">
        <f>IFERROR(P955*R955,0)</f>
        <v/>
      </c>
      <c r="U955" s="145">
        <f>T955*S955</f>
        <v/>
      </c>
      <c r="V955" s="96" t="inlineStr">
        <is>
          <t>资产同步任务表、资产扫描覆盖表、资产查询接口配置表、扫描能力缺口表、任务日志表</t>
        </is>
      </c>
      <c r="W955" s="96" t="inlineStr"/>
      <c r="X955" s="111"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扫描能力缺口表{任务ID、任务名称、任务状态、扫描器类型、开始时间、结束时间、扫描结果|任务ID、任务名称、任务状态}
任务日志表{任务ID、任务名称、任务类型、任务状态、创建时间、执行时间|任务ID、任务名称、任务类型}</t>
        </is>
      </c>
      <c r="Y955" s="88" t="n"/>
      <c r="Z955" s="88" t="n"/>
    </row>
    <row r="956" hidden="1" ht="86.40000000000001" customHeight="1">
      <c r="A956" s="69">
        <f>ROW()-1</f>
        <v/>
      </c>
      <c r="B956" s="53" t="n"/>
      <c r="C956" s="117" t="n">
        <v>2026</v>
      </c>
      <c r="D956" s="64" t="n"/>
      <c r="E956" s="53" t="n"/>
      <c r="F956" s="53" t="n"/>
      <c r="G956" s="53" t="n"/>
      <c r="H956" s="96" t="inlineStr">
        <is>
          <t>编辑资产分组</t>
        </is>
      </c>
      <c r="I956" s="76" t="inlineStr">
        <is>
          <t>EI</t>
        </is>
      </c>
      <c r="J956" s="95" t="n"/>
      <c r="K956" s="95" t="n"/>
      <c r="L956" s="83">
        <f>IF(OR(X956="估算法",X956="算法类",X956="无法识别"),"",IF(V956="",IF(OR(I956="EI",I956="EO",I956="EQ"),0,""),LEN(V956)-LEN(SUBSTITUTE(V956,"、",""))+1))</f>
        <v/>
      </c>
      <c r="M956" s="83">
        <f>IF(OR(X956="估算法",X956="算法类",X956="无法识别"),"",IF(W956="",IF(OR(I956="ILF",I956="EIF"),0,""),LEN(W956)-LEN(SUBSTITUTE(W956,"、",""))+1))</f>
        <v/>
      </c>
      <c r="N956" s="83">
        <f>IF(OR(X956="估算法",X956="算法类",X956="无法识别"),"",IF(X956="",IF(OR(I956="ILF",I956="EIF",I956="EI",I956="EO",I956="EQ"),0,""),LEN(X956)-LEN(SUBSTITUTE(SUBSTITUTE(SUBSTITUTE(SUBSTITUTE(SUBSTITUTE(X956,"|}","--"),"{|","--"),CHAR(10),""),"、",""),"|",""))+IF(AND(OR(I956="EI",I956="EO",I956="EQ"),$AD$1="NESMA"),2,1)))</f>
        <v/>
      </c>
      <c r="O956" s="84">
        <f>IF(I956="EI",IF(OR(X956="估算法",X956="算法类"),"中",IF(X956="无法识别","低",IF(L956&lt;2,IF(N956&lt;16,"低","中"),IF(L956&lt;3,IF(N956&lt;5,"低",IF(N956&lt;16,"中","高")),IF(N956&lt;5,"中","高"))))),IF(OR(I956="EO",I956="EQ"),IF(OR(X956="估算法",X956="算法类"),"中",IF(X956="无法识别","低",IF(L956&lt;2,IF(N956&lt;20,"低","中"),IF(L956&lt;4,IF(N956&lt;6,"低",IF(N956&lt;20,"中","高")),IF(N956&lt;6,"中","高"))))),IF(OR(I956="ILF",I956="EIF"),IF(OR(X956="估算法",X956="算法类",X956="无法识别"),"低",IF(M956&lt;2,IF(N956&lt;51,"低","中"),IF(M956&lt;6,IF(N956&lt;20,"低",IF(N956&lt;51,"中","高")),IF(N956&lt;20,"中","高")))),"不计算")))</f>
        <v/>
      </c>
      <c r="P956" s="142">
        <f>IFERROR(IF(I956="EI",IF(O956="低",3,IF(O956="中",4,6)),IF(I956="EO",IF(O956="低",4,IF(O956="中",5,7)),IF(I956="EQ",IF(O956="低",3,IF(O956="中",4,6)),IF(I956="ILF",IF(O956="低",7,IF(O956="中",10,15)),IF(I956="EIF",IF(O956="低",5,IF(O956="中",7,10)),"不计算")))))*Q956,"不计算")</f>
        <v/>
      </c>
      <c r="Q956" s="142" t="n">
        <v>1</v>
      </c>
      <c r="R956" s="143">
        <f>调整因子!$F$13</f>
        <v/>
      </c>
      <c r="S956" s="76" t="n">
        <v>1</v>
      </c>
      <c r="T956" s="144">
        <f>IFERROR(P956*R956,0)</f>
        <v/>
      </c>
      <c r="U956" s="145">
        <f>T956*S956</f>
        <v/>
      </c>
      <c r="V956" s="96" t="inlineStr">
        <is>
          <t>资产同步任务表、资产扫描覆盖表、资产查询接口配置表、故障诊断结果表、报告导入记录表</t>
        </is>
      </c>
      <c r="W956" s="96" t="inlineStr"/>
      <c r="X956" s="111"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故障诊断结果表{ID、名称、类型、状态、创建时间、更新时间|ID、名称、类型}
报告导入记录表{ID、名称、类型、状态、创建时间、更新时间|ID、名称、类型}</t>
        </is>
      </c>
      <c r="Y956" s="88" t="n"/>
      <c r="Z956" s="88" t="n"/>
    </row>
    <row r="957" hidden="1" ht="64.8" customHeight="1">
      <c r="A957" s="69">
        <f>ROW()-1</f>
        <v/>
      </c>
      <c r="B957" s="53" t="n"/>
      <c r="C957" s="117" t="n">
        <v>2026</v>
      </c>
      <c r="D957" s="64" t="n"/>
      <c r="E957" s="53" t="n"/>
      <c r="F957" s="53" t="n"/>
      <c r="G957" s="53" t="n"/>
      <c r="H957" s="96" t="inlineStr">
        <is>
          <t>删除资产分组</t>
        </is>
      </c>
      <c r="I957" s="76" t="inlineStr">
        <is>
          <t>EI</t>
        </is>
      </c>
      <c r="J957" s="95" t="n"/>
      <c r="K957" s="95" t="n"/>
      <c r="L957" s="83">
        <f>IF(OR(X957="估算法",X957="算法类",X957="无法识别"),"",IF(V957="",IF(OR(I957="EI",I957="EO",I957="EQ"),0,""),LEN(V957)-LEN(SUBSTITUTE(V957,"、",""))+1))</f>
        <v/>
      </c>
      <c r="M957" s="83">
        <f>IF(OR(X957="估算法",X957="算法类",X957="无法识别"),"",IF(W957="",IF(OR(I957="ILF",I957="EIF"),0,""),LEN(W957)-LEN(SUBSTITUTE(W957,"、",""))+1))</f>
        <v/>
      </c>
      <c r="N957" s="83">
        <f>IF(OR(X957="估算法",X957="算法类",X957="无法识别"),"",IF(X957="",IF(OR(I957="ILF",I957="EIF",I957="EI",I957="EO",I957="EQ"),0,""),LEN(X957)-LEN(SUBSTITUTE(SUBSTITUTE(SUBSTITUTE(SUBSTITUTE(SUBSTITUTE(X957,"|}","--"),"{|","--"),CHAR(10),""),"、",""),"|",""))+IF(AND(OR(I957="EI",I957="EO",I957="EQ"),$AD$1="NESMA"),2,1)))</f>
        <v/>
      </c>
      <c r="O957" s="84">
        <f>IF(I957="EI",IF(OR(X957="估算法",X957="算法类"),"中",IF(X957="无法识别","低",IF(L957&lt;2,IF(N957&lt;16,"低","中"),IF(L957&lt;3,IF(N957&lt;5,"低",IF(N957&lt;16,"中","高")),IF(N957&lt;5,"中","高"))))),IF(OR(I957="EO",I957="EQ"),IF(OR(X957="估算法",X957="算法类"),"中",IF(X957="无法识别","低",IF(L957&lt;2,IF(N957&lt;20,"低","中"),IF(L957&lt;4,IF(N957&lt;6,"低",IF(N957&lt;20,"中","高")),IF(N957&lt;6,"中","高"))))),IF(OR(I957="ILF",I957="EIF"),IF(OR(X957="估算法",X957="算法类",X957="无法识别"),"低",IF(M957&lt;2,IF(N957&lt;51,"低","中"),IF(M957&lt;6,IF(N957&lt;20,"低",IF(N957&lt;51,"中","高")),IF(N957&lt;20,"中","高")))),"不计算")))</f>
        <v/>
      </c>
      <c r="P957" s="142">
        <f>IFERROR(IF(I957="EI",IF(O957="低",3,IF(O957="中",4,6)),IF(I957="EO",IF(O957="低",4,IF(O957="中",5,7)),IF(I957="EQ",IF(O957="低",3,IF(O957="中",4,6)),IF(I957="ILF",IF(O957="低",7,IF(O957="中",10,15)),IF(I957="EIF",IF(O957="低",5,IF(O957="中",7,10)),"不计算")))))*Q957,"不计算")</f>
        <v/>
      </c>
      <c r="Q957" s="142" t="n">
        <v>0.333333333333333</v>
      </c>
      <c r="R957" s="143">
        <f>调整因子!$F$13</f>
        <v/>
      </c>
      <c r="S957" s="76" t="n">
        <v>1</v>
      </c>
      <c r="T957" s="144">
        <f>IFERROR(P957*R957,0)</f>
        <v/>
      </c>
      <c r="U957" s="145">
        <f>T957*S957</f>
        <v/>
      </c>
      <c r="V957" s="96" t="inlineStr">
        <is>
          <t>资产同步任务表、资产扫描覆盖表、资产查询接口配置表</t>
        </is>
      </c>
      <c r="W957" s="96" t="inlineStr"/>
      <c r="X957" s="111"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t>
        </is>
      </c>
      <c r="Y957" s="88" t="n"/>
      <c r="Z957" s="88" t="n"/>
    </row>
    <row r="958" hidden="1" ht="108" customHeight="1">
      <c r="A958" s="69">
        <f>ROW()-1</f>
        <v/>
      </c>
      <c r="B958" s="53" t="n"/>
      <c r="C958" s="117" t="n">
        <v>2026</v>
      </c>
      <c r="D958" s="64" t="n"/>
      <c r="E958" s="53" t="n"/>
      <c r="F958" s="53" t="n"/>
      <c r="G958" s="53" t="n"/>
      <c r="H958" s="96" t="inlineStr">
        <is>
          <t>启用资产分组</t>
        </is>
      </c>
      <c r="I958" s="76" t="inlineStr">
        <is>
          <t>EI</t>
        </is>
      </c>
      <c r="J958" s="95" t="n"/>
      <c r="K958" s="95" t="n"/>
      <c r="L958" s="83">
        <f>IF(OR(X958="估算法",X958="算法类",X958="无法识别"),"",IF(V958="",IF(OR(I958="EI",I958="EO",I958="EQ"),0,""),LEN(V958)-LEN(SUBSTITUTE(V958,"、",""))+1))</f>
        <v/>
      </c>
      <c r="M958" s="83">
        <f>IF(OR(X958="估算法",X958="算法类",X958="无法识别"),"",IF(W958="",IF(OR(I958="ILF",I958="EIF"),0,""),LEN(W958)-LEN(SUBSTITUTE(W958,"、",""))+1))</f>
        <v/>
      </c>
      <c r="N958" s="83">
        <f>IF(OR(X958="估算法",X958="算法类",X958="无法识别"),"",IF(X958="",IF(OR(I958="ILF",I958="EIF",I958="EI",I958="EO",I958="EQ"),0,""),LEN(X958)-LEN(SUBSTITUTE(SUBSTITUTE(SUBSTITUTE(SUBSTITUTE(SUBSTITUTE(X958,"|}","--"),"{|","--"),CHAR(10),""),"、",""),"|",""))+IF(AND(OR(I958="EI",I958="EO",I958="EQ"),$AD$1="NESMA"),2,1)))</f>
        <v/>
      </c>
      <c r="O958" s="84">
        <f>IF(I958="EI",IF(OR(X958="估算法",X958="算法类"),"中",IF(X958="无法识别","低",IF(L958&lt;2,IF(N958&lt;16,"低","中"),IF(L958&lt;3,IF(N958&lt;5,"低",IF(N958&lt;16,"中","高")),IF(N958&lt;5,"中","高"))))),IF(OR(I958="EO",I958="EQ"),IF(OR(X958="估算法",X958="算法类"),"中",IF(X958="无法识别","低",IF(L958&lt;2,IF(N958&lt;20,"低","中"),IF(L958&lt;4,IF(N958&lt;6,"低",IF(N958&lt;20,"中","高")),IF(N958&lt;6,"中","高"))))),IF(OR(I958="ILF",I958="EIF"),IF(OR(X958="估算法",X958="算法类",X958="无法识别"),"低",IF(M958&lt;2,IF(N958&lt;51,"低","中"),IF(M958&lt;6,IF(N958&lt;20,"低",IF(N958&lt;51,"中","高")),IF(N958&lt;20,"中","高")))),"不计算")))</f>
        <v/>
      </c>
      <c r="P958" s="142">
        <f>IFERROR(IF(I958="EI",IF(O958="低",3,IF(O958="中",4,6)),IF(I958="EO",IF(O958="低",4,IF(O958="中",5,7)),IF(I958="EQ",IF(O958="低",3,IF(O958="中",4,6)),IF(I958="ILF",IF(O958="低",7,IF(O958="中",10,15)),IF(I958="EIF",IF(O958="低",5,IF(O958="中",7,10)),"不计算")))))*Q958,"不计算")</f>
        <v/>
      </c>
      <c r="Q958" s="142" t="n">
        <v>1</v>
      </c>
      <c r="R958" s="143">
        <f>调整因子!$F$13</f>
        <v/>
      </c>
      <c r="S958" s="70" t="n">
        <v>1</v>
      </c>
      <c r="T958" s="144">
        <f>IFERROR(P958*R958,0)</f>
        <v/>
      </c>
      <c r="U958" s="145">
        <f>T958*S958</f>
        <v/>
      </c>
      <c r="V958" s="96" t="inlineStr">
        <is>
          <t>资产同步任务表、资产扫描覆盖表、资产查询接口配置表、资产查询接口配置表、任务优先级配置表</t>
        </is>
      </c>
      <c r="W958" s="96" t="inlineStr"/>
      <c r="X958" s="111"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资产查询接口配置表{资产ID、资产名称、IP地址、资产类型、资产状态、创建时间、更新时间|资产ID、资产名称、IP地址}
任务优先级配置表{任务ID、任务名称、任务类型、任务状态、创建时间、执行时间|任务ID、任务名称、任务类型}</t>
        </is>
      </c>
      <c r="Y958" s="88" t="n"/>
      <c r="Z958" s="88" t="n"/>
    </row>
    <row r="959" hidden="1" ht="86.40000000000001" customHeight="1">
      <c r="A959" s="69">
        <f>ROW()-1</f>
        <v/>
      </c>
      <c r="B959" s="53" t="n"/>
      <c r="C959" s="117" t="n">
        <v>2026</v>
      </c>
      <c r="D959" s="64" t="n"/>
      <c r="E959" s="53" t="n"/>
      <c r="F959" s="53" t="n"/>
      <c r="G959" s="53" t="n"/>
      <c r="H959" s="96" t="inlineStr">
        <is>
          <t>停用资产分组</t>
        </is>
      </c>
      <c r="I959" s="76" t="n"/>
      <c r="J959" s="95" t="n"/>
      <c r="K959" s="95" t="inlineStr">
        <is>
          <t>和上行合并，启停为相同功能</t>
        </is>
      </c>
      <c r="L959" s="83">
        <f>IF(OR(X959="估算法",X959="算法类",X959="无法识别"),"",IF(V959="",IF(OR(I959="EI",I959="EO",I959="EQ"),0,""),LEN(V959)-LEN(SUBSTITUTE(V959,"、",""))+1))</f>
        <v/>
      </c>
      <c r="M959" s="83">
        <f>IF(OR(X959="估算法",X959="算法类",X959="无法识别"),"",IF(W959="",IF(OR(I959="ILF",I959="EIF"),0,""),LEN(W959)-LEN(SUBSTITUTE(W959,"、",""))+1))</f>
        <v/>
      </c>
      <c r="N959" s="83">
        <f>IF(OR(X959="估算法",X959="算法类",X959="无法识别"),"",IF(X959="",IF(OR(I959="ILF",I959="EIF",I959="EI",I959="EO",I959="EQ"),0,""),LEN(X959)-LEN(SUBSTITUTE(SUBSTITUTE(SUBSTITUTE(SUBSTITUTE(SUBSTITUTE(X959,"|}","--"),"{|","--"),CHAR(10),""),"、",""),"|",""))+IF(AND(OR(I959="EI",I959="EO",I959="EQ"),$AD$1="NESMA"),2,1)))</f>
        <v/>
      </c>
      <c r="O959" s="84">
        <f>IF(I959="EI",IF(OR(X959="估算法",X959="算法类"),"中",IF(X959="无法识别","低",IF(L959&lt;2,IF(N959&lt;16,"低","中"),IF(L959&lt;3,IF(N959&lt;5,"低",IF(N959&lt;16,"中","高")),IF(N959&lt;5,"中","高"))))),IF(OR(I959="EO",I959="EQ"),IF(OR(X959="估算法",X959="算法类"),"中",IF(X959="无法识别","低",IF(L959&lt;2,IF(N959&lt;20,"低","中"),IF(L959&lt;4,IF(N959&lt;6,"低",IF(N959&lt;20,"中","高")),IF(N959&lt;6,"中","高"))))),IF(OR(I959="ILF",I959="EIF"),IF(OR(X959="估算法",X959="算法类",X959="无法识别"),"低",IF(M959&lt;2,IF(N959&lt;51,"低","中"),IF(M959&lt;6,IF(N959&lt;20,"低",IF(N959&lt;51,"中","高")),IF(N959&lt;20,"中","高")))),"不计算")))</f>
        <v/>
      </c>
      <c r="P959" s="142">
        <f>IFERROR(IF(I959="EI",IF(O959="低",3,IF(O959="中",4,6)),IF(I959="EO",IF(O959="低",4,IF(O959="中",5,7)),IF(I959="EQ",IF(O959="低",3,IF(O959="中",4,6)),IF(I959="ILF",IF(O959="低",7,IF(O959="中",10,15)),IF(I959="EIF",IF(O959="低",5,IF(O959="中",7,10)),"不计算")))))*Q959,"不计算")</f>
        <v/>
      </c>
      <c r="Q959" s="142" t="n">
        <v>1</v>
      </c>
      <c r="R959" s="143">
        <f>调整因子!$F$13</f>
        <v/>
      </c>
      <c r="S959" s="70" t="n">
        <v>1</v>
      </c>
      <c r="T959" s="144">
        <f>IFERROR(P959*R959,0)</f>
        <v/>
      </c>
      <c r="U959" s="145">
        <f>T959*S959</f>
        <v/>
      </c>
      <c r="V959" s="96" t="inlineStr">
        <is>
          <t>资产同步任务表、资产扫描覆盖表、资产查询接口配置表、同步任务调度表</t>
        </is>
      </c>
      <c r="W959" s="96" t="inlineStr"/>
      <c r="X959" s="111"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同步任务调度表{任务ID、任务名称、任务类型、任务状态、创建时间、执行时间|任务ID、任务名称、任务类型}</t>
        </is>
      </c>
      <c r="Y959" s="88" t="n"/>
      <c r="Z959" s="88" t="n"/>
    </row>
    <row r="960" hidden="1" ht="54" customHeight="1">
      <c r="A960" s="69">
        <f>ROW()-1</f>
        <v/>
      </c>
      <c r="B960" s="53" t="n"/>
      <c r="C960" s="117" t="n">
        <v>2026</v>
      </c>
      <c r="D960" s="64" t="n"/>
      <c r="E960" s="53" t="n"/>
      <c r="F960" s="53" t="n"/>
      <c r="G960" s="53" t="n"/>
      <c r="H960" s="96" t="inlineStr">
        <is>
          <t>导出分组配置</t>
        </is>
      </c>
      <c r="I960" s="76" t="inlineStr">
        <is>
          <t>EO</t>
        </is>
      </c>
      <c r="J960" s="95" t="n"/>
      <c r="K960" s="95" t="n"/>
      <c r="L960" s="83">
        <f>IF(OR(X960="估算法",X960="算法类",X960="无法识别"),"",IF(V960="",IF(OR(I960="EI",I960="EO",I960="EQ"),0,""),LEN(V960)-LEN(SUBSTITUTE(V960,"、",""))+1))</f>
        <v/>
      </c>
      <c r="M960" s="83">
        <f>IF(OR(X960="估算法",X960="算法类",X960="无法识别"),"",IF(W960="",IF(OR(I960="ILF",I960="EIF"),0,""),LEN(W960)-LEN(SUBSTITUTE(W960,"、",""))+1))</f>
        <v/>
      </c>
      <c r="N960" s="83">
        <f>IF(OR(X960="估算法",X960="算法类",X960="无法识别"),"",IF(X960="",IF(OR(I960="ILF",I960="EIF",I960="EI",I960="EO",I960="EQ"),0,""),LEN(X960)-LEN(SUBSTITUTE(SUBSTITUTE(SUBSTITUTE(SUBSTITUTE(SUBSTITUTE(X960,"|}","--"),"{|","--"),CHAR(10),""),"、",""),"|",""))+IF(AND(OR(I960="EI",I960="EO",I960="EQ"),$AD$1="NESMA"),2,1)))</f>
        <v/>
      </c>
      <c r="O960" s="84">
        <f>IF(I960="EI",IF(OR(X960="估算法",X960="算法类"),"中",IF(X960="无法识别","低",IF(L960&lt;2,IF(N960&lt;16,"低","中"),IF(L960&lt;3,IF(N960&lt;5,"低",IF(N960&lt;16,"中","高")),IF(N960&lt;5,"中","高"))))),IF(OR(I960="EO",I960="EQ"),IF(OR(X960="估算法",X960="算法类"),"中",IF(X960="无法识别","低",IF(L960&lt;2,IF(N960&lt;20,"低","中"),IF(L960&lt;4,IF(N960&lt;6,"低",IF(N960&lt;20,"中","高")),IF(N960&lt;6,"中","高"))))),IF(OR(I960="ILF",I960="EIF"),IF(OR(X960="估算法",X960="算法类",X960="无法识别"),"低",IF(M960&lt;2,IF(N960&lt;51,"低","中"),IF(M960&lt;6,IF(N960&lt;20,"低",IF(N960&lt;51,"中","高")),IF(N960&lt;20,"中","高")))),"不计算")))</f>
        <v/>
      </c>
      <c r="P960" s="142">
        <f>IFERROR(IF(I960="EI",IF(O960="低",3,IF(O960="中",4,6)),IF(I960="EO",IF(O960="低",4,IF(O960="中",5,7)),IF(I960="EQ",IF(O960="低",3,IF(O960="中",4,6)),IF(I960="ILF",IF(O960="低",7,IF(O960="中",10,15)),IF(I960="EIF",IF(O960="低",5,IF(O960="中",7,10)),"不计算")))))*Q960,"不计算")</f>
        <v/>
      </c>
      <c r="Q960" s="142" t="n">
        <v>1</v>
      </c>
      <c r="R960" s="143">
        <f>调整因子!$F$13</f>
        <v/>
      </c>
      <c r="S960" s="76" t="n">
        <v>1</v>
      </c>
      <c r="T960" s="144">
        <f>IFERROR(P960*R960,0)</f>
        <v/>
      </c>
      <c r="U960" s="145">
        <f>T960*S960</f>
        <v/>
      </c>
      <c r="V960" s="96" t="inlineStr">
        <is>
          <t>任务优先级配置表、模板参数配置表、处置单配置表</t>
        </is>
      </c>
      <c r="W960" s="96" t="inlineStr"/>
      <c r="X960"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Y960" s="88" t="n"/>
      <c r="Z960" s="88" t="n"/>
    </row>
    <row r="961" hidden="1" ht="43.2" customHeight="1">
      <c r="A961" s="69">
        <f>ROW()-1</f>
        <v/>
      </c>
      <c r="B961" s="53" t="n"/>
      <c r="C961" s="117" t="n">
        <v>2026</v>
      </c>
      <c r="D961" s="64" t="n"/>
      <c r="E961" s="53" t="n"/>
      <c r="F961" s="53" t="n"/>
      <c r="G961" s="53" t="n"/>
      <c r="H961" s="96" t="inlineStr">
        <is>
          <t>查询分组列表</t>
        </is>
      </c>
      <c r="I961" s="76" t="inlineStr">
        <is>
          <t>EQ</t>
        </is>
      </c>
      <c r="J961" s="95" t="n"/>
      <c r="K961" s="95" t="n"/>
      <c r="L961" s="83">
        <f>IF(OR(X961="估算法",X961="算法类",X961="无法识别"),"",IF(V961="",IF(OR(I961="EI",I961="EO",I961="EQ"),0,""),LEN(V961)-LEN(SUBSTITUTE(V961,"、",""))+1))</f>
        <v/>
      </c>
      <c r="M961" s="83">
        <f>IF(OR(X961="估算法",X961="算法类",X961="无法识别"),"",IF(W961="",IF(OR(I961="ILF",I961="EIF"),0,""),LEN(W961)-LEN(SUBSTITUTE(W961,"、",""))+1))</f>
        <v/>
      </c>
      <c r="N961" s="83">
        <f>IF(OR(X961="估算法",X961="算法类",X961="无法识别"),"",IF(X961="",IF(OR(I961="ILF",I961="EIF",I961="EI",I961="EO",I961="EQ"),0,""),LEN(X961)-LEN(SUBSTITUTE(SUBSTITUTE(SUBSTITUTE(SUBSTITUTE(SUBSTITUTE(X961,"|}","--"),"{|","--"),CHAR(10),""),"、",""),"|",""))+IF(AND(OR(I961="EI",I961="EO",I961="EQ"),$AD$1="NESMA"),2,1)))</f>
        <v/>
      </c>
      <c r="O961" s="84">
        <f>IF(I961="EI",IF(OR(X961="估算法",X961="算法类"),"中",IF(X961="无法识别","低",IF(L961&lt;2,IF(N961&lt;16,"低","中"),IF(L961&lt;3,IF(N961&lt;5,"低",IF(N961&lt;16,"中","高")),IF(N961&lt;5,"中","高"))))),IF(OR(I961="EO",I961="EQ"),IF(OR(X961="估算法",X961="算法类"),"中",IF(X961="无法识别","低",IF(L961&lt;2,IF(N961&lt;20,"低","中"),IF(L961&lt;4,IF(N961&lt;6,"低",IF(N961&lt;20,"中","高")),IF(N961&lt;6,"中","高"))))),IF(OR(I961="ILF",I961="EIF"),IF(OR(X961="估算法",X961="算法类",X961="无法识别"),"低",IF(M961&lt;2,IF(N961&lt;51,"低","中"),IF(M961&lt;6,IF(N961&lt;20,"低",IF(N961&lt;51,"中","高")),IF(N961&lt;20,"中","高")))),"不计算")))</f>
        <v/>
      </c>
      <c r="P961" s="142">
        <f>IFERROR(IF(I961="EI",IF(O961="低",3,IF(O961="中",4,6)),IF(I961="EO",IF(O961="低",4,IF(O961="中",5,7)),IF(I961="EQ",IF(O961="低",3,IF(O961="中",4,6)),IF(I961="ILF",IF(O961="低",7,IF(O961="中",10,15)),IF(I961="EIF",IF(O961="低",5,IF(O961="中",7,10)),"不计算")))))*Q961,"不计算")</f>
        <v/>
      </c>
      <c r="Q961" s="142" t="n">
        <v>1</v>
      </c>
      <c r="R961" s="143">
        <f>调整因子!$F$13</f>
        <v/>
      </c>
      <c r="S961" s="70" t="n">
        <v>1</v>
      </c>
      <c r="T961" s="144">
        <f>IFERROR(P961*R961,0)</f>
        <v/>
      </c>
      <c r="U961" s="145">
        <f>T961*S961</f>
        <v/>
      </c>
      <c r="V961" s="96" t="inlineStr">
        <is>
          <t>推送日志表、资产同步任务表、通报模板表</t>
        </is>
      </c>
      <c r="W961" s="96" t="inlineStr"/>
      <c r="X961" s="111" t="inlineStr">
        <is>
          <t>推送日志表{日志ID、操作人|日志ID、操作人、操作类型、操作时间、操作内容}
资产同步任务表{资产ID、资产名称|资产ID、资产名称、IP地址、资产类型、资产状态、创建时间、更新时间}
通报模板表{ID、名称|ID、名称、类型、状态、创建时间、更新时间}</t>
        </is>
      </c>
      <c r="Y961" s="88" t="n"/>
      <c r="Z961" s="88" t="n"/>
    </row>
    <row r="962" hidden="1" ht="86.40000000000001" customHeight="1">
      <c r="A962" s="69">
        <f>ROW()-1</f>
        <v/>
      </c>
      <c r="B962" s="53" t="n"/>
      <c r="C962" s="117" t="n">
        <v>2026</v>
      </c>
      <c r="D962" s="64" t="n"/>
      <c r="E962" s="53" t="n"/>
      <c r="F962" s="53" t="n"/>
      <c r="G962" s="54" t="n"/>
      <c r="H962" s="96" t="inlineStr">
        <is>
          <t>查看分组详情</t>
        </is>
      </c>
      <c r="I962" s="76" t="inlineStr">
        <is>
          <t>EQ</t>
        </is>
      </c>
      <c r="J962" s="95" t="n"/>
      <c r="K962" s="95" t="n"/>
      <c r="L962" s="83">
        <f>IF(OR(X962="估算法",X962="算法类",X962="无法识别"),"",IF(V962="",IF(OR(I962="EI",I962="EO",I962="EQ"),0,""),LEN(V962)-LEN(SUBSTITUTE(V962,"、",""))+1))</f>
        <v/>
      </c>
      <c r="M962" s="83">
        <f>IF(OR(X962="估算法",X962="算法类",X962="无法识别"),"",IF(W962="",IF(OR(I962="ILF",I962="EIF"),0,""),LEN(W962)-LEN(SUBSTITUTE(W962,"、",""))+1))</f>
        <v/>
      </c>
      <c r="N962" s="83">
        <f>IF(OR(X962="估算法",X962="算法类",X962="无法识别"),"",IF(X962="",IF(OR(I962="ILF",I962="EIF",I962="EI",I962="EO",I962="EQ"),0,""),LEN(X962)-LEN(SUBSTITUTE(SUBSTITUTE(SUBSTITUTE(SUBSTITUTE(SUBSTITUTE(X962,"|}","--"),"{|","--"),CHAR(10),""),"、",""),"|",""))+IF(AND(OR(I962="EI",I962="EO",I962="EQ"),$AD$1="NESMA"),2,1)))</f>
        <v/>
      </c>
      <c r="O962" s="84">
        <f>IF(I962="EI",IF(OR(X962="估算法",X962="算法类"),"中",IF(X962="无法识别","低",IF(L962&lt;2,IF(N962&lt;16,"低","中"),IF(L962&lt;3,IF(N962&lt;5,"低",IF(N962&lt;16,"中","高")),IF(N962&lt;5,"中","高"))))),IF(OR(I962="EO",I962="EQ"),IF(OR(X962="估算法",X962="算法类"),"中",IF(X962="无法识别","低",IF(L962&lt;2,IF(N962&lt;20,"低","中"),IF(L962&lt;4,IF(N962&lt;6,"低",IF(N962&lt;20,"中","高")),IF(N962&lt;6,"中","高"))))),IF(OR(I962="ILF",I962="EIF"),IF(OR(X962="估算法",X962="算法类",X962="无法识别"),"低",IF(M962&lt;2,IF(N962&lt;51,"低","中"),IF(M962&lt;6,IF(N962&lt;20,"低",IF(N962&lt;51,"中","高")),IF(N962&lt;20,"中","高")))),"不计算")))</f>
        <v/>
      </c>
      <c r="P962" s="142">
        <f>IFERROR(IF(I962="EI",IF(O962="低",3,IF(O962="中",4,6)),IF(I962="EO",IF(O962="低",4,IF(O962="中",5,7)),IF(I962="EQ",IF(O962="低",3,IF(O962="中",4,6)),IF(I962="ILF",IF(O962="低",7,IF(O962="中",10,15)),IF(I962="EIF",IF(O962="低",5,IF(O962="中",7,10)),"不计算")))))*Q962,"不计算")</f>
        <v/>
      </c>
      <c r="Q962" s="142" t="n">
        <v>1</v>
      </c>
      <c r="R962" s="143">
        <f>调整因子!$F$13</f>
        <v/>
      </c>
      <c r="S962" s="70" t="n">
        <v>1</v>
      </c>
      <c r="T962" s="144">
        <f>IFERROR(P962*R962,0)</f>
        <v/>
      </c>
      <c r="U962" s="145">
        <f>T962*S962</f>
        <v/>
      </c>
      <c r="V962" s="96" t="inlineStr">
        <is>
          <t>标签分类表、资产扫描覆盖表、通报对象表、漏洞查询接口配置表、资产同步任务表</t>
        </is>
      </c>
      <c r="W962" s="96" t="inlineStr"/>
      <c r="X962" s="111" t="inlineStr">
        <is>
          <t>标签分类表{ID、名称|ID、名称、类型、状态、创建时间、更新时间}
资产扫描覆盖表{资产ID、资产名称|资产ID、资产名称、IP地址、资产类型、资产状态、创建时间、更新时间}
通报对象表{ID、名称|ID、名称、类型、状态、创建时间、更新时间}
漏洞查询接口配置表{漏洞ID、漏洞名称|漏洞ID、漏洞名称、漏洞等级、漏洞类型、CVE编号、发现时间、修复状态}
资产同步任务表{资产ID、资产名称|资产ID、资产名称、IP地址、资产类型、资产状态、创建时间、更新时间}</t>
        </is>
      </c>
      <c r="Y962" s="88" t="n"/>
      <c r="Z962" s="88" t="n"/>
    </row>
    <row r="963" hidden="1" ht="64.8" customHeight="1">
      <c r="A963" s="69">
        <f>ROW()-1</f>
        <v/>
      </c>
      <c r="B963" s="53" t="n"/>
      <c r="C963" s="117" t="n">
        <v>2026</v>
      </c>
      <c r="D963" s="64" t="n"/>
      <c r="E963" s="53" t="n"/>
      <c r="F963" s="53" t="n"/>
      <c r="G963" s="111" t="inlineStr">
        <is>
          <t>分组规则配置</t>
        </is>
      </c>
      <c r="H963" s="96" t="inlineStr">
        <is>
          <t>新增分组规则</t>
        </is>
      </c>
      <c r="I963" s="76" t="inlineStr">
        <is>
          <t>EI</t>
        </is>
      </c>
      <c r="J963" s="95" t="n"/>
      <c r="K963" s="95" t="n"/>
      <c r="L963" s="83">
        <f>IF(OR(X963="估算法",X963="算法类",X963="无法识别"),"",IF(V963="",IF(OR(I963="EI",I963="EO",I963="EQ"),0,""),LEN(V963)-LEN(SUBSTITUTE(V963,"、",""))+1))</f>
        <v/>
      </c>
      <c r="M963" s="83">
        <f>IF(OR(X963="估算法",X963="算法类",X963="无法识别"),"",IF(W963="",IF(OR(I963="ILF",I963="EIF"),0,""),LEN(W963)-LEN(SUBSTITUTE(W963,"、",""))+1))</f>
        <v/>
      </c>
      <c r="N963" s="83">
        <f>IF(OR(X963="估算法",X963="算法类",X963="无法识别"),"",IF(X963="",IF(OR(I963="ILF",I963="EIF",I963="EI",I963="EO",I963="EQ"),0,""),LEN(X963)-LEN(SUBSTITUTE(SUBSTITUTE(SUBSTITUTE(SUBSTITUTE(SUBSTITUTE(X963,"|}","--"),"{|","--"),CHAR(10),""),"、",""),"|",""))+IF(AND(OR(I963="EI",I963="EO",I963="EQ"),$AD$1="NESMA"),2,1)))</f>
        <v/>
      </c>
      <c r="O963" s="84">
        <f>IF(I963="EI",IF(OR(X963="估算法",X963="算法类"),"中",IF(X963="无法识别","低",IF(L963&lt;2,IF(N963&lt;16,"低","中"),IF(L963&lt;3,IF(N963&lt;5,"低",IF(N963&lt;16,"中","高")),IF(N963&lt;5,"中","高"))))),IF(OR(I963="EO",I963="EQ"),IF(OR(X963="估算法",X963="算法类"),"中",IF(X963="无法识别","低",IF(L963&lt;2,IF(N963&lt;20,"低","中"),IF(L963&lt;4,IF(N963&lt;6,"低",IF(N963&lt;20,"中","高")),IF(N963&lt;6,"中","高"))))),IF(OR(I963="ILF",I963="EIF"),IF(OR(X963="估算法",X963="算法类",X963="无法识别"),"低",IF(M963&lt;2,IF(N963&lt;51,"低","中"),IF(M963&lt;6,IF(N963&lt;20,"低",IF(N963&lt;51,"中","高")),IF(N963&lt;20,"中","高")))),"不计算")))</f>
        <v/>
      </c>
      <c r="P963" s="142">
        <f>IFERROR(IF(I963="EI",IF(O963="低",3,IF(O963="中",4,6)),IF(I963="EO",IF(O963="低",4,IF(O963="中",5,7)),IF(I963="EQ",IF(O963="低",3,IF(O963="中",4,6)),IF(I963="ILF",IF(O963="低",7,IF(O963="中",10,15)),IF(I963="EIF",IF(O963="低",5,IF(O963="中",7,10)),"不计算")))))*Q963,"不计算")</f>
        <v/>
      </c>
      <c r="Q963" s="142" t="n">
        <v>0.333333333333333</v>
      </c>
      <c r="R963" s="143">
        <f>调整因子!$F$13</f>
        <v/>
      </c>
      <c r="S963" s="76" t="n">
        <v>1</v>
      </c>
      <c r="T963" s="144">
        <f>IFERROR(P963*R963,0)</f>
        <v/>
      </c>
      <c r="U963" s="145">
        <f>T963*S963</f>
        <v/>
      </c>
      <c r="V963" s="96" t="inlineStr">
        <is>
          <t>推送规则表、提醒规则表、脱敏规则表</t>
        </is>
      </c>
      <c r="W963" s="96" t="inlineStr"/>
      <c r="X963"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Y963" s="88" t="n"/>
      <c r="Z963" s="88" t="n"/>
    </row>
    <row r="964" hidden="1" ht="108" customHeight="1">
      <c r="A964" s="69">
        <f>ROW()-1</f>
        <v/>
      </c>
      <c r="B964" s="53" t="n"/>
      <c r="C964" s="117" t="n">
        <v>2026</v>
      </c>
      <c r="D964" s="64" t="n"/>
      <c r="E964" s="53" t="n"/>
      <c r="F964" s="53" t="n"/>
      <c r="G964" s="53" t="n"/>
      <c r="H964" s="96" t="inlineStr">
        <is>
          <t>编辑分组规则</t>
        </is>
      </c>
      <c r="I964" s="76" t="inlineStr">
        <is>
          <t>EI</t>
        </is>
      </c>
      <c r="J964" s="95" t="n"/>
      <c r="K964" s="95" t="n"/>
      <c r="L964" s="83">
        <f>IF(OR(X964="估算法",X964="算法类",X964="无法识别"),"",IF(V964="",IF(OR(I964="EI",I964="EO",I964="EQ"),0,""),LEN(V964)-LEN(SUBSTITUTE(V964,"、",""))+1))</f>
        <v/>
      </c>
      <c r="M964" s="83">
        <f>IF(OR(X964="估算法",X964="算法类",X964="无法识别"),"",IF(W964="",IF(OR(I964="ILF",I964="EIF"),0,""),LEN(W964)-LEN(SUBSTITUTE(W964,"、",""))+1))</f>
        <v/>
      </c>
      <c r="N964" s="83">
        <f>IF(OR(X964="估算法",X964="算法类",X964="无法识别"),"",IF(X964="",IF(OR(I964="ILF",I964="EIF",I964="EI",I964="EO",I964="EQ"),0,""),LEN(X964)-LEN(SUBSTITUTE(SUBSTITUTE(SUBSTITUTE(SUBSTITUTE(SUBSTITUTE(X964,"|}","--"),"{|","--"),CHAR(10),""),"、",""),"|",""))+IF(AND(OR(I964="EI",I964="EO",I964="EQ"),$AD$1="NESMA"),2,1)))</f>
        <v/>
      </c>
      <c r="O964" s="84">
        <f>IF(I964="EI",IF(OR(X964="估算法",X964="算法类"),"中",IF(X964="无法识别","低",IF(L964&lt;2,IF(N964&lt;16,"低","中"),IF(L964&lt;3,IF(N964&lt;5,"低",IF(N964&lt;16,"中","高")),IF(N964&lt;5,"中","高"))))),IF(OR(I964="EO",I964="EQ"),IF(OR(X964="估算法",X964="算法类"),"中",IF(X964="无法识别","低",IF(L964&lt;2,IF(N964&lt;20,"低","中"),IF(L964&lt;4,IF(N964&lt;6,"低",IF(N964&lt;20,"中","高")),IF(N964&lt;6,"中","高"))))),IF(OR(I964="ILF",I964="EIF"),IF(OR(X964="估算法",X964="算法类",X964="无法识别"),"低",IF(M964&lt;2,IF(N964&lt;51,"低","中"),IF(M964&lt;6,IF(N964&lt;20,"低",IF(N964&lt;51,"中","高")),IF(N964&lt;20,"中","高")))),"不计算")))</f>
        <v/>
      </c>
      <c r="P964" s="142">
        <f>IFERROR(IF(I964="EI",IF(O964="低",3,IF(O964="中",4,6)),IF(I964="EO",IF(O964="低",4,IF(O964="中",5,7)),IF(I964="EQ",IF(O964="低",3,IF(O964="中",4,6)),IF(I964="ILF",IF(O964="低",7,IF(O964="中",10,15)),IF(I964="EIF",IF(O964="低",5,IF(O964="中",7,10)),"不计算")))))*Q964,"不计算")</f>
        <v/>
      </c>
      <c r="Q964" s="142" t="n">
        <v>0.333333333333333</v>
      </c>
      <c r="R964" s="143">
        <f>调整因子!$F$13</f>
        <v/>
      </c>
      <c r="S964" s="76" t="n">
        <v>1</v>
      </c>
      <c r="T964" s="144">
        <f>IFERROR(P964*R964,0)</f>
        <v/>
      </c>
      <c r="U964" s="145">
        <f>T964*S964</f>
        <v/>
      </c>
      <c r="V964" s="96" t="inlineStr">
        <is>
          <t>推送规则表、提醒规则表、脱敏规则表、加密规则表、考核指标配置表</t>
        </is>
      </c>
      <c r="W964" s="96" t="inlineStr"/>
      <c r="X964"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考核指标配置表{配置ID、配置名称、配置类型、配置值、创建时间|配置ID、配置名称、配置类型}</t>
        </is>
      </c>
      <c r="Y964" s="88" t="n"/>
      <c r="Z964" s="88" t="n"/>
    </row>
    <row r="965" hidden="1" ht="86.40000000000001" customHeight="1">
      <c r="A965" s="69">
        <f>ROW()-1</f>
        <v/>
      </c>
      <c r="B965" s="53" t="n"/>
      <c r="C965" s="117" t="n">
        <v>2026</v>
      </c>
      <c r="D965" s="64" t="n"/>
      <c r="E965" s="53" t="n"/>
      <c r="F965" s="53" t="n"/>
      <c r="G965" s="53" t="n"/>
      <c r="H965" s="96" t="inlineStr">
        <is>
          <t>删除分组规则</t>
        </is>
      </c>
      <c r="I965" s="76" t="inlineStr">
        <is>
          <t>EI</t>
        </is>
      </c>
      <c r="J965" s="95" t="n"/>
      <c r="K965" s="95" t="n"/>
      <c r="L965" s="83">
        <f>IF(OR(X965="估算法",X965="算法类",X965="无法识别"),"",IF(V965="",IF(OR(I965="EI",I965="EO",I965="EQ"),0,""),LEN(V965)-LEN(SUBSTITUTE(V965,"、",""))+1))</f>
        <v/>
      </c>
      <c r="M965" s="83">
        <f>IF(OR(X965="估算法",X965="算法类",X965="无法识别"),"",IF(W965="",IF(OR(I965="ILF",I965="EIF"),0,""),LEN(W965)-LEN(SUBSTITUTE(W965,"、",""))+1))</f>
        <v/>
      </c>
      <c r="N965" s="83">
        <f>IF(OR(X965="估算法",X965="算法类",X965="无法识别"),"",IF(X965="",IF(OR(I965="ILF",I965="EIF",I965="EI",I965="EO",I965="EQ"),0,""),LEN(X965)-LEN(SUBSTITUTE(SUBSTITUTE(SUBSTITUTE(SUBSTITUTE(SUBSTITUTE(X965,"|}","--"),"{|","--"),CHAR(10),""),"、",""),"|",""))+IF(AND(OR(I965="EI",I965="EO",I965="EQ"),$AD$1="NESMA"),2,1)))</f>
        <v/>
      </c>
      <c r="O965" s="84">
        <f>IF(I965="EI",IF(OR(X965="估算法",X965="算法类"),"中",IF(X965="无法识别","低",IF(L965&lt;2,IF(N965&lt;16,"低","中"),IF(L965&lt;3,IF(N965&lt;5,"低",IF(N965&lt;16,"中","高")),IF(N965&lt;5,"中","高"))))),IF(OR(I965="EO",I965="EQ"),IF(OR(X965="估算法",X965="算法类"),"中",IF(X965="无法识别","低",IF(L965&lt;2,IF(N965&lt;20,"低","中"),IF(L965&lt;4,IF(N965&lt;6,"低",IF(N965&lt;20,"中","高")),IF(N965&lt;6,"中","高"))))),IF(OR(I965="ILF",I965="EIF"),IF(OR(X965="估算法",X965="算法类",X965="无法识别"),"低",IF(M965&lt;2,IF(N965&lt;51,"低","中"),IF(M965&lt;6,IF(N965&lt;20,"低",IF(N965&lt;51,"中","高")),IF(N965&lt;20,"中","高")))),"不计算")))</f>
        <v/>
      </c>
      <c r="P965" s="142">
        <f>IFERROR(IF(I965="EI",IF(O965="低",3,IF(O965="中",4,6)),IF(I965="EO",IF(O965="低",4,IF(O965="中",5,7)),IF(I965="EQ",IF(O965="低",3,IF(O965="中",4,6)),IF(I965="ILF",IF(O965="低",7,IF(O965="中",10,15)),IF(I965="EIF",IF(O965="低",5,IF(O965="中",7,10)),"不计算")))))*Q965,"不计算")</f>
        <v/>
      </c>
      <c r="Q965" s="142" t="n">
        <v>0.333333333333333</v>
      </c>
      <c r="R965" s="143">
        <f>调整因子!$F$13</f>
        <v/>
      </c>
      <c r="S965" s="70" t="n">
        <v>1</v>
      </c>
      <c r="T965" s="144">
        <f>IFERROR(P965*R965,0)</f>
        <v/>
      </c>
      <c r="U965" s="145">
        <f>T965*S965</f>
        <v/>
      </c>
      <c r="V965" s="96" t="inlineStr">
        <is>
          <t>推送规则表、提醒规则表、脱敏规则表、加密规则表</t>
        </is>
      </c>
      <c r="W965" s="96" t="inlineStr"/>
      <c r="X965"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Y965" s="88" t="n"/>
      <c r="Z965" s="88" t="n"/>
    </row>
    <row r="966" hidden="1" ht="86.40000000000001" customHeight="1">
      <c r="A966" s="69">
        <f>ROW()-1</f>
        <v/>
      </c>
      <c r="B966" s="53" t="n"/>
      <c r="C966" s="117" t="n">
        <v>2026</v>
      </c>
      <c r="D966" s="64" t="n"/>
      <c r="E966" s="53" t="n"/>
      <c r="F966" s="53" t="n"/>
      <c r="G966" s="53" t="n"/>
      <c r="H966" s="96" t="inlineStr">
        <is>
          <t>启用分组规则</t>
        </is>
      </c>
      <c r="I966" s="76" t="inlineStr">
        <is>
          <t>EI</t>
        </is>
      </c>
      <c r="J966" s="95" t="n"/>
      <c r="K966" s="95" t="n"/>
      <c r="L966" s="83">
        <f>IF(OR(X966="估算法",X966="算法类",X966="无法识别"),"",IF(V966="",IF(OR(I966="EI",I966="EO",I966="EQ"),0,""),LEN(V966)-LEN(SUBSTITUTE(V966,"、",""))+1))</f>
        <v/>
      </c>
      <c r="M966" s="83">
        <f>IF(OR(X966="估算法",X966="算法类",X966="无法识别"),"",IF(W966="",IF(OR(I966="ILF",I966="EIF"),0,""),LEN(W966)-LEN(SUBSTITUTE(W966,"、",""))+1))</f>
        <v/>
      </c>
      <c r="N966" s="83">
        <f>IF(OR(X966="估算法",X966="算法类",X966="无法识别"),"",IF(X966="",IF(OR(I966="ILF",I966="EIF",I966="EI",I966="EO",I966="EQ"),0,""),LEN(X966)-LEN(SUBSTITUTE(SUBSTITUTE(SUBSTITUTE(SUBSTITUTE(SUBSTITUTE(X966,"|}","--"),"{|","--"),CHAR(10),""),"、",""),"|",""))+IF(AND(OR(I966="EI",I966="EO",I966="EQ"),$AD$1="NESMA"),2,1)))</f>
        <v/>
      </c>
      <c r="O966" s="84">
        <f>IF(I966="EI",IF(OR(X966="估算法",X966="算法类"),"中",IF(X966="无法识别","低",IF(L966&lt;2,IF(N966&lt;16,"低","中"),IF(L966&lt;3,IF(N966&lt;5,"低",IF(N966&lt;16,"中","高")),IF(N966&lt;5,"中","高"))))),IF(OR(I966="EO",I966="EQ"),IF(OR(X966="估算法",X966="算法类"),"中",IF(X966="无法识别","低",IF(L966&lt;2,IF(N966&lt;20,"低","中"),IF(L966&lt;4,IF(N966&lt;6,"低",IF(N966&lt;20,"中","高")),IF(N966&lt;6,"中","高"))))),IF(OR(I966="ILF",I966="EIF"),IF(OR(X966="估算法",X966="算法类",X966="无法识别"),"低",IF(M966&lt;2,IF(N966&lt;51,"低","中"),IF(M966&lt;6,IF(N966&lt;20,"低",IF(N966&lt;51,"中","高")),IF(N966&lt;20,"中","高")))),"不计算")))</f>
        <v/>
      </c>
      <c r="P966" s="142">
        <f>IFERROR(IF(I966="EI",IF(O966="低",3,IF(O966="中",4,6)),IF(I966="EO",IF(O966="低",4,IF(O966="中",5,7)),IF(I966="EQ",IF(O966="低",3,IF(O966="中",4,6)),IF(I966="ILF",IF(O966="低",7,IF(O966="中",10,15)),IF(I966="EIF",IF(O966="低",5,IF(O966="中",7,10)),"不计算")))))*Q966,"不计算")</f>
        <v/>
      </c>
      <c r="Q966" s="142" t="n">
        <v>0.333333333333333</v>
      </c>
      <c r="R966" s="143">
        <f>调整因子!$F$13</f>
        <v/>
      </c>
      <c r="S966" s="70" t="n">
        <v>1</v>
      </c>
      <c r="T966" s="144">
        <f>IFERROR(P966*R966,0)</f>
        <v/>
      </c>
      <c r="U966" s="145">
        <f>T966*S966</f>
        <v/>
      </c>
      <c r="V966" s="96" t="inlineStr">
        <is>
          <t>推送规则表、提醒规则表、脱敏规则表、加密规则表</t>
        </is>
      </c>
      <c r="W966" s="96" t="inlineStr"/>
      <c r="X966"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Y966" s="88" t="n"/>
      <c r="Z966" s="88" t="n"/>
    </row>
    <row r="967" hidden="1" ht="97.2" customHeight="1">
      <c r="A967" s="69">
        <f>ROW()-1</f>
        <v/>
      </c>
      <c r="B967" s="53" t="n"/>
      <c r="C967" s="117" t="n">
        <v>2026</v>
      </c>
      <c r="D967" s="64" t="n"/>
      <c r="E967" s="53" t="n"/>
      <c r="F967" s="53" t="n"/>
      <c r="G967" s="53" t="n"/>
      <c r="H967" s="96" t="inlineStr">
        <is>
          <t>停用分组规则</t>
        </is>
      </c>
      <c r="I967" s="76" t="n"/>
      <c r="J967" s="95" t="n"/>
      <c r="K967" s="95" t="inlineStr">
        <is>
          <t>和上行合并，启停为相同功能</t>
        </is>
      </c>
      <c r="L967" s="83">
        <f>IF(OR(X967="估算法",X967="算法类",X967="无法识别"),"",IF(V967="",IF(OR(I967="EI",I967="EO",I967="EQ"),0,""),LEN(V967)-LEN(SUBSTITUTE(V967,"、",""))+1))</f>
        <v/>
      </c>
      <c r="M967" s="83">
        <f>IF(OR(X967="估算法",X967="算法类",X967="无法识别"),"",IF(W967="",IF(OR(I967="ILF",I967="EIF"),0,""),LEN(W967)-LEN(SUBSTITUTE(W967,"、",""))+1))</f>
        <v/>
      </c>
      <c r="N967" s="83">
        <f>IF(OR(X967="估算法",X967="算法类",X967="无法识别"),"",IF(X967="",IF(OR(I967="ILF",I967="EIF",I967="EI",I967="EO",I967="EQ"),0,""),LEN(X967)-LEN(SUBSTITUTE(SUBSTITUTE(SUBSTITUTE(SUBSTITUTE(SUBSTITUTE(X967,"|}","--"),"{|","--"),CHAR(10),""),"、",""),"|",""))+IF(AND(OR(I967="EI",I967="EO",I967="EQ"),$AD$1="NESMA"),2,1)))</f>
        <v/>
      </c>
      <c r="O967" s="84">
        <f>IF(I967="EI",IF(OR(X967="估算法",X967="算法类"),"中",IF(X967="无法识别","低",IF(L967&lt;2,IF(N967&lt;16,"低","中"),IF(L967&lt;3,IF(N967&lt;5,"低",IF(N967&lt;16,"中","高")),IF(N967&lt;5,"中","高"))))),IF(OR(I967="EO",I967="EQ"),IF(OR(X967="估算法",X967="算法类"),"中",IF(X967="无法识别","低",IF(L967&lt;2,IF(N967&lt;20,"低","中"),IF(L967&lt;4,IF(N967&lt;6,"低",IF(N967&lt;20,"中","高")),IF(N967&lt;6,"中","高"))))),IF(OR(I967="ILF",I967="EIF"),IF(OR(X967="估算法",X967="算法类",X967="无法识别"),"低",IF(M967&lt;2,IF(N967&lt;51,"低","中"),IF(M967&lt;6,IF(N967&lt;20,"低",IF(N967&lt;51,"中","高")),IF(N967&lt;20,"中","高")))),"不计算")))</f>
        <v/>
      </c>
      <c r="P967" s="142">
        <f>IFERROR(IF(I967="EI",IF(O967="低",3,IF(O967="中",4,6)),IF(I967="EO",IF(O967="低",4,IF(O967="中",5,7)),IF(I967="EQ",IF(O967="低",3,IF(O967="中",4,6)),IF(I967="ILF",IF(O967="低",7,IF(O967="中",10,15)),IF(I967="EIF",IF(O967="低",5,IF(O967="中",7,10)),"不计算")))))*Q967,"不计算")</f>
        <v/>
      </c>
      <c r="Q967" s="142" t="n">
        <v>0.333333333333333</v>
      </c>
      <c r="R967" s="143">
        <f>调整因子!$F$13</f>
        <v/>
      </c>
      <c r="S967" s="76" t="n">
        <v>1</v>
      </c>
      <c r="T967" s="144">
        <f>IFERROR(P967*R967,0)</f>
        <v/>
      </c>
      <c r="U967" s="145">
        <f>T967*S967</f>
        <v/>
      </c>
      <c r="V967" s="96" t="inlineStr">
        <is>
          <t>推送规则表、提醒规则表、脱敏规则表、加密规则表、修复步骤表</t>
        </is>
      </c>
      <c r="W967" s="96" t="inlineStr"/>
      <c r="X967"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修复步骤表{ID、名称、类型、状态、创建时间、更新时间|ID、名称、类型}</t>
        </is>
      </c>
      <c r="Y967" s="88" t="n"/>
      <c r="Z967" s="88" t="n"/>
    </row>
    <row r="968" hidden="1" ht="54" customHeight="1">
      <c r="A968" s="69">
        <f>ROW()-1</f>
        <v/>
      </c>
      <c r="B968" s="53" t="n"/>
      <c r="C968" s="117" t="n">
        <v>2026</v>
      </c>
      <c r="D968" s="64" t="n"/>
      <c r="E968" s="53" t="n"/>
      <c r="F968" s="53" t="n"/>
      <c r="G968" s="53" t="n"/>
      <c r="H968" s="96" t="inlineStr">
        <is>
          <t>导出分组规则</t>
        </is>
      </c>
      <c r="I968" s="76" t="inlineStr">
        <is>
          <t>EO</t>
        </is>
      </c>
      <c r="J968" s="95" t="n"/>
      <c r="K968" s="95" t="n"/>
      <c r="L968" s="83">
        <f>IF(OR(X968="估算法",X968="算法类",X968="无法识别"),"",IF(V968="",IF(OR(I968="EI",I968="EO",I968="EQ"),0,""),LEN(V968)-LEN(SUBSTITUTE(V968,"、",""))+1))</f>
        <v/>
      </c>
      <c r="M968" s="83">
        <f>IF(OR(X968="估算法",X968="算法类",X968="无法识别"),"",IF(W968="",IF(OR(I968="ILF",I968="EIF"),0,""),LEN(W968)-LEN(SUBSTITUTE(W968,"、",""))+1))</f>
        <v/>
      </c>
      <c r="N968" s="83">
        <f>IF(OR(X968="估算法",X968="算法类",X968="无法识别"),"",IF(X968="",IF(OR(I968="ILF",I968="EIF",I968="EI",I968="EO",I968="EQ"),0,""),LEN(X968)-LEN(SUBSTITUTE(SUBSTITUTE(SUBSTITUTE(SUBSTITUTE(SUBSTITUTE(X968,"|}","--"),"{|","--"),CHAR(10),""),"、",""),"|",""))+IF(AND(OR(I968="EI",I968="EO",I968="EQ"),$AD$1="NESMA"),2,1)))</f>
        <v/>
      </c>
      <c r="O968" s="84">
        <f>IF(I968="EI",IF(OR(X968="估算法",X968="算法类"),"中",IF(X968="无法识别","低",IF(L968&lt;2,IF(N968&lt;16,"低","中"),IF(L968&lt;3,IF(N968&lt;5,"低",IF(N968&lt;16,"中","高")),IF(N968&lt;5,"中","高"))))),IF(OR(I968="EO",I968="EQ"),IF(OR(X968="估算法",X968="算法类"),"中",IF(X968="无法识别","低",IF(L968&lt;2,IF(N968&lt;20,"低","中"),IF(L968&lt;4,IF(N968&lt;6,"低",IF(N968&lt;20,"中","高")),IF(N968&lt;6,"中","高"))))),IF(OR(I968="ILF",I968="EIF"),IF(OR(X968="估算法",X968="算法类",X968="无法识别"),"低",IF(M968&lt;2,IF(N968&lt;51,"低","中"),IF(M968&lt;6,IF(N968&lt;20,"低",IF(N968&lt;51,"中","高")),IF(N968&lt;20,"中","高")))),"不计算")))</f>
        <v/>
      </c>
      <c r="P968" s="142">
        <f>IFERROR(IF(I968="EI",IF(O968="低",3,IF(O968="中",4,6)),IF(I968="EO",IF(O968="低",4,IF(O968="中",5,7)),IF(I968="EQ",IF(O968="低",3,IF(O968="中",4,6)),IF(I968="ILF",IF(O968="低",7,IF(O968="中",10,15)),IF(I968="EIF",IF(O968="低",5,IF(O968="中",7,10)),"不计算")))))*Q968,"不计算")</f>
        <v/>
      </c>
      <c r="Q968" s="142" t="n">
        <v>0.333333333333333</v>
      </c>
      <c r="R968" s="143">
        <f>调整因子!$F$13</f>
        <v/>
      </c>
      <c r="S968" s="70" t="n">
        <v>1</v>
      </c>
      <c r="T968" s="144">
        <f>IFERROR(P968*R968,0)</f>
        <v/>
      </c>
      <c r="U968" s="145">
        <f>T968*S968</f>
        <v/>
      </c>
      <c r="V968" s="96" t="inlineStr">
        <is>
          <t>推送规则表、提醒规则表、脱敏规则表、加密规则表、模板分类表</t>
        </is>
      </c>
      <c r="W968" s="96" t="inlineStr"/>
      <c r="X968"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模板分类表{ID、名称|ID、名称、类型、状态、创建时间、更新时间}</t>
        </is>
      </c>
      <c r="Y968" s="88" t="n"/>
      <c r="Z968" s="88" t="n"/>
    </row>
    <row r="969" hidden="1" ht="43.2" customHeight="1">
      <c r="A969" s="69">
        <f>ROW()-1</f>
        <v/>
      </c>
      <c r="B969" s="53" t="n"/>
      <c r="C969" s="117" t="n">
        <v>2026</v>
      </c>
      <c r="D969" s="64" t="n"/>
      <c r="E969" s="53" t="n"/>
      <c r="F969" s="53" t="n"/>
      <c r="G969" s="53" t="n"/>
      <c r="H969" s="96" t="inlineStr">
        <is>
          <t>查询分组规则</t>
        </is>
      </c>
      <c r="I969" s="76" t="inlineStr">
        <is>
          <t>EQ</t>
        </is>
      </c>
      <c r="J969" s="95" t="n"/>
      <c r="K969" s="95" t="n"/>
      <c r="L969" s="83">
        <f>IF(OR(X969="估算法",X969="算法类",X969="无法识别"),"",IF(V969="",IF(OR(I969="EI",I969="EO",I969="EQ"),0,""),LEN(V969)-LEN(SUBSTITUTE(V969,"、",""))+1))</f>
        <v/>
      </c>
      <c r="M969" s="83">
        <f>IF(OR(X969="估算法",X969="算法类",X969="无法识别"),"",IF(W969="",IF(OR(I969="ILF",I969="EIF"),0,""),LEN(W969)-LEN(SUBSTITUTE(W969,"、",""))+1))</f>
        <v/>
      </c>
      <c r="N969" s="83">
        <f>IF(OR(X969="估算法",X969="算法类",X969="无法识别"),"",IF(X969="",IF(OR(I969="ILF",I969="EIF",I969="EI",I969="EO",I969="EQ"),0,""),LEN(X969)-LEN(SUBSTITUTE(SUBSTITUTE(SUBSTITUTE(SUBSTITUTE(SUBSTITUTE(X969,"|}","--"),"{|","--"),CHAR(10),""),"、",""),"|",""))+IF(AND(OR(I969="EI",I969="EO",I969="EQ"),$AD$1="NESMA"),2,1)))</f>
        <v/>
      </c>
      <c r="O969" s="84">
        <f>IF(I969="EI",IF(OR(X969="估算法",X969="算法类"),"中",IF(X969="无法识别","低",IF(L969&lt;2,IF(N969&lt;16,"低","中"),IF(L969&lt;3,IF(N969&lt;5,"低",IF(N969&lt;16,"中","高")),IF(N969&lt;5,"中","高"))))),IF(OR(I969="EO",I969="EQ"),IF(OR(X969="估算法",X969="算法类"),"中",IF(X969="无法识别","低",IF(L969&lt;2,IF(N969&lt;20,"低","中"),IF(L969&lt;4,IF(N969&lt;6,"低",IF(N969&lt;20,"中","高")),IF(N969&lt;6,"中","高"))))),IF(OR(I969="ILF",I969="EIF"),IF(OR(X969="估算法",X969="算法类",X969="无法识别"),"低",IF(M969&lt;2,IF(N969&lt;51,"低","中"),IF(M969&lt;6,IF(N969&lt;20,"低",IF(N969&lt;51,"中","高")),IF(N969&lt;20,"中","高")))),"不计算")))</f>
        <v/>
      </c>
      <c r="P969" s="142">
        <f>IFERROR(IF(I969="EI",IF(O969="低",3,IF(O969="中",4,6)),IF(I969="EO",IF(O969="低",4,IF(O969="中",5,7)),IF(I969="EQ",IF(O969="低",3,IF(O969="中",4,6)),IF(I969="ILF",IF(O969="低",7,IF(O969="中",10,15)),IF(I969="EIF",IF(O969="低",5,IF(O969="中",7,10)),"不计算")))))*Q969,"不计算")</f>
        <v/>
      </c>
      <c r="Q969" s="142" t="n">
        <v>0.333333333333333</v>
      </c>
      <c r="R969" s="143">
        <f>调整因子!$F$13</f>
        <v/>
      </c>
      <c r="S969" s="70" t="n">
        <v>1</v>
      </c>
      <c r="T969" s="144">
        <f>IFERROR(P969*R969,0)</f>
        <v/>
      </c>
      <c r="U969" s="145">
        <f>T969*S969</f>
        <v/>
      </c>
      <c r="V969" s="96" t="inlineStr">
        <is>
          <t>推送规则表、提醒规则表、脱敏规则表、加密规则表</t>
        </is>
      </c>
      <c r="W969" s="96" t="inlineStr"/>
      <c r="X969"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Y969" s="88" t="n"/>
      <c r="Z969" s="88" t="n"/>
    </row>
    <row r="970" hidden="1" ht="32.4" customHeight="1">
      <c r="A970" s="69">
        <f>ROW()-1</f>
        <v/>
      </c>
      <c r="B970" s="53" t="n"/>
      <c r="C970" s="117" t="n">
        <v>2026</v>
      </c>
      <c r="D970" s="64" t="n"/>
      <c r="E970" s="53" t="n"/>
      <c r="F970" s="53" t="n"/>
      <c r="G970" s="54" t="n"/>
      <c r="H970" s="96" t="inlineStr">
        <is>
          <t>查看规则详情</t>
        </is>
      </c>
      <c r="I970" s="76" t="inlineStr">
        <is>
          <t>EQ</t>
        </is>
      </c>
      <c r="J970" s="95" t="n"/>
      <c r="K970" s="95" t="n"/>
      <c r="L970" s="83">
        <f>IF(OR(X970="估算法",X970="算法类",X970="无法识别"),"",IF(V970="",IF(OR(I970="EI",I970="EO",I970="EQ"),0,""),LEN(V970)-LEN(SUBSTITUTE(V970,"、",""))+1))</f>
        <v/>
      </c>
      <c r="M970" s="83">
        <f>IF(OR(X970="估算法",X970="算法类",X970="无法识别"),"",IF(W970="",IF(OR(I970="ILF",I970="EIF"),0,""),LEN(W970)-LEN(SUBSTITUTE(W970,"、",""))+1))</f>
        <v/>
      </c>
      <c r="N970" s="83">
        <f>IF(OR(X970="估算法",X970="算法类",X970="无法识别"),"",IF(X970="",IF(OR(I970="ILF",I970="EIF",I970="EI",I970="EO",I970="EQ"),0,""),LEN(X970)-LEN(SUBSTITUTE(SUBSTITUTE(SUBSTITUTE(SUBSTITUTE(SUBSTITUTE(X970,"|}","--"),"{|","--"),CHAR(10),""),"、",""),"|",""))+IF(AND(OR(I970="EI",I970="EO",I970="EQ"),$AD$1="NESMA"),2,1)))</f>
        <v/>
      </c>
      <c r="O970" s="84">
        <f>IF(I970="EI",IF(OR(X970="估算法",X970="算法类"),"中",IF(X970="无法识别","低",IF(L970&lt;2,IF(N970&lt;16,"低","中"),IF(L970&lt;3,IF(N970&lt;5,"低",IF(N970&lt;16,"中","高")),IF(N970&lt;5,"中","高"))))),IF(OR(I970="EO",I970="EQ"),IF(OR(X970="估算法",X970="算法类"),"中",IF(X970="无法识别","低",IF(L970&lt;2,IF(N970&lt;20,"低","中"),IF(L970&lt;4,IF(N970&lt;6,"低",IF(N970&lt;20,"中","高")),IF(N970&lt;6,"中","高"))))),IF(OR(I970="ILF",I970="EIF"),IF(OR(X970="估算法",X970="算法类",X970="无法识别"),"低",IF(M970&lt;2,IF(N970&lt;51,"低","中"),IF(M970&lt;6,IF(N970&lt;20,"低",IF(N970&lt;51,"中","高")),IF(N970&lt;20,"中","高")))),"不计算")))</f>
        <v/>
      </c>
      <c r="P970" s="142">
        <f>IFERROR(IF(I970="EI",IF(O970="低",3,IF(O970="中",4,6)),IF(I970="EO",IF(O970="低",4,IF(O970="中",5,7)),IF(I970="EQ",IF(O970="低",3,IF(O970="中",4,6)),IF(I970="ILF",IF(O970="低",7,IF(O970="中",10,15)),IF(I970="EIF",IF(O970="低",5,IF(O970="中",7,10)),"不计算")))))*Q970,"不计算")</f>
        <v/>
      </c>
      <c r="Q970" s="142" t="n">
        <v>0.333333333333333</v>
      </c>
      <c r="R970" s="143">
        <f>调整因子!$F$13</f>
        <v/>
      </c>
      <c r="S970" s="76" t="n">
        <v>1</v>
      </c>
      <c r="T970" s="144">
        <f>IFERROR(P970*R970,0)</f>
        <v/>
      </c>
      <c r="U970" s="145">
        <f>T970*S970</f>
        <v/>
      </c>
      <c r="V970" s="96" t="inlineStr">
        <is>
          <t>推送规则表、提醒规则表、脱敏规则表</t>
        </is>
      </c>
      <c r="W970" s="96" t="inlineStr"/>
      <c r="X970"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Y970" s="88" t="n"/>
      <c r="Z970" s="88" t="n"/>
    </row>
    <row r="971" hidden="1" ht="54" customHeight="1">
      <c r="A971" s="69">
        <f>ROW()-1</f>
        <v/>
      </c>
      <c r="B971" s="53" t="n"/>
      <c r="C971" s="117" t="n">
        <v>2026</v>
      </c>
      <c r="D971" s="64" t="n"/>
      <c r="E971" s="53" t="n"/>
      <c r="F971" s="53" t="n"/>
      <c r="G971" s="111" t="inlineStr">
        <is>
          <t>分组权限管理</t>
        </is>
      </c>
      <c r="H971" s="96" t="inlineStr">
        <is>
          <t>删除分组权限</t>
        </is>
      </c>
      <c r="I971" s="76" t="inlineStr">
        <is>
          <t>EI</t>
        </is>
      </c>
      <c r="J971" s="95" t="n"/>
      <c r="K971" s="95" t="n"/>
      <c r="L971" s="83">
        <f>IF(OR(X971="估算法",X971="算法类",X971="无法识别"),"",IF(V971="",IF(OR(I971="EI",I971="EO",I971="EQ"),0,""),LEN(V971)-LEN(SUBSTITUTE(V971,"、",""))+1))</f>
        <v/>
      </c>
      <c r="M971" s="83">
        <f>IF(OR(X971="估算法",X971="算法类",X971="无法识别"),"",IF(W971="",IF(OR(I971="ILF",I971="EIF"),0,""),LEN(W971)-LEN(SUBSTITUTE(W971,"、",""))+1))</f>
        <v/>
      </c>
      <c r="N971" s="83">
        <f>IF(OR(X971="估算法",X971="算法类",X971="无法识别"),"",IF(X971="",IF(OR(I971="ILF",I971="EIF",I971="EI",I971="EO",I971="EQ"),0,""),LEN(X971)-LEN(SUBSTITUTE(SUBSTITUTE(SUBSTITUTE(SUBSTITUTE(SUBSTITUTE(X971,"|}","--"),"{|","--"),CHAR(10),""),"、",""),"|",""))+IF(AND(OR(I971="EI",I971="EO",I971="EQ"),$AD$1="NESMA"),2,1)))</f>
        <v/>
      </c>
      <c r="O971" s="84">
        <f>IF(I971="EI",IF(OR(X971="估算法",X971="算法类"),"中",IF(X971="无法识别","低",IF(L971&lt;2,IF(N971&lt;16,"低","中"),IF(L971&lt;3,IF(N971&lt;5,"低",IF(N971&lt;16,"中","高")),IF(N971&lt;5,"中","高"))))),IF(OR(I971="EO",I971="EQ"),IF(OR(X971="估算法",X971="算法类"),"中",IF(X971="无法识别","低",IF(L971&lt;2,IF(N971&lt;20,"低","中"),IF(L971&lt;4,IF(N971&lt;6,"低",IF(N971&lt;20,"中","高")),IF(N971&lt;6,"中","高"))))),IF(OR(I971="ILF",I971="EIF"),IF(OR(X971="估算法",X971="算法类",X971="无法识别"),"低",IF(M971&lt;2,IF(N971&lt;51,"低","中"),IF(M971&lt;6,IF(N971&lt;20,"低",IF(N971&lt;51,"中","高")),IF(N971&lt;20,"中","高")))),"不计算")))</f>
        <v/>
      </c>
      <c r="P971" s="142">
        <f>IFERROR(IF(I971="EI",IF(O971="低",3,IF(O971="中",4,6)),IF(I971="EO",IF(O971="低",4,IF(O971="中",5,7)),IF(I971="EQ",IF(O971="低",3,IF(O971="中",4,6)),IF(I971="ILF",IF(O971="低",7,IF(O971="中",10,15)),IF(I971="EIF",IF(O971="低",5,IF(O971="中",7,10)),"不计算")))))*Q971,"不计算")</f>
        <v/>
      </c>
      <c r="Q971" s="142" t="n">
        <v>0.333333333333333</v>
      </c>
      <c r="R971" s="143">
        <f>调整因子!$F$13</f>
        <v/>
      </c>
      <c r="S971" s="76" t="n">
        <v>1</v>
      </c>
      <c r="T971" s="144">
        <f>IFERROR(P971*R971,0)</f>
        <v/>
      </c>
      <c r="U971" s="145">
        <f>T971*S971</f>
        <v/>
      </c>
      <c r="V971" s="96" t="inlineStr">
        <is>
          <t>验证记录表、同步任务调度表、任务故障记录表</t>
        </is>
      </c>
      <c r="W971" s="96" t="inlineStr"/>
      <c r="X971" s="111" t="inlineStr">
        <is>
          <t>验证记录表{ID、名称、类型、状态、创建时间、更新时间|ID、名称、类型}
同步任务调度表{任务ID、任务名称、任务类型、任务状态、创建时间、执行时间|任务ID、任务名称、任务类型}
任务故障记录表{任务ID、任务名称、任务类型、任务状态、创建时间、执行时间|任务ID、任务名称、任务类型}</t>
        </is>
      </c>
      <c r="Y971" s="88" t="n"/>
      <c r="Z971" s="88" t="n"/>
    </row>
    <row r="972" hidden="1" ht="32.4" customHeight="1">
      <c r="A972" s="69">
        <f>ROW()-1</f>
        <v/>
      </c>
      <c r="B972" s="53" t="n"/>
      <c r="C972" s="117" t="n">
        <v>2026</v>
      </c>
      <c r="D972" s="64" t="n"/>
      <c r="E972" s="53" t="n"/>
      <c r="F972" s="54" t="n"/>
      <c r="G972" s="54" t="n"/>
      <c r="H972" s="96" t="inlineStr">
        <is>
          <t>查看权限详情</t>
        </is>
      </c>
      <c r="I972" s="76" t="inlineStr">
        <is>
          <t>EQ</t>
        </is>
      </c>
      <c r="J972" s="95" t="n"/>
      <c r="K972" s="95" t="n"/>
      <c r="L972" s="83">
        <f>IF(OR(X972="估算法",X972="算法类",X972="无法识别"),"",IF(V972="",IF(OR(I972="EI",I972="EO",I972="EQ"),0,""),LEN(V972)-LEN(SUBSTITUTE(V972,"、",""))+1))</f>
        <v/>
      </c>
      <c r="M972" s="83">
        <f>IF(OR(X972="估算法",X972="算法类",X972="无法识别"),"",IF(W972="",IF(OR(I972="ILF",I972="EIF"),0,""),LEN(W972)-LEN(SUBSTITUTE(W972,"、",""))+1))</f>
        <v/>
      </c>
      <c r="N972" s="83">
        <f>IF(OR(X972="估算法",X972="算法类",X972="无法识别"),"",IF(X972="",IF(OR(I972="ILF",I972="EIF",I972="EI",I972="EO",I972="EQ"),0,""),LEN(X972)-LEN(SUBSTITUTE(SUBSTITUTE(SUBSTITUTE(SUBSTITUTE(SUBSTITUTE(X972,"|}","--"),"{|","--"),CHAR(10),""),"、",""),"|",""))+IF(AND(OR(I972="EI",I972="EO",I972="EQ"),$AD$1="NESMA"),2,1)))</f>
        <v/>
      </c>
      <c r="O972" s="84">
        <f>IF(I972="EI",IF(OR(X972="估算法",X972="算法类"),"中",IF(X972="无法识别","低",IF(L972&lt;2,IF(N972&lt;16,"低","中"),IF(L972&lt;3,IF(N972&lt;5,"低",IF(N972&lt;16,"中","高")),IF(N972&lt;5,"中","高"))))),IF(OR(I972="EO",I972="EQ"),IF(OR(X972="估算法",X972="算法类"),"中",IF(X972="无法识别","低",IF(L972&lt;2,IF(N972&lt;20,"低","中"),IF(L972&lt;4,IF(N972&lt;6,"低",IF(N972&lt;20,"中","高")),IF(N972&lt;6,"中","高"))))),IF(OR(I972="ILF",I972="EIF"),IF(OR(X972="估算法",X972="算法类",X972="无法识别"),"低",IF(M972&lt;2,IF(N972&lt;51,"低","中"),IF(M972&lt;6,IF(N972&lt;20,"低",IF(N972&lt;51,"中","高")),IF(N972&lt;20,"中","高")))),"不计算")))</f>
        <v/>
      </c>
      <c r="P972" s="142">
        <f>IFERROR(IF(I972="EI",IF(O972="低",3,IF(O972="中",4,6)),IF(I972="EO",IF(O972="低",4,IF(O972="中",5,7)),IF(I972="EQ",IF(O972="低",3,IF(O972="中",4,6)),IF(I972="ILF",IF(O972="低",7,IF(O972="中",10,15)),IF(I972="EIF",IF(O972="低",5,IF(O972="中",7,10)),"不计算")))))*Q972,"不计算")</f>
        <v/>
      </c>
      <c r="Q972" s="142" t="n">
        <v>1</v>
      </c>
      <c r="R972" s="143">
        <f>调整因子!$F$13</f>
        <v/>
      </c>
      <c r="S972" s="70" t="n">
        <v>1</v>
      </c>
      <c r="T972" s="144">
        <f>IFERROR(P972*R972,0)</f>
        <v/>
      </c>
      <c r="U972" s="145">
        <f>T972*S972</f>
        <v/>
      </c>
      <c r="V972" s="96" t="inlineStr">
        <is>
          <t>推送规则表、报告解析结果表、性能数据表</t>
        </is>
      </c>
      <c r="W972" s="96" t="inlineStr"/>
      <c r="X972" s="111" t="inlineStr">
        <is>
          <t>推送规则表{规则ID、规则名称|规则ID、规则名称、规则类型、规则条件、创建时间}
报告解析结果表{ID、名称|ID、名称、类型、状态、创建时间、更新时间}
性能数据表{ID、名称|ID、名称、类型、状态、创建时间、更新时间}</t>
        </is>
      </c>
      <c r="Y972" s="88" t="n"/>
      <c r="Z972" s="88" t="n"/>
    </row>
    <row r="973" hidden="1" ht="21.6" customHeight="1">
      <c r="A973" s="69">
        <f>ROW()-1</f>
        <v/>
      </c>
      <c r="B973" s="53" t="n"/>
      <c r="C973" s="117" t="n">
        <v>2026</v>
      </c>
      <c r="D973" s="64" t="n"/>
      <c r="E973" s="53" t="n"/>
      <c r="F973" s="111" t="inlineStr">
        <is>
          <t>资产同步历史与审计</t>
        </is>
      </c>
      <c r="G973" s="111" t="inlineStr">
        <is>
          <t>同步任务管理</t>
        </is>
      </c>
      <c r="H973" s="96" t="inlineStr">
        <is>
          <t>资产同步任务表</t>
        </is>
      </c>
      <c r="I973" s="76" t="inlineStr">
        <is>
          <t>ILF</t>
        </is>
      </c>
      <c r="J973" s="95" t="n"/>
      <c r="K973" s="95" t="n"/>
      <c r="L973" s="83">
        <f>IF(OR(X973="估算法",X973="算法类",X973="无法识别"),"",IF(V973="",IF(OR(I973="EI",I973="EO",I973="EQ"),0,""),LEN(V973)-LEN(SUBSTITUTE(V973,"、",""))+1))</f>
        <v/>
      </c>
      <c r="M973" s="83">
        <f>IF(OR(X973="估算法",X973="算法类",X973="无法识别"),"",IF(W973="",IF(OR(I973="ILF",I973="EIF"),0,""),LEN(W973)-LEN(SUBSTITUTE(W973,"、",""))+1))</f>
        <v/>
      </c>
      <c r="N973" s="83">
        <f>IF(OR(X973="估算法",X973="算法类",X973="无法识别"),"",IF(X973="",IF(OR(I973="ILF",I973="EIF",I973="EI",I973="EO",I973="EQ"),0,""),LEN(X973)-LEN(SUBSTITUTE(SUBSTITUTE(SUBSTITUTE(SUBSTITUTE(SUBSTITUTE(X973,"|}","--"),"{|","--"),CHAR(10),""),"、",""),"|",""))+IF(AND(OR(I973="EI",I973="EO",I973="EQ"),$AD$1="NESMA"),2,1)))</f>
        <v/>
      </c>
      <c r="O973" s="84">
        <f>IF(I973="EI",IF(OR(X973="估算法",X973="算法类"),"中",IF(X973="无法识别","低",IF(L973&lt;2,IF(N973&lt;16,"低","中"),IF(L973&lt;3,IF(N973&lt;5,"低",IF(N973&lt;16,"中","高")),IF(N973&lt;5,"中","高"))))),IF(OR(I973="EO",I973="EQ"),IF(OR(X973="估算法",X973="算法类"),"中",IF(X973="无法识别","低",IF(L973&lt;2,IF(N973&lt;20,"低","中"),IF(L973&lt;4,IF(N973&lt;6,"低",IF(N973&lt;20,"中","高")),IF(N973&lt;6,"中","高"))))),IF(OR(I973="ILF",I973="EIF"),IF(OR(X973="估算法",X973="算法类",X973="无法识别"),"低",IF(M973&lt;2,IF(N973&lt;51,"低","中"),IF(M973&lt;6,IF(N973&lt;20,"低",IF(N973&lt;51,"中","高")),IF(N973&lt;20,"中","高")))),"不计算")))</f>
        <v/>
      </c>
      <c r="P973" s="142">
        <f>IFERROR(IF(I973="EI",IF(O973="低",3,IF(O973="中",4,6)),IF(I973="EO",IF(O973="低",4,IF(O973="中",5,7)),IF(I973="EQ",IF(O973="低",3,IF(O973="中",4,6)),IF(I973="ILF",IF(O973="低",7,IF(O973="中",10,15)),IF(I973="EIF",IF(O973="低",5,IF(O973="中",7,10)),"不计算")))))*Q973,"不计算")</f>
        <v/>
      </c>
      <c r="Q973" s="142" t="n">
        <v>1</v>
      </c>
      <c r="R973" s="143">
        <f>调整因子!$F$13</f>
        <v/>
      </c>
      <c r="S973" s="70" t="n">
        <v>1</v>
      </c>
      <c r="T973" s="144">
        <f>IFERROR(P973*R973,0)</f>
        <v/>
      </c>
      <c r="U973" s="145">
        <f>T973*S973</f>
        <v/>
      </c>
      <c r="V973" s="96" t="inlineStr"/>
      <c r="W973" s="96" t="inlineStr">
        <is>
          <t>主机资产、网站资产、业务系统资产</t>
        </is>
      </c>
      <c r="X973" s="111" t="inlineStr">
        <is>
          <t>资产同步任务表{资产ID、资产名称、IP地址|资产ID、资产名称、IP地址、资产类型、资产状态、创建时间、更新时间}</t>
        </is>
      </c>
      <c r="Y973" s="88">
        <f>IF(COUNTIFS(V:V,"*"&amp;H973&amp;"*")&gt;0,"存在","不存在")</f>
        <v/>
      </c>
      <c r="Z973" s="88">
        <f>IF(COUNTIFS(AA:AA,"*"&amp;H973&amp;"*")&gt;0,"存在","不存在")</f>
        <v/>
      </c>
    </row>
    <row r="974" hidden="1" ht="21.6" customHeight="1">
      <c r="A974" s="69">
        <f>ROW()-1</f>
        <v/>
      </c>
      <c r="B974" s="53" t="n"/>
      <c r="C974" s="117" t="n">
        <v>2026</v>
      </c>
      <c r="D974" s="64" t="n"/>
      <c r="E974" s="53" t="n"/>
      <c r="F974" s="53" t="n"/>
      <c r="G974" s="53" t="n"/>
      <c r="H974" s="96" t="inlineStr">
        <is>
          <t>同步任务调度表</t>
        </is>
      </c>
      <c r="I974" s="76" t="inlineStr">
        <is>
          <t>ILF</t>
        </is>
      </c>
      <c r="J974" s="95" t="n"/>
      <c r="K974" s="95" t="n"/>
      <c r="L974" s="83">
        <f>IF(OR(X974="估算法",X974="算法类",X974="无法识别"),"",IF(V974="",IF(OR(I974="EI",I974="EO",I974="EQ"),0,""),LEN(V974)-LEN(SUBSTITUTE(V974,"、",""))+1))</f>
        <v/>
      </c>
      <c r="M974" s="83">
        <f>IF(OR(X974="估算法",X974="算法类",X974="无法识别"),"",IF(W974="",IF(OR(I974="ILF",I974="EIF"),0,""),LEN(W974)-LEN(SUBSTITUTE(W974,"、",""))+1))</f>
        <v/>
      </c>
      <c r="N974" s="83">
        <f>IF(OR(X974="估算法",X974="算法类",X974="无法识别"),"",IF(X974="",IF(OR(I974="ILF",I974="EIF",I974="EI",I974="EO",I974="EQ"),0,""),LEN(X974)-LEN(SUBSTITUTE(SUBSTITUTE(SUBSTITUTE(SUBSTITUTE(SUBSTITUTE(X974,"|}","--"),"{|","--"),CHAR(10),""),"、",""),"|",""))+IF(AND(OR(I974="EI",I974="EO",I974="EQ"),$AD$1="NESMA"),2,1)))</f>
        <v/>
      </c>
      <c r="O974" s="84">
        <f>IF(I974="EI",IF(OR(X974="估算法",X974="算法类"),"中",IF(X974="无法识别","低",IF(L974&lt;2,IF(N974&lt;16,"低","中"),IF(L974&lt;3,IF(N974&lt;5,"低",IF(N974&lt;16,"中","高")),IF(N974&lt;5,"中","高"))))),IF(OR(I974="EO",I974="EQ"),IF(OR(X974="估算法",X974="算法类"),"中",IF(X974="无法识别","低",IF(L974&lt;2,IF(N974&lt;20,"低","中"),IF(L974&lt;4,IF(N974&lt;6,"低",IF(N974&lt;20,"中","高")),IF(N974&lt;6,"中","高"))))),IF(OR(I974="ILF",I974="EIF"),IF(OR(X974="估算法",X974="算法类",X974="无法识别"),"低",IF(M974&lt;2,IF(N974&lt;51,"低","中"),IF(M974&lt;6,IF(N974&lt;20,"低",IF(N974&lt;51,"中","高")),IF(N974&lt;20,"中","高")))),"不计算")))</f>
        <v/>
      </c>
      <c r="P974" s="142">
        <f>IFERROR(IF(I974="EI",IF(O974="低",3,IF(O974="中",4,6)),IF(I974="EO",IF(O974="低",4,IF(O974="中",5,7)),IF(I974="EQ",IF(O974="低",3,IF(O974="中",4,6)),IF(I974="ILF",IF(O974="低",7,IF(O974="中",10,15)),IF(I974="EIF",IF(O974="低",5,IF(O974="中",7,10)),"不计算")))))*Q974,"不计算")</f>
        <v/>
      </c>
      <c r="Q974" s="142" t="n">
        <v>1</v>
      </c>
      <c r="R974" s="143">
        <f>调整因子!$F$13</f>
        <v/>
      </c>
      <c r="S974" s="76" t="n">
        <v>1</v>
      </c>
      <c r="T974" s="144">
        <f>IFERROR(P974*R974,0)</f>
        <v/>
      </c>
      <c r="U974" s="145">
        <f>T974*S974</f>
        <v/>
      </c>
      <c r="V974" s="96" t="inlineStr"/>
      <c r="W974" s="96" t="inlineStr">
        <is>
          <t>扫描任务、发现任务、口令猜测任务</t>
        </is>
      </c>
      <c r="X974" s="111" t="inlineStr">
        <is>
          <t>同步任务调度表{任务ID、任务名称、任务类型|任务ID、任务名称、任务类型、任务状态、创建时间、执行时间}</t>
        </is>
      </c>
      <c r="Y974" s="88">
        <f>IF(COUNTIFS(V:V,"*"&amp;H974&amp;"*")&gt;0,"存在","不存在")</f>
        <v/>
      </c>
      <c r="Z974" s="88">
        <f>IF(COUNTIFS(AA:AA,"*"&amp;H974&amp;"*")&gt;0,"存在","不存在")</f>
        <v/>
      </c>
    </row>
    <row r="975" hidden="1">
      <c r="A975" s="69">
        <f>ROW()-1</f>
        <v/>
      </c>
      <c r="B975" s="53" t="n"/>
      <c r="C975" s="117" t="n">
        <v>2026</v>
      </c>
      <c r="D975" s="64" t="n"/>
      <c r="E975" s="53" t="n"/>
      <c r="F975" s="53" t="n"/>
      <c r="G975" s="53" t="n"/>
      <c r="H975" s="96" t="inlineStr">
        <is>
          <t>同步失败重试记录表</t>
        </is>
      </c>
      <c r="I975" s="76" t="inlineStr">
        <is>
          <t>ILF</t>
        </is>
      </c>
      <c r="J975" s="95" t="n"/>
      <c r="K975" s="95" t="n"/>
      <c r="L975" s="83">
        <f>IF(OR(X975="估算法",X975="算法类",X975="无法识别"),"",IF(V975="",IF(OR(I975="EI",I975="EO",I975="EQ"),0,""),LEN(V975)-LEN(SUBSTITUTE(V975,"、",""))+1))</f>
        <v/>
      </c>
      <c r="M975" s="83">
        <f>IF(OR(X975="估算法",X975="算法类",X975="无法识别"),"",IF(W975="",IF(OR(I975="ILF",I975="EIF"),0,""),LEN(W975)-LEN(SUBSTITUTE(W975,"、",""))+1))</f>
        <v/>
      </c>
      <c r="N975" s="83">
        <f>IF(OR(X975="估算法",X975="算法类",X975="无法识别"),"",IF(X975="",IF(OR(I975="ILF",I975="EIF",I975="EI",I975="EO",I975="EQ"),0,""),LEN(X975)-LEN(SUBSTITUTE(SUBSTITUTE(SUBSTITUTE(SUBSTITUTE(SUBSTITUTE(X975,"|}","--"),"{|","--"),CHAR(10),""),"、",""),"|",""))+IF(AND(OR(I975="EI",I975="EO",I975="EQ"),$AD$1="NESMA"),2,1)))</f>
        <v/>
      </c>
      <c r="O975" s="84">
        <f>IF(I975="EI",IF(OR(X975="估算法",X975="算法类"),"中",IF(X975="无法识别","低",IF(L975&lt;2,IF(N975&lt;16,"低","中"),IF(L975&lt;3,IF(N975&lt;5,"低",IF(N975&lt;16,"中","高")),IF(N975&lt;5,"中","高"))))),IF(OR(I975="EO",I975="EQ"),IF(OR(X975="估算法",X975="算法类"),"中",IF(X975="无法识别","低",IF(L975&lt;2,IF(N975&lt;20,"低","中"),IF(L975&lt;4,IF(N975&lt;6,"低",IF(N975&lt;20,"中","高")),IF(N975&lt;6,"中","高"))))),IF(OR(I975="ILF",I975="EIF"),IF(OR(X975="估算法",X975="算法类",X975="无法识别"),"低",IF(M975&lt;2,IF(N975&lt;51,"低","中"),IF(M975&lt;6,IF(N975&lt;20,"低",IF(N975&lt;51,"中","高")),IF(N975&lt;20,"中","高")))),"不计算")))</f>
        <v/>
      </c>
      <c r="P975" s="142">
        <f>IFERROR(IF(I975="EI",IF(O975="低",3,IF(O975="中",4,6)),IF(I975="EO",IF(O975="低",4,IF(O975="中",5,7)),IF(I975="EQ",IF(O975="低",3,IF(O975="中",4,6)),IF(I975="ILF",IF(O975="低",7,IF(O975="中",10,15)),IF(I975="EIF",IF(O975="低",5,IF(O975="中",7,10)),"不计算")))))*Q975,"不计算")</f>
        <v/>
      </c>
      <c r="Q975" s="142" t="n">
        <v>1</v>
      </c>
      <c r="R975" s="143">
        <f>调整因子!$F$13</f>
        <v/>
      </c>
      <c r="S975" s="70" t="n">
        <v>1</v>
      </c>
      <c r="T975" s="144">
        <f>IFERROR(P975*R975,0)</f>
        <v/>
      </c>
      <c r="U975" s="145">
        <f>T975*S975</f>
        <v/>
      </c>
      <c r="V975" s="96" t="inlineStr"/>
      <c r="W975" s="96" t="inlineStr">
        <is>
          <t>数据记录</t>
        </is>
      </c>
      <c r="X975" s="111" t="inlineStr">
        <is>
          <t>同步失败重试记录表{ID、名称、类型|ID、名称、类型、状态、创建时间、更新时间}</t>
        </is>
      </c>
      <c r="Y975" s="88">
        <f>IF(COUNTIFS(V:V,"*"&amp;H975&amp;"*")&gt;0,"存在","不存在")</f>
        <v/>
      </c>
      <c r="Z975" s="88">
        <f>IF(COUNTIFS(AA:AA,"*"&amp;H975&amp;"*")&gt;0,"存在","不存在")</f>
        <v/>
      </c>
    </row>
    <row r="976" hidden="1" ht="64.8" customHeight="1">
      <c r="A976" s="69">
        <f>ROW()-1</f>
        <v/>
      </c>
      <c r="B976" s="53" t="n"/>
      <c r="C976" s="117" t="n">
        <v>2026</v>
      </c>
      <c r="D976" s="64" t="n"/>
      <c r="E976" s="53" t="n"/>
      <c r="F976" s="53" t="n"/>
      <c r="G976" s="53" t="n"/>
      <c r="H976" s="96" t="inlineStr">
        <is>
          <t>创建同步任务</t>
        </is>
      </c>
      <c r="I976" s="76" t="inlineStr">
        <is>
          <t>EI</t>
        </is>
      </c>
      <c r="J976" s="95" t="n"/>
      <c r="K976" s="95" t="n"/>
      <c r="L976" s="83">
        <f>IF(OR(X976="估算法",X976="算法类",X976="无法识别"),"",IF(V976="",IF(OR(I976="EI",I976="EO",I976="EQ"),0,""),LEN(V976)-LEN(SUBSTITUTE(V976,"、",""))+1))</f>
        <v/>
      </c>
      <c r="M976" s="83">
        <f>IF(OR(X976="估算法",X976="算法类",X976="无法识别"),"",IF(W976="",IF(OR(I976="ILF",I976="EIF"),0,""),LEN(W976)-LEN(SUBSTITUTE(W976,"、",""))+1))</f>
        <v/>
      </c>
      <c r="N976" s="83">
        <f>IF(OR(X976="估算法",X976="算法类",X976="无法识别"),"",IF(X976="",IF(OR(I976="ILF",I976="EIF",I976="EI",I976="EO",I976="EQ"),0,""),LEN(X976)-LEN(SUBSTITUTE(SUBSTITUTE(SUBSTITUTE(SUBSTITUTE(SUBSTITUTE(X976,"|}","--"),"{|","--"),CHAR(10),""),"、",""),"|",""))+IF(AND(OR(I976="EI",I976="EO",I976="EQ"),$AD$1="NESMA"),2,1)))</f>
        <v/>
      </c>
      <c r="O976" s="84">
        <f>IF(I976="EI",IF(OR(X976="估算法",X976="算法类"),"中",IF(X976="无法识别","低",IF(L976&lt;2,IF(N976&lt;16,"低","中"),IF(L976&lt;3,IF(N976&lt;5,"低",IF(N976&lt;16,"中","高")),IF(N976&lt;5,"中","高"))))),IF(OR(I976="EO",I976="EQ"),IF(OR(X976="估算法",X976="算法类"),"中",IF(X976="无法识别","低",IF(L976&lt;2,IF(N976&lt;20,"低","中"),IF(L976&lt;4,IF(N976&lt;6,"低",IF(N976&lt;20,"中","高")),IF(N976&lt;6,"中","高"))))),IF(OR(I976="ILF",I976="EIF"),IF(OR(X976="估算法",X976="算法类",X976="无法识别"),"低",IF(M976&lt;2,IF(N976&lt;51,"低","中"),IF(M976&lt;6,IF(N976&lt;20,"低",IF(N976&lt;51,"中","高")),IF(N976&lt;20,"中","高")))),"不计算")))</f>
        <v/>
      </c>
      <c r="P976" s="142">
        <f>IFERROR(IF(I976="EI",IF(O976="低",3,IF(O976="中",4,6)),IF(I976="EO",IF(O976="低",4,IF(O976="中",5,7)),IF(I976="EQ",IF(O976="低",3,IF(O976="中",4,6)),IF(I976="ILF",IF(O976="低",7,IF(O976="中",10,15)),IF(I976="EIF",IF(O976="低",5,IF(O976="中",7,10)),"不计算")))))*Q976,"不计算")</f>
        <v/>
      </c>
      <c r="Q976" s="142" t="n">
        <v>1</v>
      </c>
      <c r="R976" s="143">
        <f>调整因子!$F$13</f>
        <v/>
      </c>
      <c r="S976" s="70" t="n">
        <v>1</v>
      </c>
      <c r="T976" s="144">
        <f>IFERROR(P976*R976,0)</f>
        <v/>
      </c>
      <c r="U976" s="145">
        <f>T976*S976</f>
        <v/>
      </c>
      <c r="V976" s="96" t="inlineStr">
        <is>
          <t>数据清洗任务表、资产同步任务表、同步任务调度表</t>
        </is>
      </c>
      <c r="W976" s="96" t="inlineStr"/>
      <c r="X976"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Y976" s="88" t="n"/>
      <c r="Z976" s="88" t="n"/>
    </row>
    <row r="977" hidden="1" ht="108" customHeight="1">
      <c r="A977" s="69">
        <f>ROW()-1</f>
        <v/>
      </c>
      <c r="B977" s="53" t="n"/>
      <c r="C977" s="117" t="n">
        <v>2026</v>
      </c>
      <c r="D977" s="64" t="n"/>
      <c r="E977" s="53" t="n"/>
      <c r="F977" s="53" t="n"/>
      <c r="G977" s="53" t="n"/>
      <c r="H977" s="96" t="inlineStr">
        <is>
          <t>编辑同步任务</t>
        </is>
      </c>
      <c r="I977" s="76" t="inlineStr">
        <is>
          <t>EI</t>
        </is>
      </c>
      <c r="J977" s="95" t="n"/>
      <c r="K977" s="95" t="n"/>
      <c r="L977" s="83">
        <f>IF(OR(X977="估算法",X977="算法类",X977="无法识别"),"",IF(V977="",IF(OR(I977="EI",I977="EO",I977="EQ"),0,""),LEN(V977)-LEN(SUBSTITUTE(V977,"、",""))+1))</f>
        <v/>
      </c>
      <c r="M977" s="83">
        <f>IF(OR(X977="估算法",X977="算法类",X977="无法识别"),"",IF(W977="",IF(OR(I977="ILF",I977="EIF"),0,""),LEN(W977)-LEN(SUBSTITUTE(W977,"、",""))+1))</f>
        <v/>
      </c>
      <c r="N977" s="83">
        <f>IF(OR(X977="估算法",X977="算法类",X977="无法识别"),"",IF(X977="",IF(OR(I977="ILF",I977="EIF",I977="EI",I977="EO",I977="EQ"),0,""),LEN(X977)-LEN(SUBSTITUTE(SUBSTITUTE(SUBSTITUTE(SUBSTITUTE(SUBSTITUTE(X977,"|}","--"),"{|","--"),CHAR(10),""),"、",""),"|",""))+IF(AND(OR(I977="EI",I977="EO",I977="EQ"),$AD$1="NESMA"),2,1)))</f>
        <v/>
      </c>
      <c r="O977" s="84">
        <f>IF(I977="EI",IF(OR(X977="估算法",X977="算法类"),"中",IF(X977="无法识别","低",IF(L977&lt;2,IF(N977&lt;16,"低","中"),IF(L977&lt;3,IF(N977&lt;5,"低",IF(N977&lt;16,"中","高")),IF(N977&lt;5,"中","高"))))),IF(OR(I977="EO",I977="EQ"),IF(OR(X977="估算法",X977="算法类"),"中",IF(X977="无法识别","低",IF(L977&lt;2,IF(N977&lt;20,"低","中"),IF(L977&lt;4,IF(N977&lt;6,"低",IF(N977&lt;20,"中","高")),IF(N977&lt;6,"中","高"))))),IF(OR(I977="ILF",I977="EIF"),IF(OR(X977="估算法",X977="算法类",X977="无法识别"),"低",IF(M977&lt;2,IF(N977&lt;51,"低","中"),IF(M977&lt;6,IF(N977&lt;20,"低",IF(N977&lt;51,"中","高")),IF(N977&lt;20,"中","高")))),"不计算")))</f>
        <v/>
      </c>
      <c r="P977" s="142">
        <f>IFERROR(IF(I977="EI",IF(O977="低",3,IF(O977="中",4,6)),IF(I977="EO",IF(O977="低",4,IF(O977="中",5,7)),IF(I977="EQ",IF(O977="低",3,IF(O977="中",4,6)),IF(I977="ILF",IF(O977="低",7,IF(O977="中",10,15)),IF(I977="EIF",IF(O977="低",5,IF(O977="中",7,10)),"不计算")))))*Q977,"不计算")</f>
        <v/>
      </c>
      <c r="Q977" s="142" t="n">
        <v>1</v>
      </c>
      <c r="R977" s="143">
        <f>调整因子!$F$13</f>
        <v/>
      </c>
      <c r="S977" s="76" t="n">
        <v>1</v>
      </c>
      <c r="T977" s="144">
        <f>IFERROR(P977*R977,0)</f>
        <v/>
      </c>
      <c r="U977" s="145">
        <f>T977*S977</f>
        <v/>
      </c>
      <c r="V977" s="96" t="inlineStr">
        <is>
          <t>数据清洗任务表、资产同步任务表、同步任务调度表、任务统计数据表、任务趋势分析表</t>
        </is>
      </c>
      <c r="W977" s="96" t="inlineStr"/>
      <c r="X977"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Y977" s="88" t="n"/>
      <c r="Z977" s="88" t="n"/>
    </row>
    <row r="978" hidden="1" ht="86.40000000000001" customHeight="1">
      <c r="A978" s="69">
        <f>ROW()-1</f>
        <v/>
      </c>
      <c r="B978" s="53" t="n"/>
      <c r="C978" s="117" t="n">
        <v>2026</v>
      </c>
      <c r="D978" s="64" t="n"/>
      <c r="E978" s="53" t="n"/>
      <c r="F978" s="53" t="n"/>
      <c r="G978" s="53" t="n"/>
      <c r="H978" s="96" t="inlineStr">
        <is>
          <t>删除同步任务</t>
        </is>
      </c>
      <c r="I978" s="76" t="inlineStr">
        <is>
          <t>EI</t>
        </is>
      </c>
      <c r="J978" s="95" t="n"/>
      <c r="K978" s="95" t="n"/>
      <c r="L978" s="83">
        <f>IF(OR(X978="估算法",X978="算法类",X978="无法识别"),"",IF(V978="",IF(OR(I978="EI",I978="EO",I978="EQ"),0,""),LEN(V978)-LEN(SUBSTITUTE(V978,"、",""))+1))</f>
        <v/>
      </c>
      <c r="M978" s="83">
        <f>IF(OR(X978="估算法",X978="算法类",X978="无法识别"),"",IF(W978="",IF(OR(I978="ILF",I978="EIF"),0,""),LEN(W978)-LEN(SUBSTITUTE(W978,"、",""))+1))</f>
        <v/>
      </c>
      <c r="N978" s="83">
        <f>IF(OR(X978="估算法",X978="算法类",X978="无法识别"),"",IF(X978="",IF(OR(I978="ILF",I978="EIF",I978="EI",I978="EO",I978="EQ"),0,""),LEN(X978)-LEN(SUBSTITUTE(SUBSTITUTE(SUBSTITUTE(SUBSTITUTE(SUBSTITUTE(X978,"|}","--"),"{|","--"),CHAR(10),""),"、",""),"|",""))+IF(AND(OR(I978="EI",I978="EO",I978="EQ"),$AD$1="NESMA"),2,1)))</f>
        <v/>
      </c>
      <c r="O978" s="84">
        <f>IF(I978="EI",IF(OR(X978="估算法",X978="算法类"),"中",IF(X978="无法识别","低",IF(L978&lt;2,IF(N978&lt;16,"低","中"),IF(L978&lt;3,IF(N978&lt;5,"低",IF(N978&lt;16,"中","高")),IF(N978&lt;5,"中","高"))))),IF(OR(I978="EO",I978="EQ"),IF(OR(X978="估算法",X978="算法类"),"中",IF(X978="无法识别","低",IF(L978&lt;2,IF(N978&lt;20,"低","中"),IF(L978&lt;4,IF(N978&lt;6,"低",IF(N978&lt;20,"中","高")),IF(N978&lt;6,"中","高"))))),IF(OR(I978="ILF",I978="EIF"),IF(OR(X978="估算法",X978="算法类",X978="无法识别"),"低",IF(M978&lt;2,IF(N978&lt;51,"低","中"),IF(M978&lt;6,IF(N978&lt;20,"低",IF(N978&lt;51,"中","高")),IF(N978&lt;20,"中","高")))),"不计算")))</f>
        <v/>
      </c>
      <c r="P978" s="142">
        <f>IFERROR(IF(I978="EI",IF(O978="低",3,IF(O978="中",4,6)),IF(I978="EO",IF(O978="低",4,IF(O978="中",5,7)),IF(I978="EQ",IF(O978="低",3,IF(O978="中",4,6)),IF(I978="ILF",IF(O978="低",7,IF(O978="中",10,15)),IF(I978="EIF",IF(O978="低",5,IF(O978="中",7,10)),"不计算")))))*Q978,"不计算")</f>
        <v/>
      </c>
      <c r="Q978" s="142" t="n">
        <v>0.333333333333333</v>
      </c>
      <c r="R978" s="143">
        <f>调整因子!$F$13</f>
        <v/>
      </c>
      <c r="S978" s="76" t="n">
        <v>1</v>
      </c>
      <c r="T978" s="144">
        <f>IFERROR(P978*R978,0)</f>
        <v/>
      </c>
      <c r="U978" s="145">
        <f>T978*S978</f>
        <v/>
      </c>
      <c r="V978" s="96" t="inlineStr">
        <is>
          <t>数据清洗任务表、资产同步任务表、同步任务调度表、任务统计数据表</t>
        </is>
      </c>
      <c r="W978" s="96" t="inlineStr"/>
      <c r="X978"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Y978" s="88" t="n"/>
      <c r="Z978" s="88" t="n"/>
    </row>
    <row r="979" hidden="1" ht="64.8" customHeight="1">
      <c r="A979" s="69">
        <f>ROW()-1</f>
        <v/>
      </c>
      <c r="B979" s="53" t="n"/>
      <c r="C979" s="117" t="n">
        <v>2026</v>
      </c>
      <c r="D979" s="64" t="n"/>
      <c r="E979" s="53" t="n"/>
      <c r="F979" s="53" t="n"/>
      <c r="G979" s="53" t="n"/>
      <c r="H979" s="96" t="inlineStr">
        <is>
          <t>导出同步任务</t>
        </is>
      </c>
      <c r="I979" s="76" t="inlineStr">
        <is>
          <t>EO</t>
        </is>
      </c>
      <c r="J979" s="95" t="n"/>
      <c r="K979" s="95" t="n"/>
      <c r="L979" s="83">
        <f>IF(OR(X979="估算法",X979="算法类",X979="无法识别"),"",IF(V979="",IF(OR(I979="EI",I979="EO",I979="EQ"),0,""),LEN(V979)-LEN(SUBSTITUTE(V979,"、",""))+1))</f>
        <v/>
      </c>
      <c r="M979" s="83">
        <f>IF(OR(X979="估算法",X979="算法类",X979="无法识别"),"",IF(W979="",IF(OR(I979="ILF",I979="EIF"),0,""),LEN(W979)-LEN(SUBSTITUTE(W979,"、",""))+1))</f>
        <v/>
      </c>
      <c r="N979" s="83">
        <f>IF(OR(X979="估算法",X979="算法类",X979="无法识别"),"",IF(X979="",IF(OR(I979="ILF",I979="EIF",I979="EI",I979="EO",I979="EQ"),0,""),LEN(X979)-LEN(SUBSTITUTE(SUBSTITUTE(SUBSTITUTE(SUBSTITUTE(SUBSTITUTE(X979,"|}","--"),"{|","--"),CHAR(10),""),"、",""),"|",""))+IF(AND(OR(I979="EI",I979="EO",I979="EQ"),$AD$1="NESMA"),2,1)))</f>
        <v/>
      </c>
      <c r="O979" s="84">
        <f>IF(I979="EI",IF(OR(X979="估算法",X979="算法类"),"中",IF(X979="无法识别","低",IF(L979&lt;2,IF(N979&lt;16,"低","中"),IF(L979&lt;3,IF(N979&lt;5,"低",IF(N979&lt;16,"中","高")),IF(N979&lt;5,"中","高"))))),IF(OR(I979="EO",I979="EQ"),IF(OR(X979="估算法",X979="算法类"),"中",IF(X979="无法识别","低",IF(L979&lt;2,IF(N979&lt;20,"低","中"),IF(L979&lt;4,IF(N979&lt;6,"低",IF(N979&lt;20,"中","高")),IF(N979&lt;6,"中","高"))))),IF(OR(I979="ILF",I979="EIF"),IF(OR(X979="估算法",X979="算法类",X979="无法识别"),"低",IF(M979&lt;2,IF(N979&lt;51,"低","中"),IF(M979&lt;6,IF(N979&lt;20,"低",IF(N979&lt;51,"中","高")),IF(N979&lt;20,"中","高")))),"不计算")))</f>
        <v/>
      </c>
      <c r="P979" s="142">
        <f>IFERROR(IF(I979="EI",IF(O979="低",3,IF(O979="中",4,6)),IF(I979="EO",IF(O979="低",4,IF(O979="中",5,7)),IF(I979="EQ",IF(O979="低",3,IF(O979="中",4,6)),IF(I979="ILF",IF(O979="低",7,IF(O979="中",10,15)),IF(I979="EIF",IF(O979="低",5,IF(O979="中",7,10)),"不计算")))))*Q979,"不计算")</f>
        <v/>
      </c>
      <c r="Q979" s="142" t="n">
        <v>1</v>
      </c>
      <c r="R979" s="143">
        <f>调整因子!$F$13</f>
        <v/>
      </c>
      <c r="S979" s="70" t="n">
        <v>1</v>
      </c>
      <c r="T979" s="144">
        <f>IFERROR(P979*R979,0)</f>
        <v/>
      </c>
      <c r="U979" s="145">
        <f>T979*S979</f>
        <v/>
      </c>
      <c r="V979" s="96" t="inlineStr">
        <is>
          <t>数据清洗任务表、资产同步任务表、同步任务调度表</t>
        </is>
      </c>
      <c r="W979" s="96" t="inlineStr"/>
      <c r="X979"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Y979" s="88" t="n"/>
      <c r="Z979" s="88" t="n"/>
    </row>
    <row r="980" hidden="1" ht="64.8" customHeight="1">
      <c r="A980" s="69">
        <f>ROW()-1</f>
        <v/>
      </c>
      <c r="B980" s="53" t="n"/>
      <c r="C980" s="117" t="n">
        <v>2026</v>
      </c>
      <c r="D980" s="64" t="n"/>
      <c r="E980" s="53" t="n"/>
      <c r="F980" s="53" t="n"/>
      <c r="G980" s="53" t="n"/>
      <c r="H980" s="96" t="inlineStr">
        <is>
          <t>查询同步任务</t>
        </is>
      </c>
      <c r="I980" s="76" t="inlineStr">
        <is>
          <t>EQ</t>
        </is>
      </c>
      <c r="J980" s="95" t="n"/>
      <c r="K980" s="95" t="n"/>
      <c r="L980" s="83">
        <f>IF(OR(X980="估算法",X980="算法类",X980="无法识别"),"",IF(V980="",IF(OR(I980="EI",I980="EO",I980="EQ"),0,""),LEN(V980)-LEN(SUBSTITUTE(V980,"、",""))+1))</f>
        <v/>
      </c>
      <c r="M980" s="83">
        <f>IF(OR(X980="估算法",X980="算法类",X980="无法识别"),"",IF(W980="",IF(OR(I980="ILF",I980="EIF"),0,""),LEN(W980)-LEN(SUBSTITUTE(W980,"、",""))+1))</f>
        <v/>
      </c>
      <c r="N980" s="83">
        <f>IF(OR(X980="估算法",X980="算法类",X980="无法识别"),"",IF(X980="",IF(OR(I980="ILF",I980="EIF",I980="EI",I980="EO",I980="EQ"),0,""),LEN(X980)-LEN(SUBSTITUTE(SUBSTITUTE(SUBSTITUTE(SUBSTITUTE(SUBSTITUTE(X980,"|}","--"),"{|","--"),CHAR(10),""),"、",""),"|",""))+IF(AND(OR(I980="EI",I980="EO",I980="EQ"),$AD$1="NESMA"),2,1)))</f>
        <v/>
      </c>
      <c r="O980" s="84">
        <f>IF(I980="EI",IF(OR(X980="估算法",X980="算法类"),"中",IF(X980="无法识别","低",IF(L980&lt;2,IF(N980&lt;16,"低","中"),IF(L980&lt;3,IF(N980&lt;5,"低",IF(N980&lt;16,"中","高")),IF(N980&lt;5,"中","高"))))),IF(OR(I980="EO",I980="EQ"),IF(OR(X980="估算法",X980="算法类"),"中",IF(X980="无法识别","低",IF(L980&lt;2,IF(N980&lt;20,"低","中"),IF(L980&lt;4,IF(N980&lt;6,"低",IF(N980&lt;20,"中","高")),IF(N980&lt;6,"中","高"))))),IF(OR(I980="ILF",I980="EIF"),IF(OR(X980="估算法",X980="算法类",X980="无法识别"),"低",IF(M980&lt;2,IF(N980&lt;51,"低","中"),IF(M980&lt;6,IF(N980&lt;20,"低",IF(N980&lt;51,"中","高")),IF(N980&lt;20,"中","高")))),"不计算")))</f>
        <v/>
      </c>
      <c r="P980" s="142">
        <f>IFERROR(IF(I980="EI",IF(O980="低",3,IF(O980="中",4,6)),IF(I980="EO",IF(O980="低",4,IF(O980="中",5,7)),IF(I980="EQ",IF(O980="低",3,IF(O980="中",4,6)),IF(I980="ILF",IF(O980="低",7,IF(O980="中",10,15)),IF(I980="EIF",IF(O980="低",5,IF(O980="中",7,10)),"不计算")))))*Q980,"不计算")</f>
        <v/>
      </c>
      <c r="Q980" s="142" t="n">
        <v>1</v>
      </c>
      <c r="R980" s="143">
        <f>调整因子!$F$13</f>
        <v/>
      </c>
      <c r="S980" s="70" t="n">
        <v>1</v>
      </c>
      <c r="T980" s="144">
        <f>IFERROR(P980*R980,0)</f>
        <v/>
      </c>
      <c r="U980" s="145">
        <f>T980*S980</f>
        <v/>
      </c>
      <c r="V980" s="96" t="inlineStr">
        <is>
          <t>数据清洗任务表、资产同步任务表、同步任务调度表</t>
        </is>
      </c>
      <c r="W980" s="96" t="inlineStr"/>
      <c r="X980"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Y980" s="88" t="n"/>
      <c r="Z980" s="88" t="n"/>
    </row>
    <row r="981" hidden="1" ht="108" customHeight="1">
      <c r="A981" s="69">
        <f>ROW()-1</f>
        <v/>
      </c>
      <c r="B981" s="53" t="n"/>
      <c r="C981" s="117" t="n">
        <v>2026</v>
      </c>
      <c r="D981" s="64" t="n"/>
      <c r="E981" s="53" t="n"/>
      <c r="F981" s="53" t="n"/>
      <c r="G981" s="54" t="n"/>
      <c r="H981" s="96" t="inlineStr">
        <is>
          <t>查看同步任务详情</t>
        </is>
      </c>
      <c r="I981" s="76" t="inlineStr">
        <is>
          <t>EQ</t>
        </is>
      </c>
      <c r="J981" s="95" t="n"/>
      <c r="K981" s="95" t="inlineStr">
        <is>
          <t>处理流程和上行基本一致，为查询功能，未体现详情功能</t>
        </is>
      </c>
      <c r="L981" s="83">
        <f>IF(OR(X981="估算法",X981="算法类",X981="无法识别"),"",IF(V981="",IF(OR(I981="EI",I981="EO",I981="EQ"),0,""),LEN(V981)-LEN(SUBSTITUTE(V981,"、",""))+1))</f>
        <v/>
      </c>
      <c r="M981" s="83">
        <f>IF(OR(X981="估算法",X981="算法类",X981="无法识别"),"",IF(W981="",IF(OR(I981="ILF",I981="EIF"),0,""),LEN(W981)-LEN(SUBSTITUTE(W981,"、",""))+1))</f>
        <v/>
      </c>
      <c r="N981" s="83">
        <f>IF(OR(X981="估算法",X981="算法类",X981="无法识别"),"",IF(X981="",IF(OR(I981="ILF",I981="EIF",I981="EI",I981="EO",I981="EQ"),0,""),LEN(X981)-LEN(SUBSTITUTE(SUBSTITUTE(SUBSTITUTE(SUBSTITUTE(SUBSTITUTE(X981,"|}","--"),"{|","--"),CHAR(10),""),"、",""),"|",""))+IF(AND(OR(I981="EI",I981="EO",I981="EQ"),$AD$1="NESMA"),2,1)))</f>
        <v/>
      </c>
      <c r="O981" s="84">
        <f>IF(I981="EI",IF(OR(X981="估算法",X981="算法类"),"中",IF(X981="无法识别","低",IF(L981&lt;2,IF(N981&lt;16,"低","中"),IF(L981&lt;3,IF(N981&lt;5,"低",IF(N981&lt;16,"中","高")),IF(N981&lt;5,"中","高"))))),IF(OR(I981="EO",I981="EQ"),IF(OR(X981="估算法",X981="算法类"),"中",IF(X981="无法识别","低",IF(L981&lt;2,IF(N981&lt;20,"低","中"),IF(L981&lt;4,IF(N981&lt;6,"低",IF(N981&lt;20,"中","高")),IF(N981&lt;6,"中","高"))))),IF(OR(I981="ILF",I981="EIF"),IF(OR(X981="估算法",X981="算法类",X981="无法识别"),"低",IF(M981&lt;2,IF(N981&lt;51,"低","中"),IF(M981&lt;6,IF(N981&lt;20,"低",IF(N981&lt;51,"中","高")),IF(N981&lt;20,"中","高")))),"不计算")))</f>
        <v/>
      </c>
      <c r="P981" s="142">
        <f>IFERROR(IF(I981="EI",IF(O981="低",3,IF(O981="中",4,6)),IF(I981="EO",IF(O981="低",4,IF(O981="中",5,7)),IF(I981="EQ",IF(O981="低",3,IF(O981="中",4,6)),IF(I981="ILF",IF(O981="低",7,IF(O981="中",10,15)),IF(I981="EIF",IF(O981="低",5,IF(O981="中",7,10)),"不计算")))))*Q981,"不计算")</f>
        <v/>
      </c>
      <c r="Q981" s="142" t="n">
        <v>0.333333333333333</v>
      </c>
      <c r="R981" s="143">
        <f>调整因子!$F$13</f>
        <v/>
      </c>
      <c r="S981" s="76" t="n">
        <v>1</v>
      </c>
      <c r="T981" s="144">
        <f>IFERROR(P981*R981,0)</f>
        <v/>
      </c>
      <c r="U981" s="145">
        <f>T981*S981</f>
        <v/>
      </c>
      <c r="V981" s="96" t="inlineStr">
        <is>
          <t>数据清洗任务表、资产同步任务表、同步任务调度表、任务统计数据表、任务趋势分析表</t>
        </is>
      </c>
      <c r="W981" s="96" t="inlineStr"/>
      <c r="X981"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Y981" s="88" t="n"/>
      <c r="Z981" s="88" t="n"/>
    </row>
    <row r="982" hidden="1" ht="86.40000000000001" customHeight="1">
      <c r="A982" s="69">
        <f>ROW()-1</f>
        <v/>
      </c>
      <c r="B982" s="53" t="n"/>
      <c r="C982" s="117" t="n">
        <v>2026</v>
      </c>
      <c r="D982" s="64" t="n"/>
      <c r="E982" s="53" t="n"/>
      <c r="F982" s="53" t="n"/>
      <c r="G982" s="111" t="inlineStr">
        <is>
          <t>同步历史查看</t>
        </is>
      </c>
      <c r="H982" s="96" t="inlineStr">
        <is>
          <t>导出同步历史</t>
        </is>
      </c>
      <c r="I982" s="76" t="inlineStr">
        <is>
          <t>EO</t>
        </is>
      </c>
      <c r="J982" s="95" t="n"/>
      <c r="K982" s="95" t="n"/>
      <c r="L982" s="83">
        <f>IF(OR(X982="估算法",X982="算法类",X982="无法识别"),"",IF(V982="",IF(OR(I982="EI",I982="EO",I982="EQ"),0,""),LEN(V982)-LEN(SUBSTITUTE(V982,"、",""))+1))</f>
        <v/>
      </c>
      <c r="M982" s="83">
        <f>IF(OR(X982="估算法",X982="算法类",X982="无法识别"),"",IF(W982="",IF(OR(I982="ILF",I982="EIF"),0,""),LEN(W982)-LEN(SUBSTITUTE(W982,"、",""))+1))</f>
        <v/>
      </c>
      <c r="N982" s="83">
        <f>IF(OR(X982="估算法",X982="算法类",X982="无法识别"),"",IF(X982="",IF(OR(I982="ILF",I982="EIF",I982="EI",I982="EO",I982="EQ"),0,""),LEN(X982)-LEN(SUBSTITUTE(SUBSTITUTE(SUBSTITUTE(SUBSTITUTE(SUBSTITUTE(X982,"|}","--"),"{|","--"),CHAR(10),""),"、",""),"|",""))+IF(AND(OR(I982="EI",I982="EO",I982="EQ"),$AD$1="NESMA"),2,1)))</f>
        <v/>
      </c>
      <c r="O982" s="84">
        <f>IF(I982="EI",IF(OR(X982="估算法",X982="算法类"),"中",IF(X982="无法识别","低",IF(L982&lt;2,IF(N982&lt;16,"低","中"),IF(L982&lt;3,IF(N982&lt;5,"低",IF(N982&lt;16,"中","高")),IF(N982&lt;5,"中","高"))))),IF(OR(I982="EO",I982="EQ"),IF(OR(X982="估算法",X982="算法类"),"中",IF(X982="无法识别","低",IF(L982&lt;2,IF(N982&lt;20,"低","中"),IF(L982&lt;4,IF(N982&lt;6,"低",IF(N982&lt;20,"中","高")),IF(N982&lt;6,"中","高"))))),IF(OR(I982="ILF",I982="EIF"),IF(OR(X982="估算法",X982="算法类",X982="无法识别"),"低",IF(M982&lt;2,IF(N982&lt;51,"低","中"),IF(M982&lt;6,IF(N982&lt;20,"低",IF(N982&lt;51,"中","高")),IF(N982&lt;20,"中","高")))),"不计算")))</f>
        <v/>
      </c>
      <c r="P982" s="142">
        <f>IFERROR(IF(I982="EI",IF(O982="低",3,IF(O982="中",4,6)),IF(I982="EO",IF(O982="低",4,IF(O982="中",5,7)),IF(I982="EQ",IF(O982="低",3,IF(O982="中",4,6)),IF(I982="ILF",IF(O982="低",7,IF(O982="中",10,15)),IF(I982="EIF",IF(O982="低",5,IF(O982="中",7,10)),"不计算")))))*Q982,"不计算")</f>
        <v/>
      </c>
      <c r="Q982" s="142" t="n">
        <v>1</v>
      </c>
      <c r="R982" s="143">
        <f>调整因子!$F$13</f>
        <v/>
      </c>
      <c r="S982" s="70" t="n">
        <v>1</v>
      </c>
      <c r="T982" s="144">
        <f>IFERROR(P982*R982,0)</f>
        <v/>
      </c>
      <c r="U982" s="145">
        <f>T982*S982</f>
        <v/>
      </c>
      <c r="V982" s="96" t="inlineStr">
        <is>
          <t>任务故障记录表、任务趋势分析表、复测任务表、报告模板表、加密算法表</t>
        </is>
      </c>
      <c r="W982" s="96" t="inlineStr"/>
      <c r="X982" s="111" t="inlineStr">
        <is>
          <t>任务故障记录表{任务ID、任务名称|任务ID、任务名称、任务类型、任务状态、创建时间、执行时间}
任务趋势分析表{任务ID、任务名称|任务ID、任务名称、任务类型、任务状态、创建时间、执行时间}
复测任务表{任务ID、任务名称|任务ID、任务名称、任务类型、任务状态、创建时间、执行时间}
报告模板表{ID、名称|ID、名称、类型、状态、创建时间、更新时间}
加密算法表{ID、名称|ID、名称、类型、状态、创建时间、更新时间}</t>
        </is>
      </c>
      <c r="Y982" s="88" t="n"/>
      <c r="Z982" s="88" t="n"/>
    </row>
    <row r="983" hidden="1" ht="54" customHeight="1">
      <c r="A983" s="69">
        <f>ROW()-1</f>
        <v/>
      </c>
      <c r="B983" s="53" t="n"/>
      <c r="C983" s="117" t="n">
        <v>2026</v>
      </c>
      <c r="D983" s="64" t="n"/>
      <c r="E983" s="53" t="n"/>
      <c r="F983" s="53" t="n"/>
      <c r="G983" s="53" t="n"/>
      <c r="H983" s="96" t="inlineStr">
        <is>
          <t>下载变更报告</t>
        </is>
      </c>
      <c r="I983" s="76" t="inlineStr">
        <is>
          <t>EO</t>
        </is>
      </c>
      <c r="J983" s="95" t="n"/>
      <c r="K983" s="95" t="n"/>
      <c r="L983" s="83">
        <f>IF(OR(X983="估算法",X983="算法类",X983="无法识别"),"",IF(V983="",IF(OR(I983="EI",I983="EO",I983="EQ"),0,""),LEN(V983)-LEN(SUBSTITUTE(V983,"、",""))+1))</f>
        <v/>
      </c>
      <c r="M983" s="83">
        <f>IF(OR(X983="估算法",X983="算法类",X983="无法识别"),"",IF(W983="",IF(OR(I983="ILF",I983="EIF"),0,""),LEN(W983)-LEN(SUBSTITUTE(W983,"、",""))+1))</f>
        <v/>
      </c>
      <c r="N983" s="83">
        <f>IF(OR(X983="估算法",X983="算法类",X983="无法识别"),"",IF(X983="",IF(OR(I983="ILF",I983="EIF",I983="EI",I983="EO",I983="EQ"),0,""),LEN(X983)-LEN(SUBSTITUTE(SUBSTITUTE(SUBSTITUTE(SUBSTITUTE(SUBSTITUTE(X983,"|}","--"),"{|","--"),CHAR(10),""),"、",""),"|",""))+IF(AND(OR(I983="EI",I983="EO",I983="EQ"),$AD$1="NESMA"),2,1)))</f>
        <v/>
      </c>
      <c r="O983" s="84">
        <f>IF(I983="EI",IF(OR(X983="估算法",X983="算法类"),"中",IF(X983="无法识别","低",IF(L983&lt;2,IF(N983&lt;16,"低","中"),IF(L983&lt;3,IF(N983&lt;5,"低",IF(N983&lt;16,"中","高")),IF(N983&lt;5,"中","高"))))),IF(OR(I983="EO",I983="EQ"),IF(OR(X983="估算法",X983="算法类"),"中",IF(X983="无法识别","低",IF(L983&lt;2,IF(N983&lt;20,"低","中"),IF(L983&lt;4,IF(N983&lt;6,"低",IF(N983&lt;20,"中","高")),IF(N983&lt;6,"中","高"))))),IF(OR(I983="ILF",I983="EIF"),IF(OR(X983="估算法",X983="算法类",X983="无法识别"),"低",IF(M983&lt;2,IF(N983&lt;51,"低","中"),IF(M983&lt;6,IF(N983&lt;20,"低",IF(N983&lt;51,"中","高")),IF(N983&lt;20,"中","高")))),"不计算")))</f>
        <v/>
      </c>
      <c r="P983" s="142">
        <f>IFERROR(IF(I983="EI",IF(O983="低",3,IF(O983="中",4,6)),IF(I983="EO",IF(O983="低",4,IF(O983="中",5,7)),IF(I983="EQ",IF(O983="低",3,IF(O983="中",4,6)),IF(I983="ILF",IF(O983="低",7,IF(O983="中",10,15)),IF(I983="EIF",IF(O983="低",5,IF(O983="中",7,10)),"不计算")))))*Q983,"不计算")</f>
        <v/>
      </c>
      <c r="Q983" s="142" t="n">
        <v>1</v>
      </c>
      <c r="R983" s="143">
        <f>调整因子!$F$13</f>
        <v/>
      </c>
      <c r="S983" s="70" t="n">
        <v>1</v>
      </c>
      <c r="T983" s="144">
        <f>IFERROR(P983*R983,0)</f>
        <v/>
      </c>
      <c r="U983" s="145">
        <f>T983*S983</f>
        <v/>
      </c>
      <c r="V983" s="96" t="inlineStr">
        <is>
          <t>提醒策略配置表、接口监控配置表、推送配置表</t>
        </is>
      </c>
      <c r="W983" s="96" t="inlineStr"/>
      <c r="X983" s="111" t="inlineStr">
        <is>
          <t>提醒策略配置表{配置ID、配置名称|配置ID、配置名称、配置类型、配置值、创建时间}
接口监控配置表{配置ID、配置名称|配置ID、配置名称、配置类型、配置值、创建时间}
推送配置表{配置ID、配置名称|配置ID、配置名称、配置类型、配置值、创建时间}</t>
        </is>
      </c>
      <c r="Y983" s="88" t="n"/>
      <c r="Z983" s="88" t="n"/>
    </row>
    <row r="984" hidden="1" ht="86.40000000000001" customHeight="1">
      <c r="A984" s="69">
        <f>ROW()-1</f>
        <v/>
      </c>
      <c r="B984" s="53" t="n"/>
      <c r="C984" s="117" t="n">
        <v>2026</v>
      </c>
      <c r="D984" s="64" t="n"/>
      <c r="E984" s="53" t="n"/>
      <c r="F984" s="53" t="n"/>
      <c r="G984" s="53" t="n"/>
      <c r="H984" s="96" t="inlineStr">
        <is>
          <t>查询同步历史</t>
        </is>
      </c>
      <c r="I984" s="76" t="inlineStr">
        <is>
          <t>EQ</t>
        </is>
      </c>
      <c r="J984" s="95" t="n"/>
      <c r="K984" s="95" t="n"/>
      <c r="L984" s="83">
        <f>IF(OR(X984="估算法",X984="算法类",X984="无法识别"),"",IF(V984="",IF(OR(I984="EI",I984="EO",I984="EQ"),0,""),LEN(V984)-LEN(SUBSTITUTE(V984,"、",""))+1))</f>
        <v/>
      </c>
      <c r="M984" s="83">
        <f>IF(OR(X984="估算法",X984="算法类",X984="无法识别"),"",IF(W984="",IF(OR(I984="ILF",I984="EIF"),0,""),LEN(W984)-LEN(SUBSTITUTE(W984,"、",""))+1))</f>
        <v/>
      </c>
      <c r="N984" s="83">
        <f>IF(OR(X984="估算法",X984="算法类",X984="无法识别"),"",IF(X984="",IF(OR(I984="ILF",I984="EIF",I984="EI",I984="EO",I984="EQ"),0,""),LEN(X984)-LEN(SUBSTITUTE(SUBSTITUTE(SUBSTITUTE(SUBSTITUTE(SUBSTITUTE(X984,"|}","--"),"{|","--"),CHAR(10),""),"、",""),"|",""))+IF(AND(OR(I984="EI",I984="EO",I984="EQ"),$AD$1="NESMA"),2,1)))</f>
        <v/>
      </c>
      <c r="O984" s="84">
        <f>IF(I984="EI",IF(OR(X984="估算法",X984="算法类"),"中",IF(X984="无法识别","低",IF(L984&lt;2,IF(N984&lt;16,"低","中"),IF(L984&lt;3,IF(N984&lt;5,"低",IF(N984&lt;16,"中","高")),IF(N984&lt;5,"中","高"))))),IF(OR(I984="EO",I984="EQ"),IF(OR(X984="估算法",X984="算法类"),"中",IF(X984="无法识别","低",IF(L984&lt;2,IF(N984&lt;20,"低","中"),IF(L984&lt;4,IF(N984&lt;6,"低",IF(N984&lt;20,"中","高")),IF(N984&lt;6,"中","高"))))),IF(OR(I984="ILF",I984="EIF"),IF(OR(X984="估算法",X984="算法类",X984="无法识别"),"低",IF(M984&lt;2,IF(N984&lt;51,"低","中"),IF(M984&lt;6,IF(N984&lt;20,"低",IF(N984&lt;51,"中","高")),IF(N984&lt;20,"中","高")))),"不计算")))</f>
        <v/>
      </c>
      <c r="P984" s="142">
        <f>IFERROR(IF(I984="EI",IF(O984="低",3,IF(O984="中",4,6)),IF(I984="EO",IF(O984="低",4,IF(O984="中",5,7)),IF(I984="EQ",IF(O984="低",3,IF(O984="中",4,6)),IF(I984="ILF",IF(O984="低",7,IF(O984="中",10,15)),IF(I984="EIF",IF(O984="低",5,IF(O984="中",7,10)),"不计算")))))*Q984,"不计算")</f>
        <v/>
      </c>
      <c r="Q984" s="142" t="n">
        <v>1</v>
      </c>
      <c r="R984" s="143">
        <f>调整因子!$F$13</f>
        <v/>
      </c>
      <c r="S984" s="76" t="n">
        <v>1</v>
      </c>
      <c r="T984" s="144">
        <f>IFERROR(P984*R984,0)</f>
        <v/>
      </c>
      <c r="U984" s="145">
        <f>T984*S984</f>
        <v/>
      </c>
      <c r="V984" s="96" t="inlineStr">
        <is>
          <t>复测任务表、推送对象表、处置单关联表、接口参数配置表、验证任务表</t>
        </is>
      </c>
      <c r="W984" s="96" t="inlineStr"/>
      <c r="X984" s="111" t="inlineStr">
        <is>
          <t>复测任务表{任务ID、任务名称|任务ID、任务名称、任务类型、任务状态、创建时间、执行时间}
推送对象表{ID、名称|ID、名称、类型、状态、创建时间、更新时间}
处置单关联表{ID、名称|ID、名称、类型、状态、创建时间、更新时间}
接口参数配置表{配置ID、配置名称|配置ID、配置名称、配置类型、配置值、创建时间}
验证任务表{任务ID、任务名称|任务ID、任务名称、任务类型、任务状态、创建时间、执行时间}</t>
        </is>
      </c>
      <c r="Y984" s="88" t="n"/>
      <c r="Z984" s="88" t="n"/>
    </row>
    <row r="985" hidden="1" ht="43.2" customHeight="1">
      <c r="A985" s="69">
        <f>ROW()-1</f>
        <v/>
      </c>
      <c r="B985" s="53" t="n"/>
      <c r="C985" s="117" t="n">
        <v>2026</v>
      </c>
      <c r="D985" s="64" t="n"/>
      <c r="E985" s="53" t="n"/>
      <c r="F985" s="53" t="n"/>
      <c r="G985" s="53" t="n"/>
      <c r="H985" s="96" t="inlineStr">
        <is>
          <t>查看变更详情</t>
        </is>
      </c>
      <c r="I985" s="76" t="inlineStr">
        <is>
          <t>EQ</t>
        </is>
      </c>
      <c r="J985" s="95" t="n"/>
      <c r="K985" s="95" t="inlineStr">
        <is>
          <t>处理流程和上行基本一致，为查询功能，未体现详情功能</t>
        </is>
      </c>
      <c r="L985" s="83">
        <f>IF(OR(X985="估算法",X985="算法类",X985="无法识别"),"",IF(V985="",IF(OR(I985="EI",I985="EO",I985="EQ"),0,""),LEN(V985)-LEN(SUBSTITUTE(V985,"、",""))+1))</f>
        <v/>
      </c>
      <c r="M985" s="83">
        <f>IF(OR(X985="估算法",X985="算法类",X985="无法识别"),"",IF(W985="",IF(OR(I985="ILF",I985="EIF"),0,""),LEN(W985)-LEN(SUBSTITUTE(W985,"、",""))+1))</f>
        <v/>
      </c>
      <c r="N985" s="83">
        <f>IF(OR(X985="估算法",X985="算法类",X985="无法识别"),"",IF(X985="",IF(OR(I985="ILF",I985="EIF",I985="EI",I985="EO",I985="EQ"),0,""),LEN(X985)-LEN(SUBSTITUTE(SUBSTITUTE(SUBSTITUTE(SUBSTITUTE(SUBSTITUTE(X985,"|}","--"),"{|","--"),CHAR(10),""),"、",""),"|",""))+IF(AND(OR(I985="EI",I985="EO",I985="EQ"),$AD$1="NESMA"),2,1)))</f>
        <v/>
      </c>
      <c r="O985" s="84">
        <f>IF(I985="EI",IF(OR(X985="估算法",X985="算法类"),"中",IF(X985="无法识别","低",IF(L985&lt;2,IF(N985&lt;16,"低","中"),IF(L985&lt;3,IF(N985&lt;5,"低",IF(N985&lt;16,"中","高")),IF(N985&lt;5,"中","高"))))),IF(OR(I985="EO",I985="EQ"),IF(OR(X985="估算法",X985="算法类"),"中",IF(X985="无法识别","低",IF(L985&lt;2,IF(N985&lt;20,"低","中"),IF(L985&lt;4,IF(N985&lt;6,"低",IF(N985&lt;20,"中","高")),IF(N985&lt;6,"中","高"))))),IF(OR(I985="ILF",I985="EIF"),IF(OR(X985="估算法",X985="算法类",X985="无法识别"),"低",IF(M985&lt;2,IF(N985&lt;51,"低","中"),IF(M985&lt;6,IF(N985&lt;20,"低",IF(N985&lt;51,"中","高")),IF(N985&lt;20,"中","高")))),"不计算")))</f>
        <v/>
      </c>
      <c r="P985" s="142">
        <f>IFERROR(IF(I985="EI",IF(O985="低",3,IF(O985="中",4,6)),IF(I985="EO",IF(O985="低",4,IF(O985="中",5,7)),IF(I985="EQ",IF(O985="低",3,IF(O985="中",4,6)),IF(I985="ILF",IF(O985="低",7,IF(O985="中",10,15)),IF(I985="EIF",IF(O985="低",5,IF(O985="中",7,10)),"不计算")))))*Q985,"不计算")</f>
        <v/>
      </c>
      <c r="Q985" s="142" t="n">
        <v>0.333333333333333</v>
      </c>
      <c r="R985" s="143">
        <f>调整因子!$F$13</f>
        <v/>
      </c>
      <c r="S985" s="76" t="n">
        <v>1</v>
      </c>
      <c r="T985" s="144">
        <f>IFERROR(P985*R985,0)</f>
        <v/>
      </c>
      <c r="U985" s="145">
        <f>T985*S985</f>
        <v/>
      </c>
      <c r="V985" s="96" t="inlineStr">
        <is>
          <t>通报配置表、离线扫描报告表、同步失败重试记录表</t>
        </is>
      </c>
      <c r="W985" s="96" t="inlineStr"/>
      <c r="X985" s="111" t="inlineStr">
        <is>
          <t>通报配置表{配置ID、配置名称|配置ID、配置名称、配置类型、配置值、创建时间}
离线扫描报告表{任务ID、任务名称|任务ID、任务名称、任务状态、扫描器类型、开始时间、结束时间、扫描结果}
同步失败重试记录表{ID、名称|ID、名称、类型、状态、创建时间、更新时间}</t>
        </is>
      </c>
      <c r="Y985" s="88" t="n"/>
      <c r="Z985" s="88" t="n"/>
    </row>
    <row r="986" hidden="1" ht="54" customHeight="1">
      <c r="A986" s="69">
        <f>ROW()-1</f>
        <v/>
      </c>
      <c r="B986" s="53" t="n"/>
      <c r="C986" s="117" t="n">
        <v>2026</v>
      </c>
      <c r="D986" s="64" t="n"/>
      <c r="E986" s="53" t="n"/>
      <c r="F986" s="53" t="n"/>
      <c r="G986" s="54" t="n"/>
      <c r="H986" s="96" t="inlineStr">
        <is>
          <t>查看版本对比</t>
        </is>
      </c>
      <c r="I986" s="76" t="inlineStr">
        <is>
          <t>EQ</t>
        </is>
      </c>
      <c r="J986" s="95" t="n"/>
      <c r="K986" s="95" t="inlineStr">
        <is>
          <t>处理流程和上行基本一致，为查询功能，未体现详情功能</t>
        </is>
      </c>
      <c r="L986" s="83">
        <f>IF(OR(X986="估算法",X986="算法类",X986="无法识别"),"",IF(V986="",IF(OR(I986="EI",I986="EO",I986="EQ"),0,""),LEN(V986)-LEN(SUBSTITUTE(V986,"、",""))+1))</f>
        <v/>
      </c>
      <c r="M986" s="83">
        <f>IF(OR(X986="估算法",X986="算法类",X986="无法识别"),"",IF(W986="",IF(OR(I986="ILF",I986="EIF"),0,""),LEN(W986)-LEN(SUBSTITUTE(W986,"、",""))+1))</f>
        <v/>
      </c>
      <c r="N986" s="83">
        <f>IF(OR(X986="估算法",X986="算法类",X986="无法识别"),"",IF(X986="",IF(OR(I986="ILF",I986="EIF",I986="EI",I986="EO",I986="EQ"),0,""),LEN(X986)-LEN(SUBSTITUTE(SUBSTITUTE(SUBSTITUTE(SUBSTITUTE(SUBSTITUTE(X986,"|}","--"),"{|","--"),CHAR(10),""),"、",""),"|",""))+IF(AND(OR(I986="EI",I986="EO",I986="EQ"),$AD$1="NESMA"),2,1)))</f>
        <v/>
      </c>
      <c r="O986" s="84">
        <f>IF(I986="EI",IF(OR(X986="估算法",X986="算法类"),"中",IF(X986="无法识别","低",IF(L986&lt;2,IF(N986&lt;16,"低","中"),IF(L986&lt;3,IF(N986&lt;5,"低",IF(N986&lt;16,"中","高")),IF(N986&lt;5,"中","高"))))),IF(OR(I986="EO",I986="EQ"),IF(OR(X986="估算法",X986="算法类"),"中",IF(X986="无法识别","低",IF(L986&lt;2,IF(N986&lt;20,"低","中"),IF(L986&lt;4,IF(N986&lt;6,"低",IF(N986&lt;20,"中","高")),IF(N986&lt;6,"中","高"))))),IF(OR(I986="ILF",I986="EIF"),IF(OR(X986="估算法",X986="算法类",X986="无法识别"),"低",IF(M986&lt;2,IF(N986&lt;51,"低","中"),IF(M986&lt;6,IF(N986&lt;20,"低",IF(N986&lt;51,"中","高")),IF(N986&lt;20,"中","高")))),"不计算")))</f>
        <v/>
      </c>
      <c r="P986" s="142">
        <f>IFERROR(IF(I986="EI",IF(O986="低",3,IF(O986="中",4,6)),IF(I986="EO",IF(O986="低",4,IF(O986="中",5,7)),IF(I986="EQ",IF(O986="低",3,IF(O986="中",4,6)),IF(I986="ILF",IF(O986="低",7,IF(O986="中",10,15)),IF(I986="EIF",IF(O986="低",5,IF(O986="中",7,10)),"不计算")))))*Q986,"不计算")</f>
        <v/>
      </c>
      <c r="Q986" s="142" t="n">
        <v>0.333333333333333</v>
      </c>
      <c r="R986" s="143">
        <f>调整因子!$F$13</f>
        <v/>
      </c>
      <c r="S986" s="70" t="n">
        <v>1</v>
      </c>
      <c r="T986" s="144">
        <f>IFERROR(P986*R986,0)</f>
        <v/>
      </c>
      <c r="U986" s="145">
        <f>T986*S986</f>
        <v/>
      </c>
      <c r="V986" s="96" t="inlineStr">
        <is>
          <t>通报对象表、验证记录表、考核指标配置表、加密规则表</t>
        </is>
      </c>
      <c r="W986" s="96" t="inlineStr"/>
      <c r="X986" s="111" t="inlineStr">
        <is>
          <t>通报对象表{ID、名称|ID、名称、类型、状态、创建时间、更新时间}
验证记录表{ID、名称|ID、名称、类型、状态、创建时间、更新时间}
考核指标配置表{配置ID、配置名称|配置ID、配置名称、配置类型、配置值、创建时间}
加密规则表{规则ID、规则名称|规则ID、规则名称、规则类型、规则条件、创建时间}</t>
        </is>
      </c>
      <c r="Y986" s="88" t="n"/>
      <c r="Z986" s="88" t="n"/>
    </row>
    <row r="987" hidden="1" ht="97.2" customHeight="1">
      <c r="A987" s="69">
        <f>ROW()-1</f>
        <v/>
      </c>
      <c r="B987" s="53" t="n"/>
      <c r="C987" s="117" t="n">
        <v>2026</v>
      </c>
      <c r="D987" s="64" t="n"/>
      <c r="E987" s="53" t="n"/>
      <c r="F987" s="53" t="n"/>
      <c r="G987" s="111" t="inlineStr">
        <is>
          <t>同步监控管理</t>
        </is>
      </c>
      <c r="H987" s="96" t="inlineStr">
        <is>
          <t>启用同步监控</t>
        </is>
      </c>
      <c r="I987" s="76" t="inlineStr">
        <is>
          <t>EI</t>
        </is>
      </c>
      <c r="J987" s="95" t="n"/>
      <c r="K987" s="95" t="n"/>
      <c r="L987" s="83">
        <f>IF(OR(X987="估算法",X987="算法类",X987="无法识别"),"",IF(V987="",IF(OR(I987="EI",I987="EO",I987="EQ"),0,""),LEN(V987)-LEN(SUBSTITUTE(V987,"、",""))+1))</f>
        <v/>
      </c>
      <c r="M987" s="83">
        <f>IF(OR(X987="估算法",X987="算法类",X987="无法识别"),"",IF(W987="",IF(OR(I987="ILF",I987="EIF"),0,""),LEN(W987)-LEN(SUBSTITUTE(W987,"、",""))+1))</f>
        <v/>
      </c>
      <c r="N987" s="83">
        <f>IF(OR(X987="估算法",X987="算法类",X987="无法识别"),"",IF(X987="",IF(OR(I987="ILF",I987="EIF",I987="EI",I987="EO",I987="EQ"),0,""),LEN(X987)-LEN(SUBSTITUTE(SUBSTITUTE(SUBSTITUTE(SUBSTITUTE(SUBSTITUTE(X987,"|}","--"),"{|","--"),CHAR(10),""),"、",""),"|",""))+IF(AND(OR(I987="EI",I987="EO",I987="EQ"),$AD$1="NESMA"),2,1)))</f>
        <v/>
      </c>
      <c r="O987" s="84">
        <f>IF(I987="EI",IF(OR(X987="估算法",X987="算法类"),"中",IF(X987="无法识别","低",IF(L987&lt;2,IF(N987&lt;16,"低","中"),IF(L987&lt;3,IF(N987&lt;5,"低",IF(N987&lt;16,"中","高")),IF(N987&lt;5,"中","高"))))),IF(OR(I987="EO",I987="EQ"),IF(OR(X987="估算法",X987="算法类"),"中",IF(X987="无法识别","低",IF(L987&lt;2,IF(N987&lt;20,"低","中"),IF(L987&lt;4,IF(N987&lt;6,"低",IF(N987&lt;20,"中","高")),IF(N987&lt;6,"中","高"))))),IF(OR(I987="ILF",I987="EIF"),IF(OR(X987="估算法",X987="算法类",X987="无法识别"),"低",IF(M987&lt;2,IF(N987&lt;51,"低","中"),IF(M987&lt;6,IF(N987&lt;20,"低",IF(N987&lt;51,"中","高")),IF(N987&lt;20,"中","高")))),"不计算")))</f>
        <v/>
      </c>
      <c r="P987" s="142">
        <f>IFERROR(IF(I987="EI",IF(O987="低",3,IF(O987="中",4,6)),IF(I987="EO",IF(O987="低",4,IF(O987="中",5,7)),IF(I987="EQ",IF(O987="低",3,IF(O987="中",4,6)),IF(I987="ILF",IF(O987="低",7,IF(O987="中",10,15)),IF(I987="EIF",IF(O987="低",5,IF(O987="中",7,10)),"不计算")))))*Q987,"不计算")</f>
        <v/>
      </c>
      <c r="Q987" s="142" t="n">
        <v>1</v>
      </c>
      <c r="R987" s="143">
        <f>调整因子!$F$13</f>
        <v/>
      </c>
      <c r="S987" s="70" t="n">
        <v>1</v>
      </c>
      <c r="T987" s="144">
        <f>IFERROR(P987*R987,0)</f>
        <v/>
      </c>
      <c r="U987" s="145">
        <f>T987*S987</f>
        <v/>
      </c>
      <c r="V987" s="96" t="inlineStr">
        <is>
          <t>通报模板表、离线扫描报告表、日志采集配置表、漏洞处置单表、任务趋势分析表</t>
        </is>
      </c>
      <c r="W987" s="96" t="inlineStr"/>
      <c r="X987" s="111" t="inlineStr">
        <is>
          <t>通报模板表{ID、名称、类型、状态、创建时间、更新时间|ID、名称、类型}
离线扫描报告表{任务ID、任务名称、任务状态、扫描器类型、开始时间、结束时间、扫描结果|任务ID、任务名称、任务状态}
日志采集配置表{配置ID、配置名称、配置类型、配置值、创建时间|配置ID、配置名称、配置类型}
漏洞处置单表{漏洞ID、漏洞名称、漏洞等级、漏洞类型、CVE编号、发现时间、修复状态|漏洞ID、漏洞名称、漏洞等级}
任务趋势分析表{任务ID、任务名称、任务类型、任务状态、创建时间、执行时间|任务ID、任务名称、任务类型}</t>
        </is>
      </c>
      <c r="Y987" s="88" t="n"/>
      <c r="Z987" s="88" t="n"/>
    </row>
    <row r="988" hidden="1" ht="54" customHeight="1">
      <c r="A988" s="69">
        <f>ROW()-1</f>
        <v/>
      </c>
      <c r="B988" s="53" t="n"/>
      <c r="C988" s="117" t="n">
        <v>2026</v>
      </c>
      <c r="D988" s="64" t="n"/>
      <c r="E988" s="53" t="n"/>
      <c r="F988" s="54" t="n"/>
      <c r="G988" s="54" t="n"/>
      <c r="H988" s="96" t="inlineStr">
        <is>
          <t>停用同步监控</t>
        </is>
      </c>
      <c r="I988" s="76" t="n"/>
      <c r="J988" s="95" t="n"/>
      <c r="K988" s="95" t="inlineStr">
        <is>
          <t>和上行合并，启停为相同功能</t>
        </is>
      </c>
      <c r="L988" s="83">
        <f>IF(OR(X988="估算法",X988="算法类",X988="无法识别"),"",IF(V988="",IF(OR(I988="EI",I988="EO",I988="EQ"),0,""),LEN(V988)-LEN(SUBSTITUTE(V988,"、",""))+1))</f>
        <v/>
      </c>
      <c r="M988" s="83">
        <f>IF(OR(X988="估算法",X988="算法类",X988="无法识别"),"",IF(W988="",IF(OR(I988="ILF",I988="EIF"),0,""),LEN(W988)-LEN(SUBSTITUTE(W988,"、",""))+1))</f>
        <v/>
      </c>
      <c r="N988" s="83">
        <f>IF(OR(X988="估算法",X988="算法类",X988="无法识别"),"",IF(X988="",IF(OR(I988="ILF",I988="EIF",I988="EI",I988="EO",I988="EQ"),0,""),LEN(X988)-LEN(SUBSTITUTE(SUBSTITUTE(SUBSTITUTE(SUBSTITUTE(SUBSTITUTE(X988,"|}","--"),"{|","--"),CHAR(10),""),"、",""),"|",""))+IF(AND(OR(I988="EI",I988="EO",I988="EQ"),$AD$1="NESMA"),2,1)))</f>
        <v/>
      </c>
      <c r="O988" s="84">
        <f>IF(I988="EI",IF(OR(X988="估算法",X988="算法类"),"中",IF(X988="无法识别","低",IF(L988&lt;2,IF(N988&lt;16,"低","中"),IF(L988&lt;3,IF(N988&lt;5,"低",IF(N988&lt;16,"中","高")),IF(N988&lt;5,"中","高"))))),IF(OR(I988="EO",I988="EQ"),IF(OR(X988="估算法",X988="算法类"),"中",IF(X988="无法识别","低",IF(L988&lt;2,IF(N988&lt;20,"低","中"),IF(L988&lt;4,IF(N988&lt;6,"低",IF(N988&lt;20,"中","高")),IF(N988&lt;6,"中","高"))))),IF(OR(I988="ILF",I988="EIF"),IF(OR(X988="估算法",X988="算法类",X988="无法识别"),"低",IF(M988&lt;2,IF(N988&lt;51,"低","中"),IF(M988&lt;6,IF(N988&lt;20,"低",IF(N988&lt;51,"中","高")),IF(N988&lt;20,"中","高")))),"不计算")))</f>
        <v/>
      </c>
      <c r="P988" s="142">
        <f>IFERROR(IF(I988="EI",IF(O988="低",3,IF(O988="中",4,6)),IF(I988="EO",IF(O988="低",4,IF(O988="中",5,7)),IF(I988="EQ",IF(O988="低",3,IF(O988="中",4,6)),IF(I988="ILF",IF(O988="低",7,IF(O988="中",10,15)),IF(I988="EIF",IF(O988="低",5,IF(O988="中",7,10)),"不计算")))))*Q988,"不计算")</f>
        <v/>
      </c>
      <c r="Q988" s="142" t="n">
        <v>1</v>
      </c>
      <c r="R988" s="143">
        <f>调整因子!$F$13</f>
        <v/>
      </c>
      <c r="S988" s="76" t="n">
        <v>1</v>
      </c>
      <c r="T988" s="144">
        <f>IFERROR(P988*R988,0)</f>
        <v/>
      </c>
      <c r="U988" s="145">
        <f>T988*S988</f>
        <v/>
      </c>
      <c r="V988" s="96" t="inlineStr">
        <is>
          <t>任务优先级配置表、验证任务表、模板分类表</t>
        </is>
      </c>
      <c r="W988" s="96" t="inlineStr"/>
      <c r="X988" s="111" t="inlineStr">
        <is>
          <t>任务优先级配置表{任务ID、任务名称、任务类型、任务状态、创建时间、执行时间|任务ID、任务名称、任务类型}
验证任务表{任务ID、任务名称、任务类型、任务状态、创建时间、执行时间|任务ID、任务名称、任务类型}
模板分类表{ID、名称、类型、状态、创建时间、更新时间|ID、名称、类型}</t>
        </is>
      </c>
      <c r="Y988" s="88" t="n"/>
      <c r="Z988" s="88" t="n"/>
    </row>
    <row r="989" hidden="1" ht="86.40000000000001" customHeight="1">
      <c r="A989" s="69">
        <f>ROW()-1</f>
        <v/>
      </c>
      <c r="B989" s="53" t="n"/>
      <c r="C989" s="117" t="n">
        <v>2026</v>
      </c>
      <c r="D989" s="64" t="n"/>
      <c r="E989" s="53" t="n"/>
      <c r="F989" s="111" t="inlineStr">
        <is>
          <t>自动化扫描配置</t>
        </is>
      </c>
      <c r="G989" s="111" t="inlineStr">
        <is>
          <t>自动扫描策略配置</t>
        </is>
      </c>
      <c r="H989" s="96" t="inlineStr">
        <is>
          <t>编辑自动扫描策略</t>
        </is>
      </c>
      <c r="I989" s="76" t="inlineStr">
        <is>
          <t>EI</t>
        </is>
      </c>
      <c r="J989" s="95" t="n"/>
      <c r="K989" s="95" t="n"/>
      <c r="L989" s="83">
        <f>IF(OR(X989="估算法",X989="算法类",X989="无法识别"),"",IF(V989="",IF(OR(I989="EI",I989="EO",I989="EQ"),0,""),LEN(V989)-LEN(SUBSTITUTE(V989,"、",""))+1))</f>
        <v/>
      </c>
      <c r="M989" s="83">
        <f>IF(OR(X989="估算法",X989="算法类",X989="无法识别"),"",IF(W989="",IF(OR(I989="ILF",I989="EIF"),0,""),LEN(W989)-LEN(SUBSTITUTE(W989,"、",""))+1))</f>
        <v/>
      </c>
      <c r="N989" s="83">
        <f>IF(OR(X989="估算法",X989="算法类",X989="无法识别"),"",IF(X989="",IF(OR(I989="ILF",I989="EIF",I989="EI",I989="EO",I989="EQ"),0,""),LEN(X989)-LEN(SUBSTITUTE(SUBSTITUTE(SUBSTITUTE(SUBSTITUTE(SUBSTITUTE(X989,"|}","--"),"{|","--"),CHAR(10),""),"、",""),"|",""))+IF(AND(OR(I989="EI",I989="EO",I989="EQ"),$AD$1="NESMA"),2,1)))</f>
        <v/>
      </c>
      <c r="O989" s="84">
        <f>IF(I989="EI",IF(OR(X989="估算法",X989="算法类"),"中",IF(X989="无法识别","低",IF(L989&lt;2,IF(N989&lt;16,"低","中"),IF(L989&lt;3,IF(N989&lt;5,"低",IF(N989&lt;16,"中","高")),IF(N989&lt;5,"中","高"))))),IF(OR(I989="EO",I989="EQ"),IF(OR(X989="估算法",X989="算法类"),"中",IF(X989="无法识别","低",IF(L989&lt;2,IF(N989&lt;20,"低","中"),IF(L989&lt;4,IF(N989&lt;6,"低",IF(N989&lt;20,"中","高")),IF(N989&lt;6,"中","高"))))),IF(OR(I989="ILF",I989="EIF"),IF(OR(X989="估算法",X989="算法类",X989="无法识别"),"低",IF(M989&lt;2,IF(N989&lt;51,"低","中"),IF(M989&lt;6,IF(N989&lt;20,"低",IF(N989&lt;51,"中","高")),IF(N989&lt;20,"中","高")))),"不计算")))</f>
        <v/>
      </c>
      <c r="P989" s="142">
        <f>IFERROR(IF(I989="EI",IF(O989="低",3,IF(O989="中",4,6)),IF(I989="EO",IF(O989="低",4,IF(O989="中",5,7)),IF(I989="EQ",IF(O989="低",3,IF(O989="中",4,6)),IF(I989="ILF",IF(O989="低",7,IF(O989="中",10,15)),IF(I989="EIF",IF(O989="低",5,IF(O989="中",7,10)),"不计算")))))*Q989,"不计算")</f>
        <v/>
      </c>
      <c r="Q989" s="142" t="n">
        <v>1</v>
      </c>
      <c r="R989" s="143">
        <f>调整因子!$F$13</f>
        <v/>
      </c>
      <c r="S989" s="70" t="n">
        <v>1</v>
      </c>
      <c r="T989" s="144">
        <f>IFERROR(P989*R989,0)</f>
        <v/>
      </c>
      <c r="U989" s="145">
        <f>T989*S989</f>
        <v/>
      </c>
      <c r="V989" s="96" t="inlineStr">
        <is>
          <t>资产扫描覆盖表、扫描盲区记录表、扫描能力缺口表、离线扫描报告表</t>
        </is>
      </c>
      <c r="W989" s="96" t="inlineStr"/>
      <c r="X989"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Y989" s="88" t="n"/>
      <c r="Z989" s="88" t="n"/>
    </row>
    <row r="990" hidden="1" ht="86.40000000000001" customHeight="1">
      <c r="A990" s="69">
        <f>ROW()-1</f>
        <v/>
      </c>
      <c r="B990" s="53" t="n"/>
      <c r="C990" s="117" t="n">
        <v>2026</v>
      </c>
      <c r="D990" s="64" t="n"/>
      <c r="E990" s="53" t="n"/>
      <c r="F990" s="53" t="n"/>
      <c r="G990" s="53" t="n"/>
      <c r="H990" s="96" t="inlineStr">
        <is>
          <t>删除自动扫描策略</t>
        </is>
      </c>
      <c r="I990" s="76" t="inlineStr">
        <is>
          <t>EI</t>
        </is>
      </c>
      <c r="J990" s="95" t="n"/>
      <c r="K990" s="95" t="n"/>
      <c r="L990" s="83">
        <f>IF(OR(X990="估算法",X990="算法类",X990="无法识别"),"",IF(V990="",IF(OR(I990="EI",I990="EO",I990="EQ"),0,""),LEN(V990)-LEN(SUBSTITUTE(V990,"、",""))+1))</f>
        <v/>
      </c>
      <c r="M990" s="83">
        <f>IF(OR(X990="估算法",X990="算法类",X990="无法识别"),"",IF(W990="",IF(OR(I990="ILF",I990="EIF"),0,""),LEN(W990)-LEN(SUBSTITUTE(W990,"、",""))+1))</f>
        <v/>
      </c>
      <c r="N990" s="83">
        <f>IF(OR(X990="估算法",X990="算法类",X990="无法识别"),"",IF(X990="",IF(OR(I990="ILF",I990="EIF",I990="EI",I990="EO",I990="EQ"),0,""),LEN(X990)-LEN(SUBSTITUTE(SUBSTITUTE(SUBSTITUTE(SUBSTITUTE(SUBSTITUTE(X990,"|}","--"),"{|","--"),CHAR(10),""),"、",""),"|",""))+IF(AND(OR(I990="EI",I990="EO",I990="EQ"),$AD$1="NESMA"),2,1)))</f>
        <v/>
      </c>
      <c r="O990" s="84">
        <f>IF(I990="EI",IF(OR(X990="估算法",X990="算法类"),"中",IF(X990="无法识别","低",IF(L990&lt;2,IF(N990&lt;16,"低","中"),IF(L990&lt;3,IF(N990&lt;5,"低",IF(N990&lt;16,"中","高")),IF(N990&lt;5,"中","高"))))),IF(OR(I990="EO",I990="EQ"),IF(OR(X990="估算法",X990="算法类"),"中",IF(X990="无法识别","低",IF(L990&lt;2,IF(N990&lt;20,"低","中"),IF(L990&lt;4,IF(N990&lt;6,"低",IF(N990&lt;20,"中","高")),IF(N990&lt;6,"中","高"))))),IF(OR(I990="ILF",I990="EIF"),IF(OR(X990="估算法",X990="算法类",X990="无法识别"),"低",IF(M990&lt;2,IF(N990&lt;51,"低","中"),IF(M990&lt;6,IF(N990&lt;20,"低",IF(N990&lt;51,"中","高")),IF(N990&lt;20,"中","高")))),"不计算")))</f>
        <v/>
      </c>
      <c r="P990" s="142">
        <f>IFERROR(IF(I990="EI",IF(O990="低",3,IF(O990="中",4,6)),IF(I990="EO",IF(O990="低",4,IF(O990="中",5,7)),IF(I990="EQ",IF(O990="低",3,IF(O990="中",4,6)),IF(I990="ILF",IF(O990="低",7,IF(O990="中",10,15)),IF(I990="EIF",IF(O990="低",5,IF(O990="中",7,10)),"不计算")))))*Q990,"不计算")</f>
        <v/>
      </c>
      <c r="Q990" s="142" t="n">
        <v>0.333333333333333</v>
      </c>
      <c r="R990" s="143">
        <f>调整因子!$F$13</f>
        <v/>
      </c>
      <c r="S990" s="70" t="n">
        <v>1</v>
      </c>
      <c r="T990" s="144">
        <f>IFERROR(P990*R990,0)</f>
        <v/>
      </c>
      <c r="U990" s="145">
        <f>T990*S990</f>
        <v/>
      </c>
      <c r="V990" s="96" t="inlineStr">
        <is>
          <t>资产扫描覆盖表、扫描盲区记录表、扫描能力缺口表、离线扫描报告表</t>
        </is>
      </c>
      <c r="W990" s="96" t="inlineStr"/>
      <c r="X990"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Y990" s="88" t="n"/>
      <c r="Z990" s="88" t="n"/>
    </row>
    <row r="991" hidden="1" ht="64.8" customHeight="1">
      <c r="A991" s="69">
        <f>ROW()-1</f>
        <v/>
      </c>
      <c r="B991" s="53" t="n"/>
      <c r="C991" s="117" t="n">
        <v>2026</v>
      </c>
      <c r="D991" s="64" t="n"/>
      <c r="E991" s="53" t="n"/>
      <c r="F991" s="53" t="n"/>
      <c r="G991" s="53" t="n"/>
      <c r="H991" s="96" t="inlineStr">
        <is>
          <t>启用自动扫描策略</t>
        </is>
      </c>
      <c r="I991" s="76" t="inlineStr">
        <is>
          <t>EI</t>
        </is>
      </c>
      <c r="J991" s="95" t="n"/>
      <c r="K991" s="95" t="n"/>
      <c r="L991" s="83">
        <f>IF(OR(X991="估算法",X991="算法类",X991="无法识别"),"",IF(V991="",IF(OR(I991="EI",I991="EO",I991="EQ"),0,""),LEN(V991)-LEN(SUBSTITUTE(V991,"、",""))+1))</f>
        <v/>
      </c>
      <c r="M991" s="83">
        <f>IF(OR(X991="估算法",X991="算法类",X991="无法识别"),"",IF(W991="",IF(OR(I991="ILF",I991="EIF"),0,""),LEN(W991)-LEN(SUBSTITUTE(W991,"、",""))+1))</f>
        <v/>
      </c>
      <c r="N991" s="83">
        <f>IF(OR(X991="估算法",X991="算法类",X991="无法识别"),"",IF(X991="",IF(OR(I991="ILF",I991="EIF",I991="EI",I991="EO",I991="EQ"),0,""),LEN(X991)-LEN(SUBSTITUTE(SUBSTITUTE(SUBSTITUTE(SUBSTITUTE(SUBSTITUTE(X991,"|}","--"),"{|","--"),CHAR(10),""),"、",""),"|",""))+IF(AND(OR(I991="EI",I991="EO",I991="EQ"),$AD$1="NESMA"),2,1)))</f>
        <v/>
      </c>
      <c r="O991" s="84">
        <f>IF(I991="EI",IF(OR(X991="估算法",X991="算法类"),"中",IF(X991="无法识别","低",IF(L991&lt;2,IF(N991&lt;16,"低","中"),IF(L991&lt;3,IF(N991&lt;5,"低",IF(N991&lt;16,"中","高")),IF(N991&lt;5,"中","高"))))),IF(OR(I991="EO",I991="EQ"),IF(OR(X991="估算法",X991="算法类"),"中",IF(X991="无法识别","低",IF(L991&lt;2,IF(N991&lt;20,"低","中"),IF(L991&lt;4,IF(N991&lt;6,"低",IF(N991&lt;20,"中","高")),IF(N991&lt;6,"中","高"))))),IF(OR(I991="ILF",I991="EIF"),IF(OR(X991="估算法",X991="算法类",X991="无法识别"),"低",IF(M991&lt;2,IF(N991&lt;51,"低","中"),IF(M991&lt;6,IF(N991&lt;20,"低",IF(N991&lt;51,"中","高")),IF(N991&lt;20,"中","高")))),"不计算")))</f>
        <v/>
      </c>
      <c r="P991" s="142">
        <f>IFERROR(IF(I991="EI",IF(O991="低",3,IF(O991="中",4,6)),IF(I991="EO",IF(O991="低",4,IF(O991="中",5,7)),IF(I991="EQ",IF(O991="低",3,IF(O991="中",4,6)),IF(I991="ILF",IF(O991="低",7,IF(O991="中",10,15)),IF(I991="EIF",IF(O991="低",5,IF(O991="中",7,10)),"不计算")))))*Q991,"不计算")</f>
        <v/>
      </c>
      <c r="Q991" s="142" t="n">
        <v>1</v>
      </c>
      <c r="R991" s="143">
        <f>调整因子!$F$13</f>
        <v/>
      </c>
      <c r="S991" s="76" t="n">
        <v>1</v>
      </c>
      <c r="T991" s="144">
        <f>IFERROR(P991*R991,0)</f>
        <v/>
      </c>
      <c r="U991" s="145">
        <f>T991*S991</f>
        <v/>
      </c>
      <c r="V991" s="96" t="inlineStr">
        <is>
          <t>资产扫描覆盖表、扫描盲区记录表、扫描能力缺口表</t>
        </is>
      </c>
      <c r="W991" s="96" t="inlineStr"/>
      <c r="X991"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Y991" s="88" t="n"/>
      <c r="Z991" s="88" t="n"/>
    </row>
    <row r="992" hidden="1" ht="108" customHeight="1">
      <c r="A992" s="69">
        <f>ROW()-1</f>
        <v/>
      </c>
      <c r="B992" s="53" t="n"/>
      <c r="C992" s="117" t="n">
        <v>2026</v>
      </c>
      <c r="D992" s="64" t="n"/>
      <c r="E992" s="53" t="n"/>
      <c r="F992" s="53" t="n"/>
      <c r="G992" s="54" t="n"/>
      <c r="H992" s="96" t="inlineStr">
        <is>
          <t>停用自动扫描策略</t>
        </is>
      </c>
      <c r="I992" s="76" t="n"/>
      <c r="J992" s="95" t="n"/>
      <c r="K992" s="95" t="inlineStr">
        <is>
          <t>和上行合并，启停为相同功能</t>
        </is>
      </c>
      <c r="L992" s="83">
        <f>IF(OR(X992="估算法",X992="算法类",X992="无法识别"),"",IF(V992="",IF(OR(I992="EI",I992="EO",I992="EQ"),0,""),LEN(V992)-LEN(SUBSTITUTE(V992,"、",""))+1))</f>
        <v/>
      </c>
      <c r="M992" s="83">
        <f>IF(OR(X992="估算法",X992="算法类",X992="无法识别"),"",IF(W992="",IF(OR(I992="ILF",I992="EIF"),0,""),LEN(W992)-LEN(SUBSTITUTE(W992,"、",""))+1))</f>
        <v/>
      </c>
      <c r="N992" s="83">
        <f>IF(OR(X992="估算法",X992="算法类",X992="无法识别"),"",IF(X992="",IF(OR(I992="ILF",I992="EIF",I992="EI",I992="EO",I992="EQ"),0,""),LEN(X992)-LEN(SUBSTITUTE(SUBSTITUTE(SUBSTITUTE(SUBSTITUTE(SUBSTITUTE(X992,"|}","--"),"{|","--"),CHAR(10),""),"、",""),"|",""))+IF(AND(OR(I992="EI",I992="EO",I992="EQ"),$AD$1="NESMA"),2,1)))</f>
        <v/>
      </c>
      <c r="O992" s="84">
        <f>IF(I992="EI",IF(OR(X992="估算法",X992="算法类"),"中",IF(X992="无法识别","低",IF(L992&lt;2,IF(N992&lt;16,"低","中"),IF(L992&lt;3,IF(N992&lt;5,"低",IF(N992&lt;16,"中","高")),IF(N992&lt;5,"中","高"))))),IF(OR(I992="EO",I992="EQ"),IF(OR(X992="估算法",X992="算法类"),"中",IF(X992="无法识别","低",IF(L992&lt;2,IF(N992&lt;20,"低","中"),IF(L992&lt;4,IF(N992&lt;6,"低",IF(N992&lt;20,"中","高")),IF(N992&lt;6,"中","高"))))),IF(OR(I992="ILF",I992="EIF"),IF(OR(X992="估算法",X992="算法类",X992="无法识别"),"低",IF(M992&lt;2,IF(N992&lt;51,"低","中"),IF(M992&lt;6,IF(N992&lt;20,"低",IF(N992&lt;51,"中","高")),IF(N992&lt;20,"中","高")))),"不计算")))</f>
        <v/>
      </c>
      <c r="P992" s="142">
        <f>IFERROR(IF(I992="EI",IF(O992="低",3,IF(O992="中",4,6)),IF(I992="EO",IF(O992="低",4,IF(O992="中",5,7)),IF(I992="EQ",IF(O992="低",3,IF(O992="中",4,6)),IF(I992="ILF",IF(O992="低",7,IF(O992="中",10,15)),IF(I992="EIF",IF(O992="低",5,IF(O992="中",7,10)),"不计算")))))*Q992,"不计算")</f>
        <v/>
      </c>
      <c r="Q992" s="142" t="n">
        <v>1</v>
      </c>
      <c r="R992" s="143">
        <f>调整因子!$F$13</f>
        <v/>
      </c>
      <c r="S992" s="76" t="n">
        <v>1</v>
      </c>
      <c r="T992" s="144">
        <f>IFERROR(P992*R992,0)</f>
        <v/>
      </c>
      <c r="U992" s="145">
        <f>T992*S992</f>
        <v/>
      </c>
      <c r="V992" s="96" t="inlineStr">
        <is>
          <t>资产扫描覆盖表、扫描盲区记录表、扫描能力缺口表、离线扫描报告表、扫描策略模板表</t>
        </is>
      </c>
      <c r="W992" s="96" t="inlineStr"/>
      <c r="X992"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Y992" s="88" t="n"/>
      <c r="Z992" s="88" t="n"/>
    </row>
    <row r="993" hidden="1" ht="108" customHeight="1">
      <c r="A993" s="69">
        <f>ROW()-1</f>
        <v/>
      </c>
      <c r="B993" s="53" t="n"/>
      <c r="C993" s="117" t="n">
        <v>2026</v>
      </c>
      <c r="D993" s="64" t="n"/>
      <c r="E993" s="53" t="n"/>
      <c r="F993" s="53" t="n"/>
      <c r="G993" s="111" t="inlineStr">
        <is>
          <t>资产变更触发配置</t>
        </is>
      </c>
      <c r="H993" s="96" t="inlineStr">
        <is>
          <t>编辑变更触发规则</t>
        </is>
      </c>
      <c r="I993" s="76" t="inlineStr">
        <is>
          <t>EI</t>
        </is>
      </c>
      <c r="J993" s="95" t="n"/>
      <c r="K993" s="95" t="n"/>
      <c r="L993" s="83">
        <f>IF(OR(X993="估算法",X993="算法类",X993="无法识别"),"",IF(V993="",IF(OR(I993="EI",I993="EO",I993="EQ"),0,""),LEN(V993)-LEN(SUBSTITUTE(V993,"、",""))+1))</f>
        <v/>
      </c>
      <c r="M993" s="83">
        <f>IF(OR(X993="估算法",X993="算法类",X993="无法识别"),"",IF(W993="",IF(OR(I993="ILF",I993="EIF"),0,""),LEN(W993)-LEN(SUBSTITUTE(W993,"、",""))+1))</f>
        <v/>
      </c>
      <c r="N993" s="83">
        <f>IF(OR(X993="估算法",X993="算法类",X993="无法识别"),"",IF(X993="",IF(OR(I993="ILF",I993="EIF",I993="EI",I993="EO",I993="EQ"),0,""),LEN(X993)-LEN(SUBSTITUTE(SUBSTITUTE(SUBSTITUTE(SUBSTITUTE(SUBSTITUTE(X993,"|}","--"),"{|","--"),CHAR(10),""),"、",""),"|",""))+IF(AND(OR(I993="EI",I993="EO",I993="EQ"),$AD$1="NESMA"),2,1)))</f>
        <v/>
      </c>
      <c r="O993" s="84">
        <f>IF(I993="EI",IF(OR(X993="估算法",X993="算法类"),"中",IF(X993="无法识别","低",IF(L993&lt;2,IF(N993&lt;16,"低","中"),IF(L993&lt;3,IF(N993&lt;5,"低",IF(N993&lt;16,"中","高")),IF(N993&lt;5,"中","高"))))),IF(OR(I993="EO",I993="EQ"),IF(OR(X993="估算法",X993="算法类"),"中",IF(X993="无法识别","低",IF(L993&lt;2,IF(N993&lt;20,"低","中"),IF(L993&lt;4,IF(N993&lt;6,"低",IF(N993&lt;20,"中","高")),IF(N993&lt;6,"中","高"))))),IF(OR(I993="ILF",I993="EIF"),IF(OR(X993="估算法",X993="算法类",X993="无法识别"),"低",IF(M993&lt;2,IF(N993&lt;51,"低","中"),IF(M993&lt;6,IF(N993&lt;20,"低",IF(N993&lt;51,"中","高")),IF(N993&lt;20,"中","高")))),"不计算")))</f>
        <v/>
      </c>
      <c r="P993" s="142">
        <f>IFERROR(IF(I993="EI",IF(O993="低",3,IF(O993="中",4,6)),IF(I993="EO",IF(O993="低",4,IF(O993="中",5,7)),IF(I993="EQ",IF(O993="低",3,IF(O993="中",4,6)),IF(I993="ILF",IF(O993="低",7,IF(O993="中",10,15)),IF(I993="EIF",IF(O993="低",5,IF(O993="中",7,10)),"不计算")))))*Q993,"不计算")</f>
        <v/>
      </c>
      <c r="Q993" s="142" t="n">
        <v>1</v>
      </c>
      <c r="R993" s="143">
        <f>调整因子!$F$13</f>
        <v/>
      </c>
      <c r="S993" s="70" t="n">
        <v>1</v>
      </c>
      <c r="T993" s="144">
        <f>IFERROR(P993*R993,0)</f>
        <v/>
      </c>
      <c r="U993" s="145">
        <f>T993*S993</f>
        <v/>
      </c>
      <c r="V993" s="96" t="inlineStr">
        <is>
          <t>推送规则表、提醒规则表、脱敏规则表、加密规则表、接口参数表</t>
        </is>
      </c>
      <c r="W993" s="96" t="inlineStr"/>
      <c r="X993"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接口参数表{接口ID、接口名称、接口类型、接口地址、调用时间|接口ID、接口名称、接口类型}</t>
        </is>
      </c>
      <c r="Y993" s="88" t="n"/>
      <c r="Z993" s="88" t="n"/>
    </row>
    <row r="994" hidden="1" ht="108" customHeight="1">
      <c r="A994" s="69">
        <f>ROW()-1</f>
        <v/>
      </c>
      <c r="B994" s="53" t="n"/>
      <c r="C994" s="117" t="n">
        <v>2026</v>
      </c>
      <c r="D994" s="64" t="n"/>
      <c r="E994" s="53" t="n"/>
      <c r="F994" s="53" t="n"/>
      <c r="G994" s="53" t="n"/>
      <c r="H994" s="96" t="inlineStr">
        <is>
          <t>删除变更触发规则</t>
        </is>
      </c>
      <c r="I994" s="76" t="inlineStr">
        <is>
          <t>EI</t>
        </is>
      </c>
      <c r="J994" s="95" t="n"/>
      <c r="K994" s="95" t="n"/>
      <c r="L994" s="83">
        <f>IF(OR(X994="估算法",X994="算法类",X994="无法识别"),"",IF(V994="",IF(OR(I994="EI",I994="EO",I994="EQ"),0,""),LEN(V994)-LEN(SUBSTITUTE(V994,"、",""))+1))</f>
        <v/>
      </c>
      <c r="M994" s="83">
        <f>IF(OR(X994="估算法",X994="算法类",X994="无法识别"),"",IF(W994="",IF(OR(I994="ILF",I994="EIF"),0,""),LEN(W994)-LEN(SUBSTITUTE(W994,"、",""))+1))</f>
        <v/>
      </c>
      <c r="N994" s="83">
        <f>IF(OR(X994="估算法",X994="算法类",X994="无法识别"),"",IF(X994="",IF(OR(I994="ILF",I994="EIF",I994="EI",I994="EO",I994="EQ"),0,""),LEN(X994)-LEN(SUBSTITUTE(SUBSTITUTE(SUBSTITUTE(SUBSTITUTE(SUBSTITUTE(X994,"|}","--"),"{|","--"),CHAR(10),""),"、",""),"|",""))+IF(AND(OR(I994="EI",I994="EO",I994="EQ"),$AD$1="NESMA"),2,1)))</f>
        <v/>
      </c>
      <c r="O994" s="84">
        <f>IF(I994="EI",IF(OR(X994="估算法",X994="算法类"),"中",IF(X994="无法识别","低",IF(L994&lt;2,IF(N994&lt;16,"低","中"),IF(L994&lt;3,IF(N994&lt;5,"低",IF(N994&lt;16,"中","高")),IF(N994&lt;5,"中","高"))))),IF(OR(I994="EO",I994="EQ"),IF(OR(X994="估算法",X994="算法类"),"中",IF(X994="无法识别","低",IF(L994&lt;2,IF(N994&lt;20,"低","中"),IF(L994&lt;4,IF(N994&lt;6,"低",IF(N994&lt;20,"中","高")),IF(N994&lt;6,"中","高"))))),IF(OR(I994="ILF",I994="EIF"),IF(OR(X994="估算法",X994="算法类",X994="无法识别"),"低",IF(M994&lt;2,IF(N994&lt;51,"低","中"),IF(M994&lt;6,IF(N994&lt;20,"低",IF(N994&lt;51,"中","高")),IF(N994&lt;20,"中","高")))),"不计算")))</f>
        <v/>
      </c>
      <c r="P994" s="142">
        <f>IFERROR(IF(I994="EI",IF(O994="低",3,IF(O994="中",4,6)),IF(I994="EO",IF(O994="低",4,IF(O994="中",5,7)),IF(I994="EQ",IF(O994="低",3,IF(O994="中",4,6)),IF(I994="ILF",IF(O994="低",7,IF(O994="中",10,15)),IF(I994="EIF",IF(O994="低",5,IF(O994="中",7,10)),"不计算")))))*Q994,"不计算")</f>
        <v/>
      </c>
      <c r="Q994" s="142" t="n">
        <v>0.333333333333333</v>
      </c>
      <c r="R994" s="143">
        <f>调整因子!$F$13</f>
        <v/>
      </c>
      <c r="S994" s="70" t="n">
        <v>1</v>
      </c>
      <c r="T994" s="144">
        <f>IFERROR(P994*R994,0)</f>
        <v/>
      </c>
      <c r="U994" s="145">
        <f>T994*S994</f>
        <v/>
      </c>
      <c r="V994" s="96" t="inlineStr">
        <is>
          <t>推送规则表、提醒规则表、脱敏规则表、加密规则表、任务日志表</t>
        </is>
      </c>
      <c r="W994" s="96" t="inlineStr"/>
      <c r="X994"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任务日志表{任务ID、任务名称、任务类型、任务状态、创建时间、执行时间|任务ID、任务名称、任务类型}</t>
        </is>
      </c>
      <c r="Y994" s="88" t="n"/>
      <c r="Z994" s="88" t="n"/>
    </row>
    <row r="995" hidden="1" ht="75.59999999999999" customHeight="1">
      <c r="A995" s="69">
        <f>ROW()-1</f>
        <v/>
      </c>
      <c r="B995" s="53" t="n"/>
      <c r="C995" s="117" t="n">
        <v>2026</v>
      </c>
      <c r="D995" s="64" t="n"/>
      <c r="E995" s="53" t="n"/>
      <c r="F995" s="53" t="n"/>
      <c r="G995" s="53" t="n"/>
      <c r="H995" s="96" t="inlineStr">
        <is>
          <t>启用变更触发</t>
        </is>
      </c>
      <c r="I995" s="76" t="inlineStr">
        <is>
          <t>EI</t>
        </is>
      </c>
      <c r="J995" s="95" t="n"/>
      <c r="K995" s="95" t="n"/>
      <c r="L995" s="83">
        <f>IF(OR(X995="估算法",X995="算法类",X995="无法识别"),"",IF(V995="",IF(OR(I995="EI",I995="EO",I995="EQ"),0,""),LEN(V995)-LEN(SUBSTITUTE(V995,"、",""))+1))</f>
        <v/>
      </c>
      <c r="M995" s="83">
        <f>IF(OR(X995="估算法",X995="算法类",X995="无法识别"),"",IF(W995="",IF(OR(I995="ILF",I995="EIF"),0,""),LEN(W995)-LEN(SUBSTITUTE(W995,"、",""))+1))</f>
        <v/>
      </c>
      <c r="N995" s="83">
        <f>IF(OR(X995="估算法",X995="算法类",X995="无法识别"),"",IF(X995="",IF(OR(I995="ILF",I995="EIF",I995="EI",I995="EO",I995="EQ"),0,""),LEN(X995)-LEN(SUBSTITUTE(SUBSTITUTE(SUBSTITUTE(SUBSTITUTE(SUBSTITUTE(X995,"|}","--"),"{|","--"),CHAR(10),""),"、",""),"|",""))+IF(AND(OR(I995="EI",I995="EO",I995="EQ"),$AD$1="NESMA"),2,1)))</f>
        <v/>
      </c>
      <c r="O995" s="84">
        <f>IF(I995="EI",IF(OR(X995="估算法",X995="算法类"),"中",IF(X995="无法识别","低",IF(L995&lt;2,IF(N995&lt;16,"低","中"),IF(L995&lt;3,IF(N995&lt;5,"低",IF(N995&lt;16,"中","高")),IF(N995&lt;5,"中","高"))))),IF(OR(I995="EO",I995="EQ"),IF(OR(X995="估算法",X995="算法类"),"中",IF(X995="无法识别","低",IF(L995&lt;2,IF(N995&lt;20,"低","中"),IF(L995&lt;4,IF(N995&lt;6,"低",IF(N995&lt;20,"中","高")),IF(N995&lt;6,"中","高"))))),IF(OR(I995="ILF",I995="EIF"),IF(OR(X995="估算法",X995="算法类",X995="无法识别"),"低",IF(M995&lt;2,IF(N995&lt;51,"低","中"),IF(M995&lt;6,IF(N995&lt;20,"低",IF(N995&lt;51,"中","高")),IF(N995&lt;20,"中","高")))),"不计算")))</f>
        <v/>
      </c>
      <c r="P995" s="142">
        <f>IFERROR(IF(I995="EI",IF(O995="低",3,IF(O995="中",4,6)),IF(I995="EO",IF(O995="低",4,IF(O995="中",5,7)),IF(I995="EQ",IF(O995="低",3,IF(O995="中",4,6)),IF(I995="ILF",IF(O995="低",7,IF(O995="中",10,15)),IF(I995="EIF",IF(O995="低",5,IF(O995="中",7,10)),"不计算")))))*Q995,"不计算")</f>
        <v/>
      </c>
      <c r="Q995" s="142" t="n">
        <v>1</v>
      </c>
      <c r="R995" s="143">
        <f>调整因子!$F$13</f>
        <v/>
      </c>
      <c r="S995" s="76" t="n">
        <v>1</v>
      </c>
      <c r="T995" s="144">
        <f>IFERROR(P995*R995,0)</f>
        <v/>
      </c>
      <c r="U995" s="145">
        <f>T995*S995</f>
        <v/>
      </c>
      <c r="V995" s="96" t="inlineStr">
        <is>
          <t>日志采集配置表、推送配置表、接口参数配置表、指标阈值表</t>
        </is>
      </c>
      <c r="W995" s="96" t="inlineStr"/>
      <c r="X995" s="111" t="inlineStr">
        <is>
          <t>日志采集配置表{配置ID、配置名称、配置类型、配置值、创建时间|配置ID、配置名称、配置类型}
推送配置表{配置ID、配置名称、配置类型、配置值、创建时间|配置ID、配置名称、配置类型}
接口参数配置表{配置ID、配置名称、配置类型、配置值、创建时间|配置ID、配置名称、配置类型}
指标阈值表{ID、名称、类型、状态、创建时间、更新时间|ID、名称、类型}</t>
        </is>
      </c>
      <c r="Y995" s="88" t="n"/>
      <c r="Z995" s="88" t="n"/>
    </row>
    <row r="996" hidden="1" ht="86.40000000000001" customHeight="1">
      <c r="A996" s="69">
        <f>ROW()-1</f>
        <v/>
      </c>
      <c r="B996" s="53" t="n"/>
      <c r="C996" s="117" t="n">
        <v>2026</v>
      </c>
      <c r="D996" s="64" t="n"/>
      <c r="E996" s="53" t="n"/>
      <c r="F996" s="53" t="n"/>
      <c r="G996" s="53" t="n"/>
      <c r="H996" s="96" t="inlineStr">
        <is>
          <t>停用变更触发</t>
        </is>
      </c>
      <c r="I996" s="76" t="n"/>
      <c r="J996" s="95" t="n"/>
      <c r="K996" s="95" t="inlineStr">
        <is>
          <t>和上行合并，启停为相同功能</t>
        </is>
      </c>
      <c r="L996" s="83">
        <f>IF(OR(X996="估算法",X996="算法类",X996="无法识别"),"",IF(V996="",IF(OR(I996="EI",I996="EO",I996="EQ"),0,""),LEN(V996)-LEN(SUBSTITUTE(V996,"、",""))+1))</f>
        <v/>
      </c>
      <c r="M996" s="83">
        <f>IF(OR(X996="估算法",X996="算法类",X996="无法识别"),"",IF(W996="",IF(OR(I996="ILF",I996="EIF"),0,""),LEN(W996)-LEN(SUBSTITUTE(W996,"、",""))+1))</f>
        <v/>
      </c>
      <c r="N996" s="83">
        <f>IF(OR(X996="估算法",X996="算法类",X996="无法识别"),"",IF(X996="",IF(OR(I996="ILF",I996="EIF",I996="EI",I996="EO",I996="EQ"),0,""),LEN(X996)-LEN(SUBSTITUTE(SUBSTITUTE(SUBSTITUTE(SUBSTITUTE(SUBSTITUTE(X996,"|}","--"),"{|","--"),CHAR(10),""),"、",""),"|",""))+IF(AND(OR(I996="EI",I996="EO",I996="EQ"),$AD$1="NESMA"),2,1)))</f>
        <v/>
      </c>
      <c r="O996" s="84">
        <f>IF(I996="EI",IF(OR(X996="估算法",X996="算法类"),"中",IF(X996="无法识别","低",IF(L996&lt;2,IF(N996&lt;16,"低","中"),IF(L996&lt;3,IF(N996&lt;5,"低",IF(N996&lt;16,"中","高")),IF(N996&lt;5,"中","高"))))),IF(OR(I996="EO",I996="EQ"),IF(OR(X996="估算法",X996="算法类"),"中",IF(X996="无法识别","低",IF(L996&lt;2,IF(N996&lt;20,"低","中"),IF(L996&lt;4,IF(N996&lt;6,"低",IF(N996&lt;20,"中","高")),IF(N996&lt;6,"中","高"))))),IF(OR(I996="ILF",I996="EIF"),IF(OR(X996="估算法",X996="算法类",X996="无法识别"),"低",IF(M996&lt;2,IF(N996&lt;51,"低","中"),IF(M996&lt;6,IF(N996&lt;20,"低",IF(N996&lt;51,"中","高")),IF(N996&lt;20,"中","高")))),"不计算")))</f>
        <v/>
      </c>
      <c r="P996" s="142">
        <f>IFERROR(IF(I996="EI",IF(O996="低",3,IF(O996="中",4,6)),IF(I996="EO",IF(O996="低",4,IF(O996="中",5,7)),IF(I996="EQ",IF(O996="低",3,IF(O996="中",4,6)),IF(I996="ILF",IF(O996="低",7,IF(O996="中",10,15)),IF(I996="EIF",IF(O996="低",5,IF(O996="中",7,10)),"不计算")))))*Q996,"不计算")</f>
        <v/>
      </c>
      <c r="Q996" s="142" t="n">
        <v>1</v>
      </c>
      <c r="R996" s="143">
        <f>调整因子!$F$13</f>
        <v/>
      </c>
      <c r="S996" s="70" t="n">
        <v>1</v>
      </c>
      <c r="T996" s="144">
        <f>IFERROR(P996*R996,0)</f>
        <v/>
      </c>
      <c r="U996" s="145">
        <f>T996*S996</f>
        <v/>
      </c>
      <c r="V996" s="96" t="inlineStr">
        <is>
          <t>验证任务表、日志加密配置表、推送任务表、通报对象表、采集记录表</t>
        </is>
      </c>
      <c r="W996" s="96" t="inlineStr"/>
      <c r="X996" s="111" t="inlineStr">
        <is>
          <t>验证任务表{任务ID、任务名称、任务类型、任务状态、创建时间、执行时间|任务ID、任务名称、任务类型}
日志加密配置表{配置ID、配置名称、配置类型、配置值、创建时间|配置ID、配置名称、配置类型}
推送任务表{任务ID、任务名称、任务类型、任务状态、创建时间、执行时间|任务ID、任务名称、任务类型}
通报对象表{ID、名称、类型、状态、创建时间、更新时间|ID、名称、类型}
采集记录表{ID、名称、类型、状态、创建时间、更新时间|ID、名称、类型}</t>
        </is>
      </c>
      <c r="Y996" s="88" t="n"/>
      <c r="Z996" s="88" t="n"/>
    </row>
    <row r="997" hidden="1" ht="54" customHeight="1">
      <c r="A997" s="69">
        <f>ROW()-1</f>
        <v/>
      </c>
      <c r="B997" s="53" t="n"/>
      <c r="C997" s="117" t="n">
        <v>2026</v>
      </c>
      <c r="D997" s="64" t="n"/>
      <c r="E997" s="53" t="n"/>
      <c r="F997" s="53" t="n"/>
      <c r="G997" s="53" t="n"/>
      <c r="H997" s="96" t="inlineStr">
        <is>
          <t>导出触发配置</t>
        </is>
      </c>
      <c r="I997" s="76" t="inlineStr">
        <is>
          <t>EO</t>
        </is>
      </c>
      <c r="J997" s="95" t="n"/>
      <c r="K997" s="95" t="n"/>
      <c r="L997" s="83">
        <f>IF(OR(X997="估算法",X997="算法类",X997="无法识别"),"",IF(V997="",IF(OR(I997="EI",I997="EO",I997="EQ"),0,""),LEN(V997)-LEN(SUBSTITUTE(V997,"、",""))+1))</f>
        <v/>
      </c>
      <c r="M997" s="83">
        <f>IF(OR(X997="估算法",X997="算法类",X997="无法识别"),"",IF(W997="",IF(OR(I997="ILF",I997="EIF"),0,""),LEN(W997)-LEN(SUBSTITUTE(W997,"、",""))+1))</f>
        <v/>
      </c>
      <c r="N997" s="83">
        <f>IF(OR(X997="估算法",X997="算法类",X997="无法识别"),"",IF(X997="",IF(OR(I997="ILF",I997="EIF",I997="EI",I997="EO",I997="EQ"),0,""),LEN(X997)-LEN(SUBSTITUTE(SUBSTITUTE(SUBSTITUTE(SUBSTITUTE(SUBSTITUTE(X997,"|}","--"),"{|","--"),CHAR(10),""),"、",""),"|",""))+IF(AND(OR(I997="EI",I997="EO",I997="EQ"),$AD$1="NESMA"),2,1)))</f>
        <v/>
      </c>
      <c r="O997" s="84">
        <f>IF(I997="EI",IF(OR(X997="估算法",X997="算法类"),"中",IF(X997="无法识别","低",IF(L997&lt;2,IF(N997&lt;16,"低","中"),IF(L997&lt;3,IF(N997&lt;5,"低",IF(N997&lt;16,"中","高")),IF(N997&lt;5,"中","高"))))),IF(OR(I997="EO",I997="EQ"),IF(OR(X997="估算法",X997="算法类"),"中",IF(X997="无法识别","低",IF(L997&lt;2,IF(N997&lt;20,"低","中"),IF(L997&lt;4,IF(N997&lt;6,"低",IF(N997&lt;20,"中","高")),IF(N997&lt;6,"中","高"))))),IF(OR(I997="ILF",I997="EIF"),IF(OR(X997="估算法",X997="算法类",X997="无法识别"),"低",IF(M997&lt;2,IF(N997&lt;51,"低","中"),IF(M997&lt;6,IF(N997&lt;20,"低",IF(N997&lt;51,"中","高")),IF(N997&lt;20,"中","高")))),"不计算")))</f>
        <v/>
      </c>
      <c r="P997" s="142">
        <f>IFERROR(IF(I997="EI",IF(O997="低",3,IF(O997="中",4,6)),IF(I997="EO",IF(O997="低",4,IF(O997="中",5,7)),IF(I997="EQ",IF(O997="低",3,IF(O997="中",4,6)),IF(I997="ILF",IF(O997="低",7,IF(O997="中",10,15)),IF(I997="EIF",IF(O997="低",5,IF(O997="中",7,10)),"不计算")))))*Q997,"不计算")</f>
        <v/>
      </c>
      <c r="Q997" s="142" t="n">
        <v>1</v>
      </c>
      <c r="R997" s="143">
        <f>调整因子!$F$13</f>
        <v/>
      </c>
      <c r="S997" s="70" t="n">
        <v>1</v>
      </c>
      <c r="T997" s="144">
        <f>IFERROR(P997*R997,0)</f>
        <v/>
      </c>
      <c r="U997" s="145">
        <f>T997*S997</f>
        <v/>
      </c>
      <c r="V997" s="96" t="inlineStr">
        <is>
          <t>任务优先级配置表、模板参数配置表、处置单配置表</t>
        </is>
      </c>
      <c r="W997" s="96" t="inlineStr"/>
      <c r="X997"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Y997" s="88" t="n"/>
      <c r="Z997" s="88" t="n"/>
    </row>
    <row r="998" hidden="1" ht="32.4" customHeight="1">
      <c r="A998" s="69">
        <f>ROW()-1</f>
        <v/>
      </c>
      <c r="B998" s="53" t="n"/>
      <c r="C998" s="117" t="n">
        <v>2026</v>
      </c>
      <c r="D998" s="64" t="n"/>
      <c r="E998" s="53" t="n"/>
      <c r="F998" s="53" t="n"/>
      <c r="G998" s="53" t="n"/>
      <c r="H998" s="96" t="inlineStr">
        <is>
          <t>查询触发规则</t>
        </is>
      </c>
      <c r="I998" s="76" t="inlineStr">
        <is>
          <t>EQ</t>
        </is>
      </c>
      <c r="J998" s="95" t="n"/>
      <c r="K998" s="95" t="n"/>
      <c r="L998" s="83">
        <f>IF(OR(X998="估算法",X998="算法类",X998="无法识别"),"",IF(V998="",IF(OR(I998="EI",I998="EO",I998="EQ"),0,""),LEN(V998)-LEN(SUBSTITUTE(V998,"、",""))+1))</f>
        <v/>
      </c>
      <c r="M998" s="83">
        <f>IF(OR(X998="估算法",X998="算法类",X998="无法识别"),"",IF(W998="",IF(OR(I998="ILF",I998="EIF"),0,""),LEN(W998)-LEN(SUBSTITUTE(W998,"、",""))+1))</f>
        <v/>
      </c>
      <c r="N998" s="83">
        <f>IF(OR(X998="估算法",X998="算法类",X998="无法识别"),"",IF(X998="",IF(OR(I998="ILF",I998="EIF",I998="EI",I998="EO",I998="EQ"),0,""),LEN(X998)-LEN(SUBSTITUTE(SUBSTITUTE(SUBSTITUTE(SUBSTITUTE(SUBSTITUTE(X998,"|}","--"),"{|","--"),CHAR(10),""),"、",""),"|",""))+IF(AND(OR(I998="EI",I998="EO",I998="EQ"),$AD$1="NESMA"),2,1)))</f>
        <v/>
      </c>
      <c r="O998" s="84">
        <f>IF(I998="EI",IF(OR(X998="估算法",X998="算法类"),"中",IF(X998="无法识别","低",IF(L998&lt;2,IF(N998&lt;16,"低","中"),IF(L998&lt;3,IF(N998&lt;5,"低",IF(N998&lt;16,"中","高")),IF(N998&lt;5,"中","高"))))),IF(OR(I998="EO",I998="EQ"),IF(OR(X998="估算法",X998="算法类"),"中",IF(X998="无法识别","低",IF(L998&lt;2,IF(N998&lt;20,"低","中"),IF(L998&lt;4,IF(N998&lt;6,"低",IF(N998&lt;20,"中","高")),IF(N998&lt;6,"中","高"))))),IF(OR(I998="ILF",I998="EIF"),IF(OR(X998="估算法",X998="算法类",X998="无法识别"),"低",IF(M998&lt;2,IF(N998&lt;51,"低","中"),IF(M998&lt;6,IF(N998&lt;20,"低",IF(N998&lt;51,"中","高")),IF(N998&lt;20,"中","高")))),"不计算")))</f>
        <v/>
      </c>
      <c r="P998" s="142">
        <f>IFERROR(IF(I998="EI",IF(O998="低",3,IF(O998="中",4,6)),IF(I998="EO",IF(O998="低",4,IF(O998="中",5,7)),IF(I998="EQ",IF(O998="低",3,IF(O998="中",4,6)),IF(I998="ILF",IF(O998="低",7,IF(O998="中",10,15)),IF(I998="EIF",IF(O998="低",5,IF(O998="中",7,10)),"不计算")))))*Q998,"不计算")</f>
        <v/>
      </c>
      <c r="Q998" s="142" t="n">
        <v>1</v>
      </c>
      <c r="R998" s="143">
        <f>调整因子!$F$13</f>
        <v/>
      </c>
      <c r="S998" s="76" t="n">
        <v>1</v>
      </c>
      <c r="T998" s="144">
        <f>IFERROR(P998*R998,0)</f>
        <v/>
      </c>
      <c r="U998" s="145">
        <f>T998*S998</f>
        <v/>
      </c>
      <c r="V998" s="96" t="inlineStr">
        <is>
          <t>推送规则表、提醒规则表、脱敏规则表</t>
        </is>
      </c>
      <c r="W998" s="96" t="inlineStr"/>
      <c r="X998"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Y998" s="88" t="n"/>
      <c r="Z998" s="88" t="n"/>
    </row>
    <row r="999" hidden="1" ht="75.59999999999999" customHeight="1">
      <c r="A999" s="69">
        <f>ROW()-1</f>
        <v/>
      </c>
      <c r="B999" s="53" t="n"/>
      <c r="C999" s="117" t="n">
        <v>2026</v>
      </c>
      <c r="D999" s="64" t="n"/>
      <c r="E999" s="53" t="n"/>
      <c r="F999" s="53" t="n"/>
      <c r="G999" s="54" t="n"/>
      <c r="H999" s="96" t="inlineStr">
        <is>
          <t>查看触发历史</t>
        </is>
      </c>
      <c r="I999" s="76" t="inlineStr">
        <is>
          <t>EQ</t>
        </is>
      </c>
      <c r="J999" s="95" t="n"/>
      <c r="K999" s="95" t="inlineStr">
        <is>
          <t>处理流程和上行基本一致，为查询功能，未体现详情功能</t>
        </is>
      </c>
      <c r="L999" s="83">
        <f>IF(OR(X999="估算法",X999="算法类",X999="无法识别"),"",IF(V999="",IF(OR(I999="EI",I999="EO",I999="EQ"),0,""),LEN(V999)-LEN(SUBSTITUTE(V999,"、",""))+1))</f>
        <v/>
      </c>
      <c r="M999" s="83">
        <f>IF(OR(X999="估算法",X999="算法类",X999="无法识别"),"",IF(W999="",IF(OR(I999="ILF",I999="EIF"),0,""),LEN(W999)-LEN(SUBSTITUTE(W999,"、",""))+1))</f>
        <v/>
      </c>
      <c r="N999" s="83">
        <f>IF(OR(X999="估算法",X999="算法类",X999="无法识别"),"",IF(X999="",IF(OR(I999="ILF",I999="EIF",I999="EI",I999="EO",I999="EQ"),0,""),LEN(X999)-LEN(SUBSTITUTE(SUBSTITUTE(SUBSTITUTE(SUBSTITUTE(SUBSTITUTE(X999,"|}","--"),"{|","--"),CHAR(10),""),"、",""),"|",""))+IF(AND(OR(I999="EI",I999="EO",I999="EQ"),$AD$1="NESMA"),2,1)))</f>
        <v/>
      </c>
      <c r="O999" s="84">
        <f>IF(I999="EI",IF(OR(X999="估算法",X999="算法类"),"中",IF(X999="无法识别","低",IF(L999&lt;2,IF(N999&lt;16,"低","中"),IF(L999&lt;3,IF(N999&lt;5,"低",IF(N999&lt;16,"中","高")),IF(N999&lt;5,"中","高"))))),IF(OR(I999="EO",I999="EQ"),IF(OR(X999="估算法",X999="算法类"),"中",IF(X999="无法识别","低",IF(L999&lt;2,IF(N999&lt;20,"低","中"),IF(L999&lt;4,IF(N999&lt;6,"低",IF(N999&lt;20,"中","高")),IF(N999&lt;6,"中","高"))))),IF(OR(I999="ILF",I999="EIF"),IF(OR(X999="估算法",X999="算法类",X999="无法识别"),"低",IF(M999&lt;2,IF(N999&lt;51,"低","中"),IF(M999&lt;6,IF(N999&lt;20,"低",IF(N999&lt;51,"中","高")),IF(N999&lt;20,"中","高")))),"不计算")))</f>
        <v/>
      </c>
      <c r="P999" s="142">
        <f>IFERROR(IF(I999="EI",IF(O999="低",3,IF(O999="中",4,6)),IF(I999="EO",IF(O999="低",4,IF(O999="中",5,7)),IF(I999="EQ",IF(O999="低",3,IF(O999="中",4,6)),IF(I999="ILF",IF(O999="低",7,IF(O999="中",10,15)),IF(I999="EIF",IF(O999="低",5,IF(O999="中",7,10)),"不计算")))))*Q999,"不计算")</f>
        <v/>
      </c>
      <c r="Q999" s="142" t="n">
        <v>0.333333333333333</v>
      </c>
      <c r="R999" s="143">
        <f>调整因子!$F$13</f>
        <v/>
      </c>
      <c r="S999" s="76" t="n">
        <v>1</v>
      </c>
      <c r="T999" s="144">
        <f>IFERROR(P999*R999,0)</f>
        <v/>
      </c>
      <c r="U999" s="145">
        <f>T999*S999</f>
        <v/>
      </c>
      <c r="V999" s="96" t="inlineStr">
        <is>
          <t>提醒规则表、指标权重表、分类层级关系表、漏洞趋势数据表、漏洞处置推送接口配置表</t>
        </is>
      </c>
      <c r="W999" s="96" t="inlineStr"/>
      <c r="X999" s="111" t="inlineStr">
        <is>
          <t>提醒规则表{规则ID、规则名称|规则ID、规则名称、规则类型、规则条件、创建时间}
指标权重表{ID、名称|ID、名称、类型、状态、创建时间、更新时间}
分类层级关系表{ID、名称|ID、名称、类型、状态、创建时间、更新时间}
漏洞趋势数据表{漏洞ID、漏洞名称|漏洞ID、漏洞名称、漏洞等级、漏洞类型、CVE编号、发现时间、修复状态}
漏洞处置推送接口配置表{漏洞ID、漏洞名称|漏洞ID、漏洞名称、漏洞等级、漏洞类型、CVE编号、发现时间、修复状态}</t>
        </is>
      </c>
      <c r="Y999" s="88" t="n"/>
      <c r="Z999" s="88" t="n"/>
    </row>
    <row r="1000" hidden="1" ht="108" customHeight="1">
      <c r="A1000" s="69">
        <f>ROW()-1</f>
        <v/>
      </c>
      <c r="B1000" s="53" t="n"/>
      <c r="C1000" s="117" t="n">
        <v>2026</v>
      </c>
      <c r="D1000" s="64" t="n"/>
      <c r="E1000" s="53" t="n"/>
      <c r="F1000" s="53" t="n"/>
      <c r="G1000" s="111" t="inlineStr">
        <is>
          <t>自动预警配置</t>
        </is>
      </c>
      <c r="H1000" s="96" t="inlineStr">
        <is>
          <t>编辑预警规则</t>
        </is>
      </c>
      <c r="I1000" s="76" t="inlineStr">
        <is>
          <t>EI</t>
        </is>
      </c>
      <c r="J1000" s="95" t="n"/>
      <c r="K1000" s="95" t="n"/>
      <c r="L1000" s="83">
        <f>IF(OR(X1000="估算法",X1000="算法类",X1000="无法识别"),"",IF(V1000="",IF(OR(I1000="EI",I1000="EO",I1000="EQ"),0,""),LEN(V1000)-LEN(SUBSTITUTE(V1000,"、",""))+1))</f>
        <v/>
      </c>
      <c r="M1000" s="83">
        <f>IF(OR(X1000="估算法",X1000="算法类",X1000="无法识别"),"",IF(W1000="",IF(OR(I1000="ILF",I1000="EIF"),0,""),LEN(W1000)-LEN(SUBSTITUTE(W1000,"、",""))+1))</f>
        <v/>
      </c>
      <c r="N1000" s="83">
        <f>IF(OR(X1000="估算法",X1000="算法类",X1000="无法识别"),"",IF(X1000="",IF(OR(I1000="ILF",I1000="EIF",I1000="EI",I1000="EO",I1000="EQ"),0,""),LEN(X1000)-LEN(SUBSTITUTE(SUBSTITUTE(SUBSTITUTE(SUBSTITUTE(SUBSTITUTE(X1000,"|}","--"),"{|","--"),CHAR(10),""),"、",""),"|",""))+IF(AND(OR(I1000="EI",I1000="EO",I1000="EQ"),$AD$1="NESMA"),2,1)))</f>
        <v/>
      </c>
      <c r="O1000" s="84">
        <f>IF(I1000="EI",IF(OR(X1000="估算法",X1000="算法类"),"中",IF(X1000="无法识别","低",IF(L1000&lt;2,IF(N1000&lt;16,"低","中"),IF(L1000&lt;3,IF(N1000&lt;5,"低",IF(N1000&lt;16,"中","高")),IF(N1000&lt;5,"中","高"))))),IF(OR(I1000="EO",I1000="EQ"),IF(OR(X1000="估算法",X1000="算法类"),"中",IF(X1000="无法识别","低",IF(L1000&lt;2,IF(N1000&lt;20,"低","中"),IF(L1000&lt;4,IF(N1000&lt;6,"低",IF(N1000&lt;20,"中","高")),IF(N1000&lt;6,"中","高"))))),IF(OR(I1000="ILF",I1000="EIF"),IF(OR(X1000="估算法",X1000="算法类",X1000="无法识别"),"低",IF(M1000&lt;2,IF(N1000&lt;51,"低","中"),IF(M1000&lt;6,IF(N1000&lt;20,"低",IF(N1000&lt;51,"中","高")),IF(N1000&lt;20,"中","高")))),"不计算")))</f>
        <v/>
      </c>
      <c r="P1000" s="142">
        <f>IFERROR(IF(I1000="EI",IF(O1000="低",3,IF(O1000="中",4,6)),IF(I1000="EO",IF(O1000="低",4,IF(O1000="中",5,7)),IF(I1000="EQ",IF(O1000="低",3,IF(O1000="中",4,6)),IF(I1000="ILF",IF(O1000="低",7,IF(O1000="中",10,15)),IF(I1000="EIF",IF(O1000="低",5,IF(O1000="中",7,10)),"不计算")))))*Q1000,"不计算")</f>
        <v/>
      </c>
      <c r="Q1000" s="142" t="n">
        <v>1</v>
      </c>
      <c r="R1000" s="143">
        <f>调整因子!$F$13</f>
        <v/>
      </c>
      <c r="S1000" s="70" t="n">
        <v>1</v>
      </c>
      <c r="T1000" s="144">
        <f>IFERROR(P1000*R1000,0)</f>
        <v/>
      </c>
      <c r="U1000" s="145">
        <f>T1000*S1000</f>
        <v/>
      </c>
      <c r="V1000" s="96" t="inlineStr">
        <is>
          <t>推送规则表、提醒规则表、脱敏规则表、加密规则表、资产扫描覆盖表</t>
        </is>
      </c>
      <c r="W1000" s="96" t="inlineStr"/>
      <c r="X1000"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资产扫描覆盖表{资产ID、资产名称、IP地址、资产类型、资产状态、创建时间、更新时间|资产ID、资产名称、IP地址}</t>
        </is>
      </c>
      <c r="Y1000" s="88" t="n"/>
      <c r="Z1000" s="88" t="n"/>
    </row>
    <row r="1001" hidden="1" ht="64.8" customHeight="1">
      <c r="A1001" s="69">
        <f>ROW()-1</f>
        <v/>
      </c>
      <c r="B1001" s="53" t="n"/>
      <c r="C1001" s="117" t="n">
        <v>2026</v>
      </c>
      <c r="D1001" s="64" t="n"/>
      <c r="E1001" s="53" t="n"/>
      <c r="F1001" s="53" t="n"/>
      <c r="G1001" s="53" t="n"/>
      <c r="H1001" s="96" t="inlineStr">
        <is>
          <t>删除预警规则</t>
        </is>
      </c>
      <c r="I1001" s="76" t="inlineStr">
        <is>
          <t>EI</t>
        </is>
      </c>
      <c r="J1001" s="95" t="n"/>
      <c r="K1001" s="95" t="n"/>
      <c r="L1001" s="83">
        <f>IF(OR(X1001="估算法",X1001="算法类",X1001="无法识别"),"",IF(V1001="",IF(OR(I1001="EI",I1001="EO",I1001="EQ"),0,""),LEN(V1001)-LEN(SUBSTITUTE(V1001,"、",""))+1))</f>
        <v/>
      </c>
      <c r="M1001" s="83">
        <f>IF(OR(X1001="估算法",X1001="算法类",X1001="无法识别"),"",IF(W1001="",IF(OR(I1001="ILF",I1001="EIF"),0,""),LEN(W1001)-LEN(SUBSTITUTE(W1001,"、",""))+1))</f>
        <v/>
      </c>
      <c r="N1001" s="83">
        <f>IF(OR(X1001="估算法",X1001="算法类",X1001="无法识别"),"",IF(X1001="",IF(OR(I1001="ILF",I1001="EIF",I1001="EI",I1001="EO",I1001="EQ"),0,""),LEN(X1001)-LEN(SUBSTITUTE(SUBSTITUTE(SUBSTITUTE(SUBSTITUTE(SUBSTITUTE(X1001,"|}","--"),"{|","--"),CHAR(10),""),"、",""),"|",""))+IF(AND(OR(I1001="EI",I1001="EO",I1001="EQ"),$AD$1="NESMA"),2,1)))</f>
        <v/>
      </c>
      <c r="O1001" s="84">
        <f>IF(I1001="EI",IF(OR(X1001="估算法",X1001="算法类"),"中",IF(X1001="无法识别","低",IF(L1001&lt;2,IF(N1001&lt;16,"低","中"),IF(L1001&lt;3,IF(N1001&lt;5,"低",IF(N1001&lt;16,"中","高")),IF(N1001&lt;5,"中","高"))))),IF(OR(I1001="EO",I1001="EQ"),IF(OR(X1001="估算法",X1001="算法类"),"中",IF(X1001="无法识别","低",IF(L1001&lt;2,IF(N1001&lt;20,"低","中"),IF(L1001&lt;4,IF(N1001&lt;6,"低",IF(N1001&lt;20,"中","高")),IF(N1001&lt;6,"中","高"))))),IF(OR(I1001="ILF",I1001="EIF"),IF(OR(X1001="估算法",X1001="算法类",X1001="无法识别"),"低",IF(M1001&lt;2,IF(N1001&lt;51,"低","中"),IF(M1001&lt;6,IF(N1001&lt;20,"低",IF(N1001&lt;51,"中","高")),IF(N1001&lt;20,"中","高")))),"不计算")))</f>
        <v/>
      </c>
      <c r="P1001" s="142">
        <f>IFERROR(IF(I1001="EI",IF(O1001="低",3,IF(O1001="中",4,6)),IF(I1001="EO",IF(O1001="低",4,IF(O1001="中",5,7)),IF(I1001="EQ",IF(O1001="低",3,IF(O1001="中",4,6)),IF(I1001="ILF",IF(O1001="低",7,IF(O1001="中",10,15)),IF(I1001="EIF",IF(O1001="低",5,IF(O1001="中",7,10)),"不计算")))))*Q1001,"不计算")</f>
        <v/>
      </c>
      <c r="Q1001" s="142" t="n">
        <v>0.333333333333333</v>
      </c>
      <c r="R1001" s="143">
        <f>调整因子!$F$13</f>
        <v/>
      </c>
      <c r="S1001" s="70" t="n">
        <v>1</v>
      </c>
      <c r="T1001" s="144">
        <f>IFERROR(P1001*R1001,0)</f>
        <v/>
      </c>
      <c r="U1001" s="145">
        <f>T1001*S1001</f>
        <v/>
      </c>
      <c r="V1001" s="96" t="inlineStr">
        <is>
          <t>推送规则表、提醒规则表、脱敏规则表</t>
        </is>
      </c>
      <c r="W1001" s="96" t="inlineStr"/>
      <c r="X1001"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Y1001" s="88" t="n"/>
      <c r="Z1001" s="88" t="n"/>
    </row>
    <row r="1002" hidden="1" ht="86.40000000000001" customHeight="1">
      <c r="A1002" s="69">
        <f>ROW()-1</f>
        <v/>
      </c>
      <c r="B1002" s="53" t="n"/>
      <c r="C1002" s="117" t="n">
        <v>2026</v>
      </c>
      <c r="D1002" s="64" t="n"/>
      <c r="E1002" s="53" t="n"/>
      <c r="F1002" s="53" t="n"/>
      <c r="G1002" s="53" t="n"/>
      <c r="H1002" s="96" t="inlineStr">
        <is>
          <t>启用预警规则</t>
        </is>
      </c>
      <c r="I1002" s="76" t="inlineStr">
        <is>
          <t>EI</t>
        </is>
      </c>
      <c r="J1002" s="95" t="n"/>
      <c r="K1002" s="95" t="n"/>
      <c r="L1002" s="83">
        <f>IF(OR(X1002="估算法",X1002="算法类",X1002="无法识别"),"",IF(V1002="",IF(OR(I1002="EI",I1002="EO",I1002="EQ"),0,""),LEN(V1002)-LEN(SUBSTITUTE(V1002,"、",""))+1))</f>
        <v/>
      </c>
      <c r="M1002" s="83">
        <f>IF(OR(X1002="估算法",X1002="算法类",X1002="无法识别"),"",IF(W1002="",IF(OR(I1002="ILF",I1002="EIF"),0,""),LEN(W1002)-LEN(SUBSTITUTE(W1002,"、",""))+1))</f>
        <v/>
      </c>
      <c r="N1002" s="83">
        <f>IF(OR(X1002="估算法",X1002="算法类",X1002="无法识别"),"",IF(X1002="",IF(OR(I1002="ILF",I1002="EIF",I1002="EI",I1002="EO",I1002="EQ"),0,""),LEN(X1002)-LEN(SUBSTITUTE(SUBSTITUTE(SUBSTITUTE(SUBSTITUTE(SUBSTITUTE(X1002,"|}","--"),"{|","--"),CHAR(10),""),"、",""),"|",""))+IF(AND(OR(I1002="EI",I1002="EO",I1002="EQ"),$AD$1="NESMA"),2,1)))</f>
        <v/>
      </c>
      <c r="O1002" s="84">
        <f>IF(I1002="EI",IF(OR(X1002="估算法",X1002="算法类"),"中",IF(X1002="无法识别","低",IF(L1002&lt;2,IF(N1002&lt;16,"低","中"),IF(L1002&lt;3,IF(N1002&lt;5,"低",IF(N1002&lt;16,"中","高")),IF(N1002&lt;5,"中","高"))))),IF(OR(I1002="EO",I1002="EQ"),IF(OR(X1002="估算法",X1002="算法类"),"中",IF(X1002="无法识别","低",IF(L1002&lt;2,IF(N1002&lt;20,"低","中"),IF(L1002&lt;4,IF(N1002&lt;6,"低",IF(N1002&lt;20,"中","高")),IF(N1002&lt;6,"中","高"))))),IF(OR(I1002="ILF",I1002="EIF"),IF(OR(X1002="估算法",X1002="算法类",X1002="无法识别"),"低",IF(M1002&lt;2,IF(N1002&lt;51,"低","中"),IF(M1002&lt;6,IF(N1002&lt;20,"低",IF(N1002&lt;51,"中","高")),IF(N1002&lt;20,"中","高")))),"不计算")))</f>
        <v/>
      </c>
      <c r="P1002" s="142">
        <f>IFERROR(IF(I1002="EI",IF(O1002="低",3,IF(O1002="中",4,6)),IF(I1002="EO",IF(O1002="低",4,IF(O1002="中",5,7)),IF(I1002="EQ",IF(O1002="低",3,IF(O1002="中",4,6)),IF(I1002="ILF",IF(O1002="低",7,IF(O1002="中",10,15)),IF(I1002="EIF",IF(O1002="低",5,IF(O1002="中",7,10)),"不计算")))))*Q1002,"不计算")</f>
        <v/>
      </c>
      <c r="Q1002" s="142" t="n">
        <v>1</v>
      </c>
      <c r="R1002" s="143">
        <f>调整因子!$F$13</f>
        <v/>
      </c>
      <c r="S1002" s="76" t="n">
        <v>1</v>
      </c>
      <c r="T1002" s="144">
        <f>IFERROR(P1002*R1002,0)</f>
        <v/>
      </c>
      <c r="U1002" s="145">
        <f>T1002*S1002</f>
        <v/>
      </c>
      <c r="V1002" s="96" t="inlineStr">
        <is>
          <t>推送规则表、提醒规则表、脱敏规则表、加密规则表</t>
        </is>
      </c>
      <c r="W1002" s="96" t="inlineStr"/>
      <c r="X1002"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Y1002" s="88" t="n"/>
      <c r="Z1002" s="88" t="n"/>
    </row>
    <row r="1003" hidden="1" ht="108" customHeight="1">
      <c r="A1003" s="69">
        <f>ROW()-1</f>
        <v/>
      </c>
      <c r="B1003" s="53" t="n"/>
      <c r="C1003" s="117" t="n">
        <v>2026</v>
      </c>
      <c r="D1003" s="64" t="n"/>
      <c r="E1003" s="53" t="n"/>
      <c r="F1003" s="53" t="n"/>
      <c r="G1003" s="53" t="n"/>
      <c r="H1003" s="96" t="inlineStr">
        <is>
          <t>停用预警规则</t>
        </is>
      </c>
      <c r="I1003" s="76" t="n"/>
      <c r="J1003" s="95" t="n"/>
      <c r="K1003" s="95" t="inlineStr">
        <is>
          <t>和上行合并，启停为相同功能</t>
        </is>
      </c>
      <c r="L1003" s="83">
        <f>IF(OR(X1003="估算法",X1003="算法类",X1003="无法识别"),"",IF(V1003="",IF(OR(I1003="EI",I1003="EO",I1003="EQ"),0,""),LEN(V1003)-LEN(SUBSTITUTE(V1003,"、",""))+1))</f>
        <v/>
      </c>
      <c r="M1003" s="83">
        <f>IF(OR(X1003="估算法",X1003="算法类",X1003="无法识别"),"",IF(W1003="",IF(OR(I1003="ILF",I1003="EIF"),0,""),LEN(W1003)-LEN(SUBSTITUTE(W1003,"、",""))+1))</f>
        <v/>
      </c>
      <c r="N1003" s="83">
        <f>IF(OR(X1003="估算法",X1003="算法类",X1003="无法识别"),"",IF(X1003="",IF(OR(I1003="ILF",I1003="EIF",I1003="EI",I1003="EO",I1003="EQ"),0,""),LEN(X1003)-LEN(SUBSTITUTE(SUBSTITUTE(SUBSTITUTE(SUBSTITUTE(SUBSTITUTE(X1003,"|}","--"),"{|","--"),CHAR(10),""),"、",""),"|",""))+IF(AND(OR(I1003="EI",I1003="EO",I1003="EQ"),$AD$1="NESMA"),2,1)))</f>
        <v/>
      </c>
      <c r="O1003" s="84">
        <f>IF(I1003="EI",IF(OR(X1003="估算法",X1003="算法类"),"中",IF(X1003="无法识别","低",IF(L1003&lt;2,IF(N1003&lt;16,"低","中"),IF(L1003&lt;3,IF(N1003&lt;5,"低",IF(N1003&lt;16,"中","高")),IF(N1003&lt;5,"中","高"))))),IF(OR(I1003="EO",I1003="EQ"),IF(OR(X1003="估算法",X1003="算法类"),"中",IF(X1003="无法识别","低",IF(L1003&lt;2,IF(N1003&lt;20,"低","中"),IF(L1003&lt;4,IF(N1003&lt;6,"低",IF(N1003&lt;20,"中","高")),IF(N1003&lt;6,"中","高"))))),IF(OR(I1003="ILF",I1003="EIF"),IF(OR(X1003="估算法",X1003="算法类",X1003="无法识别"),"低",IF(M1003&lt;2,IF(N1003&lt;51,"低","中"),IF(M1003&lt;6,IF(N1003&lt;20,"低",IF(N1003&lt;51,"中","高")),IF(N1003&lt;20,"中","高")))),"不计算")))</f>
        <v/>
      </c>
      <c r="P1003" s="142">
        <f>IFERROR(IF(I1003="EI",IF(O1003="低",3,IF(O1003="中",4,6)),IF(I1003="EO",IF(O1003="低",4,IF(O1003="中",5,7)),IF(I1003="EQ",IF(O1003="低",3,IF(O1003="中",4,6)),IF(I1003="ILF",IF(O1003="低",7,IF(O1003="中",10,15)),IF(I1003="EIF",IF(O1003="低",5,IF(O1003="中",7,10)),"不计算")))))*Q1003,"不计算")</f>
        <v/>
      </c>
      <c r="Q1003" s="142" t="n">
        <v>1</v>
      </c>
      <c r="R1003" s="143">
        <f>调整因子!$F$13</f>
        <v/>
      </c>
      <c r="S1003" s="70" t="n">
        <v>1</v>
      </c>
      <c r="T1003" s="144">
        <f>IFERROR(P1003*R1003,0)</f>
        <v/>
      </c>
      <c r="U1003" s="145">
        <f>T1003*S1003</f>
        <v/>
      </c>
      <c r="V1003" s="96" t="inlineStr">
        <is>
          <t>推送规则表、提醒规则表、脱敏规则表、加密规则表、同步任务调度表</t>
        </is>
      </c>
      <c r="W1003" s="96" t="inlineStr"/>
      <c r="X1003"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is>
      </c>
      <c r="Y1003" s="88" t="n"/>
      <c r="Z1003" s="88" t="n"/>
    </row>
    <row r="1004" hidden="1" ht="64.8" customHeight="1">
      <c r="A1004" s="69">
        <f>ROW()-1</f>
        <v/>
      </c>
      <c r="B1004" s="53" t="n"/>
      <c r="C1004" s="117" t="n">
        <v>2026</v>
      </c>
      <c r="D1004" s="64" t="n"/>
      <c r="E1004" s="53" t="n"/>
      <c r="F1004" s="53" t="n"/>
      <c r="G1004" s="53" t="n"/>
      <c r="H1004" s="96" t="inlineStr">
        <is>
          <t>导出预警配置</t>
        </is>
      </c>
      <c r="I1004" s="76" t="inlineStr">
        <is>
          <t>EO</t>
        </is>
      </c>
      <c r="J1004" s="95" t="n"/>
      <c r="K1004" s="95" t="n"/>
      <c r="L1004" s="83">
        <f>IF(OR(X1004="估算法",X1004="算法类",X1004="无法识别"),"",IF(V1004="",IF(OR(I1004="EI",I1004="EO",I1004="EQ"),0,""),LEN(V1004)-LEN(SUBSTITUTE(V1004,"、",""))+1))</f>
        <v/>
      </c>
      <c r="M1004" s="83">
        <f>IF(OR(X1004="估算法",X1004="算法类",X1004="无法识别"),"",IF(W1004="",IF(OR(I1004="ILF",I1004="EIF"),0,""),LEN(W1004)-LEN(SUBSTITUTE(W1004,"、",""))+1))</f>
        <v/>
      </c>
      <c r="N1004" s="83">
        <f>IF(OR(X1004="估算法",X1004="算法类",X1004="无法识别"),"",IF(X1004="",IF(OR(I1004="ILF",I1004="EIF",I1004="EI",I1004="EO",I1004="EQ"),0,""),LEN(X1004)-LEN(SUBSTITUTE(SUBSTITUTE(SUBSTITUTE(SUBSTITUTE(SUBSTITUTE(X1004,"|}","--"),"{|","--"),CHAR(10),""),"、",""),"|",""))+IF(AND(OR(I1004="EI",I1004="EO",I1004="EQ"),$AD$1="NESMA"),2,1)))</f>
        <v/>
      </c>
      <c r="O1004" s="84">
        <f>IF(I1004="EI",IF(OR(X1004="估算法",X1004="算法类"),"中",IF(X1004="无法识别","低",IF(L1004&lt;2,IF(N1004&lt;16,"低","中"),IF(L1004&lt;3,IF(N1004&lt;5,"低",IF(N1004&lt;16,"中","高")),IF(N1004&lt;5,"中","高"))))),IF(OR(I1004="EO",I1004="EQ"),IF(OR(X1004="估算法",X1004="算法类"),"中",IF(X1004="无法识别","低",IF(L1004&lt;2,IF(N1004&lt;20,"低","中"),IF(L1004&lt;4,IF(N1004&lt;6,"低",IF(N1004&lt;20,"中","高")),IF(N1004&lt;6,"中","高"))))),IF(OR(I1004="ILF",I1004="EIF"),IF(OR(X1004="估算法",X1004="算法类",X1004="无法识别"),"低",IF(M1004&lt;2,IF(N1004&lt;51,"低","中"),IF(M1004&lt;6,IF(N1004&lt;20,"低",IF(N1004&lt;51,"中","高")),IF(N1004&lt;20,"中","高")))),"不计算")))</f>
        <v/>
      </c>
      <c r="P1004" s="142">
        <f>IFERROR(IF(I1004="EI",IF(O1004="低",3,IF(O1004="中",4,6)),IF(I1004="EO",IF(O1004="低",4,IF(O1004="中",5,7)),IF(I1004="EQ",IF(O1004="低",3,IF(O1004="中",4,6)),IF(I1004="ILF",IF(O1004="低",7,IF(O1004="中",10,15)),IF(I1004="EIF",IF(O1004="低",5,IF(O1004="中",7,10)),"不计算")))))*Q1004,"不计算")</f>
        <v/>
      </c>
      <c r="Q1004" s="142" t="n">
        <v>1</v>
      </c>
      <c r="R1004" s="143">
        <f>调整因子!$F$13</f>
        <v/>
      </c>
      <c r="S1004" s="70" t="n">
        <v>1</v>
      </c>
      <c r="T1004" s="144">
        <f>IFERROR(P1004*R1004,0)</f>
        <v/>
      </c>
      <c r="U1004" s="145">
        <f>T1004*S1004</f>
        <v/>
      </c>
      <c r="V1004" s="96" t="inlineStr">
        <is>
          <t>任务优先级配置表、模板参数配置表、处置单配置表、验证配置表</t>
        </is>
      </c>
      <c r="W1004" s="96" t="inlineStr"/>
      <c r="X1004"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Y1004" s="88" t="n"/>
      <c r="Z1004" s="88" t="n"/>
    </row>
    <row r="1005" hidden="1" ht="75.59999999999999" customHeight="1">
      <c r="A1005" s="69">
        <f>ROW()-1</f>
        <v/>
      </c>
      <c r="B1005" s="53" t="n"/>
      <c r="C1005" s="117" t="n">
        <v>2026</v>
      </c>
      <c r="D1005" s="64" t="n"/>
      <c r="E1005" s="53" t="n"/>
      <c r="F1005" s="53" t="n"/>
      <c r="G1005" s="53" t="n"/>
      <c r="H1005" s="96" t="inlineStr">
        <is>
          <t>推送预警通知</t>
        </is>
      </c>
      <c r="I1005" s="76" t="inlineStr">
        <is>
          <t>EO</t>
        </is>
      </c>
      <c r="J1005" s="95" t="n"/>
      <c r="K1005" s="95" t="inlineStr">
        <is>
          <t>描述为查询功能</t>
        </is>
      </c>
      <c r="L1005" s="83">
        <f>IF(OR(X1005="估算法",X1005="算法类",X1005="无法识别"),"",IF(V1005="",IF(OR(I1005="EI",I1005="EO",I1005="EQ"),0,""),LEN(V1005)-LEN(SUBSTITUTE(V1005,"、",""))+1))</f>
        <v/>
      </c>
      <c r="M1005" s="83">
        <f>IF(OR(X1005="估算法",X1005="算法类",X1005="无法识别"),"",IF(W1005="",IF(OR(I1005="ILF",I1005="EIF"),0,""),LEN(W1005)-LEN(SUBSTITUTE(W1005,"、",""))+1))</f>
        <v/>
      </c>
      <c r="N1005" s="83">
        <f>IF(OR(X1005="估算法",X1005="算法类",X1005="无法识别"),"",IF(X1005="",IF(OR(I1005="ILF",I1005="EIF",I1005="EI",I1005="EO",I1005="EQ"),0,""),LEN(X1005)-LEN(SUBSTITUTE(SUBSTITUTE(SUBSTITUTE(SUBSTITUTE(SUBSTITUTE(X1005,"|}","--"),"{|","--"),CHAR(10),""),"、",""),"|",""))+IF(AND(OR(I1005="EI",I1005="EO",I1005="EQ"),$AD$1="NESMA"),2,1)))</f>
        <v/>
      </c>
      <c r="O1005" s="84">
        <f>IF(I1005="EI",IF(OR(X1005="估算法",X1005="算法类"),"中",IF(X1005="无法识别","低",IF(L1005&lt;2,IF(N1005&lt;16,"低","中"),IF(L1005&lt;3,IF(N1005&lt;5,"低",IF(N1005&lt;16,"中","高")),IF(N1005&lt;5,"中","高"))))),IF(OR(I1005="EO",I1005="EQ"),IF(OR(X1005="估算法",X1005="算法类"),"中",IF(X1005="无法识别","低",IF(L1005&lt;2,IF(N1005&lt;20,"低","中"),IF(L1005&lt;4,IF(N1005&lt;6,"低",IF(N1005&lt;20,"中","高")),IF(N1005&lt;6,"中","高"))))),IF(OR(I1005="ILF",I1005="EIF"),IF(OR(X1005="估算法",X1005="算法类",X1005="无法识别"),"低",IF(M1005&lt;2,IF(N1005&lt;51,"低","中"),IF(M1005&lt;6,IF(N1005&lt;20,"低",IF(N1005&lt;51,"中","高")),IF(N1005&lt;20,"中","高")))),"不计算")))</f>
        <v/>
      </c>
      <c r="P1005" s="142">
        <f>IFERROR(IF(I1005="EI",IF(O1005="低",3,IF(O1005="中",4,6)),IF(I1005="EO",IF(O1005="低",4,IF(O1005="中",5,7)),IF(I1005="EQ",IF(O1005="低",3,IF(O1005="中",4,6)),IF(I1005="ILF",IF(O1005="低",7,IF(O1005="中",10,15)),IF(I1005="EIF",IF(O1005="低",5,IF(O1005="中",7,10)),"不计算")))))*Q1005,"不计算")</f>
        <v/>
      </c>
      <c r="Q1005" s="142" t="n">
        <v>0.333333333333333</v>
      </c>
      <c r="R1005" s="143">
        <f>调整因子!$F$13</f>
        <v/>
      </c>
      <c r="S1005" s="76" t="n">
        <v>1</v>
      </c>
      <c r="T1005" s="144">
        <f>IFERROR(P1005*R1005,0)</f>
        <v/>
      </c>
      <c r="U1005" s="145">
        <f>T1005*S1005</f>
        <v/>
      </c>
      <c r="V1005" s="96" t="inlineStr">
        <is>
          <t>任务优先级配置表、报告导入记录表、分类层级关系表、任务趋势分析表、复测配置表</t>
        </is>
      </c>
      <c r="W1005" s="96" t="inlineStr"/>
      <c r="X1005" s="111" t="inlineStr">
        <is>
          <t>任务优先级配置表{任务ID、任务名称|任务ID、任务名称、任务类型、任务状态、创建时间、执行时间}
报告导入记录表{ID、名称|ID、名称、类型、状态、创建时间、更新时间}
分类层级关系表{ID、名称|ID、名称、类型、状态、创建时间、更新时间}
任务趋势分析表{任务ID、任务名称|任务ID、任务名称、任务类型、任务状态、创建时间、执行时间}
复测配置表{配置ID、配置名称|配置ID、配置名称、配置类型、配置值、创建时间}</t>
        </is>
      </c>
      <c r="Y1005" s="88" t="n"/>
      <c r="Z1005" s="88" t="n"/>
    </row>
    <row r="1006" hidden="1" ht="43.2" customHeight="1">
      <c r="A1006" s="69">
        <f>ROW()-1</f>
        <v/>
      </c>
      <c r="B1006" s="53" t="n"/>
      <c r="C1006" s="117" t="n">
        <v>2026</v>
      </c>
      <c r="D1006" s="64" t="n"/>
      <c r="E1006" s="53" t="n"/>
      <c r="F1006" s="53" t="n"/>
      <c r="G1006" s="53" t="n"/>
      <c r="H1006" s="96" t="inlineStr">
        <is>
          <t>查询预警规则</t>
        </is>
      </c>
      <c r="I1006" s="76" t="inlineStr">
        <is>
          <t>EQ</t>
        </is>
      </c>
      <c r="J1006" s="95" t="n"/>
      <c r="K1006" s="95" t="n"/>
      <c r="L1006" s="83">
        <f>IF(OR(X1006="估算法",X1006="算法类",X1006="无法识别"),"",IF(V1006="",IF(OR(I1006="EI",I1006="EO",I1006="EQ"),0,""),LEN(V1006)-LEN(SUBSTITUTE(V1006,"、",""))+1))</f>
        <v/>
      </c>
      <c r="M1006" s="83">
        <f>IF(OR(X1006="估算法",X1006="算法类",X1006="无法识别"),"",IF(W1006="",IF(OR(I1006="ILF",I1006="EIF"),0,""),LEN(W1006)-LEN(SUBSTITUTE(W1006,"、",""))+1))</f>
        <v/>
      </c>
      <c r="N1006" s="83">
        <f>IF(OR(X1006="估算法",X1006="算法类",X1006="无法识别"),"",IF(X1006="",IF(OR(I1006="ILF",I1006="EIF",I1006="EI",I1006="EO",I1006="EQ"),0,""),LEN(X1006)-LEN(SUBSTITUTE(SUBSTITUTE(SUBSTITUTE(SUBSTITUTE(SUBSTITUTE(X1006,"|}","--"),"{|","--"),CHAR(10),""),"、",""),"|",""))+IF(AND(OR(I1006="EI",I1006="EO",I1006="EQ"),$AD$1="NESMA"),2,1)))</f>
        <v/>
      </c>
      <c r="O1006" s="84">
        <f>IF(I1006="EI",IF(OR(X1006="估算法",X1006="算法类"),"中",IF(X1006="无法识别","低",IF(L1006&lt;2,IF(N1006&lt;16,"低","中"),IF(L1006&lt;3,IF(N1006&lt;5,"低",IF(N1006&lt;16,"中","高")),IF(N1006&lt;5,"中","高"))))),IF(OR(I1006="EO",I1006="EQ"),IF(OR(X1006="估算法",X1006="算法类"),"中",IF(X1006="无法识别","低",IF(L1006&lt;2,IF(N1006&lt;20,"低","中"),IF(L1006&lt;4,IF(N1006&lt;6,"低",IF(N1006&lt;20,"中","高")),IF(N1006&lt;6,"中","高"))))),IF(OR(I1006="ILF",I1006="EIF"),IF(OR(X1006="估算法",X1006="算法类",X1006="无法识别"),"低",IF(M1006&lt;2,IF(N1006&lt;51,"低","中"),IF(M1006&lt;6,IF(N1006&lt;20,"低",IF(N1006&lt;51,"中","高")),IF(N1006&lt;20,"中","高")))),"不计算")))</f>
        <v/>
      </c>
      <c r="P1006" s="142">
        <f>IFERROR(IF(I1006="EI",IF(O1006="低",3,IF(O1006="中",4,6)),IF(I1006="EO",IF(O1006="低",4,IF(O1006="中",5,7)),IF(I1006="EQ",IF(O1006="低",3,IF(O1006="中",4,6)),IF(I1006="ILF",IF(O1006="低",7,IF(O1006="中",10,15)),IF(I1006="EIF",IF(O1006="低",5,IF(O1006="中",7,10)),"不计算")))))*Q1006,"不计算")</f>
        <v/>
      </c>
      <c r="Q1006" s="142" t="n">
        <v>1</v>
      </c>
      <c r="R1006" s="143">
        <f>调整因子!$F$13</f>
        <v/>
      </c>
      <c r="S1006" s="76" t="n">
        <v>1</v>
      </c>
      <c r="T1006" s="144">
        <f>IFERROR(P1006*R1006,0)</f>
        <v/>
      </c>
      <c r="U1006" s="145">
        <f>T1006*S1006</f>
        <v/>
      </c>
      <c r="V1006" s="96" t="inlineStr">
        <is>
          <t>推送规则表、提醒规则表、脱敏规则表、加密规则表</t>
        </is>
      </c>
      <c r="W1006" s="96" t="inlineStr"/>
      <c r="X1006"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Y1006" s="88" t="n"/>
      <c r="Z1006" s="88" t="n"/>
    </row>
    <row r="1007" hidden="1" ht="86.40000000000001" customHeight="1">
      <c r="A1007" s="69">
        <f>ROW()-1</f>
        <v/>
      </c>
      <c r="B1007" s="53" t="n"/>
      <c r="C1007" s="117" t="n">
        <v>2026</v>
      </c>
      <c r="D1007" s="64" t="n"/>
      <c r="E1007" s="53" t="n"/>
      <c r="F1007" s="54" t="n"/>
      <c r="G1007" s="54" t="n"/>
      <c r="H1007" s="96" t="inlineStr">
        <is>
          <t>查看预警历史</t>
        </is>
      </c>
      <c r="I1007" s="76" t="inlineStr">
        <is>
          <t>EQ</t>
        </is>
      </c>
      <c r="J1007" s="95" t="n"/>
      <c r="K1007" s="95" t="inlineStr">
        <is>
          <t>处理流程和上行基本一致，为查询功能，未体现详情功能</t>
        </is>
      </c>
      <c r="L1007" s="83">
        <f>IF(OR(X1007="估算法",X1007="算法类",X1007="无法识别"),"",IF(V1007="",IF(OR(I1007="EI",I1007="EO",I1007="EQ"),0,""),LEN(V1007)-LEN(SUBSTITUTE(V1007,"、",""))+1))</f>
        <v/>
      </c>
      <c r="M1007" s="83">
        <f>IF(OR(X1007="估算法",X1007="算法类",X1007="无法识别"),"",IF(W1007="",IF(OR(I1007="ILF",I1007="EIF"),0,""),LEN(W1007)-LEN(SUBSTITUTE(W1007,"、",""))+1))</f>
        <v/>
      </c>
      <c r="N1007" s="83">
        <f>IF(OR(X1007="估算法",X1007="算法类",X1007="无法识别"),"",IF(X1007="",IF(OR(I1007="ILF",I1007="EIF",I1007="EI",I1007="EO",I1007="EQ"),0,""),LEN(X1007)-LEN(SUBSTITUTE(SUBSTITUTE(SUBSTITUTE(SUBSTITUTE(SUBSTITUTE(X1007,"|}","--"),"{|","--"),CHAR(10),""),"、",""),"|",""))+IF(AND(OR(I1007="EI",I1007="EO",I1007="EQ"),$AD$1="NESMA"),2,1)))</f>
        <v/>
      </c>
      <c r="O1007" s="84">
        <f>IF(I1007="EI",IF(OR(X1007="估算法",X1007="算法类"),"中",IF(X1007="无法识别","低",IF(L1007&lt;2,IF(N1007&lt;16,"低","中"),IF(L1007&lt;3,IF(N1007&lt;5,"低",IF(N1007&lt;16,"中","高")),IF(N1007&lt;5,"中","高"))))),IF(OR(I1007="EO",I1007="EQ"),IF(OR(X1007="估算法",X1007="算法类"),"中",IF(X1007="无法识别","低",IF(L1007&lt;2,IF(N1007&lt;20,"低","中"),IF(L1007&lt;4,IF(N1007&lt;6,"低",IF(N1007&lt;20,"中","高")),IF(N1007&lt;6,"中","高"))))),IF(OR(I1007="ILF",I1007="EIF"),IF(OR(X1007="估算法",X1007="算法类",X1007="无法识别"),"低",IF(M1007&lt;2,IF(N1007&lt;51,"低","中"),IF(M1007&lt;6,IF(N1007&lt;20,"低",IF(N1007&lt;51,"中","高")),IF(N1007&lt;20,"中","高")))),"不计算")))</f>
        <v/>
      </c>
      <c r="P1007" s="142">
        <f>IFERROR(IF(I1007="EI",IF(O1007="低",3,IF(O1007="中",4,6)),IF(I1007="EO",IF(O1007="低",4,IF(O1007="中",5,7)),IF(I1007="EQ",IF(O1007="低",3,IF(O1007="中",4,6)),IF(I1007="ILF",IF(O1007="低",7,IF(O1007="中",10,15)),IF(I1007="EIF",IF(O1007="低",5,IF(O1007="中",7,10)),"不计算")))))*Q1007,"不计算")</f>
        <v/>
      </c>
      <c r="Q1007" s="142" t="n">
        <v>0.333333333333333</v>
      </c>
      <c r="R1007" s="143">
        <f>调整因子!$F$13</f>
        <v/>
      </c>
      <c r="S1007" s="70" t="n">
        <v>1</v>
      </c>
      <c r="T1007" s="144">
        <f>IFERROR(P1007*R1007,0)</f>
        <v/>
      </c>
      <c r="U1007" s="145">
        <f>T1007*S1007</f>
        <v/>
      </c>
      <c r="V1007" s="96" t="inlineStr">
        <is>
          <t>处置流程定义表、日志加密配置表、提醒策略配置表、分类层级关系表、资产扫描覆盖表</t>
        </is>
      </c>
      <c r="W1007" s="96" t="inlineStr"/>
      <c r="X1007" s="111" t="inlineStr">
        <is>
          <t>处置流程定义表{ID、名称|ID、名称、类型、状态、创建时间、更新时间}
日志加密配置表{配置ID、配置名称|配置ID、配置名称、配置类型、配置值、创建时间}
提醒策略配置表{配置ID、配置名称|配置ID、配置名称、配置类型、配置值、创建时间}
分类层级关系表{ID、名称|ID、名称、类型、状态、创建时间、更新时间}
资产扫描覆盖表{资产ID、资产名称|资产ID、资产名称、IP地址、资产类型、资产状态、创建时间、更新时间}</t>
        </is>
      </c>
      <c r="Y1007" s="88" t="n"/>
      <c r="Z1007" s="88" t="n"/>
    </row>
    <row r="1008" hidden="1" ht="21.6" customHeight="1">
      <c r="A1008" s="69">
        <f>ROW()-1</f>
        <v/>
      </c>
      <c r="B1008" s="53" t="n"/>
      <c r="C1008" s="117" t="n">
        <v>2026</v>
      </c>
      <c r="D1008" s="64" t="n"/>
      <c r="E1008" s="53" t="n"/>
      <c r="F1008" s="111" t="inlineStr">
        <is>
          <t>可检测扫描设备标识</t>
        </is>
      </c>
      <c r="G1008" s="111" t="inlineStr">
        <is>
          <t>扫描覆盖分析</t>
        </is>
      </c>
      <c r="H1008" s="96" t="inlineStr">
        <is>
          <t>资产扫描覆盖表</t>
        </is>
      </c>
      <c r="I1008" s="76" t="inlineStr">
        <is>
          <t>ILF</t>
        </is>
      </c>
      <c r="J1008" s="95" t="n"/>
      <c r="K1008" s="95" t="n"/>
      <c r="L1008" s="83">
        <f>IF(OR(X1008="估算法",X1008="算法类",X1008="无法识别"),"",IF(V1008="",IF(OR(I1008="EI",I1008="EO",I1008="EQ"),0,""),LEN(V1008)-LEN(SUBSTITUTE(V1008,"、",""))+1))</f>
        <v/>
      </c>
      <c r="M1008" s="83">
        <f>IF(OR(X1008="估算法",X1008="算法类",X1008="无法识别"),"",IF(W1008="",IF(OR(I1008="ILF",I1008="EIF"),0,""),LEN(W1008)-LEN(SUBSTITUTE(W1008,"、",""))+1))</f>
        <v/>
      </c>
      <c r="N1008" s="83">
        <f>IF(OR(X1008="估算法",X1008="算法类",X1008="无法识别"),"",IF(X1008="",IF(OR(I1008="ILF",I1008="EIF",I1008="EI",I1008="EO",I1008="EQ"),0,""),LEN(X1008)-LEN(SUBSTITUTE(SUBSTITUTE(SUBSTITUTE(SUBSTITUTE(SUBSTITUTE(X1008,"|}","--"),"{|","--"),CHAR(10),""),"、",""),"|",""))+IF(AND(OR(I1008="EI",I1008="EO",I1008="EQ"),$AD$1="NESMA"),2,1)))</f>
        <v/>
      </c>
      <c r="O1008" s="84">
        <f>IF(I1008="EI",IF(OR(X1008="估算法",X1008="算法类"),"中",IF(X1008="无法识别","低",IF(L1008&lt;2,IF(N1008&lt;16,"低","中"),IF(L1008&lt;3,IF(N1008&lt;5,"低",IF(N1008&lt;16,"中","高")),IF(N1008&lt;5,"中","高"))))),IF(OR(I1008="EO",I1008="EQ"),IF(OR(X1008="估算法",X1008="算法类"),"中",IF(X1008="无法识别","低",IF(L1008&lt;2,IF(N1008&lt;20,"低","中"),IF(L1008&lt;4,IF(N1008&lt;6,"低",IF(N1008&lt;20,"中","高")),IF(N1008&lt;6,"中","高"))))),IF(OR(I1008="ILF",I1008="EIF"),IF(OR(X1008="估算法",X1008="算法类",X1008="无法识别"),"低",IF(M1008&lt;2,IF(N1008&lt;51,"低","中"),IF(M1008&lt;6,IF(N1008&lt;20,"低",IF(N1008&lt;51,"中","高")),IF(N1008&lt;20,"中","高")))),"不计算")))</f>
        <v/>
      </c>
      <c r="P1008" s="142">
        <f>IFERROR(IF(I1008="EI",IF(O1008="低",3,IF(O1008="中",4,6)),IF(I1008="EO",IF(O1008="低",4,IF(O1008="中",5,7)),IF(I1008="EQ",IF(O1008="低",3,IF(O1008="中",4,6)),IF(I1008="ILF",IF(O1008="低",7,IF(O1008="中",10,15)),IF(I1008="EIF",IF(O1008="低",5,IF(O1008="中",7,10)),"不计算")))))*Q1008,"不计算")</f>
        <v/>
      </c>
      <c r="Q1008" s="142" t="n">
        <v>1</v>
      </c>
      <c r="R1008" s="143">
        <f>调整因子!$F$13</f>
        <v/>
      </c>
      <c r="S1008" s="70" t="n">
        <v>1</v>
      </c>
      <c r="T1008" s="144">
        <f>IFERROR(P1008*R1008,0)</f>
        <v/>
      </c>
      <c r="U1008" s="145">
        <f>T1008*S1008</f>
        <v/>
      </c>
      <c r="V1008" s="96" t="inlineStr"/>
      <c r="W1008" s="96" t="inlineStr">
        <is>
          <t>主机资产、网站资产、业务系统资产</t>
        </is>
      </c>
      <c r="X1008" s="111" t="inlineStr">
        <is>
          <t>资产扫描覆盖表{资产ID、资产名称、IP地址|资产ID、资产名称、IP地址、资产类型、资产状态、创建时间、更新时间}</t>
        </is>
      </c>
      <c r="Y1008" s="88">
        <f>IF(COUNTIFS(V:V,"*"&amp;H1008&amp;"*")&gt;0,"存在","不存在")</f>
        <v/>
      </c>
      <c r="Z1008" s="88">
        <f>IF(COUNTIFS(AA:AA,"*"&amp;H1008&amp;"*")&gt;0,"存在","不存在")</f>
        <v/>
      </c>
    </row>
    <row r="1009" hidden="1" ht="21.6" customHeight="1">
      <c r="A1009" s="69">
        <f>ROW()-1</f>
        <v/>
      </c>
      <c r="B1009" s="53" t="n"/>
      <c r="C1009" s="117" t="n">
        <v>2026</v>
      </c>
      <c r="D1009" s="64" t="n"/>
      <c r="E1009" s="53" t="n"/>
      <c r="F1009" s="53" t="n"/>
      <c r="G1009" s="53" t="n"/>
      <c r="H1009" s="96" t="inlineStr">
        <is>
          <t>扫描盲区记录表</t>
        </is>
      </c>
      <c r="I1009" s="76" t="inlineStr">
        <is>
          <t>ILF</t>
        </is>
      </c>
      <c r="J1009" s="95" t="n"/>
      <c r="K1009" s="95" t="n"/>
      <c r="L1009" s="83">
        <f>IF(OR(X1009="估算法",X1009="算法类",X1009="无法识别"),"",IF(V1009="",IF(OR(I1009="EI",I1009="EO",I1009="EQ"),0,""),LEN(V1009)-LEN(SUBSTITUTE(V1009,"、",""))+1))</f>
        <v/>
      </c>
      <c r="M1009" s="83">
        <f>IF(OR(X1009="估算法",X1009="算法类",X1009="无法识别"),"",IF(W1009="",IF(OR(I1009="ILF",I1009="EIF"),0,""),LEN(W1009)-LEN(SUBSTITUTE(W1009,"、",""))+1))</f>
        <v/>
      </c>
      <c r="N1009" s="83">
        <f>IF(OR(X1009="估算法",X1009="算法类",X1009="无法识别"),"",IF(X1009="",IF(OR(I1009="ILF",I1009="EIF",I1009="EI",I1009="EO",I1009="EQ"),0,""),LEN(X1009)-LEN(SUBSTITUTE(SUBSTITUTE(SUBSTITUTE(SUBSTITUTE(SUBSTITUTE(X1009,"|}","--"),"{|","--"),CHAR(10),""),"、",""),"|",""))+IF(AND(OR(I1009="EI",I1009="EO",I1009="EQ"),$AD$1="NESMA"),2,1)))</f>
        <v/>
      </c>
      <c r="O1009" s="84">
        <f>IF(I1009="EI",IF(OR(X1009="估算法",X1009="算法类"),"中",IF(X1009="无法识别","低",IF(L1009&lt;2,IF(N1009&lt;16,"低","中"),IF(L1009&lt;3,IF(N1009&lt;5,"低",IF(N1009&lt;16,"中","高")),IF(N1009&lt;5,"中","高"))))),IF(OR(I1009="EO",I1009="EQ"),IF(OR(X1009="估算法",X1009="算法类"),"中",IF(X1009="无法识别","低",IF(L1009&lt;2,IF(N1009&lt;20,"低","中"),IF(L1009&lt;4,IF(N1009&lt;6,"低",IF(N1009&lt;20,"中","高")),IF(N1009&lt;6,"中","高"))))),IF(OR(I1009="ILF",I1009="EIF"),IF(OR(X1009="估算法",X1009="算法类",X1009="无法识别"),"低",IF(M1009&lt;2,IF(N1009&lt;51,"低","中"),IF(M1009&lt;6,IF(N1009&lt;20,"低",IF(N1009&lt;51,"中","高")),IF(N1009&lt;20,"中","高")))),"不计算")))</f>
        <v/>
      </c>
      <c r="P1009" s="142">
        <f>IFERROR(IF(I1009="EI",IF(O1009="低",3,IF(O1009="中",4,6)),IF(I1009="EO",IF(O1009="低",4,IF(O1009="中",5,7)),IF(I1009="EQ",IF(O1009="低",3,IF(O1009="中",4,6)),IF(I1009="ILF",IF(O1009="低",7,IF(O1009="中",10,15)),IF(I1009="EIF",IF(O1009="低",5,IF(O1009="中",7,10)),"不计算")))))*Q1009,"不计算")</f>
        <v/>
      </c>
      <c r="Q1009" s="142" t="n">
        <v>1</v>
      </c>
      <c r="R1009" s="143">
        <f>调整因子!$F$13</f>
        <v/>
      </c>
      <c r="S1009" s="76" t="n">
        <v>1</v>
      </c>
      <c r="T1009" s="144">
        <f>IFERROR(P1009*R1009,0)</f>
        <v/>
      </c>
      <c r="U1009" s="145">
        <f>T1009*S1009</f>
        <v/>
      </c>
      <c r="V1009" s="96" t="inlineStr"/>
      <c r="W1009" s="96" t="inlineStr">
        <is>
          <t>扫描任务、发现任务</t>
        </is>
      </c>
      <c r="X1009" s="111" t="inlineStr">
        <is>
          <t>扫描盲区记录表{任务ID、任务名称、任务状态|任务ID、任务名称、任务状态、扫描器类型、开始时间、结束时间、扫描结果}</t>
        </is>
      </c>
      <c r="Y1009" s="88">
        <f>IF(COUNTIFS(V:V,"*"&amp;H1009&amp;"*")&gt;0,"存在","不存在")</f>
        <v/>
      </c>
      <c r="Z1009" s="88">
        <f>IF(COUNTIFS(AA:AA,"*"&amp;H1009&amp;"*")&gt;0,"存在","不存在")</f>
        <v/>
      </c>
    </row>
    <row r="1010" hidden="1" ht="21.6" customHeight="1">
      <c r="A1010" s="69">
        <f>ROW()-1</f>
        <v/>
      </c>
      <c r="B1010" s="53" t="n"/>
      <c r="C1010" s="117" t="n">
        <v>2026</v>
      </c>
      <c r="D1010" s="64" t="n"/>
      <c r="E1010" s="53" t="n"/>
      <c r="F1010" s="53" t="n"/>
      <c r="G1010" s="53" t="n"/>
      <c r="H1010" s="96" t="inlineStr">
        <is>
          <t>扫描能力缺口表</t>
        </is>
      </c>
      <c r="I1010" s="76" t="inlineStr">
        <is>
          <t>ILF</t>
        </is>
      </c>
      <c r="J1010" s="95" t="n"/>
      <c r="K1010" s="95" t="n"/>
      <c r="L1010" s="83">
        <f>IF(OR(X1010="估算法",X1010="算法类",X1010="无法识别"),"",IF(V1010="",IF(OR(I1010="EI",I1010="EO",I1010="EQ"),0,""),LEN(V1010)-LEN(SUBSTITUTE(V1010,"、",""))+1))</f>
        <v/>
      </c>
      <c r="M1010" s="83">
        <f>IF(OR(X1010="估算法",X1010="算法类",X1010="无法识别"),"",IF(W1010="",IF(OR(I1010="ILF",I1010="EIF"),0,""),LEN(W1010)-LEN(SUBSTITUTE(W1010,"、",""))+1))</f>
        <v/>
      </c>
      <c r="N1010" s="83">
        <f>IF(OR(X1010="估算法",X1010="算法类",X1010="无法识别"),"",IF(X1010="",IF(OR(I1010="ILF",I1010="EIF",I1010="EI",I1010="EO",I1010="EQ"),0,""),LEN(X1010)-LEN(SUBSTITUTE(SUBSTITUTE(SUBSTITUTE(SUBSTITUTE(SUBSTITUTE(X1010,"|}","--"),"{|","--"),CHAR(10),""),"、",""),"|",""))+IF(AND(OR(I1010="EI",I1010="EO",I1010="EQ"),$AD$1="NESMA"),2,1)))</f>
        <v/>
      </c>
      <c r="O1010" s="84">
        <f>IF(I1010="EI",IF(OR(X1010="估算法",X1010="算法类"),"中",IF(X1010="无法识别","低",IF(L1010&lt;2,IF(N1010&lt;16,"低","中"),IF(L1010&lt;3,IF(N1010&lt;5,"低",IF(N1010&lt;16,"中","高")),IF(N1010&lt;5,"中","高"))))),IF(OR(I1010="EO",I1010="EQ"),IF(OR(X1010="估算法",X1010="算法类"),"中",IF(X1010="无法识别","低",IF(L1010&lt;2,IF(N1010&lt;20,"低","中"),IF(L1010&lt;4,IF(N1010&lt;6,"低",IF(N1010&lt;20,"中","高")),IF(N1010&lt;6,"中","高"))))),IF(OR(I1010="ILF",I1010="EIF"),IF(OR(X1010="估算法",X1010="算法类",X1010="无法识别"),"低",IF(M1010&lt;2,IF(N1010&lt;51,"低","中"),IF(M1010&lt;6,IF(N1010&lt;20,"低",IF(N1010&lt;51,"中","高")),IF(N1010&lt;20,"中","高")))),"不计算")))</f>
        <v/>
      </c>
      <c r="P1010" s="142">
        <f>IFERROR(IF(I1010="EI",IF(O1010="低",3,IF(O1010="中",4,6)),IF(I1010="EO",IF(O1010="低",4,IF(O1010="中",5,7)),IF(I1010="EQ",IF(O1010="低",3,IF(O1010="中",4,6)),IF(I1010="ILF",IF(O1010="低",7,IF(O1010="中",10,15)),IF(I1010="EIF",IF(O1010="低",5,IF(O1010="中",7,10)),"不计算")))))*Q1010,"不计算")</f>
        <v/>
      </c>
      <c r="Q1010" s="142" t="n">
        <v>1</v>
      </c>
      <c r="R1010" s="143">
        <f>调整因子!$F$13</f>
        <v/>
      </c>
      <c r="S1010" s="70" t="n">
        <v>1</v>
      </c>
      <c r="T1010" s="144">
        <f>IFERROR(P1010*R1010,0)</f>
        <v/>
      </c>
      <c r="U1010" s="145">
        <f>T1010*S1010</f>
        <v/>
      </c>
      <c r="V1010" s="96" t="inlineStr"/>
      <c r="W1010" s="96" t="inlineStr">
        <is>
          <t>扫描任务、发现任务、口令猜测任务</t>
        </is>
      </c>
      <c r="X1010" s="111" t="inlineStr">
        <is>
          <t>扫描能力缺口表{任务ID、任务名称、任务状态|任务ID、任务名称、任务状态、扫描器类型、开始时间、结束时间、扫描结果}</t>
        </is>
      </c>
      <c r="Y1010" s="88">
        <f>IF(COUNTIFS(V:V,"*"&amp;H1010&amp;"*")&gt;0,"存在","不存在")</f>
        <v/>
      </c>
      <c r="Z1010" s="88">
        <f>IF(COUNTIFS(AA:AA,"*"&amp;H1010&amp;"*")&gt;0,"存在","不存在")</f>
        <v/>
      </c>
    </row>
    <row r="1011" hidden="1" ht="64.8" customHeight="1">
      <c r="A1011" s="69">
        <f>ROW()-1</f>
        <v/>
      </c>
      <c r="B1011" s="53" t="n"/>
      <c r="C1011" s="117" t="n">
        <v>2026</v>
      </c>
      <c r="D1011" s="64" t="n"/>
      <c r="E1011" s="53" t="n"/>
      <c r="F1011" s="53" t="n"/>
      <c r="G1011" s="53" t="n"/>
      <c r="H1011" s="96" t="inlineStr">
        <is>
          <t>标记可检测设备</t>
        </is>
      </c>
      <c r="I1011" s="76" t="inlineStr">
        <is>
          <t>EI</t>
        </is>
      </c>
      <c r="J1011" s="95" t="n"/>
      <c r="K1011" s="95" t="n"/>
      <c r="L1011" s="83">
        <f>IF(OR(X1011="估算法",X1011="算法类",X1011="无法识别"),"",IF(V1011="",IF(OR(I1011="EI",I1011="EO",I1011="EQ"),0,""),LEN(V1011)-LEN(SUBSTITUTE(V1011,"、",""))+1))</f>
        <v/>
      </c>
      <c r="M1011" s="83">
        <f>IF(OR(X1011="估算法",X1011="算法类",X1011="无法识别"),"",IF(W1011="",IF(OR(I1011="ILF",I1011="EIF"),0,""),LEN(W1011)-LEN(SUBSTITUTE(W1011,"、",""))+1))</f>
        <v/>
      </c>
      <c r="N1011" s="83">
        <f>IF(OR(X1011="估算法",X1011="算法类",X1011="无法识别"),"",IF(X1011="",IF(OR(I1011="ILF",I1011="EIF",I1011="EI",I1011="EO",I1011="EQ"),0,""),LEN(X1011)-LEN(SUBSTITUTE(SUBSTITUTE(SUBSTITUTE(SUBSTITUTE(SUBSTITUTE(X1011,"|}","--"),"{|","--"),CHAR(10),""),"、",""),"|",""))+IF(AND(OR(I1011="EI",I1011="EO",I1011="EQ"),$AD$1="NESMA"),2,1)))</f>
        <v/>
      </c>
      <c r="O1011" s="84">
        <f>IF(I1011="EI",IF(OR(X1011="估算法",X1011="算法类"),"中",IF(X1011="无法识别","低",IF(L1011&lt;2,IF(N1011&lt;16,"低","中"),IF(L1011&lt;3,IF(N1011&lt;5,"低",IF(N1011&lt;16,"中","高")),IF(N1011&lt;5,"中","高"))))),IF(OR(I1011="EO",I1011="EQ"),IF(OR(X1011="估算法",X1011="算法类"),"中",IF(X1011="无法识别","低",IF(L1011&lt;2,IF(N1011&lt;20,"低","中"),IF(L1011&lt;4,IF(N1011&lt;6,"低",IF(N1011&lt;20,"中","高")),IF(N1011&lt;6,"中","高"))))),IF(OR(I1011="ILF",I1011="EIF"),IF(OR(X1011="估算法",X1011="算法类",X1011="无法识别"),"低",IF(M1011&lt;2,IF(N1011&lt;51,"低","中"),IF(M1011&lt;6,IF(N1011&lt;20,"低",IF(N1011&lt;51,"中","高")),IF(N1011&lt;20,"中","高")))),"不计算")))</f>
        <v/>
      </c>
      <c r="P1011" s="142">
        <f>IFERROR(IF(I1011="EI",IF(O1011="低",3,IF(O1011="中",4,6)),IF(I1011="EO",IF(O1011="低",4,IF(O1011="中",5,7)),IF(I1011="EQ",IF(O1011="低",3,IF(O1011="中",4,6)),IF(I1011="ILF",IF(O1011="低",7,IF(O1011="中",10,15)),IF(I1011="EIF",IF(O1011="低",5,IF(O1011="中",7,10)),"不计算")))))*Q1011,"不计算")</f>
        <v/>
      </c>
      <c r="Q1011" s="142" t="n">
        <v>1</v>
      </c>
      <c r="R1011" s="143">
        <f>调整因子!$F$13</f>
        <v/>
      </c>
      <c r="S1011" s="70" t="n">
        <v>1</v>
      </c>
      <c r="T1011" s="144">
        <f>IFERROR(P1011*R1011,0)</f>
        <v/>
      </c>
      <c r="U1011" s="145">
        <f>T1011*S1011</f>
        <v/>
      </c>
      <c r="V1011" s="96" t="inlineStr">
        <is>
          <t>资产查询接口配置表、数据清洗任务表、日志采集配置表</t>
        </is>
      </c>
      <c r="W1011" s="96" t="inlineStr"/>
      <c r="X1011" s="111" t="inlineStr">
        <is>
          <t>资产查询接口配置表{资产ID、资产名称、IP地址、资产类型、资产状态、创建时间、更新时间|资产ID、资产名称、IP地址}
数据清洗任务表{任务ID、任务名称、任务类型、任务状态、创建时间、执行时间|任务ID、任务名称、任务类型}
日志采集配置表{配置ID、配置名称、配置类型、配置值、创建时间|配置ID、配置名称、配置类型}</t>
        </is>
      </c>
      <c r="Y1011" s="88" t="n"/>
      <c r="Z1011" s="88" t="n"/>
    </row>
    <row r="1012" hidden="1" ht="75.59999999999999" customHeight="1">
      <c r="A1012" s="69">
        <f>ROW()-1</f>
        <v/>
      </c>
      <c r="B1012" s="53" t="n"/>
      <c r="C1012" s="117" t="n">
        <v>2026</v>
      </c>
      <c r="D1012" s="64" t="n"/>
      <c r="E1012" s="53" t="n"/>
      <c r="F1012" s="53" t="n"/>
      <c r="G1012" s="53" t="n"/>
      <c r="H1012" s="96" t="inlineStr">
        <is>
          <t>更新覆盖状态</t>
        </is>
      </c>
      <c r="I1012" s="76" t="inlineStr">
        <is>
          <t>EI</t>
        </is>
      </c>
      <c r="J1012" s="95" t="n"/>
      <c r="K1012" s="95" t="n"/>
      <c r="L1012" s="83">
        <f>IF(OR(X1012="估算法",X1012="算法类",X1012="无法识别"),"",IF(V1012="",IF(OR(I1012="EI",I1012="EO",I1012="EQ"),0,""),LEN(V1012)-LEN(SUBSTITUTE(V1012,"、",""))+1))</f>
        <v/>
      </c>
      <c r="M1012" s="83">
        <f>IF(OR(X1012="估算法",X1012="算法类",X1012="无法识别"),"",IF(W1012="",IF(OR(I1012="ILF",I1012="EIF"),0,""),LEN(W1012)-LEN(SUBSTITUTE(W1012,"、",""))+1))</f>
        <v/>
      </c>
      <c r="N1012" s="83">
        <f>IF(OR(X1012="估算法",X1012="算法类",X1012="无法识别"),"",IF(X1012="",IF(OR(I1012="ILF",I1012="EIF",I1012="EI",I1012="EO",I1012="EQ"),0,""),LEN(X1012)-LEN(SUBSTITUTE(SUBSTITUTE(SUBSTITUTE(SUBSTITUTE(SUBSTITUTE(X1012,"|}","--"),"{|","--"),CHAR(10),""),"、",""),"|",""))+IF(AND(OR(I1012="EI",I1012="EO",I1012="EQ"),$AD$1="NESMA"),2,1)))</f>
        <v/>
      </c>
      <c r="O1012" s="84">
        <f>IF(I1012="EI",IF(OR(X1012="估算法",X1012="算法类"),"中",IF(X1012="无法识别","低",IF(L1012&lt;2,IF(N1012&lt;16,"低","中"),IF(L1012&lt;3,IF(N1012&lt;5,"低",IF(N1012&lt;16,"中","高")),IF(N1012&lt;5,"中","高"))))),IF(OR(I1012="EO",I1012="EQ"),IF(OR(X1012="估算法",X1012="算法类"),"中",IF(X1012="无法识别","低",IF(L1012&lt;2,IF(N1012&lt;20,"低","中"),IF(L1012&lt;4,IF(N1012&lt;6,"低",IF(N1012&lt;20,"中","高")),IF(N1012&lt;6,"中","高"))))),IF(OR(I1012="ILF",I1012="EIF"),IF(OR(X1012="估算法",X1012="算法类",X1012="无法识别"),"低",IF(M1012&lt;2,IF(N1012&lt;51,"低","中"),IF(M1012&lt;6,IF(N1012&lt;20,"低",IF(N1012&lt;51,"中","高")),IF(N1012&lt;20,"中","高")))),"不计算")))</f>
        <v/>
      </c>
      <c r="P1012" s="142">
        <f>IFERROR(IF(I1012="EI",IF(O1012="低",3,IF(O1012="中",4,6)),IF(I1012="EO",IF(O1012="低",4,IF(O1012="中",5,7)),IF(I1012="EQ",IF(O1012="低",3,IF(O1012="中",4,6)),IF(I1012="ILF",IF(O1012="低",7,IF(O1012="中",10,15)),IF(I1012="EIF",IF(O1012="低",5,IF(O1012="中",7,10)),"不计算")))))*Q1012,"不计算")</f>
        <v/>
      </c>
      <c r="Q1012" s="142" t="n">
        <v>1</v>
      </c>
      <c r="R1012" s="143">
        <f>调整因子!$F$13</f>
        <v/>
      </c>
      <c r="S1012" s="76" t="n">
        <v>1</v>
      </c>
      <c r="T1012" s="144">
        <f>IFERROR(P1012*R1012,0)</f>
        <v/>
      </c>
      <c r="U1012" s="145">
        <f>T1012*S1012</f>
        <v/>
      </c>
      <c r="V1012" s="96" t="inlineStr">
        <is>
          <t>资产扫描覆盖表、处置流程定义表、处置单关联表、报告模板表、漏洞处置推送接口配置表</t>
        </is>
      </c>
      <c r="W1012" s="96" t="inlineStr"/>
      <c r="X1012" s="111" t="inlineStr">
        <is>
          <t>资产扫描覆盖表{资产ID、资产名称、IP地址、资产类型、资产状态、创建时间、更新时间|资产ID、资产名称、IP地址}
处置流程定义表{ID、名称、类型、状态、创建时间、更新时间|ID、名称、类型}
处置单关联表{ID、名称、类型、状态、创建时间、更新时间|ID、名称、类型}
报告模板表{ID、名称、类型、状态、创建时间、更新时间|ID、名称、类型}
漏洞处置推送接口配置表{漏洞ID、漏洞名称、漏洞等级、漏洞类型、CVE编号、发现时间、修复状态|漏洞ID、漏洞名称、漏洞等级}</t>
        </is>
      </c>
      <c r="Y1012" s="88" t="n"/>
      <c r="Z1012" s="88" t="n"/>
    </row>
    <row r="1013" hidden="1" ht="86.40000000000001" customHeight="1">
      <c r="A1013" s="69">
        <f>ROW()-1</f>
        <v/>
      </c>
      <c r="B1013" s="53" t="n"/>
      <c r="C1013" s="117" t="n">
        <v>2026</v>
      </c>
      <c r="D1013" s="64" t="n"/>
      <c r="E1013" s="53" t="n"/>
      <c r="F1013" s="53" t="n"/>
      <c r="G1013" s="53" t="n"/>
      <c r="H1013" s="96" t="inlineStr">
        <is>
          <t>标记盲区资产</t>
        </is>
      </c>
      <c r="I1013" s="76" t="inlineStr">
        <is>
          <t>EI</t>
        </is>
      </c>
      <c r="J1013" s="95" t="n"/>
      <c r="K1013" s="95" t="n"/>
      <c r="L1013" s="83">
        <f>IF(OR(X1013="估算法",X1013="算法类",X1013="无法识别"),"",IF(V1013="",IF(OR(I1013="EI",I1013="EO",I1013="EQ"),0,""),LEN(V1013)-LEN(SUBSTITUTE(V1013,"、",""))+1))</f>
        <v/>
      </c>
      <c r="M1013" s="83">
        <f>IF(OR(X1013="估算法",X1013="算法类",X1013="无法识别"),"",IF(W1013="",IF(OR(I1013="ILF",I1013="EIF"),0,""),LEN(W1013)-LEN(SUBSTITUTE(W1013,"、",""))+1))</f>
        <v/>
      </c>
      <c r="N1013" s="83">
        <f>IF(OR(X1013="估算法",X1013="算法类",X1013="无法识别"),"",IF(X1013="",IF(OR(I1013="ILF",I1013="EIF",I1013="EI",I1013="EO",I1013="EQ"),0,""),LEN(X1013)-LEN(SUBSTITUTE(SUBSTITUTE(SUBSTITUTE(SUBSTITUTE(SUBSTITUTE(X1013,"|}","--"),"{|","--"),CHAR(10),""),"、",""),"|",""))+IF(AND(OR(I1013="EI",I1013="EO",I1013="EQ"),$AD$1="NESMA"),2,1)))</f>
        <v/>
      </c>
      <c r="O1013" s="84">
        <f>IF(I1013="EI",IF(OR(X1013="估算法",X1013="算法类"),"中",IF(X1013="无法识别","低",IF(L1013&lt;2,IF(N1013&lt;16,"低","中"),IF(L1013&lt;3,IF(N1013&lt;5,"低",IF(N1013&lt;16,"中","高")),IF(N1013&lt;5,"中","高"))))),IF(OR(I1013="EO",I1013="EQ"),IF(OR(X1013="估算法",X1013="算法类"),"中",IF(X1013="无法识别","低",IF(L1013&lt;2,IF(N1013&lt;20,"低","中"),IF(L1013&lt;4,IF(N1013&lt;6,"低",IF(N1013&lt;20,"中","高")),IF(N1013&lt;6,"中","高"))))),IF(OR(I1013="ILF",I1013="EIF"),IF(OR(X1013="估算法",X1013="算法类",X1013="无法识别"),"低",IF(M1013&lt;2,IF(N1013&lt;51,"低","中"),IF(M1013&lt;6,IF(N1013&lt;20,"低",IF(N1013&lt;51,"中","高")),IF(N1013&lt;20,"中","高")))),"不计算")))</f>
        <v/>
      </c>
      <c r="P1013" s="142">
        <f>IFERROR(IF(I1013="EI",IF(O1013="低",3,IF(O1013="中",4,6)),IF(I1013="EO",IF(O1013="低",4,IF(O1013="中",5,7)),IF(I1013="EQ",IF(O1013="低",3,IF(O1013="中",4,6)),IF(I1013="ILF",IF(O1013="低",7,IF(O1013="中",10,15)),IF(I1013="EIF",IF(O1013="低",5,IF(O1013="中",7,10)),"不计算")))))*Q1013,"不计算")</f>
        <v/>
      </c>
      <c r="Q1013" s="142" t="n">
        <v>1</v>
      </c>
      <c r="R1013" s="143">
        <f>调整因子!$F$13</f>
        <v/>
      </c>
      <c r="S1013" s="76" t="n">
        <v>1</v>
      </c>
      <c r="T1013" s="144">
        <f>IFERROR(P1013*R1013,0)</f>
        <v/>
      </c>
      <c r="U1013" s="145">
        <f>T1013*S1013</f>
        <v/>
      </c>
      <c r="V1013" s="96" t="inlineStr">
        <is>
          <t>资产同步任务表、资产扫描覆盖表、资产查询接口配置表、任务趋势分析表</t>
        </is>
      </c>
      <c r="W1013" s="96" t="inlineStr"/>
      <c r="X1013" s="111"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任务趋势分析表{任务ID、任务名称、任务类型、任务状态、创建时间、执行时间|任务ID、任务名称、任务类型}</t>
        </is>
      </c>
      <c r="Y1013" s="88" t="n"/>
      <c r="Z1013" s="88" t="n"/>
    </row>
    <row r="1014" hidden="1" ht="43.2" customHeight="1">
      <c r="A1014" s="69">
        <f>ROW()-1</f>
        <v/>
      </c>
      <c r="B1014" s="53" t="n"/>
      <c r="C1014" s="117" t="n">
        <v>2026</v>
      </c>
      <c r="D1014" s="64" t="n"/>
      <c r="E1014" s="53" t="n"/>
      <c r="F1014" s="53" t="n"/>
      <c r="G1014" s="53" t="n"/>
      <c r="H1014" s="96" t="inlineStr">
        <is>
          <t>导出覆盖报告</t>
        </is>
      </c>
      <c r="I1014" s="76" t="inlineStr">
        <is>
          <t>EO</t>
        </is>
      </c>
      <c r="J1014" s="95" t="n"/>
      <c r="K1014" s="95" t="n"/>
      <c r="L1014" s="83">
        <f>IF(OR(X1014="估算法",X1014="算法类",X1014="无法识别"),"",IF(V1014="",IF(OR(I1014="EI",I1014="EO",I1014="EQ"),0,""),LEN(V1014)-LEN(SUBSTITUTE(V1014,"、",""))+1))</f>
        <v/>
      </c>
      <c r="M1014" s="83">
        <f>IF(OR(X1014="估算法",X1014="算法类",X1014="无法识别"),"",IF(W1014="",IF(OR(I1014="ILF",I1014="EIF"),0,""),LEN(W1014)-LEN(SUBSTITUTE(W1014,"、",""))+1))</f>
        <v/>
      </c>
      <c r="N1014" s="83">
        <f>IF(OR(X1014="估算法",X1014="算法类",X1014="无法识别"),"",IF(X1014="",IF(OR(I1014="ILF",I1014="EIF",I1014="EI",I1014="EO",I1014="EQ"),0,""),LEN(X1014)-LEN(SUBSTITUTE(SUBSTITUTE(SUBSTITUTE(SUBSTITUTE(SUBSTITUTE(X1014,"|}","--"),"{|","--"),CHAR(10),""),"、",""),"|",""))+IF(AND(OR(I1014="EI",I1014="EO",I1014="EQ"),$AD$1="NESMA"),2,1)))</f>
        <v/>
      </c>
      <c r="O1014" s="84">
        <f>IF(I1014="EI",IF(OR(X1014="估算法",X1014="算法类"),"中",IF(X1014="无法识别","低",IF(L1014&lt;2,IF(N1014&lt;16,"低","中"),IF(L1014&lt;3,IF(N1014&lt;5,"低",IF(N1014&lt;16,"中","高")),IF(N1014&lt;5,"中","高"))))),IF(OR(I1014="EO",I1014="EQ"),IF(OR(X1014="估算法",X1014="算法类"),"中",IF(X1014="无法识别","低",IF(L1014&lt;2,IF(N1014&lt;20,"低","中"),IF(L1014&lt;4,IF(N1014&lt;6,"低",IF(N1014&lt;20,"中","高")),IF(N1014&lt;6,"中","高"))))),IF(OR(I1014="ILF",I1014="EIF"),IF(OR(X1014="估算法",X1014="算法类",X1014="无法识别"),"低",IF(M1014&lt;2,IF(N1014&lt;51,"低","中"),IF(M1014&lt;6,IF(N1014&lt;20,"低",IF(N1014&lt;51,"中","高")),IF(N1014&lt;20,"中","高")))),"不计算")))</f>
        <v/>
      </c>
      <c r="P1014" s="142">
        <f>IFERROR(IF(I1014="EI",IF(O1014="低",3,IF(O1014="中",4,6)),IF(I1014="EO",IF(O1014="低",4,IF(O1014="中",5,7)),IF(I1014="EQ",IF(O1014="低",3,IF(O1014="中",4,6)),IF(I1014="ILF",IF(O1014="低",7,IF(O1014="中",10,15)),IF(I1014="EIF",IF(O1014="低",5,IF(O1014="中",7,10)),"不计算")))))*Q1014,"不计算")</f>
        <v/>
      </c>
      <c r="Q1014" s="142" t="n">
        <v>1</v>
      </c>
      <c r="R1014" s="143">
        <f>调整因子!$F$13</f>
        <v/>
      </c>
      <c r="S1014" s="70" t="n">
        <v>1</v>
      </c>
      <c r="T1014" s="144">
        <f>IFERROR(P1014*R1014,0)</f>
        <v/>
      </c>
      <c r="U1014" s="145">
        <f>T1014*S1014</f>
        <v/>
      </c>
      <c r="V1014" s="96" t="inlineStr">
        <is>
          <t>修复步骤表、方案审批表、考核指标配置表</t>
        </is>
      </c>
      <c r="W1014" s="96" t="inlineStr"/>
      <c r="X1014" s="111" t="inlineStr">
        <is>
          <t>修复步骤表{ID、名称|ID、名称、类型、状态、创建时间、更新时间}
方案审批表{ID、名称|ID、名称、类型、状态、创建时间、更新时间}
考核指标配置表{配置ID、配置名称|配置ID、配置名称、配置类型、配置值、创建时间}</t>
        </is>
      </c>
      <c r="Y1014" s="88" t="n"/>
      <c r="Z1014" s="88" t="n"/>
    </row>
    <row r="1015" hidden="1" ht="43.2" customHeight="1">
      <c r="A1015" s="69">
        <f>ROW()-1</f>
        <v/>
      </c>
      <c r="B1015" s="53" t="n"/>
      <c r="C1015" s="117" t="n">
        <v>2026</v>
      </c>
      <c r="D1015" s="64" t="n"/>
      <c r="E1015" s="53" t="n"/>
      <c r="F1015" s="53" t="n"/>
      <c r="G1015" s="53" t="n"/>
      <c r="H1015" s="96" t="inlineStr">
        <is>
          <t>查询覆盖情况</t>
        </is>
      </c>
      <c r="I1015" s="76" t="inlineStr">
        <is>
          <t>EQ</t>
        </is>
      </c>
      <c r="J1015" s="95" t="n"/>
      <c r="K1015" s="95" t="n"/>
      <c r="L1015" s="83">
        <f>IF(OR(X1015="估算法",X1015="算法类",X1015="无法识别"),"",IF(V1015="",IF(OR(I1015="EI",I1015="EO",I1015="EQ"),0,""),LEN(V1015)-LEN(SUBSTITUTE(V1015,"、",""))+1))</f>
        <v/>
      </c>
      <c r="M1015" s="83">
        <f>IF(OR(X1015="估算法",X1015="算法类",X1015="无法识别"),"",IF(W1015="",IF(OR(I1015="ILF",I1015="EIF"),0,""),LEN(W1015)-LEN(SUBSTITUTE(W1015,"、",""))+1))</f>
        <v/>
      </c>
      <c r="N1015" s="83">
        <f>IF(OR(X1015="估算法",X1015="算法类",X1015="无法识别"),"",IF(X1015="",IF(OR(I1015="ILF",I1015="EIF",I1015="EI",I1015="EO",I1015="EQ"),0,""),LEN(X1015)-LEN(SUBSTITUTE(SUBSTITUTE(SUBSTITUTE(SUBSTITUTE(SUBSTITUTE(X1015,"|}","--"),"{|","--"),CHAR(10),""),"、",""),"|",""))+IF(AND(OR(I1015="EI",I1015="EO",I1015="EQ"),$AD$1="NESMA"),2,1)))</f>
        <v/>
      </c>
      <c r="O1015" s="84">
        <f>IF(I1015="EI",IF(OR(X1015="估算法",X1015="算法类"),"中",IF(X1015="无法识别","低",IF(L1015&lt;2,IF(N1015&lt;16,"低","中"),IF(L1015&lt;3,IF(N1015&lt;5,"低",IF(N1015&lt;16,"中","高")),IF(N1015&lt;5,"中","高"))))),IF(OR(I1015="EO",I1015="EQ"),IF(OR(X1015="估算法",X1015="算法类"),"中",IF(X1015="无法识别","低",IF(L1015&lt;2,IF(N1015&lt;20,"低","中"),IF(L1015&lt;4,IF(N1015&lt;6,"低",IF(N1015&lt;20,"中","高")),IF(N1015&lt;6,"中","高"))))),IF(OR(I1015="ILF",I1015="EIF"),IF(OR(X1015="估算法",X1015="算法类",X1015="无法识别"),"低",IF(M1015&lt;2,IF(N1015&lt;51,"低","中"),IF(M1015&lt;6,IF(N1015&lt;20,"低",IF(N1015&lt;51,"中","高")),IF(N1015&lt;20,"中","高")))),"不计算")))</f>
        <v/>
      </c>
      <c r="P1015" s="142">
        <f>IFERROR(IF(I1015="EI",IF(O1015="低",3,IF(O1015="中",4,6)),IF(I1015="EO",IF(O1015="低",4,IF(O1015="中",5,7)),IF(I1015="EQ",IF(O1015="低",3,IF(O1015="中",4,6)),IF(I1015="ILF",IF(O1015="低",7,IF(O1015="中",10,15)),IF(I1015="EIF",IF(O1015="低",5,IF(O1015="中",7,10)),"不计算")))))*Q1015,"不计算")</f>
        <v/>
      </c>
      <c r="Q1015" s="142" t="n">
        <v>1</v>
      </c>
      <c r="R1015" s="143">
        <f>调整因子!$F$13</f>
        <v/>
      </c>
      <c r="S1015" s="70" t="n">
        <v>1</v>
      </c>
      <c r="T1015" s="144">
        <f>IFERROR(P1015*R1015,0)</f>
        <v/>
      </c>
      <c r="U1015" s="145">
        <f>T1015*S1015</f>
        <v/>
      </c>
      <c r="V1015" s="96" t="inlineStr">
        <is>
          <t>推送失败重试表、审计日志表、扫描盲区记录表</t>
        </is>
      </c>
      <c r="W1015" s="96" t="inlineStr"/>
      <c r="X1015" s="111" t="inlineStr">
        <is>
          <t>推送失败重试表{ID、名称|ID、名称、类型、状态、创建时间、更新时间}
审计日志表{日志ID、操作人|日志ID、操作人、操作类型、操作时间、操作内容}
扫描盲区记录表{任务ID、任务名称|任务ID、任务名称、任务状态、扫描器类型、开始时间、结束时间、扫描结果}</t>
        </is>
      </c>
      <c r="Y1015" s="88" t="n"/>
      <c r="Z1015" s="88" t="n"/>
    </row>
    <row r="1016" hidden="1" ht="54" customHeight="1">
      <c r="A1016" s="69">
        <f>ROW()-1</f>
        <v/>
      </c>
      <c r="B1016" s="53" t="n"/>
      <c r="C1016" s="117" t="n">
        <v>2026</v>
      </c>
      <c r="D1016" s="64" t="n"/>
      <c r="E1016" s="53" t="n"/>
      <c r="F1016" s="53" t="n"/>
      <c r="G1016" s="53" t="n"/>
      <c r="H1016" s="96" t="inlineStr">
        <is>
          <t>查看盲区统计</t>
        </is>
      </c>
      <c r="I1016" s="76" t="n"/>
      <c r="J1016" s="95" t="n"/>
      <c r="K1016" s="95" t="inlineStr">
        <is>
          <t>和上行的功能描述完全一致，错误功能</t>
        </is>
      </c>
      <c r="L1016" s="83">
        <f>IF(OR(X1016="估算法",X1016="算法类",X1016="无法识别"),"",IF(V1016="",IF(OR(I1016="EI",I1016="EO",I1016="EQ"),0,""),LEN(V1016)-LEN(SUBSTITUTE(V1016,"、",""))+1))</f>
        <v/>
      </c>
      <c r="M1016" s="83">
        <f>IF(OR(X1016="估算法",X1016="算法类",X1016="无法识别"),"",IF(W1016="",IF(OR(I1016="ILF",I1016="EIF"),0,""),LEN(W1016)-LEN(SUBSTITUTE(W1016,"、",""))+1))</f>
        <v/>
      </c>
      <c r="N1016" s="83">
        <f>IF(OR(X1016="估算法",X1016="算法类",X1016="无法识别"),"",IF(X1016="",IF(OR(I1016="ILF",I1016="EIF",I1016="EI",I1016="EO",I1016="EQ"),0,""),LEN(X1016)-LEN(SUBSTITUTE(SUBSTITUTE(SUBSTITUTE(SUBSTITUTE(SUBSTITUTE(X1016,"|}","--"),"{|","--"),CHAR(10),""),"、",""),"|",""))+IF(AND(OR(I1016="EI",I1016="EO",I1016="EQ"),$AD$1="NESMA"),2,1)))</f>
        <v/>
      </c>
      <c r="O1016" s="84">
        <f>IF(I1016="EI",IF(OR(X1016="估算法",X1016="算法类"),"中",IF(X1016="无法识别","低",IF(L1016&lt;2,IF(N1016&lt;16,"低","中"),IF(L1016&lt;3,IF(N1016&lt;5,"低",IF(N1016&lt;16,"中","高")),IF(N1016&lt;5,"中","高"))))),IF(OR(I1016="EO",I1016="EQ"),IF(OR(X1016="估算法",X1016="算法类"),"中",IF(X1016="无法识别","低",IF(L1016&lt;2,IF(N1016&lt;20,"低","中"),IF(L1016&lt;4,IF(N1016&lt;6,"低",IF(N1016&lt;20,"中","高")),IF(N1016&lt;6,"中","高"))))),IF(OR(I1016="ILF",I1016="EIF"),IF(OR(X1016="估算法",X1016="算法类",X1016="无法识别"),"低",IF(M1016&lt;2,IF(N1016&lt;51,"低","中"),IF(M1016&lt;6,IF(N1016&lt;20,"低",IF(N1016&lt;51,"中","高")),IF(N1016&lt;20,"中","高")))),"不计算")))</f>
        <v/>
      </c>
      <c r="P1016" s="142">
        <f>IFERROR(IF(I1016="EI",IF(O1016="低",3,IF(O1016="中",4,6)),IF(I1016="EO",IF(O1016="低",4,IF(O1016="中",5,7)),IF(I1016="EQ",IF(O1016="低",3,IF(O1016="中",4,6)),IF(I1016="ILF",IF(O1016="低",7,IF(O1016="中",10,15)),IF(I1016="EIF",IF(O1016="低",5,IF(O1016="中",7,10)),"不计算")))))*Q1016,"不计算")</f>
        <v/>
      </c>
      <c r="Q1016" s="142" t="n">
        <v>1</v>
      </c>
      <c r="R1016" s="143">
        <f>调整因子!$F$13</f>
        <v/>
      </c>
      <c r="S1016" s="76" t="n">
        <v>1</v>
      </c>
      <c r="T1016" s="144">
        <f>IFERROR(P1016*R1016,0)</f>
        <v/>
      </c>
      <c r="U1016" s="145">
        <f>T1016*S1016</f>
        <v/>
      </c>
      <c r="V1016" s="96" t="inlineStr">
        <is>
          <t>任务优先级配置表、漏洞查询接口配置表、审计日志表</t>
        </is>
      </c>
      <c r="W1016" s="96" t="inlineStr"/>
      <c r="X1016" s="111" t="inlineStr">
        <is>
          <t>任务优先级配置表{任务ID、任务名称|任务ID、任务名称、任务类型、任务状态、创建时间、执行时间}
漏洞查询接口配置表{漏洞ID、漏洞名称|漏洞ID、漏洞名称、漏洞等级、漏洞类型、CVE编号、发现时间、修复状态}
审计日志表{日志ID、操作人|日志ID、操作人、操作类型、操作时间、操作内容}</t>
        </is>
      </c>
      <c r="Y1016" s="88" t="n"/>
      <c r="Z1016" s="88" t="n"/>
    </row>
    <row r="1017" hidden="1" ht="64.8" customHeight="1">
      <c r="A1017" s="69">
        <f>ROW()-1</f>
        <v/>
      </c>
      <c r="B1017" s="53" t="n"/>
      <c r="C1017" s="117" t="n">
        <v>2026</v>
      </c>
      <c r="D1017" s="64" t="n"/>
      <c r="E1017" s="54" t="n"/>
      <c r="F1017" s="54" t="n"/>
      <c r="G1017" s="54" t="n"/>
      <c r="H1017" s="96" t="inlineStr">
        <is>
          <t>查看能力缺口</t>
        </is>
      </c>
      <c r="I1017" s="76" t="n"/>
      <c r="J1017" s="95" t="n"/>
      <c r="K1017" s="95" t="inlineStr">
        <is>
          <t>和上行的功能描述完全一致，错误功能</t>
        </is>
      </c>
      <c r="L1017" s="83">
        <f>IF(OR(X1017="估算法",X1017="算法类",X1017="无法识别"),"",IF(V1017="",IF(OR(I1017="EI",I1017="EO",I1017="EQ"),0,""),LEN(V1017)-LEN(SUBSTITUTE(V1017,"、",""))+1))</f>
        <v/>
      </c>
      <c r="M1017" s="83">
        <f>IF(OR(X1017="估算法",X1017="算法类",X1017="无法识别"),"",IF(W1017="",IF(OR(I1017="ILF",I1017="EIF"),0,""),LEN(W1017)-LEN(SUBSTITUTE(W1017,"、",""))+1))</f>
        <v/>
      </c>
      <c r="N1017" s="83">
        <f>IF(OR(X1017="估算法",X1017="算法类",X1017="无法识别"),"",IF(X1017="",IF(OR(I1017="ILF",I1017="EIF",I1017="EI",I1017="EO",I1017="EQ"),0,""),LEN(X1017)-LEN(SUBSTITUTE(SUBSTITUTE(SUBSTITUTE(SUBSTITUTE(SUBSTITUTE(X1017,"|}","--"),"{|","--"),CHAR(10),""),"、",""),"|",""))+IF(AND(OR(I1017="EI",I1017="EO",I1017="EQ"),$AD$1="NESMA"),2,1)))</f>
        <v/>
      </c>
      <c r="O1017" s="84">
        <f>IF(I1017="EI",IF(OR(X1017="估算法",X1017="算法类"),"中",IF(X1017="无法识别","低",IF(L1017&lt;2,IF(N1017&lt;16,"低","中"),IF(L1017&lt;3,IF(N1017&lt;5,"低",IF(N1017&lt;16,"中","高")),IF(N1017&lt;5,"中","高"))))),IF(OR(I1017="EO",I1017="EQ"),IF(OR(X1017="估算法",X1017="算法类"),"中",IF(X1017="无法识别","低",IF(L1017&lt;2,IF(N1017&lt;20,"低","中"),IF(L1017&lt;4,IF(N1017&lt;6,"低",IF(N1017&lt;20,"中","高")),IF(N1017&lt;6,"中","高"))))),IF(OR(I1017="ILF",I1017="EIF"),IF(OR(X1017="估算法",X1017="算法类",X1017="无法识别"),"低",IF(M1017&lt;2,IF(N1017&lt;51,"低","中"),IF(M1017&lt;6,IF(N1017&lt;20,"低",IF(N1017&lt;51,"中","高")),IF(N1017&lt;20,"中","高")))),"不计算")))</f>
        <v/>
      </c>
      <c r="P1017" s="142">
        <f>IFERROR(IF(I1017="EI",IF(O1017="低",3,IF(O1017="中",4,6)),IF(I1017="EO",IF(O1017="低",4,IF(O1017="中",5,7)),IF(I1017="EQ",IF(O1017="低",3,IF(O1017="中",4,6)),IF(I1017="ILF",IF(O1017="低",7,IF(O1017="中",10,15)),IF(I1017="EIF",IF(O1017="低",5,IF(O1017="中",7,10)),"不计算")))))*Q1017,"不计算")</f>
        <v/>
      </c>
      <c r="Q1017" s="142" t="n">
        <v>1</v>
      </c>
      <c r="R1017" s="143">
        <f>调整因子!$F$13</f>
        <v/>
      </c>
      <c r="S1017" s="70" t="n">
        <v>1</v>
      </c>
      <c r="T1017" s="144">
        <f>IFERROR(P1017*R1017,0)</f>
        <v/>
      </c>
      <c r="U1017" s="145">
        <f>T1017*S1017</f>
        <v/>
      </c>
      <c r="V1017" s="96" t="inlineStr">
        <is>
          <t>扫描能力缺口表、分类层级关系表、同步任务调度表、修复步骤表</t>
        </is>
      </c>
      <c r="W1017" s="96" t="inlineStr"/>
      <c r="X1017" s="111" t="inlineStr">
        <is>
          <t>扫描能力缺口表{任务ID、任务名称|任务ID、任务名称、任务状态、扫描器类型、开始时间、结束时间、扫描结果}
分类层级关系表{ID、名称|ID、名称、类型、状态、创建时间、更新时间}
同步任务调度表{任务ID、任务名称|任务ID、任务名称、任务类型、任务状态、创建时间、执行时间}
修复步骤表{ID、名称|ID、名称、类型、状态、创建时间、更新时间}</t>
        </is>
      </c>
      <c r="Y1017" s="88" t="n"/>
      <c r="Z1017" s="88" t="n"/>
    </row>
    <row r="1018" hidden="1" ht="64.8" customHeight="1">
      <c r="A1018" s="69">
        <f>ROW()-1</f>
        <v/>
      </c>
      <c r="B1018" s="53" t="n"/>
      <c r="C1018" s="117" t="n">
        <v>2026</v>
      </c>
      <c r="D1018" s="64" t="n"/>
      <c r="E1018" s="111" t="inlineStr">
        <is>
          <t>扫描管理</t>
        </is>
      </c>
      <c r="F1018" s="111" t="inlineStr">
        <is>
          <t>扫描任务全生命周期管理</t>
        </is>
      </c>
      <c r="G1018" s="111" t="inlineStr">
        <is>
          <t>扫描任务执行管理</t>
        </is>
      </c>
      <c r="H1018" s="96" t="inlineStr">
        <is>
          <t>导出执行日志</t>
        </is>
      </c>
      <c r="I1018" s="76" t="inlineStr">
        <is>
          <t>EO</t>
        </is>
      </c>
      <c r="J1018" s="95" t="n"/>
      <c r="K1018" s="95" t="n"/>
      <c r="L1018" s="83">
        <f>IF(OR(X1018="估算法",X1018="算法类",X1018="无法识别"),"",IF(V1018="",IF(OR(I1018="EI",I1018="EO",I1018="EQ"),0,""),LEN(V1018)-LEN(SUBSTITUTE(V1018,"、",""))+1))</f>
        <v/>
      </c>
      <c r="M1018" s="83">
        <f>IF(OR(X1018="估算法",X1018="算法类",X1018="无法识别"),"",IF(W1018="",IF(OR(I1018="ILF",I1018="EIF"),0,""),LEN(W1018)-LEN(SUBSTITUTE(W1018,"、",""))+1))</f>
        <v/>
      </c>
      <c r="N1018" s="83">
        <f>IF(OR(X1018="估算法",X1018="算法类",X1018="无法识别"),"",IF(X1018="",IF(OR(I1018="ILF",I1018="EIF",I1018="EI",I1018="EO",I1018="EQ"),0,""),LEN(X1018)-LEN(SUBSTITUTE(SUBSTITUTE(SUBSTITUTE(SUBSTITUTE(SUBSTITUTE(X1018,"|}","--"),"{|","--"),CHAR(10),""),"、",""),"|",""))+IF(AND(OR(I1018="EI",I1018="EO",I1018="EQ"),$AD$1="NESMA"),2,1)))</f>
        <v/>
      </c>
      <c r="O1018" s="84">
        <f>IF(I1018="EI",IF(OR(X1018="估算法",X1018="算法类"),"中",IF(X1018="无法识别","低",IF(L1018&lt;2,IF(N1018&lt;16,"低","中"),IF(L1018&lt;3,IF(N1018&lt;5,"低",IF(N1018&lt;16,"中","高")),IF(N1018&lt;5,"中","高"))))),IF(OR(I1018="EO",I1018="EQ"),IF(OR(X1018="估算法",X1018="算法类"),"中",IF(X1018="无法识别","低",IF(L1018&lt;2,IF(N1018&lt;20,"低","中"),IF(L1018&lt;4,IF(N1018&lt;6,"低",IF(N1018&lt;20,"中","高")),IF(N1018&lt;6,"中","高"))))),IF(OR(I1018="ILF",I1018="EIF"),IF(OR(X1018="估算法",X1018="算法类",X1018="无法识别"),"低",IF(M1018&lt;2,IF(N1018&lt;51,"低","中"),IF(M1018&lt;6,IF(N1018&lt;20,"低",IF(N1018&lt;51,"中","高")),IF(N1018&lt;20,"中","高")))),"不计算")))</f>
        <v/>
      </c>
      <c r="P1018" s="142">
        <f>IFERROR(IF(I1018="EI",IF(O1018="低",3,IF(O1018="中",4,6)),IF(I1018="EO",IF(O1018="低",4,IF(O1018="中",5,7)),IF(I1018="EQ",IF(O1018="低",3,IF(O1018="中",4,6)),IF(I1018="ILF",IF(O1018="低",7,IF(O1018="中",10,15)),IF(I1018="EIF",IF(O1018="低",5,IF(O1018="中",7,10)),"不计算")))))*Q1018,"不计算")</f>
        <v/>
      </c>
      <c r="Q1018" s="142" t="n">
        <v>1</v>
      </c>
      <c r="R1018" s="143">
        <f>调整因子!$F$13</f>
        <v/>
      </c>
      <c r="S1018" s="70" t="n">
        <v>1</v>
      </c>
      <c r="T1018" s="144">
        <f>IFERROR(P1018*R1018,0)</f>
        <v/>
      </c>
      <c r="U1018" s="145">
        <f>T1018*S1018</f>
        <v/>
      </c>
      <c r="V1018" s="96" t="inlineStr">
        <is>
          <t>任务日志表、推送日志表、日志加密配置表、审计日志表</t>
        </is>
      </c>
      <c r="W1018" s="96" t="inlineStr"/>
      <c r="X1018" s="111"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t>
        </is>
      </c>
      <c r="Y1018" s="88" t="n"/>
      <c r="Z1018" s="88" t="n"/>
    </row>
    <row r="1019" hidden="1" ht="64.8" customHeight="1">
      <c r="A1019" s="69">
        <f>ROW()-1</f>
        <v/>
      </c>
      <c r="B1019" s="53" t="n"/>
      <c r="C1019" s="117" t="n">
        <v>2026</v>
      </c>
      <c r="D1019" s="64" t="n"/>
      <c r="E1019" s="53" t="n"/>
      <c r="F1019" s="53" t="n"/>
      <c r="G1019" s="53" t="n"/>
      <c r="H1019" s="96" t="inlineStr">
        <is>
          <t>下载执行报告</t>
        </is>
      </c>
      <c r="I1019" s="76" t="inlineStr">
        <is>
          <t>EO</t>
        </is>
      </c>
      <c r="J1019" s="95" t="n"/>
      <c r="K1019" s="95" t="n"/>
      <c r="L1019" s="83">
        <f>IF(OR(X1019="估算法",X1019="算法类",X1019="无法识别"),"",IF(V1019="",IF(OR(I1019="EI",I1019="EO",I1019="EQ"),0,""),LEN(V1019)-LEN(SUBSTITUTE(V1019,"、",""))+1))</f>
        <v/>
      </c>
      <c r="M1019" s="83">
        <f>IF(OR(X1019="估算法",X1019="算法类",X1019="无法识别"),"",IF(W1019="",IF(OR(I1019="ILF",I1019="EIF"),0,""),LEN(W1019)-LEN(SUBSTITUTE(W1019,"、",""))+1))</f>
        <v/>
      </c>
      <c r="N1019" s="83">
        <f>IF(OR(X1019="估算法",X1019="算法类",X1019="无法识别"),"",IF(X1019="",IF(OR(I1019="ILF",I1019="EIF",I1019="EI",I1019="EO",I1019="EQ"),0,""),LEN(X1019)-LEN(SUBSTITUTE(SUBSTITUTE(SUBSTITUTE(SUBSTITUTE(SUBSTITUTE(X1019,"|}","--"),"{|","--"),CHAR(10),""),"、",""),"|",""))+IF(AND(OR(I1019="EI",I1019="EO",I1019="EQ"),$AD$1="NESMA"),2,1)))</f>
        <v/>
      </c>
      <c r="O1019" s="84">
        <f>IF(I1019="EI",IF(OR(X1019="估算法",X1019="算法类"),"中",IF(X1019="无法识别","低",IF(L1019&lt;2,IF(N1019&lt;16,"低","中"),IF(L1019&lt;3,IF(N1019&lt;5,"低",IF(N1019&lt;16,"中","高")),IF(N1019&lt;5,"中","高"))))),IF(OR(I1019="EO",I1019="EQ"),IF(OR(X1019="估算法",X1019="算法类"),"中",IF(X1019="无法识别","低",IF(L1019&lt;2,IF(N1019&lt;20,"低","中"),IF(L1019&lt;4,IF(N1019&lt;6,"低",IF(N1019&lt;20,"中","高")),IF(N1019&lt;6,"中","高"))))),IF(OR(I1019="ILF",I1019="EIF"),IF(OR(X1019="估算法",X1019="算法类",X1019="无法识别"),"低",IF(M1019&lt;2,IF(N1019&lt;51,"低","中"),IF(M1019&lt;6,IF(N1019&lt;20,"低",IF(N1019&lt;51,"中","高")),IF(N1019&lt;20,"中","高")))),"不计算")))</f>
        <v/>
      </c>
      <c r="P1019" s="142">
        <f>IFERROR(IF(I1019="EI",IF(O1019="低",3,IF(O1019="中",4,6)),IF(I1019="EO",IF(O1019="低",4,IF(O1019="中",5,7)),IF(I1019="EQ",IF(O1019="低",3,IF(O1019="中",4,6)),IF(I1019="ILF",IF(O1019="低",7,IF(O1019="中",10,15)),IF(I1019="EIF",IF(O1019="低",5,IF(O1019="中",7,10)),"不计算")))))*Q1019,"不计算")</f>
        <v/>
      </c>
      <c r="Q1019" s="142" t="n">
        <v>1</v>
      </c>
      <c r="R1019" s="143">
        <f>调整因子!$F$13</f>
        <v/>
      </c>
      <c r="S1019" s="76" t="n">
        <v>1</v>
      </c>
      <c r="T1019" s="144">
        <f>IFERROR(P1019*R1019,0)</f>
        <v/>
      </c>
      <c r="U1019" s="145">
        <f>T1019*S1019</f>
        <v/>
      </c>
      <c r="V1019" s="96" t="inlineStr">
        <is>
          <t>脱敏规则表、验证记录表、提醒规则表、任务趋势分析表、采集记录表</t>
        </is>
      </c>
      <c r="W1019" s="96" t="inlineStr"/>
      <c r="X1019" s="111" t="inlineStr">
        <is>
          <t>脱敏规则表{规则ID、规则名称|规则ID、规则名称、规则类型、规则条件、创建时间}
验证记录表{ID、名称|ID、名称、类型、状态、创建时间、更新时间}
提醒规则表{规则ID、规则名称|规则ID、规则名称、规则类型、规则条件、创建时间}
任务趋势分析表{任务ID、任务名称|任务ID、任务名称、任务类型、任务状态、创建时间、执行时间}
采集记录表{ID、名称|ID、名称、类型、状态、创建时间、更新时间}</t>
        </is>
      </c>
      <c r="Y1019" s="88" t="n"/>
      <c r="Z1019" s="88" t="n"/>
    </row>
    <row r="1020" hidden="1" ht="64.8" customHeight="1">
      <c r="A1020" s="69">
        <f>ROW()-1</f>
        <v/>
      </c>
      <c r="B1020" s="53" t="n"/>
      <c r="C1020" s="117" t="n">
        <v>2026</v>
      </c>
      <c r="D1020" s="64" t="n"/>
      <c r="E1020" s="53" t="n"/>
      <c r="F1020" s="53" t="n"/>
      <c r="G1020" s="53" t="n"/>
      <c r="H1020" s="96" t="inlineStr">
        <is>
          <t>查询任务执行进度</t>
        </is>
      </c>
      <c r="I1020" s="76" t="inlineStr">
        <is>
          <t>EQ</t>
        </is>
      </c>
      <c r="J1020" s="95" t="n"/>
      <c r="K1020" s="95" t="n"/>
      <c r="L1020" s="83">
        <f>IF(OR(X1020="估算法",X1020="算法类",X1020="无法识别"),"",IF(V1020="",IF(OR(I1020="EI",I1020="EO",I1020="EQ"),0,""),LEN(V1020)-LEN(SUBSTITUTE(V1020,"、",""))+1))</f>
        <v/>
      </c>
      <c r="M1020" s="83">
        <f>IF(OR(X1020="估算法",X1020="算法类",X1020="无法识别"),"",IF(W1020="",IF(OR(I1020="ILF",I1020="EIF"),0,""),LEN(W1020)-LEN(SUBSTITUTE(W1020,"、",""))+1))</f>
        <v/>
      </c>
      <c r="N1020" s="83">
        <f>IF(OR(X1020="估算法",X1020="算法类",X1020="无法识别"),"",IF(X1020="",IF(OR(I1020="ILF",I1020="EIF",I1020="EI",I1020="EO",I1020="EQ"),0,""),LEN(X1020)-LEN(SUBSTITUTE(SUBSTITUTE(SUBSTITUTE(SUBSTITUTE(SUBSTITUTE(X1020,"|}","--"),"{|","--"),CHAR(10),""),"、",""),"|",""))+IF(AND(OR(I1020="EI",I1020="EO",I1020="EQ"),$AD$1="NESMA"),2,1)))</f>
        <v/>
      </c>
      <c r="O1020" s="84">
        <f>IF(I1020="EI",IF(OR(X1020="估算法",X1020="算法类"),"中",IF(X1020="无法识别","低",IF(L1020&lt;2,IF(N1020&lt;16,"低","中"),IF(L1020&lt;3,IF(N1020&lt;5,"低",IF(N1020&lt;16,"中","高")),IF(N1020&lt;5,"中","高"))))),IF(OR(I1020="EO",I1020="EQ"),IF(OR(X1020="估算法",X1020="算法类"),"中",IF(X1020="无法识别","低",IF(L1020&lt;2,IF(N1020&lt;20,"低","中"),IF(L1020&lt;4,IF(N1020&lt;6,"低",IF(N1020&lt;20,"中","高")),IF(N1020&lt;6,"中","高"))))),IF(OR(I1020="ILF",I1020="EIF"),IF(OR(X1020="估算法",X1020="算法类",X1020="无法识别"),"低",IF(M1020&lt;2,IF(N1020&lt;51,"低","中"),IF(M1020&lt;6,IF(N1020&lt;20,"低",IF(N1020&lt;51,"中","高")),IF(N1020&lt;20,"中","高")))),"不计算")))</f>
        <v/>
      </c>
      <c r="P1020" s="142">
        <f>IFERROR(IF(I1020="EI",IF(O1020="低",3,IF(O1020="中",4,6)),IF(I1020="EO",IF(O1020="低",4,IF(O1020="中",5,7)),IF(I1020="EQ",IF(O1020="低",3,IF(O1020="中",4,6)),IF(I1020="ILF",IF(O1020="低",7,IF(O1020="中",10,15)),IF(I1020="EIF",IF(O1020="低",5,IF(O1020="中",7,10)),"不计算")))))*Q1020,"不计算")</f>
        <v/>
      </c>
      <c r="Q1020" s="142" t="n">
        <v>1</v>
      </c>
      <c r="R1020" s="143">
        <f>调整因子!$F$13</f>
        <v/>
      </c>
      <c r="S1020" s="76" t="n">
        <v>1</v>
      </c>
      <c r="T1020" s="144">
        <f>IFERROR(P1020*R1020,0)</f>
        <v/>
      </c>
      <c r="U1020" s="145">
        <f>T1020*S1020</f>
        <v/>
      </c>
      <c r="V1020" s="96" t="inlineStr">
        <is>
          <t>数据清洗任务表、资产同步任务表、同步任务调度表</t>
        </is>
      </c>
      <c r="W1020" s="96" t="inlineStr"/>
      <c r="X1020"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Y1020" s="88" t="n"/>
      <c r="Z1020" s="88" t="n"/>
    </row>
    <row r="1021" hidden="1" ht="54" customHeight="1">
      <c r="A1021" s="69">
        <f>ROW()-1</f>
        <v/>
      </c>
      <c r="B1021" s="53" t="n"/>
      <c r="C1021" s="117" t="n">
        <v>2026</v>
      </c>
      <c r="D1021" s="64" t="n"/>
      <c r="E1021" s="53" t="n"/>
      <c r="F1021" s="53" t="n"/>
      <c r="G1021" s="54" t="n"/>
      <c r="H1021" s="96" t="inlineStr">
        <is>
          <t>查看执行日志详情</t>
        </is>
      </c>
      <c r="I1021" s="76" t="inlineStr">
        <is>
          <t>EQ</t>
        </is>
      </c>
      <c r="J1021" s="95" t="n"/>
      <c r="K1021" s="95" t="n"/>
      <c r="L1021" s="83">
        <f>IF(OR(X1021="估算法",X1021="算法类",X1021="无法识别"),"",IF(V1021="",IF(OR(I1021="EI",I1021="EO",I1021="EQ"),0,""),LEN(V1021)-LEN(SUBSTITUTE(V1021,"、",""))+1))</f>
        <v/>
      </c>
      <c r="M1021" s="83">
        <f>IF(OR(X1021="估算法",X1021="算法类",X1021="无法识别"),"",IF(W1021="",IF(OR(I1021="ILF",I1021="EIF"),0,""),LEN(W1021)-LEN(SUBSTITUTE(W1021,"、",""))+1))</f>
        <v/>
      </c>
      <c r="N1021" s="83">
        <f>IF(OR(X1021="估算法",X1021="算法类",X1021="无法识别"),"",IF(X1021="",IF(OR(I1021="ILF",I1021="EIF",I1021="EI",I1021="EO",I1021="EQ"),0,""),LEN(X1021)-LEN(SUBSTITUTE(SUBSTITUTE(SUBSTITUTE(SUBSTITUTE(SUBSTITUTE(X1021,"|}","--"),"{|","--"),CHAR(10),""),"、",""),"|",""))+IF(AND(OR(I1021="EI",I1021="EO",I1021="EQ"),$AD$1="NESMA"),2,1)))</f>
        <v/>
      </c>
      <c r="O1021" s="84">
        <f>IF(I1021="EI",IF(OR(X1021="估算法",X1021="算法类"),"中",IF(X1021="无法识别","低",IF(L1021&lt;2,IF(N1021&lt;16,"低","中"),IF(L1021&lt;3,IF(N1021&lt;5,"低",IF(N1021&lt;16,"中","高")),IF(N1021&lt;5,"中","高"))))),IF(OR(I1021="EO",I1021="EQ"),IF(OR(X1021="估算法",X1021="算法类"),"中",IF(X1021="无法识别","低",IF(L1021&lt;2,IF(N1021&lt;20,"低","中"),IF(L1021&lt;4,IF(N1021&lt;6,"低",IF(N1021&lt;20,"中","高")),IF(N1021&lt;6,"中","高"))))),IF(OR(I1021="ILF",I1021="EIF"),IF(OR(X1021="估算法",X1021="算法类",X1021="无法识别"),"低",IF(M1021&lt;2,IF(N1021&lt;51,"低","中"),IF(M1021&lt;6,IF(N1021&lt;20,"低",IF(N1021&lt;51,"中","高")),IF(N1021&lt;20,"中","高")))),"不计算")))</f>
        <v/>
      </c>
      <c r="P1021" s="142">
        <f>IFERROR(IF(I1021="EI",IF(O1021="低",3,IF(O1021="中",4,6)),IF(I1021="EO",IF(O1021="低",4,IF(O1021="中",5,7)),IF(I1021="EQ",IF(O1021="低",3,IF(O1021="中",4,6)),IF(I1021="ILF",IF(O1021="低",7,IF(O1021="中",10,15)),IF(I1021="EIF",IF(O1021="低",5,IF(O1021="中",7,10)),"不计算")))))*Q1021,"不计算")</f>
        <v/>
      </c>
      <c r="Q1021" s="142" t="n">
        <v>1</v>
      </c>
      <c r="R1021" s="143">
        <f>调整因子!$F$13</f>
        <v/>
      </c>
      <c r="S1021" s="70" t="n">
        <v>1</v>
      </c>
      <c r="T1021" s="144">
        <f>IFERROR(P1021*R1021,0)</f>
        <v/>
      </c>
      <c r="U1021" s="145">
        <f>T1021*S1021</f>
        <v/>
      </c>
      <c r="V1021" s="96" t="inlineStr">
        <is>
          <t>任务日志表、推送日志表、日志加密配置表</t>
        </is>
      </c>
      <c r="W1021" s="96" t="inlineStr"/>
      <c r="X1021" s="111"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t>
        </is>
      </c>
      <c r="Y1021" s="88" t="n"/>
      <c r="Z1021" s="88" t="n"/>
    </row>
    <row r="1022" hidden="1" ht="54" customHeight="1">
      <c r="A1022" s="69">
        <f>ROW()-1</f>
        <v/>
      </c>
      <c r="B1022" s="53" t="n"/>
      <c r="C1022" s="117" t="n">
        <v>2026</v>
      </c>
      <c r="D1022" s="64" t="n"/>
      <c r="E1022" s="53" t="n"/>
      <c r="F1022" s="53" t="n"/>
      <c r="G1022" s="111" t="inlineStr">
        <is>
          <t>扫描任务审批管理</t>
        </is>
      </c>
      <c r="H1022" s="96" t="inlineStr">
        <is>
          <t>导出审批记录</t>
        </is>
      </c>
      <c r="I1022" s="76" t="inlineStr">
        <is>
          <t>EO</t>
        </is>
      </c>
      <c r="J1022" s="95" t="n"/>
      <c r="K1022" s="95" t="n"/>
      <c r="L1022" s="83">
        <f>IF(OR(X1022="估算法",X1022="算法类",X1022="无法识别"),"",IF(V1022="",IF(OR(I1022="EI",I1022="EO",I1022="EQ"),0,""),LEN(V1022)-LEN(SUBSTITUTE(V1022,"、",""))+1))</f>
        <v/>
      </c>
      <c r="M1022" s="83">
        <f>IF(OR(X1022="估算法",X1022="算法类",X1022="无法识别"),"",IF(W1022="",IF(OR(I1022="ILF",I1022="EIF"),0,""),LEN(W1022)-LEN(SUBSTITUTE(W1022,"、",""))+1))</f>
        <v/>
      </c>
      <c r="N1022" s="83">
        <f>IF(OR(X1022="估算法",X1022="算法类",X1022="无法识别"),"",IF(X1022="",IF(OR(I1022="ILF",I1022="EIF",I1022="EI",I1022="EO",I1022="EQ"),0,""),LEN(X1022)-LEN(SUBSTITUTE(SUBSTITUTE(SUBSTITUTE(SUBSTITUTE(SUBSTITUTE(X1022,"|}","--"),"{|","--"),CHAR(10),""),"、",""),"|",""))+IF(AND(OR(I1022="EI",I1022="EO",I1022="EQ"),$AD$1="NESMA"),2,1)))</f>
        <v/>
      </c>
      <c r="O1022" s="84">
        <f>IF(I1022="EI",IF(OR(X1022="估算法",X1022="算法类"),"中",IF(X1022="无法识别","低",IF(L1022&lt;2,IF(N1022&lt;16,"低","中"),IF(L1022&lt;3,IF(N1022&lt;5,"低",IF(N1022&lt;16,"中","高")),IF(N1022&lt;5,"中","高"))))),IF(OR(I1022="EO",I1022="EQ"),IF(OR(X1022="估算法",X1022="算法类"),"中",IF(X1022="无法识别","低",IF(L1022&lt;2,IF(N1022&lt;20,"低","中"),IF(L1022&lt;4,IF(N1022&lt;6,"低",IF(N1022&lt;20,"中","高")),IF(N1022&lt;6,"中","高"))))),IF(OR(I1022="ILF",I1022="EIF"),IF(OR(X1022="估算法",X1022="算法类",X1022="无法识别"),"低",IF(M1022&lt;2,IF(N1022&lt;51,"低","中"),IF(M1022&lt;6,IF(N1022&lt;20,"低",IF(N1022&lt;51,"中","高")),IF(N1022&lt;20,"中","高")))),"不计算")))</f>
        <v/>
      </c>
      <c r="P1022" s="142">
        <f>IFERROR(IF(I1022="EI",IF(O1022="低",3,IF(O1022="中",4,6)),IF(I1022="EO",IF(O1022="低",4,IF(O1022="中",5,7)),IF(I1022="EQ",IF(O1022="低",3,IF(O1022="中",4,6)),IF(I1022="ILF",IF(O1022="低",7,IF(O1022="中",10,15)),IF(I1022="EIF",IF(O1022="低",5,IF(O1022="中",7,10)),"不计算")))))*Q1022,"不计算")</f>
        <v/>
      </c>
      <c r="Q1022" s="142" t="n">
        <v>1</v>
      </c>
      <c r="R1022" s="143">
        <f>调整因子!$F$13</f>
        <v/>
      </c>
      <c r="S1022" s="70" t="n">
        <v>1</v>
      </c>
      <c r="T1022" s="144">
        <f>IFERROR(P1022*R1022,0)</f>
        <v/>
      </c>
      <c r="U1022" s="145">
        <f>T1022*S1022</f>
        <v/>
      </c>
      <c r="V1022" s="96" t="inlineStr">
        <is>
          <t>报告解析结果表、分类层级关系表、修复方案表、通报配置表、模板配置表</t>
        </is>
      </c>
      <c r="W1022" s="96" t="inlineStr"/>
      <c r="X1022" s="111" t="inlineStr">
        <is>
          <t>报告解析结果表{ID、名称|ID、名称、类型、状态、创建时间、更新时间}
分类层级关系表{ID、名称|ID、名称、类型、状态、创建时间、更新时间}
修复方案表{ID、名称|ID、名称、类型、状态、创建时间、更新时间}
通报配置表{配置ID、配置名称|配置ID、配置名称、配置类型、配置值、创建时间}
模板配置表{配置ID、配置名称|配置ID、配置名称、配置类型、配置值、创建时间}</t>
        </is>
      </c>
      <c r="Y1022" s="88" t="n"/>
      <c r="Z1022" s="88" t="n"/>
    </row>
    <row r="1023" hidden="1" ht="64.8" customHeight="1">
      <c r="A1023" s="69">
        <f>ROW()-1</f>
        <v/>
      </c>
      <c r="B1023" s="53" t="n"/>
      <c r="C1023" s="117" t="n">
        <v>2026</v>
      </c>
      <c r="D1023" s="64" t="n"/>
      <c r="E1023" s="53" t="n"/>
      <c r="F1023" s="53" t="n"/>
      <c r="G1023" s="53" t="n"/>
      <c r="H1023" s="96" t="inlineStr">
        <is>
          <t>查询审批任务列表</t>
        </is>
      </c>
      <c r="I1023" s="76" t="inlineStr">
        <is>
          <t>EQ</t>
        </is>
      </c>
      <c r="J1023" s="95" t="n"/>
      <c r="K1023" s="95" t="n"/>
      <c r="L1023" s="83">
        <f>IF(OR(X1023="估算法",X1023="算法类",X1023="无法识别"),"",IF(V1023="",IF(OR(I1023="EI",I1023="EO",I1023="EQ"),0,""),LEN(V1023)-LEN(SUBSTITUTE(V1023,"、",""))+1))</f>
        <v/>
      </c>
      <c r="M1023" s="83">
        <f>IF(OR(X1023="估算法",X1023="算法类",X1023="无法识别"),"",IF(W1023="",IF(OR(I1023="ILF",I1023="EIF"),0,""),LEN(W1023)-LEN(SUBSTITUTE(W1023,"、",""))+1))</f>
        <v/>
      </c>
      <c r="N1023" s="83">
        <f>IF(OR(X1023="估算法",X1023="算法类",X1023="无法识别"),"",IF(X1023="",IF(OR(I1023="ILF",I1023="EIF",I1023="EI",I1023="EO",I1023="EQ"),0,""),LEN(X1023)-LEN(SUBSTITUTE(SUBSTITUTE(SUBSTITUTE(SUBSTITUTE(SUBSTITUTE(X1023,"|}","--"),"{|","--"),CHAR(10),""),"、",""),"|",""))+IF(AND(OR(I1023="EI",I1023="EO",I1023="EQ"),$AD$1="NESMA"),2,1)))</f>
        <v/>
      </c>
      <c r="O1023" s="84">
        <f>IF(I1023="EI",IF(OR(X1023="估算法",X1023="算法类"),"中",IF(X1023="无法识别","低",IF(L1023&lt;2,IF(N1023&lt;16,"低","中"),IF(L1023&lt;3,IF(N1023&lt;5,"低",IF(N1023&lt;16,"中","高")),IF(N1023&lt;5,"中","高"))))),IF(OR(I1023="EO",I1023="EQ"),IF(OR(X1023="估算法",X1023="算法类"),"中",IF(X1023="无法识别","低",IF(L1023&lt;2,IF(N1023&lt;20,"低","中"),IF(L1023&lt;4,IF(N1023&lt;6,"低",IF(N1023&lt;20,"中","高")),IF(N1023&lt;6,"中","高"))))),IF(OR(I1023="ILF",I1023="EIF"),IF(OR(X1023="估算法",X1023="算法类",X1023="无法识别"),"低",IF(M1023&lt;2,IF(N1023&lt;51,"低","中"),IF(M1023&lt;6,IF(N1023&lt;20,"低",IF(N1023&lt;51,"中","高")),IF(N1023&lt;20,"中","高")))),"不计算")))</f>
        <v/>
      </c>
      <c r="P1023" s="142">
        <f>IFERROR(IF(I1023="EI",IF(O1023="低",3,IF(O1023="中",4,6)),IF(I1023="EO",IF(O1023="低",4,IF(O1023="中",5,7)),IF(I1023="EQ",IF(O1023="低",3,IF(O1023="中",4,6)),IF(I1023="ILF",IF(O1023="低",7,IF(O1023="中",10,15)),IF(I1023="EIF",IF(O1023="低",5,IF(O1023="中",7,10)),"不计算")))))*Q1023,"不计算")</f>
        <v/>
      </c>
      <c r="Q1023" s="142" t="n">
        <v>1</v>
      </c>
      <c r="R1023" s="143">
        <f>调整因子!$F$13</f>
        <v/>
      </c>
      <c r="S1023" s="76" t="n">
        <v>1</v>
      </c>
      <c r="T1023" s="144">
        <f>IFERROR(P1023*R1023,0)</f>
        <v/>
      </c>
      <c r="U1023" s="145">
        <f>T1023*S1023</f>
        <v/>
      </c>
      <c r="V1023" s="96" t="inlineStr">
        <is>
          <t>数据清洗任务表、资产同步任务表、同步任务调度表</t>
        </is>
      </c>
      <c r="W1023" s="96" t="inlineStr"/>
      <c r="X1023"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Y1023" s="88" t="n"/>
      <c r="Z1023" s="88" t="n"/>
    </row>
    <row r="1024" hidden="1" ht="43.2" customHeight="1">
      <c r="A1024" s="69">
        <f>ROW()-1</f>
        <v/>
      </c>
      <c r="B1024" s="53" t="n"/>
      <c r="C1024" s="117" t="n">
        <v>2026</v>
      </c>
      <c r="D1024" s="64" t="n"/>
      <c r="E1024" s="53" t="n"/>
      <c r="F1024" s="53" t="n"/>
      <c r="G1024" s="54" t="n"/>
      <c r="H1024" s="96" t="inlineStr">
        <is>
          <t>查看审批历史</t>
        </is>
      </c>
      <c r="I1024" s="76" t="inlineStr">
        <is>
          <t>EQ</t>
        </is>
      </c>
      <c r="J1024" s="95" t="n"/>
      <c r="K1024" s="95" t="n"/>
      <c r="L1024" s="83">
        <f>IF(OR(X1024="估算法",X1024="算法类",X1024="无法识别"),"",IF(V1024="",IF(OR(I1024="EI",I1024="EO",I1024="EQ"),0,""),LEN(V1024)-LEN(SUBSTITUTE(V1024,"、",""))+1))</f>
        <v/>
      </c>
      <c r="M1024" s="83">
        <f>IF(OR(X1024="估算法",X1024="算法类",X1024="无法识别"),"",IF(W1024="",IF(OR(I1024="ILF",I1024="EIF"),0,""),LEN(W1024)-LEN(SUBSTITUTE(W1024,"、",""))+1))</f>
        <v/>
      </c>
      <c r="N1024" s="83">
        <f>IF(OR(X1024="估算法",X1024="算法类",X1024="无法识别"),"",IF(X1024="",IF(OR(I1024="ILF",I1024="EIF",I1024="EI",I1024="EO",I1024="EQ"),0,""),LEN(X1024)-LEN(SUBSTITUTE(SUBSTITUTE(SUBSTITUTE(SUBSTITUTE(SUBSTITUTE(X1024,"|}","--"),"{|","--"),CHAR(10),""),"、",""),"|",""))+IF(AND(OR(I1024="EI",I1024="EO",I1024="EQ"),$AD$1="NESMA"),2,1)))</f>
        <v/>
      </c>
      <c r="O1024" s="84">
        <f>IF(I1024="EI",IF(OR(X1024="估算法",X1024="算法类"),"中",IF(X1024="无法识别","低",IF(L1024&lt;2,IF(N1024&lt;16,"低","中"),IF(L1024&lt;3,IF(N1024&lt;5,"低",IF(N1024&lt;16,"中","高")),IF(N1024&lt;5,"中","高"))))),IF(OR(I1024="EO",I1024="EQ"),IF(OR(X1024="估算法",X1024="算法类"),"中",IF(X1024="无法识别","低",IF(L1024&lt;2,IF(N1024&lt;20,"低","中"),IF(L1024&lt;4,IF(N1024&lt;6,"低",IF(N1024&lt;20,"中","高")),IF(N1024&lt;6,"中","高"))))),IF(OR(I1024="ILF",I1024="EIF"),IF(OR(X1024="估算法",X1024="算法类",X1024="无法识别"),"低",IF(M1024&lt;2,IF(N1024&lt;51,"低","中"),IF(M1024&lt;6,IF(N1024&lt;20,"低",IF(N1024&lt;51,"中","高")),IF(N1024&lt;20,"中","高")))),"不计算")))</f>
        <v/>
      </c>
      <c r="P1024" s="142">
        <f>IFERROR(IF(I1024="EI",IF(O1024="低",3,IF(O1024="中",4,6)),IF(I1024="EO",IF(O1024="低",4,IF(O1024="中",5,7)),IF(I1024="EQ",IF(O1024="低",3,IF(O1024="中",4,6)),IF(I1024="ILF",IF(O1024="低",7,IF(O1024="中",10,15)),IF(I1024="EIF",IF(O1024="低",5,IF(O1024="中",7,10)),"不计算")))))*Q1024,"不计算")</f>
        <v/>
      </c>
      <c r="Q1024" s="142" t="n">
        <v>1</v>
      </c>
      <c r="R1024" s="143">
        <f>调整因子!$F$13</f>
        <v/>
      </c>
      <c r="S1024" s="70" t="n">
        <v>1</v>
      </c>
      <c r="T1024" s="144">
        <f>IFERROR(P1024*R1024,0)</f>
        <v/>
      </c>
      <c r="U1024" s="145">
        <f>T1024*S1024</f>
        <v/>
      </c>
      <c r="V1024" s="96" t="inlineStr">
        <is>
          <t>推送结果表、报告导入记录表、考核指标配置表</t>
        </is>
      </c>
      <c r="W1024" s="96" t="inlineStr"/>
      <c r="X1024" s="111" t="inlineStr">
        <is>
          <t>推送结果表{ID、名称|ID、名称、类型、状态、创建时间、更新时间}
报告导入记录表{ID、名称|ID、名称、类型、状态、创建时间、更新时间}
考核指标配置表{配置ID、配置名称|配置ID、配置名称、配置类型、配置值、创建时间}</t>
        </is>
      </c>
      <c r="Y1024" s="88" t="n"/>
      <c r="Z1024" s="88" t="n"/>
    </row>
    <row r="1025" hidden="1" ht="86.40000000000001" customHeight="1">
      <c r="A1025" s="69">
        <f>ROW()-1</f>
        <v/>
      </c>
      <c r="B1025" s="53" t="n"/>
      <c r="C1025" s="117" t="n">
        <v>2026</v>
      </c>
      <c r="D1025" s="64" t="n"/>
      <c r="E1025" s="53" t="n"/>
      <c r="F1025" s="53" t="n"/>
      <c r="G1025" s="111" t="inlineStr">
        <is>
          <t>扫描任务依赖管理</t>
        </is>
      </c>
      <c r="H1025" s="96" t="inlineStr">
        <is>
          <t>编辑任务依赖关系</t>
        </is>
      </c>
      <c r="I1025" s="76" t="inlineStr">
        <is>
          <t>EI</t>
        </is>
      </c>
      <c r="J1025" s="95" t="n"/>
      <c r="K1025" s="95" t="n"/>
      <c r="L1025" s="83">
        <f>IF(OR(X1025="估算法",X1025="算法类",X1025="无法识别"),"",IF(V1025="",IF(OR(I1025="EI",I1025="EO",I1025="EQ"),0,""),LEN(V1025)-LEN(SUBSTITUTE(V1025,"、",""))+1))</f>
        <v/>
      </c>
      <c r="M1025" s="83">
        <f>IF(OR(X1025="估算法",X1025="算法类",X1025="无法识别"),"",IF(W1025="",IF(OR(I1025="ILF",I1025="EIF"),0,""),LEN(W1025)-LEN(SUBSTITUTE(W1025,"、",""))+1))</f>
        <v/>
      </c>
      <c r="N1025" s="83">
        <f>IF(OR(X1025="估算法",X1025="算法类",X1025="无法识别"),"",IF(X1025="",IF(OR(I1025="ILF",I1025="EIF",I1025="EI",I1025="EO",I1025="EQ"),0,""),LEN(X1025)-LEN(SUBSTITUTE(SUBSTITUTE(SUBSTITUTE(SUBSTITUTE(SUBSTITUTE(X1025,"|}","--"),"{|","--"),CHAR(10),""),"、",""),"|",""))+IF(AND(OR(I1025="EI",I1025="EO",I1025="EQ"),$AD$1="NESMA"),2,1)))</f>
        <v/>
      </c>
      <c r="O1025" s="84">
        <f>IF(I1025="EI",IF(OR(X1025="估算法",X1025="算法类"),"中",IF(X1025="无法识别","低",IF(L1025&lt;2,IF(N1025&lt;16,"低","中"),IF(L1025&lt;3,IF(N1025&lt;5,"低",IF(N1025&lt;16,"中","高")),IF(N1025&lt;5,"中","高"))))),IF(OR(I1025="EO",I1025="EQ"),IF(OR(X1025="估算法",X1025="算法类"),"中",IF(X1025="无法识别","低",IF(L1025&lt;2,IF(N1025&lt;20,"低","中"),IF(L1025&lt;4,IF(N1025&lt;6,"低",IF(N1025&lt;20,"中","高")),IF(N1025&lt;6,"中","高"))))),IF(OR(I1025="ILF",I1025="EIF"),IF(OR(X1025="估算法",X1025="算法类",X1025="无法识别"),"低",IF(M1025&lt;2,IF(N1025&lt;51,"低","中"),IF(M1025&lt;6,IF(N1025&lt;20,"低",IF(N1025&lt;51,"中","高")),IF(N1025&lt;20,"中","高")))),"不计算")))</f>
        <v/>
      </c>
      <c r="P1025" s="142">
        <f>IFERROR(IF(I1025="EI",IF(O1025="低",3,IF(O1025="中",4,6)),IF(I1025="EO",IF(O1025="低",4,IF(O1025="中",5,7)),IF(I1025="EQ",IF(O1025="低",3,IF(O1025="中",4,6)),IF(I1025="ILF",IF(O1025="低",7,IF(O1025="中",10,15)),IF(I1025="EIF",IF(O1025="低",5,IF(O1025="中",7,10)),"不计算")))))*Q1025,"不计算")</f>
        <v/>
      </c>
      <c r="Q1025" s="142" t="n">
        <v>1</v>
      </c>
      <c r="R1025" s="143">
        <f>调整因子!$F$13</f>
        <v/>
      </c>
      <c r="S1025" s="70" t="n">
        <v>1</v>
      </c>
      <c r="T1025" s="144">
        <f>IFERROR(P1025*R1025,0)</f>
        <v/>
      </c>
      <c r="U1025" s="145">
        <f>T1025*S1025</f>
        <v/>
      </c>
      <c r="V1025" s="96" t="inlineStr">
        <is>
          <t>数据清洗任务表、资产同步任务表、同步任务调度表、任务统计数据表</t>
        </is>
      </c>
      <c r="W1025" s="96" t="inlineStr"/>
      <c r="X1025"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Y1025" s="88" t="n"/>
      <c r="Z1025" s="88" t="n"/>
    </row>
    <row r="1026" hidden="1" ht="86.40000000000001" customHeight="1">
      <c r="A1026" s="69">
        <f>ROW()-1</f>
        <v/>
      </c>
      <c r="B1026" s="53" t="n"/>
      <c r="C1026" s="117" t="n">
        <v>2026</v>
      </c>
      <c r="D1026" s="64" t="n"/>
      <c r="E1026" s="53" t="n"/>
      <c r="F1026" s="53" t="n"/>
      <c r="G1026" s="53" t="n"/>
      <c r="H1026" s="96" t="inlineStr">
        <is>
          <t>删除任务依赖关系</t>
        </is>
      </c>
      <c r="I1026" s="76" t="inlineStr">
        <is>
          <t>EI</t>
        </is>
      </c>
      <c r="J1026" s="95" t="n"/>
      <c r="K1026" s="95" t="n"/>
      <c r="L1026" s="83">
        <f>IF(OR(X1026="估算法",X1026="算法类",X1026="无法识别"),"",IF(V1026="",IF(OR(I1026="EI",I1026="EO",I1026="EQ"),0,""),LEN(V1026)-LEN(SUBSTITUTE(V1026,"、",""))+1))</f>
        <v/>
      </c>
      <c r="M1026" s="83">
        <f>IF(OR(X1026="估算法",X1026="算法类",X1026="无法识别"),"",IF(W1026="",IF(OR(I1026="ILF",I1026="EIF"),0,""),LEN(W1026)-LEN(SUBSTITUTE(W1026,"、",""))+1))</f>
        <v/>
      </c>
      <c r="N1026" s="83">
        <f>IF(OR(X1026="估算法",X1026="算法类",X1026="无法识别"),"",IF(X1026="",IF(OR(I1026="ILF",I1026="EIF",I1026="EI",I1026="EO",I1026="EQ"),0,""),LEN(X1026)-LEN(SUBSTITUTE(SUBSTITUTE(SUBSTITUTE(SUBSTITUTE(SUBSTITUTE(X1026,"|}","--"),"{|","--"),CHAR(10),""),"、",""),"|",""))+IF(AND(OR(I1026="EI",I1026="EO",I1026="EQ"),$AD$1="NESMA"),2,1)))</f>
        <v/>
      </c>
      <c r="O1026" s="84">
        <f>IF(I1026="EI",IF(OR(X1026="估算法",X1026="算法类"),"中",IF(X1026="无法识别","低",IF(L1026&lt;2,IF(N1026&lt;16,"低","中"),IF(L1026&lt;3,IF(N1026&lt;5,"低",IF(N1026&lt;16,"中","高")),IF(N1026&lt;5,"中","高"))))),IF(OR(I1026="EO",I1026="EQ"),IF(OR(X1026="估算法",X1026="算法类"),"中",IF(X1026="无法识别","低",IF(L1026&lt;2,IF(N1026&lt;20,"低","中"),IF(L1026&lt;4,IF(N1026&lt;6,"低",IF(N1026&lt;20,"中","高")),IF(N1026&lt;6,"中","高"))))),IF(OR(I1026="ILF",I1026="EIF"),IF(OR(X1026="估算法",X1026="算法类",X1026="无法识别"),"低",IF(M1026&lt;2,IF(N1026&lt;51,"低","中"),IF(M1026&lt;6,IF(N1026&lt;20,"低",IF(N1026&lt;51,"中","高")),IF(N1026&lt;20,"中","高")))),"不计算")))</f>
        <v/>
      </c>
      <c r="P1026" s="142">
        <f>IFERROR(IF(I1026="EI",IF(O1026="低",3,IF(O1026="中",4,6)),IF(I1026="EO",IF(O1026="低",4,IF(O1026="中",5,7)),IF(I1026="EQ",IF(O1026="低",3,IF(O1026="中",4,6)),IF(I1026="ILF",IF(O1026="低",7,IF(O1026="中",10,15)),IF(I1026="EIF",IF(O1026="低",5,IF(O1026="中",7,10)),"不计算")))))*Q1026,"不计算")</f>
        <v/>
      </c>
      <c r="Q1026" s="142" t="n">
        <v>0.333333333333333</v>
      </c>
      <c r="R1026" s="143">
        <f>调整因子!$F$13</f>
        <v/>
      </c>
      <c r="S1026" s="76" t="n">
        <v>1</v>
      </c>
      <c r="T1026" s="144">
        <f>IFERROR(P1026*R1026,0)</f>
        <v/>
      </c>
      <c r="U1026" s="145">
        <f>T1026*S1026</f>
        <v/>
      </c>
      <c r="V1026" s="96" t="inlineStr">
        <is>
          <t>数据清洗任务表、资产同步任务表、同步任务调度表、任务统计数据表</t>
        </is>
      </c>
      <c r="W1026" s="96" t="inlineStr"/>
      <c r="X1026"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Y1026" s="88" t="n"/>
      <c r="Z1026" s="88" t="n"/>
    </row>
    <row r="1027" hidden="1" ht="86.40000000000001" customHeight="1">
      <c r="A1027" s="69">
        <f>ROW()-1</f>
        <v/>
      </c>
      <c r="B1027" s="53" t="n"/>
      <c r="C1027" s="117" t="n">
        <v>2026</v>
      </c>
      <c r="D1027" s="64" t="n"/>
      <c r="E1027" s="53" t="n"/>
      <c r="F1027" s="53" t="n"/>
      <c r="G1027" s="53" t="n"/>
      <c r="H1027" s="96" t="inlineStr">
        <is>
          <t>启用任务依赖</t>
        </is>
      </c>
      <c r="I1027" s="76" t="inlineStr">
        <is>
          <t>EI</t>
        </is>
      </c>
      <c r="J1027" s="95" t="n"/>
      <c r="K1027" s="95" t="n"/>
      <c r="L1027" s="83">
        <f>IF(OR(X1027="估算法",X1027="算法类",X1027="无法识别"),"",IF(V1027="",IF(OR(I1027="EI",I1027="EO",I1027="EQ"),0,""),LEN(V1027)-LEN(SUBSTITUTE(V1027,"、",""))+1))</f>
        <v/>
      </c>
      <c r="M1027" s="83">
        <f>IF(OR(X1027="估算法",X1027="算法类",X1027="无法识别"),"",IF(W1027="",IF(OR(I1027="ILF",I1027="EIF"),0,""),LEN(W1027)-LEN(SUBSTITUTE(W1027,"、",""))+1))</f>
        <v/>
      </c>
      <c r="N1027" s="83">
        <f>IF(OR(X1027="估算法",X1027="算法类",X1027="无法识别"),"",IF(X1027="",IF(OR(I1027="ILF",I1027="EIF",I1027="EI",I1027="EO",I1027="EQ"),0,""),LEN(X1027)-LEN(SUBSTITUTE(SUBSTITUTE(SUBSTITUTE(SUBSTITUTE(SUBSTITUTE(X1027,"|}","--"),"{|","--"),CHAR(10),""),"、",""),"|",""))+IF(AND(OR(I1027="EI",I1027="EO",I1027="EQ"),$AD$1="NESMA"),2,1)))</f>
        <v/>
      </c>
      <c r="O1027" s="84">
        <f>IF(I1027="EI",IF(OR(X1027="估算法",X1027="算法类"),"中",IF(X1027="无法识别","低",IF(L1027&lt;2,IF(N1027&lt;16,"低","中"),IF(L1027&lt;3,IF(N1027&lt;5,"低",IF(N1027&lt;16,"中","高")),IF(N1027&lt;5,"中","高"))))),IF(OR(I1027="EO",I1027="EQ"),IF(OR(X1027="估算法",X1027="算法类"),"中",IF(X1027="无法识别","低",IF(L1027&lt;2,IF(N1027&lt;20,"低","中"),IF(L1027&lt;4,IF(N1027&lt;6,"低",IF(N1027&lt;20,"中","高")),IF(N1027&lt;6,"中","高"))))),IF(OR(I1027="ILF",I1027="EIF"),IF(OR(X1027="估算法",X1027="算法类",X1027="无法识别"),"低",IF(M1027&lt;2,IF(N1027&lt;51,"低","中"),IF(M1027&lt;6,IF(N1027&lt;20,"低",IF(N1027&lt;51,"中","高")),IF(N1027&lt;20,"中","高")))),"不计算")))</f>
        <v/>
      </c>
      <c r="P1027" s="142">
        <f>IFERROR(IF(I1027="EI",IF(O1027="低",3,IF(O1027="中",4,6)),IF(I1027="EO",IF(O1027="低",4,IF(O1027="中",5,7)),IF(I1027="EQ",IF(O1027="低",3,IF(O1027="中",4,6)),IF(I1027="ILF",IF(O1027="低",7,IF(O1027="中",10,15)),IF(I1027="EIF",IF(O1027="低",5,IF(O1027="中",7,10)),"不计算")))))*Q1027,"不计算")</f>
        <v/>
      </c>
      <c r="Q1027" s="142" t="n">
        <v>1</v>
      </c>
      <c r="R1027" s="143">
        <f>调整因子!$F$13</f>
        <v/>
      </c>
      <c r="S1027" s="76" t="n">
        <v>1</v>
      </c>
      <c r="T1027" s="144">
        <f>IFERROR(P1027*R1027,0)</f>
        <v/>
      </c>
      <c r="U1027" s="145">
        <f>T1027*S1027</f>
        <v/>
      </c>
      <c r="V1027" s="96" t="inlineStr">
        <is>
          <t>数据清洗任务表、资产同步任务表、同步任务调度表、任务统计数据表</t>
        </is>
      </c>
      <c r="W1027" s="96" t="inlineStr"/>
      <c r="X1027"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Y1027" s="88" t="n"/>
      <c r="Z1027" s="88" t="n"/>
    </row>
    <row r="1028" hidden="1" ht="64.8" customHeight="1">
      <c r="A1028" s="69">
        <f>ROW()-1</f>
        <v/>
      </c>
      <c r="B1028" s="53" t="n"/>
      <c r="C1028" s="117" t="n">
        <v>2026</v>
      </c>
      <c r="D1028" s="64" t="n"/>
      <c r="E1028" s="53" t="n"/>
      <c r="F1028" s="53" t="n"/>
      <c r="G1028" s="53" t="n"/>
      <c r="H1028" s="96" t="inlineStr">
        <is>
          <t>停用任务依赖</t>
        </is>
      </c>
      <c r="I1028" s="76" t="n"/>
      <c r="J1028" s="95" t="n"/>
      <c r="K1028" s="95" t="inlineStr">
        <is>
          <t>和上行合并，启停为相同功能</t>
        </is>
      </c>
      <c r="L1028" s="83">
        <f>IF(OR(X1028="估算法",X1028="算法类",X1028="无法识别"),"",IF(V1028="",IF(OR(I1028="EI",I1028="EO",I1028="EQ"),0,""),LEN(V1028)-LEN(SUBSTITUTE(V1028,"、",""))+1))</f>
        <v/>
      </c>
      <c r="M1028" s="83">
        <f>IF(OR(X1028="估算法",X1028="算法类",X1028="无法识别"),"",IF(W1028="",IF(OR(I1028="ILF",I1028="EIF"),0,""),LEN(W1028)-LEN(SUBSTITUTE(W1028,"、",""))+1))</f>
        <v/>
      </c>
      <c r="N1028" s="83">
        <f>IF(OR(X1028="估算法",X1028="算法类",X1028="无法识别"),"",IF(X1028="",IF(OR(I1028="ILF",I1028="EIF",I1028="EI",I1028="EO",I1028="EQ"),0,""),LEN(X1028)-LEN(SUBSTITUTE(SUBSTITUTE(SUBSTITUTE(SUBSTITUTE(SUBSTITUTE(X1028,"|}","--"),"{|","--"),CHAR(10),""),"、",""),"|",""))+IF(AND(OR(I1028="EI",I1028="EO",I1028="EQ"),$AD$1="NESMA"),2,1)))</f>
        <v/>
      </c>
      <c r="O1028" s="84">
        <f>IF(I1028="EI",IF(OR(X1028="估算法",X1028="算法类"),"中",IF(X1028="无法识别","低",IF(L1028&lt;2,IF(N1028&lt;16,"低","中"),IF(L1028&lt;3,IF(N1028&lt;5,"低",IF(N1028&lt;16,"中","高")),IF(N1028&lt;5,"中","高"))))),IF(OR(I1028="EO",I1028="EQ"),IF(OR(X1028="估算法",X1028="算法类"),"中",IF(X1028="无法识别","低",IF(L1028&lt;2,IF(N1028&lt;20,"低","中"),IF(L1028&lt;4,IF(N1028&lt;6,"低",IF(N1028&lt;20,"中","高")),IF(N1028&lt;6,"中","高"))))),IF(OR(I1028="ILF",I1028="EIF"),IF(OR(X1028="估算法",X1028="算法类",X1028="无法识别"),"低",IF(M1028&lt;2,IF(N1028&lt;51,"低","中"),IF(M1028&lt;6,IF(N1028&lt;20,"低",IF(N1028&lt;51,"中","高")),IF(N1028&lt;20,"中","高")))),"不计算")))</f>
        <v/>
      </c>
      <c r="P1028" s="142">
        <f>IFERROR(IF(I1028="EI",IF(O1028="低",3,IF(O1028="中",4,6)),IF(I1028="EO",IF(O1028="低",4,IF(O1028="中",5,7)),IF(I1028="EQ",IF(O1028="低",3,IF(O1028="中",4,6)),IF(I1028="ILF",IF(O1028="低",7,IF(O1028="中",10,15)),IF(I1028="EIF",IF(O1028="低",5,IF(O1028="中",7,10)),"不计算")))))*Q1028,"不计算")</f>
        <v/>
      </c>
      <c r="Q1028" s="142" t="n">
        <v>1</v>
      </c>
      <c r="R1028" s="143">
        <f>调整因子!$F$13</f>
        <v/>
      </c>
      <c r="S1028" s="70" t="n">
        <v>1</v>
      </c>
      <c r="T1028" s="144">
        <f>IFERROR(P1028*R1028,0)</f>
        <v/>
      </c>
      <c r="U1028" s="145">
        <f>T1028*S1028</f>
        <v/>
      </c>
      <c r="V1028" s="96" t="inlineStr">
        <is>
          <t>数据清洗任务表、资产同步任务表、同步任务调度表</t>
        </is>
      </c>
      <c r="W1028" s="96" t="inlineStr"/>
      <c r="X1028"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Y1028" s="88" t="n"/>
      <c r="Z1028" s="88" t="n"/>
    </row>
    <row r="1029" hidden="1" ht="64.8" customHeight="1">
      <c r="A1029" s="69">
        <f>ROW()-1</f>
        <v/>
      </c>
      <c r="B1029" s="53" t="n"/>
      <c r="C1029" s="117" t="n">
        <v>2026</v>
      </c>
      <c r="D1029" s="64" t="n"/>
      <c r="E1029" s="53" t="n"/>
      <c r="F1029" s="53" t="n"/>
      <c r="G1029" s="53" t="n"/>
      <c r="H1029" s="96" t="inlineStr">
        <is>
          <t>导出依赖关系配置</t>
        </is>
      </c>
      <c r="I1029" s="76" t="inlineStr">
        <is>
          <t>EO</t>
        </is>
      </c>
      <c r="J1029" s="95" t="n"/>
      <c r="K1029" s="95" t="n"/>
      <c r="L1029" s="83">
        <f>IF(OR(X1029="估算法",X1029="算法类",X1029="无法识别"),"",IF(V1029="",IF(OR(I1029="EI",I1029="EO",I1029="EQ"),0,""),LEN(V1029)-LEN(SUBSTITUTE(V1029,"、",""))+1))</f>
        <v/>
      </c>
      <c r="M1029" s="83">
        <f>IF(OR(X1029="估算法",X1029="算法类",X1029="无法识别"),"",IF(W1029="",IF(OR(I1029="ILF",I1029="EIF"),0,""),LEN(W1029)-LEN(SUBSTITUTE(W1029,"、",""))+1))</f>
        <v/>
      </c>
      <c r="N1029" s="83">
        <f>IF(OR(X1029="估算法",X1029="算法类",X1029="无法识别"),"",IF(X1029="",IF(OR(I1029="ILF",I1029="EIF",I1029="EI",I1029="EO",I1029="EQ"),0,""),LEN(X1029)-LEN(SUBSTITUTE(SUBSTITUTE(SUBSTITUTE(SUBSTITUTE(SUBSTITUTE(X1029,"|}","--"),"{|","--"),CHAR(10),""),"、",""),"|",""))+IF(AND(OR(I1029="EI",I1029="EO",I1029="EQ"),$AD$1="NESMA"),2,1)))</f>
        <v/>
      </c>
      <c r="O1029" s="84">
        <f>IF(I1029="EI",IF(OR(X1029="估算法",X1029="算法类"),"中",IF(X1029="无法识别","低",IF(L1029&lt;2,IF(N1029&lt;16,"低","中"),IF(L1029&lt;3,IF(N1029&lt;5,"低",IF(N1029&lt;16,"中","高")),IF(N1029&lt;5,"中","高"))))),IF(OR(I1029="EO",I1029="EQ"),IF(OR(X1029="估算法",X1029="算法类"),"中",IF(X1029="无法识别","低",IF(L1029&lt;2,IF(N1029&lt;20,"低","中"),IF(L1029&lt;4,IF(N1029&lt;6,"低",IF(N1029&lt;20,"中","高")),IF(N1029&lt;6,"中","高"))))),IF(OR(I1029="ILF",I1029="EIF"),IF(OR(X1029="估算法",X1029="算法类",X1029="无法识别"),"低",IF(M1029&lt;2,IF(N1029&lt;51,"低","中"),IF(M1029&lt;6,IF(N1029&lt;20,"低",IF(N1029&lt;51,"中","高")),IF(N1029&lt;20,"中","高")))),"不计算")))</f>
        <v/>
      </c>
      <c r="P1029" s="142">
        <f>IFERROR(IF(I1029="EI",IF(O1029="低",3,IF(O1029="中",4,6)),IF(I1029="EO",IF(O1029="低",4,IF(O1029="中",5,7)),IF(I1029="EQ",IF(O1029="低",3,IF(O1029="中",4,6)),IF(I1029="ILF",IF(O1029="低",7,IF(O1029="中",10,15)),IF(I1029="EIF",IF(O1029="低",5,IF(O1029="中",7,10)),"不计算")))))*Q1029,"不计算")</f>
        <v/>
      </c>
      <c r="Q1029" s="142" t="n">
        <v>1</v>
      </c>
      <c r="R1029" s="143">
        <f>调整因子!$F$13</f>
        <v/>
      </c>
      <c r="S1029" s="70" t="n">
        <v>1</v>
      </c>
      <c r="T1029" s="144">
        <f>IFERROR(P1029*R1029,0)</f>
        <v/>
      </c>
      <c r="U1029" s="145">
        <f>T1029*S1029</f>
        <v/>
      </c>
      <c r="V1029" s="96" t="inlineStr">
        <is>
          <t>任务优先级配置表、模板参数配置表、处置单配置表、验证配置表</t>
        </is>
      </c>
      <c r="W1029" s="96" t="inlineStr"/>
      <c r="X1029"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Y1029" s="88" t="n"/>
      <c r="Z1029" s="88" t="n"/>
    </row>
    <row r="1030" hidden="1" ht="86.40000000000001" customHeight="1">
      <c r="A1030" s="69">
        <f>ROW()-1</f>
        <v/>
      </c>
      <c r="B1030" s="53" t="n"/>
      <c r="C1030" s="117" t="n">
        <v>2026</v>
      </c>
      <c r="D1030" s="64" t="n"/>
      <c r="E1030" s="53" t="n"/>
      <c r="F1030" s="53" t="n"/>
      <c r="G1030" s="53" t="n"/>
      <c r="H1030" s="96" t="inlineStr">
        <is>
          <t>查询任务依赖关系</t>
        </is>
      </c>
      <c r="I1030" s="76" t="inlineStr">
        <is>
          <t>EQ</t>
        </is>
      </c>
      <c r="J1030" s="95" t="n"/>
      <c r="K1030" s="95" t="n"/>
      <c r="L1030" s="83">
        <f>IF(OR(X1030="估算法",X1030="算法类",X1030="无法识别"),"",IF(V1030="",IF(OR(I1030="EI",I1030="EO",I1030="EQ"),0,""),LEN(V1030)-LEN(SUBSTITUTE(V1030,"、",""))+1))</f>
        <v/>
      </c>
      <c r="M1030" s="83">
        <f>IF(OR(X1030="估算法",X1030="算法类",X1030="无法识别"),"",IF(W1030="",IF(OR(I1030="ILF",I1030="EIF"),0,""),LEN(W1030)-LEN(SUBSTITUTE(W1030,"、",""))+1))</f>
        <v/>
      </c>
      <c r="N1030" s="83">
        <f>IF(OR(X1030="估算法",X1030="算法类",X1030="无法识别"),"",IF(X1030="",IF(OR(I1030="ILF",I1030="EIF",I1030="EI",I1030="EO",I1030="EQ"),0,""),LEN(X1030)-LEN(SUBSTITUTE(SUBSTITUTE(SUBSTITUTE(SUBSTITUTE(SUBSTITUTE(X1030,"|}","--"),"{|","--"),CHAR(10),""),"、",""),"|",""))+IF(AND(OR(I1030="EI",I1030="EO",I1030="EQ"),$AD$1="NESMA"),2,1)))</f>
        <v/>
      </c>
      <c r="O1030" s="84">
        <f>IF(I1030="EI",IF(OR(X1030="估算法",X1030="算法类"),"中",IF(X1030="无法识别","低",IF(L1030&lt;2,IF(N1030&lt;16,"低","中"),IF(L1030&lt;3,IF(N1030&lt;5,"低",IF(N1030&lt;16,"中","高")),IF(N1030&lt;5,"中","高"))))),IF(OR(I1030="EO",I1030="EQ"),IF(OR(X1030="估算法",X1030="算法类"),"中",IF(X1030="无法识别","低",IF(L1030&lt;2,IF(N1030&lt;20,"低","中"),IF(L1030&lt;4,IF(N1030&lt;6,"低",IF(N1030&lt;20,"中","高")),IF(N1030&lt;6,"中","高"))))),IF(OR(I1030="ILF",I1030="EIF"),IF(OR(X1030="估算法",X1030="算法类",X1030="无法识别"),"低",IF(M1030&lt;2,IF(N1030&lt;51,"低","中"),IF(M1030&lt;6,IF(N1030&lt;20,"低",IF(N1030&lt;51,"中","高")),IF(N1030&lt;20,"中","高")))),"不计算")))</f>
        <v/>
      </c>
      <c r="P1030" s="142">
        <f>IFERROR(IF(I1030="EI",IF(O1030="低",3,IF(O1030="中",4,6)),IF(I1030="EO",IF(O1030="低",4,IF(O1030="中",5,7)),IF(I1030="EQ",IF(O1030="低",3,IF(O1030="中",4,6)),IF(I1030="ILF",IF(O1030="低",7,IF(O1030="中",10,15)),IF(I1030="EIF",IF(O1030="低",5,IF(O1030="中",7,10)),"不计算")))))*Q1030,"不计算")</f>
        <v/>
      </c>
      <c r="Q1030" s="142" t="n">
        <v>1</v>
      </c>
      <c r="R1030" s="143">
        <f>调整因子!$F$13</f>
        <v/>
      </c>
      <c r="S1030" s="76" t="n">
        <v>1</v>
      </c>
      <c r="T1030" s="144">
        <f>IFERROR(P1030*R1030,0)</f>
        <v/>
      </c>
      <c r="U1030" s="145">
        <f>T1030*S1030</f>
        <v/>
      </c>
      <c r="V1030" s="96" t="inlineStr">
        <is>
          <t>数据清洗任务表、资产同步任务表、同步任务调度表、任务统计数据表</t>
        </is>
      </c>
      <c r="W1030" s="96" t="inlineStr"/>
      <c r="X1030"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Y1030" s="88" t="n"/>
      <c r="Z1030" s="88" t="n"/>
    </row>
    <row r="1031" hidden="1" ht="43.2" customHeight="1">
      <c r="A1031" s="69">
        <f>ROW()-1</f>
        <v/>
      </c>
      <c r="B1031" s="53" t="n"/>
      <c r="C1031" s="117" t="n">
        <v>2026</v>
      </c>
      <c r="D1031" s="64" t="n"/>
      <c r="E1031" s="53" t="n"/>
      <c r="F1031" s="53" t="n"/>
      <c r="G1031" s="54" t="n"/>
      <c r="H1031" s="96" t="inlineStr">
        <is>
          <t>查看依赖执行顺序</t>
        </is>
      </c>
      <c r="I1031" s="76" t="inlineStr">
        <is>
          <t>EQ</t>
        </is>
      </c>
      <c r="J1031" s="95" t="n"/>
      <c r="K1031" s="95" t="n"/>
      <c r="L1031" s="83">
        <f>IF(OR(X1031="估算法",X1031="算法类",X1031="无法识别"),"",IF(V1031="",IF(OR(I1031="EI",I1031="EO",I1031="EQ"),0,""),LEN(V1031)-LEN(SUBSTITUTE(V1031,"、",""))+1))</f>
        <v/>
      </c>
      <c r="M1031" s="83">
        <f>IF(OR(X1031="估算法",X1031="算法类",X1031="无法识别"),"",IF(W1031="",IF(OR(I1031="ILF",I1031="EIF"),0,""),LEN(W1031)-LEN(SUBSTITUTE(W1031,"、",""))+1))</f>
        <v/>
      </c>
      <c r="N1031" s="83">
        <f>IF(OR(X1031="估算法",X1031="算法类",X1031="无法识别"),"",IF(X1031="",IF(OR(I1031="ILF",I1031="EIF",I1031="EI",I1031="EO",I1031="EQ"),0,""),LEN(X1031)-LEN(SUBSTITUTE(SUBSTITUTE(SUBSTITUTE(SUBSTITUTE(SUBSTITUTE(X1031,"|}","--"),"{|","--"),CHAR(10),""),"、",""),"|",""))+IF(AND(OR(I1031="EI",I1031="EO",I1031="EQ"),$AD$1="NESMA"),2,1)))</f>
        <v/>
      </c>
      <c r="O1031" s="84">
        <f>IF(I1031="EI",IF(OR(X1031="估算法",X1031="算法类"),"中",IF(X1031="无法识别","低",IF(L1031&lt;2,IF(N1031&lt;16,"低","中"),IF(L1031&lt;3,IF(N1031&lt;5,"低",IF(N1031&lt;16,"中","高")),IF(N1031&lt;5,"中","高"))))),IF(OR(I1031="EO",I1031="EQ"),IF(OR(X1031="估算法",X1031="算法类"),"中",IF(X1031="无法识别","低",IF(L1031&lt;2,IF(N1031&lt;20,"低","中"),IF(L1031&lt;4,IF(N1031&lt;6,"低",IF(N1031&lt;20,"中","高")),IF(N1031&lt;6,"中","高"))))),IF(OR(I1031="ILF",I1031="EIF"),IF(OR(X1031="估算法",X1031="算法类",X1031="无法识别"),"低",IF(M1031&lt;2,IF(N1031&lt;51,"低","中"),IF(M1031&lt;6,IF(N1031&lt;20,"低",IF(N1031&lt;51,"中","高")),IF(N1031&lt;20,"中","高")))),"不计算")))</f>
        <v/>
      </c>
      <c r="P1031" s="142">
        <f>IFERROR(IF(I1031="EI",IF(O1031="低",3,IF(O1031="中",4,6)),IF(I1031="EO",IF(O1031="低",4,IF(O1031="中",5,7)),IF(I1031="EQ",IF(O1031="低",3,IF(O1031="中",4,6)),IF(I1031="ILF",IF(O1031="低",7,IF(O1031="中",10,15)),IF(I1031="EIF",IF(O1031="低",5,IF(O1031="中",7,10)),"不计算")))))*Q1031,"不计算")</f>
        <v/>
      </c>
      <c r="Q1031" s="142" t="n">
        <v>1</v>
      </c>
      <c r="R1031" s="143">
        <f>调整因子!$F$13</f>
        <v/>
      </c>
      <c r="S1031" s="70" t="n">
        <v>1</v>
      </c>
      <c r="T1031" s="144">
        <f>IFERROR(P1031*R1031,0)</f>
        <v/>
      </c>
      <c r="U1031" s="145">
        <f>T1031*S1031</f>
        <v/>
      </c>
      <c r="V1031" s="96" t="inlineStr">
        <is>
          <t>通报模板表、日志查询记录表、任务日志表</t>
        </is>
      </c>
      <c r="W1031" s="96" t="inlineStr"/>
      <c r="X1031" s="111" t="inlineStr">
        <is>
          <t>通报模板表{ID、名称|ID、名称、类型、状态、创建时间、更新时间}
日志查询记录表{日志ID、操作人|日志ID、操作人、操作类型、操作时间、操作内容}
任务日志表{任务ID、任务名称|任务ID、任务名称、任务类型、任务状态、创建时间、执行时间}</t>
        </is>
      </c>
      <c r="Y1031" s="88" t="n"/>
      <c r="Z1031" s="88" t="n"/>
    </row>
    <row r="1032" hidden="1" ht="64.8" customHeight="1">
      <c r="A1032" s="69">
        <f>ROW()-1</f>
        <v/>
      </c>
      <c r="B1032" s="53" t="n"/>
      <c r="C1032" s="117" t="n">
        <v>2026</v>
      </c>
      <c r="D1032" s="64" t="n"/>
      <c r="E1032" s="53" t="n"/>
      <c r="F1032" s="53" t="n"/>
      <c r="G1032" s="111" t="inlineStr">
        <is>
          <t>扫描任务状态跟踪</t>
        </is>
      </c>
      <c r="H1032" s="96" t="inlineStr">
        <is>
          <t>导出任务状态报告</t>
        </is>
      </c>
      <c r="I1032" s="76" t="inlineStr">
        <is>
          <t>EO</t>
        </is>
      </c>
      <c r="J1032" s="95" t="n"/>
      <c r="K1032" s="95" t="n"/>
      <c r="L1032" s="83">
        <f>IF(OR(X1032="估算法",X1032="算法类",X1032="无法识别"),"",IF(V1032="",IF(OR(I1032="EI",I1032="EO",I1032="EQ"),0,""),LEN(V1032)-LEN(SUBSTITUTE(V1032,"、",""))+1))</f>
        <v/>
      </c>
      <c r="M1032" s="83">
        <f>IF(OR(X1032="估算法",X1032="算法类",X1032="无法识别"),"",IF(W1032="",IF(OR(I1032="ILF",I1032="EIF"),0,""),LEN(W1032)-LEN(SUBSTITUTE(W1032,"、",""))+1))</f>
        <v/>
      </c>
      <c r="N1032" s="83">
        <f>IF(OR(X1032="估算法",X1032="算法类",X1032="无法识别"),"",IF(X1032="",IF(OR(I1032="ILF",I1032="EIF",I1032="EI",I1032="EO",I1032="EQ"),0,""),LEN(X1032)-LEN(SUBSTITUTE(SUBSTITUTE(SUBSTITUTE(SUBSTITUTE(SUBSTITUTE(X1032,"|}","--"),"{|","--"),CHAR(10),""),"、",""),"|",""))+IF(AND(OR(I1032="EI",I1032="EO",I1032="EQ"),$AD$1="NESMA"),2,1)))</f>
        <v/>
      </c>
      <c r="O1032" s="84">
        <f>IF(I1032="EI",IF(OR(X1032="估算法",X1032="算法类"),"中",IF(X1032="无法识别","低",IF(L1032&lt;2,IF(N1032&lt;16,"低","中"),IF(L1032&lt;3,IF(N1032&lt;5,"低",IF(N1032&lt;16,"中","高")),IF(N1032&lt;5,"中","高"))))),IF(OR(I1032="EO",I1032="EQ"),IF(OR(X1032="估算法",X1032="算法类"),"中",IF(X1032="无法识别","低",IF(L1032&lt;2,IF(N1032&lt;20,"低","中"),IF(L1032&lt;4,IF(N1032&lt;6,"低",IF(N1032&lt;20,"中","高")),IF(N1032&lt;6,"中","高"))))),IF(OR(I1032="ILF",I1032="EIF"),IF(OR(X1032="估算法",X1032="算法类",X1032="无法识别"),"低",IF(M1032&lt;2,IF(N1032&lt;51,"低","中"),IF(M1032&lt;6,IF(N1032&lt;20,"低",IF(N1032&lt;51,"中","高")),IF(N1032&lt;20,"中","高")))),"不计算")))</f>
        <v/>
      </c>
      <c r="P1032" s="142">
        <f>IFERROR(IF(I1032="EI",IF(O1032="低",3,IF(O1032="中",4,6)),IF(I1032="EO",IF(O1032="低",4,IF(O1032="中",5,7)),IF(I1032="EQ",IF(O1032="低",3,IF(O1032="中",4,6)),IF(I1032="ILF",IF(O1032="低",7,IF(O1032="中",10,15)),IF(I1032="EIF",IF(O1032="低",5,IF(O1032="中",7,10)),"不计算")))))*Q1032,"不计算")</f>
        <v/>
      </c>
      <c r="Q1032" s="142" t="n">
        <v>1</v>
      </c>
      <c r="R1032" s="143">
        <f>调整因子!$F$13</f>
        <v/>
      </c>
      <c r="S1032" s="70" t="n">
        <v>1</v>
      </c>
      <c r="T1032" s="144">
        <f>IFERROR(P1032*R1032,0)</f>
        <v/>
      </c>
      <c r="U1032" s="145">
        <f>T1032*S1032</f>
        <v/>
      </c>
      <c r="V1032" s="96" t="inlineStr">
        <is>
          <t>数据清洗任务表、资产同步任务表、同步任务调度表</t>
        </is>
      </c>
      <c r="W1032" s="96" t="inlineStr"/>
      <c r="X1032"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Y1032" s="88" t="n"/>
      <c r="Z1032" s="88" t="n"/>
    </row>
    <row r="1033" hidden="1" ht="86.40000000000001" customHeight="1">
      <c r="A1033" s="69">
        <f>ROW()-1</f>
        <v/>
      </c>
      <c r="B1033" s="53" t="n"/>
      <c r="C1033" s="117" t="n">
        <v>2026</v>
      </c>
      <c r="D1033" s="64" t="n"/>
      <c r="E1033" s="53" t="n"/>
      <c r="F1033" s="53" t="n"/>
      <c r="G1033" s="53" t="n"/>
      <c r="H1033" s="96" t="inlineStr">
        <is>
          <t>推送任务状态通知</t>
        </is>
      </c>
      <c r="I1033" s="76" t="inlineStr">
        <is>
          <t>EO</t>
        </is>
      </c>
      <c r="J1033" s="95" t="n"/>
      <c r="K1033" s="95" t="n"/>
      <c r="L1033" s="83">
        <f>IF(OR(X1033="估算法",X1033="算法类",X1033="无法识别"),"",IF(V1033="",IF(OR(I1033="EI",I1033="EO",I1033="EQ"),0,""),LEN(V1033)-LEN(SUBSTITUTE(V1033,"、",""))+1))</f>
        <v/>
      </c>
      <c r="M1033" s="83">
        <f>IF(OR(X1033="估算法",X1033="算法类",X1033="无法识别"),"",IF(W1033="",IF(OR(I1033="ILF",I1033="EIF"),0,""),LEN(W1033)-LEN(SUBSTITUTE(W1033,"、",""))+1))</f>
        <v/>
      </c>
      <c r="N1033" s="83">
        <f>IF(OR(X1033="估算法",X1033="算法类",X1033="无法识别"),"",IF(X1033="",IF(OR(I1033="ILF",I1033="EIF",I1033="EI",I1033="EO",I1033="EQ"),0,""),LEN(X1033)-LEN(SUBSTITUTE(SUBSTITUTE(SUBSTITUTE(SUBSTITUTE(SUBSTITUTE(X1033,"|}","--"),"{|","--"),CHAR(10),""),"、",""),"|",""))+IF(AND(OR(I1033="EI",I1033="EO",I1033="EQ"),$AD$1="NESMA"),2,1)))</f>
        <v/>
      </c>
      <c r="O1033" s="84">
        <f>IF(I1033="EI",IF(OR(X1033="估算法",X1033="算法类"),"中",IF(X1033="无法识别","低",IF(L1033&lt;2,IF(N1033&lt;16,"低","中"),IF(L1033&lt;3,IF(N1033&lt;5,"低",IF(N1033&lt;16,"中","高")),IF(N1033&lt;5,"中","高"))))),IF(OR(I1033="EO",I1033="EQ"),IF(OR(X1033="估算法",X1033="算法类"),"中",IF(X1033="无法识别","低",IF(L1033&lt;2,IF(N1033&lt;20,"低","中"),IF(L1033&lt;4,IF(N1033&lt;6,"低",IF(N1033&lt;20,"中","高")),IF(N1033&lt;6,"中","高"))))),IF(OR(I1033="ILF",I1033="EIF"),IF(OR(X1033="估算法",X1033="算法类",X1033="无法识别"),"低",IF(M1033&lt;2,IF(N1033&lt;51,"低","中"),IF(M1033&lt;6,IF(N1033&lt;20,"低",IF(N1033&lt;51,"中","高")),IF(N1033&lt;20,"中","高")))),"不计算")))</f>
        <v/>
      </c>
      <c r="P1033" s="142">
        <f>IFERROR(IF(I1033="EI",IF(O1033="低",3,IF(O1033="中",4,6)),IF(I1033="EO",IF(O1033="低",4,IF(O1033="中",5,7)),IF(I1033="EQ",IF(O1033="低",3,IF(O1033="中",4,6)),IF(I1033="ILF",IF(O1033="低",7,IF(O1033="中",10,15)),IF(I1033="EIF",IF(O1033="低",5,IF(O1033="中",7,10)),"不计算")))))*Q1033,"不计算")</f>
        <v/>
      </c>
      <c r="Q1033" s="142" t="n">
        <v>1</v>
      </c>
      <c r="R1033" s="143">
        <f>调整因子!$F$13</f>
        <v/>
      </c>
      <c r="S1033" s="76" t="n">
        <v>1</v>
      </c>
      <c r="T1033" s="144">
        <f>IFERROR(P1033*R1033,0)</f>
        <v/>
      </c>
      <c r="U1033" s="145">
        <f>T1033*S1033</f>
        <v/>
      </c>
      <c r="V1033" s="96" t="inlineStr">
        <is>
          <t>数据清洗任务表、资产同步任务表、同步任务调度表、任务统计数据表</t>
        </is>
      </c>
      <c r="W1033" s="96" t="inlineStr"/>
      <c r="X1033"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Y1033" s="88" t="n"/>
      <c r="Z1033" s="88" t="n"/>
    </row>
    <row r="1034" hidden="1" ht="108" customHeight="1">
      <c r="A1034" s="69">
        <f>ROW()-1</f>
        <v/>
      </c>
      <c r="B1034" s="53" t="n"/>
      <c r="C1034" s="117" t="n">
        <v>2026</v>
      </c>
      <c r="D1034" s="64" t="n"/>
      <c r="E1034" s="53" t="n"/>
      <c r="F1034" s="53" t="n"/>
      <c r="G1034" s="53" t="n"/>
      <c r="H1034" s="96" t="inlineStr">
        <is>
          <t>查询任务状态</t>
        </is>
      </c>
      <c r="I1034" s="76" t="inlineStr">
        <is>
          <t>EQ</t>
        </is>
      </c>
      <c r="J1034" s="95" t="n"/>
      <c r="K1034" s="95" t="inlineStr">
        <is>
          <t>处理流程和上行基本一致，为查询功能，未体现详情功能</t>
        </is>
      </c>
      <c r="L1034" s="83">
        <f>IF(OR(X1034="估算法",X1034="算法类",X1034="无法识别"),"",IF(V1034="",IF(OR(I1034="EI",I1034="EO",I1034="EQ"),0,""),LEN(V1034)-LEN(SUBSTITUTE(V1034,"、",""))+1))</f>
        <v/>
      </c>
      <c r="M1034" s="83">
        <f>IF(OR(X1034="估算法",X1034="算法类",X1034="无法识别"),"",IF(W1034="",IF(OR(I1034="ILF",I1034="EIF"),0,""),LEN(W1034)-LEN(SUBSTITUTE(W1034,"、",""))+1))</f>
        <v/>
      </c>
      <c r="N1034" s="83">
        <f>IF(OR(X1034="估算法",X1034="算法类",X1034="无法识别"),"",IF(X1034="",IF(OR(I1034="ILF",I1034="EIF",I1034="EI",I1034="EO",I1034="EQ"),0,""),LEN(X1034)-LEN(SUBSTITUTE(SUBSTITUTE(SUBSTITUTE(SUBSTITUTE(SUBSTITUTE(X1034,"|}","--"),"{|","--"),CHAR(10),""),"、",""),"|",""))+IF(AND(OR(I1034="EI",I1034="EO",I1034="EQ"),$AD$1="NESMA"),2,1)))</f>
        <v/>
      </c>
      <c r="O1034" s="84">
        <f>IF(I1034="EI",IF(OR(X1034="估算法",X1034="算法类"),"中",IF(X1034="无法识别","低",IF(L1034&lt;2,IF(N1034&lt;16,"低","中"),IF(L1034&lt;3,IF(N1034&lt;5,"低",IF(N1034&lt;16,"中","高")),IF(N1034&lt;5,"中","高"))))),IF(OR(I1034="EO",I1034="EQ"),IF(OR(X1034="估算法",X1034="算法类"),"中",IF(X1034="无法识别","低",IF(L1034&lt;2,IF(N1034&lt;20,"低","中"),IF(L1034&lt;4,IF(N1034&lt;6,"低",IF(N1034&lt;20,"中","高")),IF(N1034&lt;6,"中","高"))))),IF(OR(I1034="ILF",I1034="EIF"),IF(OR(X1034="估算法",X1034="算法类",X1034="无法识别"),"低",IF(M1034&lt;2,IF(N1034&lt;51,"低","中"),IF(M1034&lt;6,IF(N1034&lt;20,"低",IF(N1034&lt;51,"中","高")),IF(N1034&lt;20,"中","高")))),"不计算")))</f>
        <v/>
      </c>
      <c r="P1034" s="142">
        <f>IFERROR(IF(I1034="EI",IF(O1034="低",3,IF(O1034="中",4,6)),IF(I1034="EO",IF(O1034="低",4,IF(O1034="中",5,7)),IF(I1034="EQ",IF(O1034="低",3,IF(O1034="中",4,6)),IF(I1034="ILF",IF(O1034="低",7,IF(O1034="中",10,15)),IF(I1034="EIF",IF(O1034="低",5,IF(O1034="中",7,10)),"不计算")))))*Q1034,"不计算")</f>
        <v/>
      </c>
      <c r="Q1034" s="142" t="n">
        <v>0.333333333333333</v>
      </c>
      <c r="R1034" s="143">
        <f>调整因子!$F$13</f>
        <v/>
      </c>
      <c r="S1034" s="76" t="n">
        <v>1</v>
      </c>
      <c r="T1034" s="144">
        <f>IFERROR(P1034*R1034,0)</f>
        <v/>
      </c>
      <c r="U1034" s="145">
        <f>T1034*S1034</f>
        <v/>
      </c>
      <c r="V1034" s="96" t="inlineStr">
        <is>
          <t>数据清洗任务表、资产同步任务表、同步任务调度表、任务统计数据表、任务趋势分析表</t>
        </is>
      </c>
      <c r="W1034" s="96" t="inlineStr"/>
      <c r="X1034"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Y1034" s="88" t="n"/>
      <c r="Z1034" s="88" t="n"/>
    </row>
    <row r="1035" hidden="1" ht="54" customHeight="1">
      <c r="A1035" s="69">
        <f>ROW()-1</f>
        <v/>
      </c>
      <c r="B1035" s="53" t="n"/>
      <c r="C1035" s="117" t="n">
        <v>2026</v>
      </c>
      <c r="D1035" s="64" t="n"/>
      <c r="E1035" s="53" t="n"/>
      <c r="F1035" s="54" t="n"/>
      <c r="G1035" s="54" t="n"/>
      <c r="H1035" s="96" t="inlineStr">
        <is>
          <t>查看状态变更历史</t>
        </is>
      </c>
      <c r="I1035" s="76" t="inlineStr">
        <is>
          <t>EQ</t>
        </is>
      </c>
      <c r="J1035" s="95" t="n"/>
      <c r="K1035" s="95" t="inlineStr">
        <is>
          <t>处理流程和上行基本一致，为查询功能，未体现详情功能</t>
        </is>
      </c>
      <c r="L1035" s="83">
        <f>IF(OR(X1035="估算法",X1035="算法类",X1035="无法识别"),"",IF(V1035="",IF(OR(I1035="EI",I1035="EO",I1035="EQ"),0,""),LEN(V1035)-LEN(SUBSTITUTE(V1035,"、",""))+1))</f>
        <v/>
      </c>
      <c r="M1035" s="83">
        <f>IF(OR(X1035="估算法",X1035="算法类",X1035="无法识别"),"",IF(W1035="",IF(OR(I1035="ILF",I1035="EIF"),0,""),LEN(W1035)-LEN(SUBSTITUTE(W1035,"、",""))+1))</f>
        <v/>
      </c>
      <c r="N1035" s="83">
        <f>IF(OR(X1035="估算法",X1035="算法类",X1035="无法识别"),"",IF(X1035="",IF(OR(I1035="ILF",I1035="EIF",I1035="EI",I1035="EO",I1035="EQ"),0,""),LEN(X1035)-LEN(SUBSTITUTE(SUBSTITUTE(SUBSTITUTE(SUBSTITUTE(SUBSTITUTE(X1035,"|}","--"),"{|","--"),CHAR(10),""),"、",""),"|",""))+IF(AND(OR(I1035="EI",I1035="EO",I1035="EQ"),$AD$1="NESMA"),2,1)))</f>
        <v/>
      </c>
      <c r="O1035" s="84">
        <f>IF(I1035="EI",IF(OR(X1035="估算法",X1035="算法类"),"中",IF(X1035="无法识别","低",IF(L1035&lt;2,IF(N1035&lt;16,"低","中"),IF(L1035&lt;3,IF(N1035&lt;5,"低",IF(N1035&lt;16,"中","高")),IF(N1035&lt;5,"中","高"))))),IF(OR(I1035="EO",I1035="EQ"),IF(OR(X1035="估算法",X1035="算法类"),"中",IF(X1035="无法识别","低",IF(L1035&lt;2,IF(N1035&lt;20,"低","中"),IF(L1035&lt;4,IF(N1035&lt;6,"低",IF(N1035&lt;20,"中","高")),IF(N1035&lt;6,"中","高"))))),IF(OR(I1035="ILF",I1035="EIF"),IF(OR(X1035="估算法",X1035="算法类",X1035="无法识别"),"低",IF(M1035&lt;2,IF(N1035&lt;51,"低","中"),IF(M1035&lt;6,IF(N1035&lt;20,"低",IF(N1035&lt;51,"中","高")),IF(N1035&lt;20,"中","高")))),"不计算")))</f>
        <v/>
      </c>
      <c r="P1035" s="142">
        <f>IFERROR(IF(I1035="EI",IF(O1035="低",3,IF(O1035="中",4,6)),IF(I1035="EO",IF(O1035="低",4,IF(O1035="中",5,7)),IF(I1035="EQ",IF(O1035="低",3,IF(O1035="中",4,6)),IF(I1035="ILF",IF(O1035="低",7,IF(O1035="中",10,15)),IF(I1035="EIF",IF(O1035="低",5,IF(O1035="中",7,10)),"不计算")))))*Q1035,"不计算")</f>
        <v/>
      </c>
      <c r="Q1035" s="142" t="n">
        <v>0.333333333333333</v>
      </c>
      <c r="R1035" s="143">
        <f>调整因子!$F$13</f>
        <v/>
      </c>
      <c r="S1035" s="70" t="n">
        <v>1</v>
      </c>
      <c r="T1035" s="144">
        <f>IFERROR(P1035*R1035,0)</f>
        <v/>
      </c>
      <c r="U1035" s="145">
        <f>T1035*S1035</f>
        <v/>
      </c>
      <c r="V1035" s="96" t="inlineStr">
        <is>
          <t>复测任务表、处置流程定义表、任务统计数据表</t>
        </is>
      </c>
      <c r="W1035" s="96" t="inlineStr"/>
      <c r="X1035" s="111" t="inlineStr">
        <is>
          <t>复测任务表{任务ID、任务名称|任务ID、任务名称、任务类型、任务状态、创建时间、执行时间}
处置流程定义表{ID、名称|ID、名称、类型、状态、创建时间、更新时间}
任务统计数据表{任务ID、任务名称|任务ID、任务名称、任务类型、任务状态、创建时间、执行时间}</t>
        </is>
      </c>
      <c r="Y1035" s="88" t="n"/>
      <c r="Z1035" s="88" t="n"/>
    </row>
    <row r="1036" hidden="1" ht="21.6" customHeight="1">
      <c r="A1036" s="69">
        <f>ROW()-1</f>
        <v/>
      </c>
      <c r="B1036" s="53" t="n"/>
      <c r="C1036" s="117" t="n">
        <v>2026</v>
      </c>
      <c r="D1036" s="64" t="n"/>
      <c r="E1036" s="53" t="n"/>
      <c r="F1036" s="111" t="inlineStr">
        <is>
          <t>离线扫描报告导入</t>
        </is>
      </c>
      <c r="G1036" s="111" t="inlineStr">
        <is>
          <t>报告导入管理</t>
        </is>
      </c>
      <c r="H1036" s="96" t="inlineStr">
        <is>
          <t>离线扫描报告表</t>
        </is>
      </c>
      <c r="I1036" s="76" t="inlineStr">
        <is>
          <t>ILF</t>
        </is>
      </c>
      <c r="J1036" s="95" t="n"/>
      <c r="K1036" s="95" t="n"/>
      <c r="L1036" s="83">
        <f>IF(OR(X1036="估算法",X1036="算法类",X1036="无法识别"),"",IF(V1036="",IF(OR(I1036="EI",I1036="EO",I1036="EQ"),0,""),LEN(V1036)-LEN(SUBSTITUTE(V1036,"、",""))+1))</f>
        <v/>
      </c>
      <c r="M1036" s="83">
        <f>IF(OR(X1036="估算法",X1036="算法类",X1036="无法识别"),"",IF(W1036="",IF(OR(I1036="ILF",I1036="EIF"),0,""),LEN(W1036)-LEN(SUBSTITUTE(W1036,"、",""))+1))</f>
        <v/>
      </c>
      <c r="N1036" s="83">
        <f>IF(OR(X1036="估算法",X1036="算法类",X1036="无法识别"),"",IF(X1036="",IF(OR(I1036="ILF",I1036="EIF",I1036="EI",I1036="EO",I1036="EQ"),0,""),LEN(X1036)-LEN(SUBSTITUTE(SUBSTITUTE(SUBSTITUTE(SUBSTITUTE(SUBSTITUTE(X1036,"|}","--"),"{|","--"),CHAR(10),""),"、",""),"|",""))+IF(AND(OR(I1036="EI",I1036="EO",I1036="EQ"),$AD$1="NESMA"),2,1)))</f>
        <v/>
      </c>
      <c r="O1036" s="84">
        <f>IF(I1036="EI",IF(OR(X1036="估算法",X1036="算法类"),"中",IF(X1036="无法识别","低",IF(L1036&lt;2,IF(N1036&lt;16,"低","中"),IF(L1036&lt;3,IF(N1036&lt;5,"低",IF(N1036&lt;16,"中","高")),IF(N1036&lt;5,"中","高"))))),IF(OR(I1036="EO",I1036="EQ"),IF(OR(X1036="估算法",X1036="算法类"),"中",IF(X1036="无法识别","低",IF(L1036&lt;2,IF(N1036&lt;20,"低","中"),IF(L1036&lt;4,IF(N1036&lt;6,"低",IF(N1036&lt;20,"中","高")),IF(N1036&lt;6,"中","高"))))),IF(OR(I1036="ILF",I1036="EIF"),IF(OR(X1036="估算法",X1036="算法类",X1036="无法识别"),"低",IF(M1036&lt;2,IF(N1036&lt;51,"低","中"),IF(M1036&lt;6,IF(N1036&lt;20,"低",IF(N1036&lt;51,"中","高")),IF(N1036&lt;20,"中","高")))),"不计算")))</f>
        <v/>
      </c>
      <c r="P1036" s="142">
        <f>IFERROR(IF(I1036="EI",IF(O1036="低",3,IF(O1036="中",4,6)),IF(I1036="EO",IF(O1036="低",4,IF(O1036="中",5,7)),IF(I1036="EQ",IF(O1036="低",3,IF(O1036="中",4,6)),IF(I1036="ILF",IF(O1036="低",7,IF(O1036="中",10,15)),IF(I1036="EIF",IF(O1036="低",5,IF(O1036="中",7,10)),"不计算")))))*Q1036,"不计算")</f>
        <v/>
      </c>
      <c r="Q1036" s="142" t="n">
        <v>1</v>
      </c>
      <c r="R1036" s="143">
        <f>调整因子!$F$13</f>
        <v/>
      </c>
      <c r="S1036" s="70" t="n">
        <v>1</v>
      </c>
      <c r="T1036" s="144">
        <f>IFERROR(P1036*R1036,0)</f>
        <v/>
      </c>
      <c r="U1036" s="145">
        <f>T1036*S1036</f>
        <v/>
      </c>
      <c r="V1036" s="96" t="inlineStr"/>
      <c r="W1036" s="96" t="inlineStr">
        <is>
          <t>扫描任务、发现任务、口令猜测任务</t>
        </is>
      </c>
      <c r="X1036" s="111" t="inlineStr">
        <is>
          <t>离线扫描报告表{任务ID、任务名称、任务状态|任务ID、任务名称、任务状态、扫描器类型、开始时间、结束时间、扫描结果}</t>
        </is>
      </c>
      <c r="Y1036" s="88">
        <f>IF(COUNTIFS(V:V,"*"&amp;H1036&amp;"*")&gt;0,"存在","不存在")</f>
        <v/>
      </c>
      <c r="Z1036" s="88">
        <f>IF(COUNTIFS(AA:AA,"*"&amp;H1036&amp;"*")&gt;0,"存在","不存在")</f>
        <v/>
      </c>
    </row>
    <row r="1037" hidden="1">
      <c r="A1037" s="69">
        <f>ROW()-1</f>
        <v/>
      </c>
      <c r="B1037" s="53" t="n"/>
      <c r="C1037" s="117" t="n">
        <v>2026</v>
      </c>
      <c r="D1037" s="64" t="n"/>
      <c r="E1037" s="53" t="n"/>
      <c r="F1037" s="53" t="n"/>
      <c r="G1037" s="53" t="n"/>
      <c r="H1037" s="96" t="inlineStr">
        <is>
          <t>报告导入记录表</t>
        </is>
      </c>
      <c r="I1037" s="76" t="inlineStr">
        <is>
          <t>ILF</t>
        </is>
      </c>
      <c r="J1037" s="95" t="n"/>
      <c r="K1037" s="95" t="n"/>
      <c r="L1037" s="83">
        <f>IF(OR(X1037="估算法",X1037="算法类",X1037="无法识别"),"",IF(V1037="",IF(OR(I1037="EI",I1037="EO",I1037="EQ"),0,""),LEN(V1037)-LEN(SUBSTITUTE(V1037,"、",""))+1))</f>
        <v/>
      </c>
      <c r="M1037" s="83">
        <f>IF(OR(X1037="估算法",X1037="算法类",X1037="无法识别"),"",IF(W1037="",IF(OR(I1037="ILF",I1037="EIF"),0,""),LEN(W1037)-LEN(SUBSTITUTE(W1037,"、",""))+1))</f>
        <v/>
      </c>
      <c r="N1037" s="83">
        <f>IF(OR(X1037="估算法",X1037="算法类",X1037="无法识别"),"",IF(X1037="",IF(OR(I1037="ILF",I1037="EIF",I1037="EI",I1037="EO",I1037="EQ"),0,""),LEN(X1037)-LEN(SUBSTITUTE(SUBSTITUTE(SUBSTITUTE(SUBSTITUTE(SUBSTITUTE(X1037,"|}","--"),"{|","--"),CHAR(10),""),"、",""),"|",""))+IF(AND(OR(I1037="EI",I1037="EO",I1037="EQ"),$AD$1="NESMA"),2,1)))</f>
        <v/>
      </c>
      <c r="O1037" s="84">
        <f>IF(I1037="EI",IF(OR(X1037="估算法",X1037="算法类"),"中",IF(X1037="无法识别","低",IF(L1037&lt;2,IF(N1037&lt;16,"低","中"),IF(L1037&lt;3,IF(N1037&lt;5,"低",IF(N1037&lt;16,"中","高")),IF(N1037&lt;5,"中","高"))))),IF(OR(I1037="EO",I1037="EQ"),IF(OR(X1037="估算法",X1037="算法类"),"中",IF(X1037="无法识别","低",IF(L1037&lt;2,IF(N1037&lt;20,"低","中"),IF(L1037&lt;4,IF(N1037&lt;6,"低",IF(N1037&lt;20,"中","高")),IF(N1037&lt;6,"中","高"))))),IF(OR(I1037="ILF",I1037="EIF"),IF(OR(X1037="估算法",X1037="算法类",X1037="无法识别"),"低",IF(M1037&lt;2,IF(N1037&lt;51,"低","中"),IF(M1037&lt;6,IF(N1037&lt;20,"低",IF(N1037&lt;51,"中","高")),IF(N1037&lt;20,"中","高")))),"不计算")))</f>
        <v/>
      </c>
      <c r="P1037" s="142">
        <f>IFERROR(IF(I1037="EI",IF(O1037="低",3,IF(O1037="中",4,6)),IF(I1037="EO",IF(O1037="低",4,IF(O1037="中",5,7)),IF(I1037="EQ",IF(O1037="低",3,IF(O1037="中",4,6)),IF(I1037="ILF",IF(O1037="低",7,IF(O1037="中",10,15)),IF(I1037="EIF",IF(O1037="低",5,IF(O1037="中",7,10)),"不计算")))))*Q1037,"不计算")</f>
        <v/>
      </c>
      <c r="Q1037" s="142" t="n">
        <v>1</v>
      </c>
      <c r="R1037" s="143">
        <f>调整因子!$F$13</f>
        <v/>
      </c>
      <c r="S1037" s="76" t="n">
        <v>1</v>
      </c>
      <c r="T1037" s="144">
        <f>IFERROR(P1037*R1037,0)</f>
        <v/>
      </c>
      <c r="U1037" s="145">
        <f>T1037*S1037</f>
        <v/>
      </c>
      <c r="V1037" s="96" t="inlineStr"/>
      <c r="W1037" s="96" t="inlineStr">
        <is>
          <t>数据记录</t>
        </is>
      </c>
      <c r="X1037" s="111" t="inlineStr">
        <is>
          <t>报告导入记录表{ID、名称、类型|ID、名称、类型、状态、创建时间、更新时间}</t>
        </is>
      </c>
      <c r="Y1037" s="88">
        <f>IF(COUNTIFS(V:V,"*"&amp;H1037&amp;"*")&gt;0,"存在","不存在")</f>
        <v/>
      </c>
      <c r="Z1037" s="88">
        <f>IF(COUNTIFS(AA:AA,"*"&amp;H1037&amp;"*")&gt;0,"存在","不存在")</f>
        <v/>
      </c>
    </row>
    <row r="1038" hidden="1">
      <c r="A1038" s="69">
        <f>ROW()-1</f>
        <v/>
      </c>
      <c r="B1038" s="53" t="n"/>
      <c r="C1038" s="117" t="n">
        <v>2026</v>
      </c>
      <c r="D1038" s="64" t="n"/>
      <c r="E1038" s="53" t="n"/>
      <c r="F1038" s="53" t="n"/>
      <c r="G1038" s="53" t="n"/>
      <c r="H1038" s="96" t="inlineStr">
        <is>
          <t>报告解析结果表</t>
        </is>
      </c>
      <c r="I1038" s="76" t="inlineStr">
        <is>
          <t>ILF</t>
        </is>
      </c>
      <c r="J1038" s="95" t="n"/>
      <c r="K1038" s="95" t="n"/>
      <c r="L1038" s="83">
        <f>IF(OR(X1038="估算法",X1038="算法类",X1038="无法识别"),"",IF(V1038="",IF(OR(I1038="EI",I1038="EO",I1038="EQ"),0,""),LEN(V1038)-LEN(SUBSTITUTE(V1038,"、",""))+1))</f>
        <v/>
      </c>
      <c r="M1038" s="83">
        <f>IF(OR(X1038="估算法",X1038="算法类",X1038="无法识别"),"",IF(W1038="",IF(OR(I1038="ILF",I1038="EIF"),0,""),LEN(W1038)-LEN(SUBSTITUTE(W1038,"、",""))+1))</f>
        <v/>
      </c>
      <c r="N1038" s="83">
        <f>IF(OR(X1038="估算法",X1038="算法类",X1038="无法识别"),"",IF(X1038="",IF(OR(I1038="ILF",I1038="EIF",I1038="EI",I1038="EO",I1038="EQ"),0,""),LEN(X1038)-LEN(SUBSTITUTE(SUBSTITUTE(SUBSTITUTE(SUBSTITUTE(SUBSTITUTE(X1038,"|}","--"),"{|","--"),CHAR(10),""),"、",""),"|",""))+IF(AND(OR(I1038="EI",I1038="EO",I1038="EQ"),$AD$1="NESMA"),2,1)))</f>
        <v/>
      </c>
      <c r="O1038" s="84">
        <f>IF(I1038="EI",IF(OR(X1038="估算法",X1038="算法类"),"中",IF(X1038="无法识别","低",IF(L1038&lt;2,IF(N1038&lt;16,"低","中"),IF(L1038&lt;3,IF(N1038&lt;5,"低",IF(N1038&lt;16,"中","高")),IF(N1038&lt;5,"中","高"))))),IF(OR(I1038="EO",I1038="EQ"),IF(OR(X1038="估算法",X1038="算法类"),"中",IF(X1038="无法识别","低",IF(L1038&lt;2,IF(N1038&lt;20,"低","中"),IF(L1038&lt;4,IF(N1038&lt;6,"低",IF(N1038&lt;20,"中","高")),IF(N1038&lt;6,"中","高"))))),IF(OR(I1038="ILF",I1038="EIF"),IF(OR(X1038="估算法",X1038="算法类",X1038="无法识别"),"低",IF(M1038&lt;2,IF(N1038&lt;51,"低","中"),IF(M1038&lt;6,IF(N1038&lt;20,"低",IF(N1038&lt;51,"中","高")),IF(N1038&lt;20,"中","高")))),"不计算")))</f>
        <v/>
      </c>
      <c r="P1038" s="142">
        <f>IFERROR(IF(I1038="EI",IF(O1038="低",3,IF(O1038="中",4,6)),IF(I1038="EO",IF(O1038="低",4,IF(O1038="中",5,7)),IF(I1038="EQ",IF(O1038="低",3,IF(O1038="中",4,6)),IF(I1038="ILF",IF(O1038="低",7,IF(O1038="中",10,15)),IF(I1038="EIF",IF(O1038="低",5,IF(O1038="中",7,10)),"不计算")))))*Q1038,"不计算")</f>
        <v/>
      </c>
      <c r="Q1038" s="142" t="n">
        <v>1</v>
      </c>
      <c r="R1038" s="143">
        <f>调整因子!$F$13</f>
        <v/>
      </c>
      <c r="S1038" s="70" t="n">
        <v>1</v>
      </c>
      <c r="T1038" s="144">
        <f>IFERROR(P1038*R1038,0)</f>
        <v/>
      </c>
      <c r="U1038" s="145">
        <f>T1038*S1038</f>
        <v/>
      </c>
      <c r="V1038" s="96" t="inlineStr"/>
      <c r="W1038" s="96" t="inlineStr">
        <is>
          <t>数据记录</t>
        </is>
      </c>
      <c r="X1038" s="111" t="inlineStr">
        <is>
          <t>报告解析结果表{ID、名称、类型|ID、名称、类型、状态、创建时间、更新时间}</t>
        </is>
      </c>
      <c r="Y1038" s="88">
        <f>IF(COUNTIFS(V:V,"*"&amp;H1038&amp;"*")&gt;0,"存在","不存在")</f>
        <v/>
      </c>
      <c r="Z1038" s="88">
        <f>IF(COUNTIFS(AA:AA,"*"&amp;H1038&amp;"*")&gt;0,"存在","不存在")</f>
        <v/>
      </c>
    </row>
    <row r="1039" hidden="1" ht="75.59999999999999" customHeight="1">
      <c r="A1039" s="69">
        <f>ROW()-1</f>
        <v/>
      </c>
      <c r="B1039" s="53" t="n"/>
      <c r="C1039" s="117" t="n">
        <v>2026</v>
      </c>
      <c r="D1039" s="64" t="n"/>
      <c r="E1039" s="53" t="n"/>
      <c r="F1039" s="53" t="n"/>
      <c r="G1039" s="53" t="n"/>
      <c r="H1039" s="96" t="inlineStr">
        <is>
          <t>删除导入记录</t>
        </is>
      </c>
      <c r="I1039" s="76" t="inlineStr">
        <is>
          <t>EI</t>
        </is>
      </c>
      <c r="J1039" s="95" t="n"/>
      <c r="K1039" s="95" t="n"/>
      <c r="L1039" s="83">
        <f>IF(OR(X1039="估算法",X1039="算法类",X1039="无法识别"),"",IF(V1039="",IF(OR(I1039="EI",I1039="EO",I1039="EQ"),0,""),LEN(V1039)-LEN(SUBSTITUTE(V1039,"、",""))+1))</f>
        <v/>
      </c>
      <c r="M1039" s="83">
        <f>IF(OR(X1039="估算法",X1039="算法类",X1039="无法识别"),"",IF(W1039="",IF(OR(I1039="ILF",I1039="EIF"),0,""),LEN(W1039)-LEN(SUBSTITUTE(W1039,"、",""))+1))</f>
        <v/>
      </c>
      <c r="N1039" s="83">
        <f>IF(OR(X1039="估算法",X1039="算法类",X1039="无法识别"),"",IF(X1039="",IF(OR(I1039="ILF",I1039="EIF",I1039="EI",I1039="EO",I1039="EQ"),0,""),LEN(X1039)-LEN(SUBSTITUTE(SUBSTITUTE(SUBSTITUTE(SUBSTITUTE(SUBSTITUTE(X1039,"|}","--"),"{|","--"),CHAR(10),""),"、",""),"|",""))+IF(AND(OR(I1039="EI",I1039="EO",I1039="EQ"),$AD$1="NESMA"),2,1)))</f>
        <v/>
      </c>
      <c r="O1039" s="84">
        <f>IF(I1039="EI",IF(OR(X1039="估算法",X1039="算法类"),"中",IF(X1039="无法识别","低",IF(L1039&lt;2,IF(N1039&lt;16,"低","中"),IF(L1039&lt;3,IF(N1039&lt;5,"低",IF(N1039&lt;16,"中","高")),IF(N1039&lt;5,"中","高"))))),IF(OR(I1039="EO",I1039="EQ"),IF(OR(X1039="估算法",X1039="算法类"),"中",IF(X1039="无法识别","低",IF(L1039&lt;2,IF(N1039&lt;20,"低","中"),IF(L1039&lt;4,IF(N1039&lt;6,"低",IF(N1039&lt;20,"中","高")),IF(N1039&lt;6,"中","高"))))),IF(OR(I1039="ILF",I1039="EIF"),IF(OR(X1039="估算法",X1039="算法类",X1039="无法识别"),"低",IF(M1039&lt;2,IF(N1039&lt;51,"低","中"),IF(M1039&lt;6,IF(N1039&lt;20,"低",IF(N1039&lt;51,"中","高")),IF(N1039&lt;20,"中","高")))),"不计算")))</f>
        <v/>
      </c>
      <c r="P1039" s="142">
        <f>IFERROR(IF(I1039="EI",IF(O1039="低",3,IF(O1039="中",4,6)),IF(I1039="EO",IF(O1039="低",4,IF(O1039="中",5,7)),IF(I1039="EQ",IF(O1039="低",3,IF(O1039="中",4,6)),IF(I1039="ILF",IF(O1039="低",7,IF(O1039="中",10,15)),IF(I1039="EIF",IF(O1039="低",5,IF(O1039="中",7,10)),"不计算")))))*Q1039,"不计算")</f>
        <v/>
      </c>
      <c r="Q1039" s="142" t="n">
        <v>0.333333333333333</v>
      </c>
      <c r="R1039" s="143">
        <f>调整因子!$F$13</f>
        <v/>
      </c>
      <c r="S1039" s="70" t="n">
        <v>1</v>
      </c>
      <c r="T1039" s="144">
        <f>IFERROR(P1039*R1039,0)</f>
        <v/>
      </c>
      <c r="U1039" s="145">
        <f>T1039*S1039</f>
        <v/>
      </c>
      <c r="V1039" s="96" t="inlineStr">
        <is>
          <t>提醒策略配置表、扫描任务接口配置表、加密算法表、推送失败重试表、态势数据采集表</t>
        </is>
      </c>
      <c r="W1039" s="96" t="inlineStr"/>
      <c r="X1039" s="111" t="inlineStr">
        <is>
          <t>提醒策略配置表{配置ID、配置名称、配置类型、配置值、创建时间|配置ID、配置名称、配置类型}
扫描任务接口配置表{任务ID、任务名称、任务状态、扫描器类型、开始时间、结束时间、扫描结果|任务ID、任务名称、任务状态}
加密算法表{ID、名称、类型、状态、创建时间、更新时间|ID、名称、类型}
推送失败重试表{ID、名称、类型、状态、创建时间、更新时间|ID、名称、类型}
态势数据采集表{ID、名称、类型、状态、创建时间、更新时间|ID、名称、类型}</t>
        </is>
      </c>
      <c r="Y1039" s="88" t="n"/>
      <c r="Z1039" s="88" t="n"/>
    </row>
    <row r="1040" hidden="1" ht="75.59999999999999" customHeight="1">
      <c r="A1040" s="69">
        <f>ROW()-1</f>
        <v/>
      </c>
      <c r="B1040" s="53" t="n"/>
      <c r="C1040" s="117" t="n">
        <v>2026</v>
      </c>
      <c r="D1040" s="64" t="n"/>
      <c r="E1040" s="53" t="n"/>
      <c r="F1040" s="53" t="n"/>
      <c r="G1040" s="53" t="n"/>
      <c r="H1040" s="96" t="inlineStr">
        <is>
          <t>导出导入记录</t>
        </is>
      </c>
      <c r="I1040" s="76" t="inlineStr">
        <is>
          <t>EO</t>
        </is>
      </c>
      <c r="J1040" s="95" t="n"/>
      <c r="K1040" s="95" t="n"/>
      <c r="L1040" s="83">
        <f>IF(OR(X1040="估算法",X1040="算法类",X1040="无法识别"),"",IF(V1040="",IF(OR(I1040="EI",I1040="EO",I1040="EQ"),0,""),LEN(V1040)-LEN(SUBSTITUTE(V1040,"、",""))+1))</f>
        <v/>
      </c>
      <c r="M1040" s="83">
        <f>IF(OR(X1040="估算法",X1040="算法类",X1040="无法识别"),"",IF(W1040="",IF(OR(I1040="ILF",I1040="EIF"),0,""),LEN(W1040)-LEN(SUBSTITUTE(W1040,"、",""))+1))</f>
        <v/>
      </c>
      <c r="N1040" s="83">
        <f>IF(OR(X1040="估算法",X1040="算法类",X1040="无法识别"),"",IF(X1040="",IF(OR(I1040="ILF",I1040="EIF",I1040="EI",I1040="EO",I1040="EQ"),0,""),LEN(X1040)-LEN(SUBSTITUTE(SUBSTITUTE(SUBSTITUTE(SUBSTITUTE(SUBSTITUTE(X1040,"|}","--"),"{|","--"),CHAR(10),""),"、",""),"|",""))+IF(AND(OR(I1040="EI",I1040="EO",I1040="EQ"),$AD$1="NESMA"),2,1)))</f>
        <v/>
      </c>
      <c r="O1040" s="84">
        <f>IF(I1040="EI",IF(OR(X1040="估算法",X1040="算法类"),"中",IF(X1040="无法识别","低",IF(L1040&lt;2,IF(N1040&lt;16,"低","中"),IF(L1040&lt;3,IF(N1040&lt;5,"低",IF(N1040&lt;16,"中","高")),IF(N1040&lt;5,"中","高"))))),IF(OR(I1040="EO",I1040="EQ"),IF(OR(X1040="估算法",X1040="算法类"),"中",IF(X1040="无法识别","低",IF(L1040&lt;2,IF(N1040&lt;20,"低","中"),IF(L1040&lt;4,IF(N1040&lt;6,"低",IF(N1040&lt;20,"中","高")),IF(N1040&lt;6,"中","高"))))),IF(OR(I1040="ILF",I1040="EIF"),IF(OR(X1040="估算法",X1040="算法类",X1040="无法识别"),"低",IF(M1040&lt;2,IF(N1040&lt;51,"低","中"),IF(M1040&lt;6,IF(N1040&lt;20,"低",IF(N1040&lt;51,"中","高")),IF(N1040&lt;20,"中","高")))),"不计算")))</f>
        <v/>
      </c>
      <c r="P1040" s="142">
        <f>IFERROR(IF(I1040="EI",IF(O1040="低",3,IF(O1040="中",4,6)),IF(I1040="EO",IF(O1040="低",4,IF(O1040="中",5,7)),IF(I1040="EQ",IF(O1040="低",3,IF(O1040="中",4,6)),IF(I1040="ILF",IF(O1040="低",7,IF(O1040="中",10,15)),IF(I1040="EIF",IF(O1040="低",5,IF(O1040="中",7,10)),"不计算")))))*Q1040,"不计算")</f>
        <v/>
      </c>
      <c r="Q1040" s="142" t="n">
        <v>1</v>
      </c>
      <c r="R1040" s="143">
        <f>调整因子!$F$13</f>
        <v/>
      </c>
      <c r="S1040" s="76" t="n">
        <v>1</v>
      </c>
      <c r="T1040" s="144">
        <f>IFERROR(P1040*R1040,0)</f>
        <v/>
      </c>
      <c r="U1040" s="145">
        <f>T1040*S1040</f>
        <v/>
      </c>
      <c r="V1040" s="96" t="inlineStr">
        <is>
          <t>处置单关联表、态势数据采集表、标签定义表、态势大屏配置表、任务日志表</t>
        </is>
      </c>
      <c r="W1040" s="96" t="inlineStr"/>
      <c r="X1040" s="111" t="inlineStr">
        <is>
          <t>处置单关联表{ID、名称|ID、名称、类型、状态、创建时间、更新时间}
态势数据采集表{ID、名称|ID、名称、类型、状态、创建时间、更新时间}
标签定义表{ID、名称|ID、名称、类型、状态、创建时间、更新时间}
态势大屏配置表{配置ID、配置名称|配置ID、配置名称、配置类型、配置值、创建时间}
任务日志表{任务ID、任务名称|任务ID、任务名称、任务类型、任务状态、创建时间、执行时间}</t>
        </is>
      </c>
      <c r="Y1040" s="88" t="n"/>
      <c r="Z1040" s="88" t="n"/>
    </row>
    <row r="1041" hidden="1" ht="54" customHeight="1">
      <c r="A1041" s="69">
        <f>ROW()-1</f>
        <v/>
      </c>
      <c r="B1041" s="53" t="n"/>
      <c r="C1041" s="117" t="n">
        <v>2026</v>
      </c>
      <c r="D1041" s="64" t="n"/>
      <c r="E1041" s="53" t="n"/>
      <c r="F1041" s="53" t="n"/>
      <c r="G1041" s="53" t="n"/>
      <c r="H1041" s="96" t="inlineStr">
        <is>
          <t>下载解析结果</t>
        </is>
      </c>
      <c r="I1041" s="76" t="inlineStr">
        <is>
          <t>EO</t>
        </is>
      </c>
      <c r="J1041" s="95" t="n"/>
      <c r="K1041" s="95" t="n"/>
      <c r="L1041" s="83">
        <f>IF(OR(X1041="估算法",X1041="算法类",X1041="无法识别"),"",IF(V1041="",IF(OR(I1041="EI",I1041="EO",I1041="EQ"),0,""),LEN(V1041)-LEN(SUBSTITUTE(V1041,"、",""))+1))</f>
        <v/>
      </c>
      <c r="M1041" s="83">
        <f>IF(OR(X1041="估算法",X1041="算法类",X1041="无法识别"),"",IF(W1041="",IF(OR(I1041="ILF",I1041="EIF"),0,""),LEN(W1041)-LEN(SUBSTITUTE(W1041,"、",""))+1))</f>
        <v/>
      </c>
      <c r="N1041" s="83">
        <f>IF(OR(X1041="估算法",X1041="算法类",X1041="无法识别"),"",IF(X1041="",IF(OR(I1041="ILF",I1041="EIF",I1041="EI",I1041="EO",I1041="EQ"),0,""),LEN(X1041)-LEN(SUBSTITUTE(SUBSTITUTE(SUBSTITUTE(SUBSTITUTE(SUBSTITUTE(X1041,"|}","--"),"{|","--"),CHAR(10),""),"、",""),"|",""))+IF(AND(OR(I1041="EI",I1041="EO",I1041="EQ"),$AD$1="NESMA"),2,1)))</f>
        <v/>
      </c>
      <c r="O1041" s="84">
        <f>IF(I1041="EI",IF(OR(X1041="估算法",X1041="算法类"),"中",IF(X1041="无法识别","低",IF(L1041&lt;2,IF(N1041&lt;16,"低","中"),IF(L1041&lt;3,IF(N1041&lt;5,"低",IF(N1041&lt;16,"中","高")),IF(N1041&lt;5,"中","高"))))),IF(OR(I1041="EO",I1041="EQ"),IF(OR(X1041="估算法",X1041="算法类"),"中",IF(X1041="无法识别","低",IF(L1041&lt;2,IF(N1041&lt;20,"低","中"),IF(L1041&lt;4,IF(N1041&lt;6,"低",IF(N1041&lt;20,"中","高")),IF(N1041&lt;6,"中","高"))))),IF(OR(I1041="ILF",I1041="EIF"),IF(OR(X1041="估算法",X1041="算法类",X1041="无法识别"),"低",IF(M1041&lt;2,IF(N1041&lt;51,"低","中"),IF(M1041&lt;6,IF(N1041&lt;20,"低",IF(N1041&lt;51,"中","高")),IF(N1041&lt;20,"中","高")))),"不计算")))</f>
        <v/>
      </c>
      <c r="P1041" s="142">
        <f>IFERROR(IF(I1041="EI",IF(O1041="低",3,IF(O1041="中",4,6)),IF(I1041="EO",IF(O1041="低",4,IF(O1041="中",5,7)),IF(I1041="EQ",IF(O1041="低",3,IF(O1041="中",4,6)),IF(I1041="ILF",IF(O1041="低",7,IF(O1041="中",10,15)),IF(I1041="EIF",IF(O1041="低",5,IF(O1041="中",7,10)),"不计算")))))*Q1041,"不计算")</f>
        <v/>
      </c>
      <c r="Q1041" s="142" t="n">
        <v>1</v>
      </c>
      <c r="R1041" s="143">
        <f>调整因子!$F$13</f>
        <v/>
      </c>
      <c r="S1041" s="76" t="n">
        <v>1</v>
      </c>
      <c r="T1041" s="144">
        <f>IFERROR(P1041*R1041,0)</f>
        <v/>
      </c>
      <c r="U1041" s="145">
        <f>T1041*S1041</f>
        <v/>
      </c>
      <c r="V1041" s="96" t="inlineStr">
        <is>
          <t>推送配置表、通报对象表、扫描任务接口配置表、通报模板表</t>
        </is>
      </c>
      <c r="W1041" s="96" t="inlineStr"/>
      <c r="X1041" s="111" t="inlineStr">
        <is>
          <t>推送配置表{配置ID、配置名称|配置ID、配置名称、配置类型、配置值、创建时间}
通报对象表{ID、名称|ID、名称、类型、状态、创建时间、更新时间}
扫描任务接口配置表{任务ID、任务名称|任务ID、任务名称、任务状态、扫描器类型、开始时间、结束时间、扫描结果}
通报模板表{ID、名称|ID、名称、类型、状态、创建时间、更新时间}</t>
        </is>
      </c>
      <c r="Y1041" s="88" t="n"/>
      <c r="Z1041" s="88" t="n"/>
    </row>
    <row r="1042" hidden="1" ht="64.8" customHeight="1">
      <c r="A1042" s="69">
        <f>ROW()-1</f>
        <v/>
      </c>
      <c r="B1042" s="53" t="n"/>
      <c r="C1042" s="117" t="n">
        <v>2026</v>
      </c>
      <c r="D1042" s="64" t="n"/>
      <c r="E1042" s="53" t="n"/>
      <c r="F1042" s="53" t="n"/>
      <c r="G1042" s="53" t="n"/>
      <c r="H1042" s="96" t="inlineStr">
        <is>
          <t>查询导入记录</t>
        </is>
      </c>
      <c r="I1042" s="76" t="inlineStr">
        <is>
          <t>EQ</t>
        </is>
      </c>
      <c r="J1042" s="95" t="n"/>
      <c r="K1042" s="95" t="inlineStr">
        <is>
          <t>处理流程和上行基本一致，为查询功能，未体现详情功能</t>
        </is>
      </c>
      <c r="L1042" s="83">
        <f>IF(OR(X1042="估算法",X1042="算法类",X1042="无法识别"),"",IF(V1042="",IF(OR(I1042="EI",I1042="EO",I1042="EQ"),0,""),LEN(V1042)-LEN(SUBSTITUTE(V1042,"、",""))+1))</f>
        <v/>
      </c>
      <c r="M1042" s="83">
        <f>IF(OR(X1042="估算法",X1042="算法类",X1042="无法识别"),"",IF(W1042="",IF(OR(I1042="ILF",I1042="EIF"),0,""),LEN(W1042)-LEN(SUBSTITUTE(W1042,"、",""))+1))</f>
        <v/>
      </c>
      <c r="N1042" s="83">
        <f>IF(OR(X1042="估算法",X1042="算法类",X1042="无法识别"),"",IF(X1042="",IF(OR(I1042="ILF",I1042="EIF",I1042="EI",I1042="EO",I1042="EQ"),0,""),LEN(X1042)-LEN(SUBSTITUTE(SUBSTITUTE(SUBSTITUTE(SUBSTITUTE(SUBSTITUTE(X1042,"|}","--"),"{|","--"),CHAR(10),""),"、",""),"|",""))+IF(AND(OR(I1042="EI",I1042="EO",I1042="EQ"),$AD$1="NESMA"),2,1)))</f>
        <v/>
      </c>
      <c r="O1042" s="84">
        <f>IF(I1042="EI",IF(OR(X1042="估算法",X1042="算法类"),"中",IF(X1042="无法识别","低",IF(L1042&lt;2,IF(N1042&lt;16,"低","中"),IF(L1042&lt;3,IF(N1042&lt;5,"低",IF(N1042&lt;16,"中","高")),IF(N1042&lt;5,"中","高"))))),IF(OR(I1042="EO",I1042="EQ"),IF(OR(X1042="估算法",X1042="算法类"),"中",IF(X1042="无法识别","低",IF(L1042&lt;2,IF(N1042&lt;20,"低","中"),IF(L1042&lt;4,IF(N1042&lt;6,"低",IF(N1042&lt;20,"中","高")),IF(N1042&lt;6,"中","高"))))),IF(OR(I1042="ILF",I1042="EIF"),IF(OR(X1042="估算法",X1042="算法类",X1042="无法识别"),"低",IF(M1042&lt;2,IF(N1042&lt;51,"低","中"),IF(M1042&lt;6,IF(N1042&lt;20,"低",IF(N1042&lt;51,"中","高")),IF(N1042&lt;20,"中","高")))),"不计算")))</f>
        <v/>
      </c>
      <c r="P1042" s="142">
        <f>IFERROR(IF(I1042="EI",IF(O1042="低",3,IF(O1042="中",4,6)),IF(I1042="EO",IF(O1042="低",4,IF(O1042="中",5,7)),IF(I1042="EQ",IF(O1042="低",3,IF(O1042="中",4,6)),IF(I1042="ILF",IF(O1042="低",7,IF(O1042="中",10,15)),IF(I1042="EIF",IF(O1042="低",5,IF(O1042="中",7,10)),"不计算")))))*Q1042,"不计算")</f>
        <v/>
      </c>
      <c r="Q1042" s="142" t="n">
        <v>0.333333333333333</v>
      </c>
      <c r="R1042" s="143">
        <f>调整因子!$F$13</f>
        <v/>
      </c>
      <c r="S1042" s="70" t="n">
        <v>1</v>
      </c>
      <c r="T1042" s="144">
        <f>IFERROR(P1042*R1042,0)</f>
        <v/>
      </c>
      <c r="U1042" s="145">
        <f>T1042*S1042</f>
        <v/>
      </c>
      <c r="V1042" s="96" t="inlineStr">
        <is>
          <t>通报对象表、资产同步任务表、提醒策略配置表、标签定义表</t>
        </is>
      </c>
      <c r="W1042" s="96" t="inlineStr"/>
      <c r="X1042" s="111" t="inlineStr">
        <is>
          <t>通报对象表{ID、名称|ID、名称、类型、状态、创建时间、更新时间}
资产同步任务表{资产ID、资产名称|资产ID、资产名称、IP地址、资产类型、资产状态、创建时间、更新时间}
提醒策略配置表{配置ID、配置名称|配置ID、配置名称、配置类型、配置值、创建时间}
标签定义表{ID、名称|ID、名称、类型、状态、创建时间、更新时间}</t>
        </is>
      </c>
      <c r="Y1042" s="88" t="n"/>
      <c r="Z1042" s="88" t="n"/>
    </row>
    <row r="1043" hidden="1" ht="43.2" customHeight="1">
      <c r="A1043" s="69">
        <f>ROW()-1</f>
        <v/>
      </c>
      <c r="B1043" s="53" t="n"/>
      <c r="C1043" s="117" t="n">
        <v>2026</v>
      </c>
      <c r="D1043" s="64" t="n"/>
      <c r="E1043" s="53" t="n"/>
      <c r="F1043" s="53" t="n"/>
      <c r="G1043" s="54" t="n"/>
      <c r="H1043" s="96" t="inlineStr">
        <is>
          <t>查看导入详情</t>
        </is>
      </c>
      <c r="I1043" s="76" t="inlineStr">
        <is>
          <t>EQ</t>
        </is>
      </c>
      <c r="J1043" s="95" t="n"/>
      <c r="K1043" s="95" t="inlineStr">
        <is>
          <t>处理流程和上行基本一致，为查询功能，未体现详情功能</t>
        </is>
      </c>
      <c r="L1043" s="83">
        <f>IF(OR(X1043="估算法",X1043="算法类",X1043="无法识别"),"",IF(V1043="",IF(OR(I1043="EI",I1043="EO",I1043="EQ"),0,""),LEN(V1043)-LEN(SUBSTITUTE(V1043,"、",""))+1))</f>
        <v/>
      </c>
      <c r="M1043" s="83">
        <f>IF(OR(X1043="估算法",X1043="算法类",X1043="无法识别"),"",IF(W1043="",IF(OR(I1043="ILF",I1043="EIF"),0,""),LEN(W1043)-LEN(SUBSTITUTE(W1043,"、",""))+1))</f>
        <v/>
      </c>
      <c r="N1043" s="83">
        <f>IF(OR(X1043="估算法",X1043="算法类",X1043="无法识别"),"",IF(X1043="",IF(OR(I1043="ILF",I1043="EIF",I1043="EI",I1043="EO",I1043="EQ"),0,""),LEN(X1043)-LEN(SUBSTITUTE(SUBSTITUTE(SUBSTITUTE(SUBSTITUTE(SUBSTITUTE(X1043,"|}","--"),"{|","--"),CHAR(10),""),"、",""),"|",""))+IF(AND(OR(I1043="EI",I1043="EO",I1043="EQ"),$AD$1="NESMA"),2,1)))</f>
        <v/>
      </c>
      <c r="O1043" s="84">
        <f>IF(I1043="EI",IF(OR(X1043="估算法",X1043="算法类"),"中",IF(X1043="无法识别","低",IF(L1043&lt;2,IF(N1043&lt;16,"低","中"),IF(L1043&lt;3,IF(N1043&lt;5,"低",IF(N1043&lt;16,"中","高")),IF(N1043&lt;5,"中","高"))))),IF(OR(I1043="EO",I1043="EQ"),IF(OR(X1043="估算法",X1043="算法类"),"中",IF(X1043="无法识别","低",IF(L1043&lt;2,IF(N1043&lt;20,"低","中"),IF(L1043&lt;4,IF(N1043&lt;6,"低",IF(N1043&lt;20,"中","高")),IF(N1043&lt;6,"中","高"))))),IF(OR(I1043="ILF",I1043="EIF"),IF(OR(X1043="估算法",X1043="算法类",X1043="无法识别"),"低",IF(M1043&lt;2,IF(N1043&lt;51,"低","中"),IF(M1043&lt;6,IF(N1043&lt;20,"低",IF(N1043&lt;51,"中","高")),IF(N1043&lt;20,"中","高")))),"不计算")))</f>
        <v/>
      </c>
      <c r="P1043" s="142">
        <f>IFERROR(IF(I1043="EI",IF(O1043="低",3,IF(O1043="中",4,6)),IF(I1043="EO",IF(O1043="低",4,IF(O1043="中",5,7)),IF(I1043="EQ",IF(O1043="低",3,IF(O1043="中",4,6)),IF(I1043="ILF",IF(O1043="低",7,IF(O1043="中",10,15)),IF(I1043="EIF",IF(O1043="低",5,IF(O1043="中",7,10)),"不计算")))))*Q1043,"不计算")</f>
        <v/>
      </c>
      <c r="Q1043" s="142" t="n">
        <v>0.333333333333333</v>
      </c>
      <c r="R1043" s="143">
        <f>调整因子!$F$13</f>
        <v/>
      </c>
      <c r="S1043" s="70" t="n">
        <v>1</v>
      </c>
      <c r="T1043" s="144">
        <f>IFERROR(P1043*R1043,0)</f>
        <v/>
      </c>
      <c r="U1043" s="145">
        <f>T1043*S1043</f>
        <v/>
      </c>
      <c r="V1043" s="96" t="inlineStr">
        <is>
          <t>处置流程定义表、性能数据表、模板参数配置表</t>
        </is>
      </c>
      <c r="W1043" s="96" t="inlineStr"/>
      <c r="X1043" s="111" t="inlineStr">
        <is>
          <t>处置流程定义表{ID、名称|ID、名称、类型、状态、创建时间、更新时间}
性能数据表{ID、名称|ID、名称、类型、状态、创建时间、更新时间}
模板参数配置表{配置ID、配置名称|配置ID、配置名称、配置类型、配置值、创建时间}</t>
        </is>
      </c>
      <c r="Y1043" s="88" t="n"/>
      <c r="Z1043" s="88" t="n"/>
    </row>
    <row r="1044" hidden="1" ht="97.2" customHeight="1">
      <c r="A1044" s="69">
        <f>ROW()-1</f>
        <v/>
      </c>
      <c r="B1044" s="53" t="n"/>
      <c r="C1044" s="117" t="n">
        <v>2026</v>
      </c>
      <c r="D1044" s="64" t="n"/>
      <c r="E1044" s="53" t="n"/>
      <c r="F1044" s="53" t="n"/>
      <c r="G1044" s="111" t="inlineStr">
        <is>
          <t>报告标准化处理</t>
        </is>
      </c>
      <c r="H1044" s="96" t="inlineStr">
        <is>
          <t>编辑标准化规则</t>
        </is>
      </c>
      <c r="I1044" s="76" t="inlineStr">
        <is>
          <t>EI</t>
        </is>
      </c>
      <c r="J1044" s="95" t="n"/>
      <c r="K1044" s="95" t="n"/>
      <c r="L1044" s="83">
        <f>IF(OR(X1044="估算法",X1044="算法类",X1044="无法识别"),"",IF(V1044="",IF(OR(I1044="EI",I1044="EO",I1044="EQ"),0,""),LEN(V1044)-LEN(SUBSTITUTE(V1044,"、",""))+1))</f>
        <v/>
      </c>
      <c r="M1044" s="83">
        <f>IF(OR(X1044="估算法",X1044="算法类",X1044="无法识别"),"",IF(W1044="",IF(OR(I1044="ILF",I1044="EIF"),0,""),LEN(W1044)-LEN(SUBSTITUTE(W1044,"、",""))+1))</f>
        <v/>
      </c>
      <c r="N1044" s="83">
        <f>IF(OR(X1044="估算法",X1044="算法类",X1044="无法识别"),"",IF(X1044="",IF(OR(I1044="ILF",I1044="EIF",I1044="EI",I1044="EO",I1044="EQ"),0,""),LEN(X1044)-LEN(SUBSTITUTE(SUBSTITUTE(SUBSTITUTE(SUBSTITUTE(SUBSTITUTE(X1044,"|}","--"),"{|","--"),CHAR(10),""),"、",""),"|",""))+IF(AND(OR(I1044="EI",I1044="EO",I1044="EQ"),$AD$1="NESMA"),2,1)))</f>
        <v/>
      </c>
      <c r="O1044" s="84">
        <f>IF(I1044="EI",IF(OR(X1044="估算法",X1044="算法类"),"中",IF(X1044="无法识别","低",IF(L1044&lt;2,IF(N1044&lt;16,"低","中"),IF(L1044&lt;3,IF(N1044&lt;5,"低",IF(N1044&lt;16,"中","高")),IF(N1044&lt;5,"中","高"))))),IF(OR(I1044="EO",I1044="EQ"),IF(OR(X1044="估算法",X1044="算法类"),"中",IF(X1044="无法识别","低",IF(L1044&lt;2,IF(N1044&lt;20,"低","中"),IF(L1044&lt;4,IF(N1044&lt;6,"低",IF(N1044&lt;20,"中","高")),IF(N1044&lt;6,"中","高"))))),IF(OR(I1044="ILF",I1044="EIF"),IF(OR(X1044="估算法",X1044="算法类",X1044="无法识别"),"低",IF(M1044&lt;2,IF(N1044&lt;51,"低","中"),IF(M1044&lt;6,IF(N1044&lt;20,"低",IF(N1044&lt;51,"中","高")),IF(N1044&lt;20,"中","高")))),"不计算")))</f>
        <v/>
      </c>
      <c r="P1044" s="142">
        <f>IFERROR(IF(I1044="EI",IF(O1044="低",3,IF(O1044="中",4,6)),IF(I1044="EO",IF(O1044="低",4,IF(O1044="中",5,7)),IF(I1044="EQ",IF(O1044="低",3,IF(O1044="中",4,6)),IF(I1044="ILF",IF(O1044="低",7,IF(O1044="中",10,15)),IF(I1044="EIF",IF(O1044="低",5,IF(O1044="中",7,10)),"不计算")))))*Q1044,"不计算")</f>
        <v/>
      </c>
      <c r="Q1044" s="142" t="n">
        <v>1</v>
      </c>
      <c r="R1044" s="143">
        <f>调整因子!$F$13</f>
        <v/>
      </c>
      <c r="S1044" s="76" t="n">
        <v>1</v>
      </c>
      <c r="T1044" s="144">
        <f>IFERROR(P1044*R1044,0)</f>
        <v/>
      </c>
      <c r="U1044" s="145">
        <f>T1044*S1044</f>
        <v/>
      </c>
      <c r="V1044" s="96" t="inlineStr">
        <is>
          <t>推送规则表、提醒规则表、脱敏规则表、加密规则表、推送失败重试表</t>
        </is>
      </c>
      <c r="W1044" s="96" t="inlineStr"/>
      <c r="X1044"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推送失败重试表{ID、名称、类型、状态、创建时间、更新时间|ID、名称、类型}</t>
        </is>
      </c>
      <c r="Y1044" s="88" t="n"/>
      <c r="Z1044" s="88" t="n"/>
    </row>
    <row r="1045" hidden="1" ht="86.40000000000001" customHeight="1">
      <c r="A1045" s="69">
        <f>ROW()-1</f>
        <v/>
      </c>
      <c r="B1045" s="53" t="n"/>
      <c r="C1045" s="117" t="n">
        <v>2026</v>
      </c>
      <c r="D1045" s="64" t="n"/>
      <c r="E1045" s="53" t="n"/>
      <c r="F1045" s="53" t="n"/>
      <c r="G1045" s="53" t="n"/>
      <c r="H1045" s="96" t="inlineStr">
        <is>
          <t>删除标准化规则</t>
        </is>
      </c>
      <c r="I1045" s="76" t="inlineStr">
        <is>
          <t>EI</t>
        </is>
      </c>
      <c r="J1045" s="95" t="n"/>
      <c r="K1045" s="95" t="n"/>
      <c r="L1045" s="83">
        <f>IF(OR(X1045="估算法",X1045="算法类",X1045="无法识别"),"",IF(V1045="",IF(OR(I1045="EI",I1045="EO",I1045="EQ"),0,""),LEN(V1045)-LEN(SUBSTITUTE(V1045,"、",""))+1))</f>
        <v/>
      </c>
      <c r="M1045" s="83">
        <f>IF(OR(X1045="估算法",X1045="算法类",X1045="无法识别"),"",IF(W1045="",IF(OR(I1045="ILF",I1045="EIF"),0,""),LEN(W1045)-LEN(SUBSTITUTE(W1045,"、",""))+1))</f>
        <v/>
      </c>
      <c r="N1045" s="83">
        <f>IF(OR(X1045="估算法",X1045="算法类",X1045="无法识别"),"",IF(X1045="",IF(OR(I1045="ILF",I1045="EIF",I1045="EI",I1045="EO",I1045="EQ"),0,""),LEN(X1045)-LEN(SUBSTITUTE(SUBSTITUTE(SUBSTITUTE(SUBSTITUTE(SUBSTITUTE(X1045,"|}","--"),"{|","--"),CHAR(10),""),"、",""),"|",""))+IF(AND(OR(I1045="EI",I1045="EO",I1045="EQ"),$AD$1="NESMA"),2,1)))</f>
        <v/>
      </c>
      <c r="O1045" s="84">
        <f>IF(I1045="EI",IF(OR(X1045="估算法",X1045="算法类"),"中",IF(X1045="无法识别","低",IF(L1045&lt;2,IF(N1045&lt;16,"低","中"),IF(L1045&lt;3,IF(N1045&lt;5,"低",IF(N1045&lt;16,"中","高")),IF(N1045&lt;5,"中","高"))))),IF(OR(I1045="EO",I1045="EQ"),IF(OR(X1045="估算法",X1045="算法类"),"中",IF(X1045="无法识别","低",IF(L1045&lt;2,IF(N1045&lt;20,"低","中"),IF(L1045&lt;4,IF(N1045&lt;6,"低",IF(N1045&lt;20,"中","高")),IF(N1045&lt;6,"中","高"))))),IF(OR(I1045="ILF",I1045="EIF"),IF(OR(X1045="估算法",X1045="算法类",X1045="无法识别"),"低",IF(M1045&lt;2,IF(N1045&lt;51,"低","中"),IF(M1045&lt;6,IF(N1045&lt;20,"低",IF(N1045&lt;51,"中","高")),IF(N1045&lt;20,"中","高")))),"不计算")))</f>
        <v/>
      </c>
      <c r="P1045" s="142">
        <f>IFERROR(IF(I1045="EI",IF(O1045="低",3,IF(O1045="中",4,6)),IF(I1045="EO",IF(O1045="低",4,IF(O1045="中",5,7)),IF(I1045="EQ",IF(O1045="低",3,IF(O1045="中",4,6)),IF(I1045="ILF",IF(O1045="低",7,IF(O1045="中",10,15)),IF(I1045="EIF",IF(O1045="低",5,IF(O1045="中",7,10)),"不计算")))))*Q1045,"不计算")</f>
        <v/>
      </c>
      <c r="Q1045" s="142" t="n">
        <v>0.333333333333333</v>
      </c>
      <c r="R1045" s="143">
        <f>调整因子!$F$13</f>
        <v/>
      </c>
      <c r="S1045" s="70" t="n">
        <v>1</v>
      </c>
      <c r="T1045" s="144">
        <f>IFERROR(P1045*R1045,0)</f>
        <v/>
      </c>
      <c r="U1045" s="145">
        <f>T1045*S1045</f>
        <v/>
      </c>
      <c r="V1045" s="96" t="inlineStr">
        <is>
          <t>推送规则表、提醒规则表、脱敏规则表、加密规则表</t>
        </is>
      </c>
      <c r="W1045" s="96" t="inlineStr"/>
      <c r="X1045"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Y1045" s="88" t="n"/>
      <c r="Z1045" s="88" t="n"/>
    </row>
    <row r="1046" hidden="1" ht="86.40000000000001" customHeight="1">
      <c r="A1046" s="69">
        <f>ROW()-1</f>
        <v/>
      </c>
      <c r="B1046" s="53" t="n"/>
      <c r="C1046" s="117" t="n">
        <v>2026</v>
      </c>
      <c r="D1046" s="64" t="n"/>
      <c r="E1046" s="53" t="n"/>
      <c r="F1046" s="53" t="n"/>
      <c r="G1046" s="53" t="n"/>
      <c r="H1046" s="96" t="inlineStr">
        <is>
          <t>导出标准化结果</t>
        </is>
      </c>
      <c r="I1046" s="76" t="inlineStr">
        <is>
          <t>EO</t>
        </is>
      </c>
      <c r="J1046" s="95" t="n"/>
      <c r="K1046" s="95" t="n"/>
      <c r="L1046" s="83">
        <f>IF(OR(X1046="估算法",X1046="算法类",X1046="无法识别"),"",IF(V1046="",IF(OR(I1046="EI",I1046="EO",I1046="EQ"),0,""),LEN(V1046)-LEN(SUBSTITUTE(V1046,"、",""))+1))</f>
        <v/>
      </c>
      <c r="M1046" s="83">
        <f>IF(OR(X1046="估算法",X1046="算法类",X1046="无法识别"),"",IF(W1046="",IF(OR(I1046="ILF",I1046="EIF"),0,""),LEN(W1046)-LEN(SUBSTITUTE(W1046,"、",""))+1))</f>
        <v/>
      </c>
      <c r="N1046" s="83">
        <f>IF(OR(X1046="估算法",X1046="算法类",X1046="无法识别"),"",IF(X1046="",IF(OR(I1046="ILF",I1046="EIF",I1046="EI",I1046="EO",I1046="EQ"),0,""),LEN(X1046)-LEN(SUBSTITUTE(SUBSTITUTE(SUBSTITUTE(SUBSTITUTE(SUBSTITUTE(X1046,"|}","--"),"{|","--"),CHAR(10),""),"、",""),"|",""))+IF(AND(OR(I1046="EI",I1046="EO",I1046="EQ"),$AD$1="NESMA"),2,1)))</f>
        <v/>
      </c>
      <c r="O1046" s="84">
        <f>IF(I1046="EI",IF(OR(X1046="估算法",X1046="算法类"),"中",IF(X1046="无法识别","低",IF(L1046&lt;2,IF(N1046&lt;16,"低","中"),IF(L1046&lt;3,IF(N1046&lt;5,"低",IF(N1046&lt;16,"中","高")),IF(N1046&lt;5,"中","高"))))),IF(OR(I1046="EO",I1046="EQ"),IF(OR(X1046="估算法",X1046="算法类"),"中",IF(X1046="无法识别","低",IF(L1046&lt;2,IF(N1046&lt;20,"低","中"),IF(L1046&lt;4,IF(N1046&lt;6,"低",IF(N1046&lt;20,"中","高")),IF(N1046&lt;6,"中","高"))))),IF(OR(I1046="ILF",I1046="EIF"),IF(OR(X1046="估算法",X1046="算法类",X1046="无法识别"),"低",IF(M1046&lt;2,IF(N1046&lt;51,"低","中"),IF(M1046&lt;6,IF(N1046&lt;20,"低",IF(N1046&lt;51,"中","高")),IF(N1046&lt;20,"中","高")))),"不计算")))</f>
        <v/>
      </c>
      <c r="P1046" s="142">
        <f>IFERROR(IF(I1046="EI",IF(O1046="低",3,IF(O1046="中",4,6)),IF(I1046="EO",IF(O1046="低",4,IF(O1046="中",5,7)),IF(I1046="EQ",IF(O1046="低",3,IF(O1046="中",4,6)),IF(I1046="ILF",IF(O1046="低",7,IF(O1046="中",10,15)),IF(I1046="EIF",IF(O1046="低",5,IF(O1046="中",7,10)),"不计算")))))*Q1046,"不计算")</f>
        <v/>
      </c>
      <c r="Q1046" s="142" t="n">
        <v>1</v>
      </c>
      <c r="R1046" s="143">
        <f>调整因子!$F$13</f>
        <v/>
      </c>
      <c r="S1046" s="70" t="n">
        <v>1</v>
      </c>
      <c r="T1046" s="144">
        <f>IFERROR(P1046*R1046,0)</f>
        <v/>
      </c>
      <c r="U1046" s="145">
        <f>T1046*S1046</f>
        <v/>
      </c>
      <c r="V1046" s="96" t="inlineStr">
        <is>
          <t>模板参数配置表、加密策略表、故障诊断结果表、漏洞趋势数据表、扫描策略模板表</t>
        </is>
      </c>
      <c r="W1046" s="96" t="inlineStr"/>
      <c r="X1046" s="111" t="inlineStr">
        <is>
          <t>模板参数配置表{配置ID、配置名称|配置ID、配置名称、配置类型、配置值、创建时间}
加密策略表{策略ID、策略名称|策略ID、策略名称、策略类型、策略内容、生效时间}
故障诊断结果表{ID、名称|ID、名称、类型、状态、创建时间、更新时间}
漏洞趋势数据表{漏洞ID、漏洞名称|漏洞ID、漏洞名称、漏洞等级、漏洞类型、CVE编号、发现时间、修复状态}
扫描策略模板表{任务ID、任务名称|任务ID、任务名称、任务状态、扫描器类型、开始时间、结束时间、扫描结果}</t>
        </is>
      </c>
      <c r="Y1046" s="88" t="n"/>
      <c r="Z1046" s="88" t="n"/>
    </row>
    <row r="1047" hidden="1" ht="64.8" customHeight="1">
      <c r="A1047" s="69">
        <f>ROW()-1</f>
        <v/>
      </c>
      <c r="B1047" s="53" t="n"/>
      <c r="C1047" s="117" t="n">
        <v>2026</v>
      </c>
      <c r="D1047" s="64" t="n"/>
      <c r="E1047" s="53" t="n"/>
      <c r="F1047" s="53" t="n"/>
      <c r="G1047" s="53" t="n"/>
      <c r="H1047" s="96" t="inlineStr">
        <is>
          <t>查询标准化规则</t>
        </is>
      </c>
      <c r="I1047" s="76" t="inlineStr">
        <is>
          <t>EQ</t>
        </is>
      </c>
      <c r="J1047" s="95" t="n"/>
      <c r="K1047" s="95" t="inlineStr">
        <is>
          <t>处理流程和上行基本一致，为查询功能，未体现详情功能</t>
        </is>
      </c>
      <c r="L1047" s="83">
        <f>IF(OR(X1047="估算法",X1047="算法类",X1047="无法识别"),"",IF(V1047="",IF(OR(I1047="EI",I1047="EO",I1047="EQ"),0,""),LEN(V1047)-LEN(SUBSTITUTE(V1047,"、",""))+1))</f>
        <v/>
      </c>
      <c r="M1047" s="83">
        <f>IF(OR(X1047="估算法",X1047="算法类",X1047="无法识别"),"",IF(W1047="",IF(OR(I1047="ILF",I1047="EIF"),0,""),LEN(W1047)-LEN(SUBSTITUTE(W1047,"、",""))+1))</f>
        <v/>
      </c>
      <c r="N1047" s="83">
        <f>IF(OR(X1047="估算法",X1047="算法类",X1047="无法识别"),"",IF(X1047="",IF(OR(I1047="ILF",I1047="EIF",I1047="EI",I1047="EO",I1047="EQ"),0,""),LEN(X1047)-LEN(SUBSTITUTE(SUBSTITUTE(SUBSTITUTE(SUBSTITUTE(SUBSTITUTE(X1047,"|}","--"),"{|","--"),CHAR(10),""),"、",""),"|",""))+IF(AND(OR(I1047="EI",I1047="EO",I1047="EQ"),$AD$1="NESMA"),2,1)))</f>
        <v/>
      </c>
      <c r="O1047" s="84">
        <f>IF(I1047="EI",IF(OR(X1047="估算法",X1047="算法类"),"中",IF(X1047="无法识别","低",IF(L1047&lt;2,IF(N1047&lt;16,"低","中"),IF(L1047&lt;3,IF(N1047&lt;5,"低",IF(N1047&lt;16,"中","高")),IF(N1047&lt;5,"中","高"))))),IF(OR(I1047="EO",I1047="EQ"),IF(OR(X1047="估算法",X1047="算法类"),"中",IF(X1047="无法识别","低",IF(L1047&lt;2,IF(N1047&lt;20,"低","中"),IF(L1047&lt;4,IF(N1047&lt;6,"低",IF(N1047&lt;20,"中","高")),IF(N1047&lt;6,"中","高"))))),IF(OR(I1047="ILF",I1047="EIF"),IF(OR(X1047="估算法",X1047="算法类",X1047="无法识别"),"低",IF(M1047&lt;2,IF(N1047&lt;51,"低","中"),IF(M1047&lt;6,IF(N1047&lt;20,"低",IF(N1047&lt;51,"中","高")),IF(N1047&lt;20,"中","高")))),"不计算")))</f>
        <v/>
      </c>
      <c r="P1047" s="142">
        <f>IFERROR(IF(I1047="EI",IF(O1047="低",3,IF(O1047="中",4,6)),IF(I1047="EO",IF(O1047="低",4,IF(O1047="中",5,7)),IF(I1047="EQ",IF(O1047="低",3,IF(O1047="中",4,6)),IF(I1047="ILF",IF(O1047="低",7,IF(O1047="中",10,15)),IF(I1047="EIF",IF(O1047="低",5,IF(O1047="中",7,10)),"不计算")))))*Q1047,"不计算")</f>
        <v/>
      </c>
      <c r="Q1047" s="142" t="n">
        <v>0.333333333333333</v>
      </c>
      <c r="R1047" s="143">
        <f>调整因子!$F$13</f>
        <v/>
      </c>
      <c r="S1047" s="76" t="n">
        <v>1</v>
      </c>
      <c r="T1047" s="144">
        <f>IFERROR(P1047*R1047,0)</f>
        <v/>
      </c>
      <c r="U1047" s="145">
        <f>T1047*S1047</f>
        <v/>
      </c>
      <c r="V1047" s="96" t="inlineStr">
        <is>
          <t>推送规则表、提醒规则表、脱敏规则表、加密规则表、扫描盲区记录表</t>
        </is>
      </c>
      <c r="W1047" s="96" t="inlineStr"/>
      <c r="X1047"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扫描盲区记录表{任务ID、任务名称|任务ID、任务名称、任务状态、扫描器类型、开始时间、结束时间、扫描结果}</t>
        </is>
      </c>
      <c r="Y1047" s="88" t="n"/>
      <c r="Z1047" s="88" t="n"/>
    </row>
    <row r="1048" hidden="1" ht="64.8" customHeight="1">
      <c r="A1048" s="69">
        <f>ROW()-1</f>
        <v/>
      </c>
      <c r="B1048" s="53" t="n"/>
      <c r="C1048" s="117" t="n">
        <v>2026</v>
      </c>
      <c r="D1048" s="64" t="n"/>
      <c r="E1048" s="53" t="n"/>
      <c r="F1048" s="53" t="n"/>
      <c r="G1048" s="54" t="n"/>
      <c r="H1048" s="96" t="inlineStr">
        <is>
          <t>查看标准化结果</t>
        </is>
      </c>
      <c r="I1048" s="76" t="inlineStr">
        <is>
          <t>EQ</t>
        </is>
      </c>
      <c r="J1048" s="95" t="n"/>
      <c r="K1048" s="95" t="inlineStr">
        <is>
          <t>处理流程和上行基本一致，为查询功能，未体现详情功能</t>
        </is>
      </c>
      <c r="L1048" s="83">
        <f>IF(OR(X1048="估算法",X1048="算法类",X1048="无法识别"),"",IF(V1048="",IF(OR(I1048="EI",I1048="EO",I1048="EQ"),0,""),LEN(V1048)-LEN(SUBSTITUTE(V1048,"、",""))+1))</f>
        <v/>
      </c>
      <c r="M1048" s="83">
        <f>IF(OR(X1048="估算法",X1048="算法类",X1048="无法识别"),"",IF(W1048="",IF(OR(I1048="ILF",I1048="EIF"),0,""),LEN(W1048)-LEN(SUBSTITUTE(W1048,"、",""))+1))</f>
        <v/>
      </c>
      <c r="N1048" s="83">
        <f>IF(OR(X1048="估算法",X1048="算法类",X1048="无法识别"),"",IF(X1048="",IF(OR(I1048="ILF",I1048="EIF",I1048="EI",I1048="EO",I1048="EQ"),0,""),LEN(X1048)-LEN(SUBSTITUTE(SUBSTITUTE(SUBSTITUTE(SUBSTITUTE(SUBSTITUTE(X1048,"|}","--"),"{|","--"),CHAR(10),""),"、",""),"|",""))+IF(AND(OR(I1048="EI",I1048="EO",I1048="EQ"),$AD$1="NESMA"),2,1)))</f>
        <v/>
      </c>
      <c r="O1048" s="84">
        <f>IF(I1048="EI",IF(OR(X1048="估算法",X1048="算法类"),"中",IF(X1048="无法识别","低",IF(L1048&lt;2,IF(N1048&lt;16,"低","中"),IF(L1048&lt;3,IF(N1048&lt;5,"低",IF(N1048&lt;16,"中","高")),IF(N1048&lt;5,"中","高"))))),IF(OR(I1048="EO",I1048="EQ"),IF(OR(X1048="估算法",X1048="算法类"),"中",IF(X1048="无法识别","低",IF(L1048&lt;2,IF(N1048&lt;20,"低","中"),IF(L1048&lt;4,IF(N1048&lt;6,"低",IF(N1048&lt;20,"中","高")),IF(N1048&lt;6,"中","高"))))),IF(OR(I1048="ILF",I1048="EIF"),IF(OR(X1048="估算法",X1048="算法类",X1048="无法识别"),"低",IF(M1048&lt;2,IF(N1048&lt;51,"低","中"),IF(M1048&lt;6,IF(N1048&lt;20,"低",IF(N1048&lt;51,"中","高")),IF(N1048&lt;20,"中","高")))),"不计算")))</f>
        <v/>
      </c>
      <c r="P1048" s="142">
        <f>IFERROR(IF(I1048="EI",IF(O1048="低",3,IF(O1048="中",4,6)),IF(I1048="EO",IF(O1048="低",4,IF(O1048="中",5,7)),IF(I1048="EQ",IF(O1048="低",3,IF(O1048="中",4,6)),IF(I1048="ILF",IF(O1048="低",7,IF(O1048="中",10,15)),IF(I1048="EIF",IF(O1048="低",5,IF(O1048="中",7,10)),"不计算")))))*Q1048,"不计算")</f>
        <v/>
      </c>
      <c r="Q1048" s="142" t="n">
        <v>0.333333333333333</v>
      </c>
      <c r="R1048" s="143">
        <f>调整因子!$F$13</f>
        <v/>
      </c>
      <c r="S1048" s="76" t="n">
        <v>1</v>
      </c>
      <c r="T1048" s="144">
        <f>IFERROR(P1048*R1048,0)</f>
        <v/>
      </c>
      <c r="U1048" s="145">
        <f>T1048*S1048</f>
        <v/>
      </c>
      <c r="V1048" s="96" t="inlineStr">
        <is>
          <t>离线扫描报告表、脱敏规则表、模板分类表、扫描盲区记录表</t>
        </is>
      </c>
      <c r="W1048" s="96" t="inlineStr"/>
      <c r="X1048" s="111" t="inlineStr">
        <is>
          <t>离线扫描报告表{任务ID、任务名称|任务ID、任务名称、任务状态、扫描器类型、开始时间、结束时间、扫描结果}
脱敏规则表{规则ID、规则名称|规则ID、规则名称、规则类型、规则条件、创建时间}
模板分类表{ID、名称|ID、名称、类型、状态、创建时间、更新时间}
扫描盲区记录表{任务ID、任务名称|任务ID、任务名称、任务状态、扫描器类型、开始时间、结束时间、扫描结果}</t>
        </is>
      </c>
      <c r="Y1048" s="88" t="n"/>
      <c r="Z1048" s="88" t="n"/>
    </row>
    <row r="1049" hidden="1" ht="97.2" customHeight="1">
      <c r="A1049" s="69">
        <f>ROW()-1</f>
        <v/>
      </c>
      <c r="B1049" s="53" t="n"/>
      <c r="C1049" s="117" t="n">
        <v>2026</v>
      </c>
      <c r="D1049" s="64" t="n"/>
      <c r="E1049" s="53" t="n"/>
      <c r="F1049" s="53" t="n"/>
      <c r="G1049" s="111" t="inlineStr">
        <is>
          <t>报告数据入库管理</t>
        </is>
      </c>
      <c r="H1049" s="96" t="inlineStr">
        <is>
          <t>导出入库记录</t>
        </is>
      </c>
      <c r="I1049" s="76" t="inlineStr">
        <is>
          <t>EO</t>
        </is>
      </c>
      <c r="J1049" s="95" t="n"/>
      <c r="K1049" s="95" t="n"/>
      <c r="L1049" s="83">
        <f>IF(OR(X1049="估算法",X1049="算法类",X1049="无法识别"),"",IF(V1049="",IF(OR(I1049="EI",I1049="EO",I1049="EQ"),0,""),LEN(V1049)-LEN(SUBSTITUTE(V1049,"、",""))+1))</f>
        <v/>
      </c>
      <c r="M1049" s="83">
        <f>IF(OR(X1049="估算法",X1049="算法类",X1049="无法识别"),"",IF(W1049="",IF(OR(I1049="ILF",I1049="EIF"),0,""),LEN(W1049)-LEN(SUBSTITUTE(W1049,"、",""))+1))</f>
        <v/>
      </c>
      <c r="N1049" s="83">
        <f>IF(OR(X1049="估算法",X1049="算法类",X1049="无法识别"),"",IF(X1049="",IF(OR(I1049="ILF",I1049="EIF",I1049="EI",I1049="EO",I1049="EQ"),0,""),LEN(X1049)-LEN(SUBSTITUTE(SUBSTITUTE(SUBSTITUTE(SUBSTITUTE(SUBSTITUTE(X1049,"|}","--"),"{|","--"),CHAR(10),""),"、",""),"|",""))+IF(AND(OR(I1049="EI",I1049="EO",I1049="EQ"),$AD$1="NESMA"),2,1)))</f>
        <v/>
      </c>
      <c r="O1049" s="84">
        <f>IF(I1049="EI",IF(OR(X1049="估算法",X1049="算法类"),"中",IF(X1049="无法识别","低",IF(L1049&lt;2,IF(N1049&lt;16,"低","中"),IF(L1049&lt;3,IF(N1049&lt;5,"低",IF(N1049&lt;16,"中","高")),IF(N1049&lt;5,"中","高"))))),IF(OR(I1049="EO",I1049="EQ"),IF(OR(X1049="估算法",X1049="算法类"),"中",IF(X1049="无法识别","低",IF(L1049&lt;2,IF(N1049&lt;20,"低","中"),IF(L1049&lt;4,IF(N1049&lt;6,"低",IF(N1049&lt;20,"中","高")),IF(N1049&lt;6,"中","高"))))),IF(OR(I1049="ILF",I1049="EIF"),IF(OR(X1049="估算法",X1049="算法类",X1049="无法识别"),"低",IF(M1049&lt;2,IF(N1049&lt;51,"低","中"),IF(M1049&lt;6,IF(N1049&lt;20,"低",IF(N1049&lt;51,"中","高")),IF(N1049&lt;20,"中","高")))),"不计算")))</f>
        <v/>
      </c>
      <c r="P1049" s="142">
        <f>IFERROR(IF(I1049="EI",IF(O1049="低",3,IF(O1049="中",4,6)),IF(I1049="EO",IF(O1049="低",4,IF(O1049="中",5,7)),IF(I1049="EQ",IF(O1049="低",3,IF(O1049="中",4,6)),IF(I1049="ILF",IF(O1049="低",7,IF(O1049="中",10,15)),IF(I1049="EIF",IF(O1049="低",5,IF(O1049="中",7,10)),"不计算")))))*Q1049,"不计算")</f>
        <v/>
      </c>
      <c r="Q1049" s="142" t="n">
        <v>1</v>
      </c>
      <c r="R1049" s="143">
        <f>调整因子!$F$13</f>
        <v/>
      </c>
      <c r="S1049" s="70" t="n">
        <v>1</v>
      </c>
      <c r="T1049" s="144">
        <f>IFERROR(P1049*R1049,0)</f>
        <v/>
      </c>
      <c r="U1049" s="145">
        <f>T1049*S1049</f>
        <v/>
      </c>
      <c r="V1049" s="96" t="inlineStr">
        <is>
          <t>任务日志表、离线扫描报告表、验证记录表、任务统计数据表、资产查询接口配置表</t>
        </is>
      </c>
      <c r="W1049" s="96" t="inlineStr"/>
      <c r="X1049" s="111" t="inlineStr">
        <is>
          <t>任务日志表{任务ID、任务名称|任务ID、任务名称、任务类型、任务状态、创建时间、执行时间}
离线扫描报告表{任务ID、任务名称|任务ID、任务名称、任务状态、扫描器类型、开始时间、结束时间、扫描结果}
验证记录表{ID、名称|ID、名称、类型、状态、创建时间、更新时间}
任务统计数据表{任务ID、任务名称|任务ID、任务名称、任务类型、任务状态、创建时间、执行时间}
资产查询接口配置表{资产ID、资产名称|资产ID、资产名称、IP地址、资产类型、资产状态、创建时间、更新时间}</t>
        </is>
      </c>
      <c r="Y1049" s="88" t="n"/>
      <c r="Z1049" s="88" t="n"/>
    </row>
    <row r="1050" hidden="1" ht="43.2" customHeight="1">
      <c r="A1050" s="69">
        <f>ROW()-1</f>
        <v/>
      </c>
      <c r="B1050" s="53" t="n"/>
      <c r="C1050" s="117" t="n">
        <v>2026</v>
      </c>
      <c r="D1050" s="64" t="n"/>
      <c r="E1050" s="53" t="n"/>
      <c r="F1050" s="53" t="n"/>
      <c r="G1050" s="53" t="n"/>
      <c r="H1050" s="96" t="inlineStr">
        <is>
          <t>查询入库记录</t>
        </is>
      </c>
      <c r="I1050" s="76" t="inlineStr">
        <is>
          <t>EO</t>
        </is>
      </c>
      <c r="J1050" s="95" t="n"/>
      <c r="K1050" s="95" t="inlineStr">
        <is>
          <t>处理流程和上行基本一致，为查询功能，未体现详情功能</t>
        </is>
      </c>
      <c r="L1050" s="83">
        <f>IF(OR(X1050="估算法",X1050="算法类",X1050="无法识别"),"",IF(V1050="",IF(OR(I1050="EI",I1050="EO",I1050="EQ"),0,""),LEN(V1050)-LEN(SUBSTITUTE(V1050,"、",""))+1))</f>
        <v/>
      </c>
      <c r="M1050" s="83">
        <f>IF(OR(X1050="估算法",X1050="算法类",X1050="无法识别"),"",IF(W1050="",IF(OR(I1050="ILF",I1050="EIF"),0,""),LEN(W1050)-LEN(SUBSTITUTE(W1050,"、",""))+1))</f>
        <v/>
      </c>
      <c r="N1050" s="83">
        <f>IF(OR(X1050="估算法",X1050="算法类",X1050="无法识别"),"",IF(X1050="",IF(OR(I1050="ILF",I1050="EIF",I1050="EI",I1050="EO",I1050="EQ"),0,""),LEN(X1050)-LEN(SUBSTITUTE(SUBSTITUTE(SUBSTITUTE(SUBSTITUTE(SUBSTITUTE(X1050,"|}","--"),"{|","--"),CHAR(10),""),"、",""),"|",""))+IF(AND(OR(I1050="EI",I1050="EO",I1050="EQ"),$AD$1="NESMA"),2,1)))</f>
        <v/>
      </c>
      <c r="O1050" s="84">
        <f>IF(I1050="EI",IF(OR(X1050="估算法",X1050="算法类"),"中",IF(X1050="无法识别","低",IF(L1050&lt;2,IF(N1050&lt;16,"低","中"),IF(L1050&lt;3,IF(N1050&lt;5,"低",IF(N1050&lt;16,"中","高")),IF(N1050&lt;5,"中","高"))))),IF(OR(I1050="EO",I1050="EQ"),IF(OR(X1050="估算法",X1050="算法类"),"中",IF(X1050="无法识别","低",IF(L1050&lt;2,IF(N1050&lt;20,"低","中"),IF(L1050&lt;4,IF(N1050&lt;6,"低",IF(N1050&lt;20,"中","高")),IF(N1050&lt;6,"中","高"))))),IF(OR(I1050="ILF",I1050="EIF"),IF(OR(X1050="估算法",X1050="算法类",X1050="无法识别"),"低",IF(M1050&lt;2,IF(N1050&lt;51,"低","中"),IF(M1050&lt;6,IF(N1050&lt;20,"低",IF(N1050&lt;51,"中","高")),IF(N1050&lt;20,"中","高")))),"不计算")))</f>
        <v/>
      </c>
      <c r="P1050" s="142">
        <f>IFERROR(IF(I1050="EI",IF(O1050="低",3,IF(O1050="中",4,6)),IF(I1050="EO",IF(O1050="低",4,IF(O1050="中",5,7)),IF(I1050="EQ",IF(O1050="低",3,IF(O1050="中",4,6)),IF(I1050="ILF",IF(O1050="低",7,IF(O1050="中",10,15)),IF(I1050="EIF",IF(O1050="低",5,IF(O1050="中",7,10)),"不计算")))))*Q1050,"不计算")</f>
        <v/>
      </c>
      <c r="Q1050" s="142" t="n">
        <v>0.333333333333333</v>
      </c>
      <c r="R1050" s="143">
        <f>调整因子!$F$13</f>
        <v/>
      </c>
      <c r="S1050" s="70" t="n">
        <v>1</v>
      </c>
      <c r="T1050" s="144">
        <f>IFERROR(P1050*R1050,0)</f>
        <v/>
      </c>
      <c r="U1050" s="145">
        <f>T1050*S1050</f>
        <v/>
      </c>
      <c r="V1050" s="96" t="inlineStr">
        <is>
          <t>处置单关联表、处置流程定义表、加密规则表、推送结果表</t>
        </is>
      </c>
      <c r="W1050" s="96" t="inlineStr"/>
      <c r="X1050" s="111" t="inlineStr">
        <is>
          <t>处置单关联表{ID、名称|ID、名称、类型、状态、创建时间、更新时间}
处置流程定义表{ID、名称|ID、名称、类型、状态、创建时间、更新时间}
加密规则表{规则ID、规则名称|规则ID、规则名称、规则类型、规则条件、创建时间}
推送结果表{ID、名称|ID、名称、类型、状态、创建时间、更新时间}</t>
        </is>
      </c>
      <c r="Y1050" s="88" t="n"/>
      <c r="Z1050" s="88" t="n"/>
    </row>
    <row r="1051" hidden="1" ht="75.59999999999999" customHeight="1">
      <c r="A1051" s="69">
        <f>ROW()-1</f>
        <v/>
      </c>
      <c r="B1051" s="53" t="n"/>
      <c r="C1051" s="117" t="n">
        <v>2026</v>
      </c>
      <c r="D1051" s="64" t="n"/>
      <c r="E1051" s="53" t="n"/>
      <c r="F1051" s="54" t="n"/>
      <c r="G1051" s="54" t="n"/>
      <c r="H1051" s="96" t="inlineStr">
        <is>
          <t>查看入库详情</t>
        </is>
      </c>
      <c r="I1051" s="76" t="inlineStr">
        <is>
          <t>EQ</t>
        </is>
      </c>
      <c r="J1051" s="95" t="n"/>
      <c r="K1051" s="95" t="inlineStr">
        <is>
          <t>处理流程和上行基本一致，为查询功能，未体现详情功能</t>
        </is>
      </c>
      <c r="L1051" s="83">
        <f>IF(OR(X1051="估算法",X1051="算法类",X1051="无法识别"),"",IF(V1051="",IF(OR(I1051="EI",I1051="EO",I1051="EQ"),0,""),LEN(V1051)-LEN(SUBSTITUTE(V1051,"、",""))+1))</f>
        <v/>
      </c>
      <c r="M1051" s="83">
        <f>IF(OR(X1051="估算法",X1051="算法类",X1051="无法识别"),"",IF(W1051="",IF(OR(I1051="ILF",I1051="EIF"),0,""),LEN(W1051)-LEN(SUBSTITUTE(W1051,"、",""))+1))</f>
        <v/>
      </c>
      <c r="N1051" s="83">
        <f>IF(OR(X1051="估算法",X1051="算法类",X1051="无法识别"),"",IF(X1051="",IF(OR(I1051="ILF",I1051="EIF",I1051="EI",I1051="EO",I1051="EQ"),0,""),LEN(X1051)-LEN(SUBSTITUTE(SUBSTITUTE(SUBSTITUTE(SUBSTITUTE(SUBSTITUTE(X1051,"|}","--"),"{|","--"),CHAR(10),""),"、",""),"|",""))+IF(AND(OR(I1051="EI",I1051="EO",I1051="EQ"),$AD$1="NESMA"),2,1)))</f>
        <v/>
      </c>
      <c r="O1051" s="84">
        <f>IF(I1051="EI",IF(OR(X1051="估算法",X1051="算法类"),"中",IF(X1051="无法识别","低",IF(L1051&lt;2,IF(N1051&lt;16,"低","中"),IF(L1051&lt;3,IF(N1051&lt;5,"低",IF(N1051&lt;16,"中","高")),IF(N1051&lt;5,"中","高"))))),IF(OR(I1051="EO",I1051="EQ"),IF(OR(X1051="估算法",X1051="算法类"),"中",IF(X1051="无法识别","低",IF(L1051&lt;2,IF(N1051&lt;20,"低","中"),IF(L1051&lt;4,IF(N1051&lt;6,"低",IF(N1051&lt;20,"中","高")),IF(N1051&lt;6,"中","高"))))),IF(OR(I1051="ILF",I1051="EIF"),IF(OR(X1051="估算法",X1051="算法类",X1051="无法识别"),"低",IF(M1051&lt;2,IF(N1051&lt;51,"低","中"),IF(M1051&lt;6,IF(N1051&lt;20,"低",IF(N1051&lt;51,"中","高")),IF(N1051&lt;20,"中","高")))),"不计算")))</f>
        <v/>
      </c>
      <c r="P1051" s="142">
        <f>IFERROR(IF(I1051="EI",IF(O1051="低",3,IF(O1051="中",4,6)),IF(I1051="EO",IF(O1051="低",4,IF(O1051="中",5,7)),IF(I1051="EQ",IF(O1051="低",3,IF(O1051="中",4,6)),IF(I1051="ILF",IF(O1051="低",7,IF(O1051="中",10,15)),IF(I1051="EIF",IF(O1051="低",5,IF(O1051="中",7,10)),"不计算")))))*Q1051,"不计算")</f>
        <v/>
      </c>
      <c r="Q1051" s="142" t="n">
        <v>0.333333333333333</v>
      </c>
      <c r="R1051" s="143">
        <f>调整因子!$F$13</f>
        <v/>
      </c>
      <c r="S1051" s="76" t="n">
        <v>1</v>
      </c>
      <c r="T1051" s="144">
        <f>IFERROR(P1051*R1051,0)</f>
        <v/>
      </c>
      <c r="U1051" s="145">
        <f>T1051*S1051</f>
        <v/>
      </c>
      <c r="V1051" s="96" t="inlineStr">
        <is>
          <t>指标权重表、加密策略表、脱敏规则表、数据清洗任务表、离线扫描报告表</t>
        </is>
      </c>
      <c r="W1051" s="96" t="inlineStr"/>
      <c r="X1051" s="111" t="inlineStr">
        <is>
          <t>指标权重表{ID、名称|ID、名称、类型、状态、创建时间、更新时间}
加密策略表{策略ID、策略名称|策略ID、策略名称、策略类型、策略内容、生效时间}
脱敏规则表{规则ID、规则名称|规则ID、规则名称、规则类型、规则条件、创建时间}
数据清洗任务表{任务ID、任务名称|任务ID、任务名称、任务类型、任务状态、创建时间、执行时间}
离线扫描报告表{任务ID、任务名称|任务ID、任务名称、任务状态、扫描器类型、开始时间、结束时间、扫描结果}</t>
        </is>
      </c>
      <c r="Y1051" s="88" t="n"/>
      <c r="Z1051" s="88" t="n"/>
    </row>
    <row r="1052" hidden="1" ht="86.40000000000001" customHeight="1">
      <c r="A1052" s="69">
        <f>ROW()-1</f>
        <v/>
      </c>
      <c r="B1052" s="53" t="n"/>
      <c r="C1052" s="117" t="n">
        <v>2026</v>
      </c>
      <c r="D1052" s="64" t="n"/>
      <c r="E1052" s="53" t="n"/>
      <c r="F1052" s="111" t="inlineStr">
        <is>
          <t>扫描规划与调度</t>
        </is>
      </c>
      <c r="G1052" s="111" t="inlineStr">
        <is>
          <t>扫描计划管理</t>
        </is>
      </c>
      <c r="H1052" s="96" t="inlineStr">
        <is>
          <t>编辑扫描计划</t>
        </is>
      </c>
      <c r="I1052" s="76" t="inlineStr">
        <is>
          <t>EI</t>
        </is>
      </c>
      <c r="J1052" s="95" t="n"/>
      <c r="K1052" s="95" t="n"/>
      <c r="L1052" s="83">
        <f>IF(OR(X1052="估算法",X1052="算法类",X1052="无法识别"),"",IF(V1052="",IF(OR(I1052="EI",I1052="EO",I1052="EQ"),0,""),LEN(V1052)-LEN(SUBSTITUTE(V1052,"、",""))+1))</f>
        <v/>
      </c>
      <c r="M1052" s="83">
        <f>IF(OR(X1052="估算法",X1052="算法类",X1052="无法识别"),"",IF(W1052="",IF(OR(I1052="ILF",I1052="EIF"),0,""),LEN(W1052)-LEN(SUBSTITUTE(W1052,"、",""))+1))</f>
        <v/>
      </c>
      <c r="N1052" s="83">
        <f>IF(OR(X1052="估算法",X1052="算法类",X1052="无法识别"),"",IF(X1052="",IF(OR(I1052="ILF",I1052="EIF",I1052="EI",I1052="EO",I1052="EQ"),0,""),LEN(X1052)-LEN(SUBSTITUTE(SUBSTITUTE(SUBSTITUTE(SUBSTITUTE(SUBSTITUTE(X1052,"|}","--"),"{|","--"),CHAR(10),""),"、",""),"|",""))+IF(AND(OR(I1052="EI",I1052="EO",I1052="EQ"),$AD$1="NESMA"),2,1)))</f>
        <v/>
      </c>
      <c r="O1052" s="84">
        <f>IF(I1052="EI",IF(OR(X1052="估算法",X1052="算法类"),"中",IF(X1052="无法识别","低",IF(L1052&lt;2,IF(N1052&lt;16,"低","中"),IF(L1052&lt;3,IF(N1052&lt;5,"低",IF(N1052&lt;16,"中","高")),IF(N1052&lt;5,"中","高"))))),IF(OR(I1052="EO",I1052="EQ"),IF(OR(X1052="估算法",X1052="算法类"),"中",IF(X1052="无法识别","低",IF(L1052&lt;2,IF(N1052&lt;20,"低","中"),IF(L1052&lt;4,IF(N1052&lt;6,"低",IF(N1052&lt;20,"中","高")),IF(N1052&lt;6,"中","高"))))),IF(OR(I1052="ILF",I1052="EIF"),IF(OR(X1052="估算法",X1052="算法类",X1052="无法识别"),"低",IF(M1052&lt;2,IF(N1052&lt;51,"低","中"),IF(M1052&lt;6,IF(N1052&lt;20,"低",IF(N1052&lt;51,"中","高")),IF(N1052&lt;20,"中","高")))),"不计算")))</f>
        <v/>
      </c>
      <c r="P1052" s="142">
        <f>IFERROR(IF(I1052="EI",IF(O1052="低",3,IF(O1052="中",4,6)),IF(I1052="EO",IF(O1052="低",4,IF(O1052="中",5,7)),IF(I1052="EQ",IF(O1052="低",3,IF(O1052="中",4,6)),IF(I1052="ILF",IF(O1052="低",7,IF(O1052="中",10,15)),IF(I1052="EIF",IF(O1052="低",5,IF(O1052="中",7,10)),"不计算")))))*Q1052,"不计算")</f>
        <v/>
      </c>
      <c r="Q1052" s="142" t="n">
        <v>1</v>
      </c>
      <c r="R1052" s="143">
        <f>调整因子!$F$13</f>
        <v/>
      </c>
      <c r="S1052" s="70" t="n">
        <v>1</v>
      </c>
      <c r="T1052" s="144">
        <f>IFERROR(P1052*R1052,0)</f>
        <v/>
      </c>
      <c r="U1052" s="145">
        <f>T1052*S1052</f>
        <v/>
      </c>
      <c r="V1052" s="96" t="inlineStr">
        <is>
          <t>资产扫描覆盖表、扫描盲区记录表、扫描能力缺口表、离线扫描报告表</t>
        </is>
      </c>
      <c r="W1052" s="96" t="inlineStr"/>
      <c r="X1052"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Y1052" s="88" t="n"/>
      <c r="Z1052" s="88" t="n"/>
    </row>
    <row r="1053" hidden="1" ht="64.8" customHeight="1">
      <c r="A1053" s="69">
        <f>ROW()-1</f>
        <v/>
      </c>
      <c r="B1053" s="53" t="n"/>
      <c r="C1053" s="117" t="n">
        <v>2026</v>
      </c>
      <c r="D1053" s="64" t="n"/>
      <c r="E1053" s="53" t="n"/>
      <c r="F1053" s="53" t="n"/>
      <c r="G1053" s="53" t="n"/>
      <c r="H1053" s="96" t="inlineStr">
        <is>
          <t>删除扫描计划</t>
        </is>
      </c>
      <c r="I1053" s="76" t="inlineStr">
        <is>
          <t>EI</t>
        </is>
      </c>
      <c r="J1053" s="95" t="n"/>
      <c r="K1053" s="95" t="n"/>
      <c r="L1053" s="83">
        <f>IF(OR(X1053="估算法",X1053="算法类",X1053="无法识别"),"",IF(V1053="",IF(OR(I1053="EI",I1053="EO",I1053="EQ"),0,""),LEN(V1053)-LEN(SUBSTITUTE(V1053,"、",""))+1))</f>
        <v/>
      </c>
      <c r="M1053" s="83">
        <f>IF(OR(X1053="估算法",X1053="算法类",X1053="无法识别"),"",IF(W1053="",IF(OR(I1053="ILF",I1053="EIF"),0,""),LEN(W1053)-LEN(SUBSTITUTE(W1053,"、",""))+1))</f>
        <v/>
      </c>
      <c r="N1053" s="83">
        <f>IF(OR(X1053="估算法",X1053="算法类",X1053="无法识别"),"",IF(X1053="",IF(OR(I1053="ILF",I1053="EIF",I1053="EI",I1053="EO",I1053="EQ"),0,""),LEN(X1053)-LEN(SUBSTITUTE(SUBSTITUTE(SUBSTITUTE(SUBSTITUTE(SUBSTITUTE(X1053,"|}","--"),"{|","--"),CHAR(10),""),"、",""),"|",""))+IF(AND(OR(I1053="EI",I1053="EO",I1053="EQ"),$AD$1="NESMA"),2,1)))</f>
        <v/>
      </c>
      <c r="O1053" s="84">
        <f>IF(I1053="EI",IF(OR(X1053="估算法",X1053="算法类"),"中",IF(X1053="无法识别","低",IF(L1053&lt;2,IF(N1053&lt;16,"低","中"),IF(L1053&lt;3,IF(N1053&lt;5,"低",IF(N1053&lt;16,"中","高")),IF(N1053&lt;5,"中","高"))))),IF(OR(I1053="EO",I1053="EQ"),IF(OR(X1053="估算法",X1053="算法类"),"中",IF(X1053="无法识别","低",IF(L1053&lt;2,IF(N1053&lt;20,"低","中"),IF(L1053&lt;4,IF(N1053&lt;6,"低",IF(N1053&lt;20,"中","高")),IF(N1053&lt;6,"中","高"))))),IF(OR(I1053="ILF",I1053="EIF"),IF(OR(X1053="估算法",X1053="算法类",X1053="无法识别"),"低",IF(M1053&lt;2,IF(N1053&lt;51,"低","中"),IF(M1053&lt;6,IF(N1053&lt;20,"低",IF(N1053&lt;51,"中","高")),IF(N1053&lt;20,"中","高")))),"不计算")))</f>
        <v/>
      </c>
      <c r="P1053" s="142">
        <f>IFERROR(IF(I1053="EI",IF(O1053="低",3,IF(O1053="中",4,6)),IF(I1053="EO",IF(O1053="低",4,IF(O1053="中",5,7)),IF(I1053="EQ",IF(O1053="低",3,IF(O1053="中",4,6)),IF(I1053="ILF",IF(O1053="低",7,IF(O1053="中",10,15)),IF(I1053="EIF",IF(O1053="低",5,IF(O1053="中",7,10)),"不计算")))))*Q1053,"不计算")</f>
        <v/>
      </c>
      <c r="Q1053" s="142" t="n">
        <v>0.333333333333333</v>
      </c>
      <c r="R1053" s="143">
        <f>调整因子!$F$13</f>
        <v/>
      </c>
      <c r="S1053" s="70" t="n">
        <v>1</v>
      </c>
      <c r="T1053" s="144">
        <f>IFERROR(P1053*R1053,0)</f>
        <v/>
      </c>
      <c r="U1053" s="145">
        <f>T1053*S1053</f>
        <v/>
      </c>
      <c r="V1053" s="96" t="inlineStr">
        <is>
          <t>资产扫描覆盖表、扫描盲区记录表、扫描能力缺口表</t>
        </is>
      </c>
      <c r="W1053" s="96" t="inlineStr"/>
      <c r="X1053"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Y1053" s="88" t="n"/>
      <c r="Z1053" s="88" t="n"/>
    </row>
    <row r="1054" hidden="1" ht="64.8" customHeight="1">
      <c r="A1054" s="69">
        <f>ROW()-1</f>
        <v/>
      </c>
      <c r="B1054" s="53" t="n"/>
      <c r="C1054" s="117" t="n">
        <v>2026</v>
      </c>
      <c r="D1054" s="64" t="n"/>
      <c r="E1054" s="53" t="n"/>
      <c r="F1054" s="53" t="n"/>
      <c r="G1054" s="53" t="n"/>
      <c r="H1054" s="96" t="inlineStr">
        <is>
          <t>启用扫描计划</t>
        </is>
      </c>
      <c r="I1054" s="76" t="inlineStr">
        <is>
          <t>EI</t>
        </is>
      </c>
      <c r="J1054" s="95" t="n"/>
      <c r="K1054" s="95" t="n"/>
      <c r="L1054" s="83">
        <f>IF(OR(X1054="估算法",X1054="算法类",X1054="无法识别"),"",IF(V1054="",IF(OR(I1054="EI",I1054="EO",I1054="EQ"),0,""),LEN(V1054)-LEN(SUBSTITUTE(V1054,"、",""))+1))</f>
        <v/>
      </c>
      <c r="M1054" s="83">
        <f>IF(OR(X1054="估算法",X1054="算法类",X1054="无法识别"),"",IF(W1054="",IF(OR(I1054="ILF",I1054="EIF"),0,""),LEN(W1054)-LEN(SUBSTITUTE(W1054,"、",""))+1))</f>
        <v/>
      </c>
      <c r="N1054" s="83">
        <f>IF(OR(X1054="估算法",X1054="算法类",X1054="无法识别"),"",IF(X1054="",IF(OR(I1054="ILF",I1054="EIF",I1054="EI",I1054="EO",I1054="EQ"),0,""),LEN(X1054)-LEN(SUBSTITUTE(SUBSTITUTE(SUBSTITUTE(SUBSTITUTE(SUBSTITUTE(X1054,"|}","--"),"{|","--"),CHAR(10),""),"、",""),"|",""))+IF(AND(OR(I1054="EI",I1054="EO",I1054="EQ"),$AD$1="NESMA"),2,1)))</f>
        <v/>
      </c>
      <c r="O1054" s="84">
        <f>IF(I1054="EI",IF(OR(X1054="估算法",X1054="算法类"),"中",IF(X1054="无法识别","低",IF(L1054&lt;2,IF(N1054&lt;16,"低","中"),IF(L1054&lt;3,IF(N1054&lt;5,"低",IF(N1054&lt;16,"中","高")),IF(N1054&lt;5,"中","高"))))),IF(OR(I1054="EO",I1054="EQ"),IF(OR(X1054="估算法",X1054="算法类"),"中",IF(X1054="无法识别","低",IF(L1054&lt;2,IF(N1054&lt;20,"低","中"),IF(L1054&lt;4,IF(N1054&lt;6,"低",IF(N1054&lt;20,"中","高")),IF(N1054&lt;6,"中","高"))))),IF(OR(I1054="ILF",I1054="EIF"),IF(OR(X1054="估算法",X1054="算法类",X1054="无法识别"),"低",IF(M1054&lt;2,IF(N1054&lt;51,"低","中"),IF(M1054&lt;6,IF(N1054&lt;20,"低",IF(N1054&lt;51,"中","高")),IF(N1054&lt;20,"中","高")))),"不计算")))</f>
        <v/>
      </c>
      <c r="P1054" s="142">
        <f>IFERROR(IF(I1054="EI",IF(O1054="低",3,IF(O1054="中",4,6)),IF(I1054="EO",IF(O1054="低",4,IF(O1054="中",5,7)),IF(I1054="EQ",IF(O1054="低",3,IF(O1054="中",4,6)),IF(I1054="ILF",IF(O1054="低",7,IF(O1054="中",10,15)),IF(I1054="EIF",IF(O1054="低",5,IF(O1054="中",7,10)),"不计算")))))*Q1054,"不计算")</f>
        <v/>
      </c>
      <c r="Q1054" s="142" t="n">
        <v>1</v>
      </c>
      <c r="R1054" s="143">
        <f>调整因子!$F$13</f>
        <v/>
      </c>
      <c r="S1054" s="76" t="n">
        <v>1</v>
      </c>
      <c r="T1054" s="144">
        <f>IFERROR(P1054*R1054,0)</f>
        <v/>
      </c>
      <c r="U1054" s="145">
        <f>T1054*S1054</f>
        <v/>
      </c>
      <c r="V1054" s="96" t="inlineStr">
        <is>
          <t>资产扫描覆盖表、扫描盲区记录表、扫描能力缺口表</t>
        </is>
      </c>
      <c r="W1054" s="96" t="inlineStr"/>
      <c r="X1054"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Y1054" s="88" t="n"/>
      <c r="Z1054" s="88" t="n"/>
    </row>
    <row r="1055" hidden="1" ht="86.40000000000001" customHeight="1">
      <c r="A1055" s="69">
        <f>ROW()-1</f>
        <v/>
      </c>
      <c r="B1055" s="53" t="n"/>
      <c r="C1055" s="117" t="n">
        <v>2026</v>
      </c>
      <c r="D1055" s="64" t="n"/>
      <c r="E1055" s="53" t="n"/>
      <c r="F1055" s="53" t="n"/>
      <c r="G1055" s="53" t="n"/>
      <c r="H1055" s="96" t="inlineStr">
        <is>
          <t>停用扫描计划</t>
        </is>
      </c>
      <c r="I1055" s="76" t="n"/>
      <c r="J1055" s="95" t="n"/>
      <c r="K1055" s="95" t="inlineStr">
        <is>
          <t>和上行合并，启停为相同功能</t>
        </is>
      </c>
      <c r="L1055" s="83">
        <f>IF(OR(X1055="估算法",X1055="算法类",X1055="无法识别"),"",IF(V1055="",IF(OR(I1055="EI",I1055="EO",I1055="EQ"),0,""),LEN(V1055)-LEN(SUBSTITUTE(V1055,"、",""))+1))</f>
        <v/>
      </c>
      <c r="M1055" s="83">
        <f>IF(OR(X1055="估算法",X1055="算法类",X1055="无法识别"),"",IF(W1055="",IF(OR(I1055="ILF",I1055="EIF"),0,""),LEN(W1055)-LEN(SUBSTITUTE(W1055,"、",""))+1))</f>
        <v/>
      </c>
      <c r="N1055" s="83">
        <f>IF(OR(X1055="估算法",X1055="算法类",X1055="无法识别"),"",IF(X1055="",IF(OR(I1055="ILF",I1055="EIF",I1055="EI",I1055="EO",I1055="EQ"),0,""),LEN(X1055)-LEN(SUBSTITUTE(SUBSTITUTE(SUBSTITUTE(SUBSTITUTE(SUBSTITUTE(X1055,"|}","--"),"{|","--"),CHAR(10),""),"、",""),"|",""))+IF(AND(OR(I1055="EI",I1055="EO",I1055="EQ"),$AD$1="NESMA"),2,1)))</f>
        <v/>
      </c>
      <c r="O1055" s="84">
        <f>IF(I1055="EI",IF(OR(X1055="估算法",X1055="算法类"),"中",IF(X1055="无法识别","低",IF(L1055&lt;2,IF(N1055&lt;16,"低","中"),IF(L1055&lt;3,IF(N1055&lt;5,"低",IF(N1055&lt;16,"中","高")),IF(N1055&lt;5,"中","高"))))),IF(OR(I1055="EO",I1055="EQ"),IF(OR(X1055="估算法",X1055="算法类"),"中",IF(X1055="无法识别","低",IF(L1055&lt;2,IF(N1055&lt;20,"低","中"),IF(L1055&lt;4,IF(N1055&lt;6,"低",IF(N1055&lt;20,"中","高")),IF(N1055&lt;6,"中","高"))))),IF(OR(I1055="ILF",I1055="EIF"),IF(OR(X1055="估算法",X1055="算法类",X1055="无法识别"),"低",IF(M1055&lt;2,IF(N1055&lt;51,"低","中"),IF(M1055&lt;6,IF(N1055&lt;20,"低",IF(N1055&lt;51,"中","高")),IF(N1055&lt;20,"中","高")))),"不计算")))</f>
        <v/>
      </c>
      <c r="P1055" s="142">
        <f>IFERROR(IF(I1055="EI",IF(O1055="低",3,IF(O1055="中",4,6)),IF(I1055="EO",IF(O1055="低",4,IF(O1055="中",5,7)),IF(I1055="EQ",IF(O1055="低",3,IF(O1055="中",4,6)),IF(I1055="ILF",IF(O1055="低",7,IF(O1055="中",10,15)),IF(I1055="EIF",IF(O1055="低",5,IF(O1055="中",7,10)),"不计算")))))*Q1055,"不计算")</f>
        <v/>
      </c>
      <c r="Q1055" s="142" t="n">
        <v>1</v>
      </c>
      <c r="R1055" s="143">
        <f>调整因子!$F$13</f>
        <v/>
      </c>
      <c r="S1055" s="76" t="n">
        <v>1</v>
      </c>
      <c r="T1055" s="144">
        <f>IFERROR(P1055*R1055,0)</f>
        <v/>
      </c>
      <c r="U1055" s="145">
        <f>T1055*S1055</f>
        <v/>
      </c>
      <c r="V1055" s="96" t="inlineStr">
        <is>
          <t>资产扫描覆盖表、扫描盲区记录表、扫描能力缺口表、离线扫描报告表</t>
        </is>
      </c>
      <c r="W1055" s="96" t="inlineStr"/>
      <c r="X1055"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Y1055" s="88" t="n"/>
      <c r="Z1055" s="88" t="n"/>
    </row>
    <row r="1056" hidden="1" ht="86.40000000000001" customHeight="1">
      <c r="A1056" s="69">
        <f>ROW()-1</f>
        <v/>
      </c>
      <c r="B1056" s="53" t="n"/>
      <c r="C1056" s="117" t="n">
        <v>2026</v>
      </c>
      <c r="D1056" s="64" t="n"/>
      <c r="E1056" s="53" t="n"/>
      <c r="F1056" s="53" t="n"/>
      <c r="G1056" s="53" t="n"/>
      <c r="H1056" s="96" t="inlineStr">
        <is>
          <t>导出扫描计划</t>
        </is>
      </c>
      <c r="I1056" s="76" t="inlineStr">
        <is>
          <t>EO</t>
        </is>
      </c>
      <c r="J1056" s="95" t="n"/>
      <c r="K1056" s="95" t="n"/>
      <c r="L1056" s="83">
        <f>IF(OR(X1056="估算法",X1056="算法类",X1056="无法识别"),"",IF(V1056="",IF(OR(I1056="EI",I1056="EO",I1056="EQ"),0,""),LEN(V1056)-LEN(SUBSTITUTE(V1056,"、",""))+1))</f>
        <v/>
      </c>
      <c r="M1056" s="83">
        <f>IF(OR(X1056="估算法",X1056="算法类",X1056="无法识别"),"",IF(W1056="",IF(OR(I1056="ILF",I1056="EIF"),0,""),LEN(W1056)-LEN(SUBSTITUTE(W1056,"、",""))+1))</f>
        <v/>
      </c>
      <c r="N1056" s="83">
        <f>IF(OR(X1056="估算法",X1056="算法类",X1056="无法识别"),"",IF(X1056="",IF(OR(I1056="ILF",I1056="EIF",I1056="EI",I1056="EO",I1056="EQ"),0,""),LEN(X1056)-LEN(SUBSTITUTE(SUBSTITUTE(SUBSTITUTE(SUBSTITUTE(SUBSTITUTE(X1056,"|}","--"),"{|","--"),CHAR(10),""),"、",""),"|",""))+IF(AND(OR(I1056="EI",I1056="EO",I1056="EQ"),$AD$1="NESMA"),2,1)))</f>
        <v/>
      </c>
      <c r="O1056" s="84">
        <f>IF(I1056="EI",IF(OR(X1056="估算法",X1056="算法类"),"中",IF(X1056="无法识别","低",IF(L1056&lt;2,IF(N1056&lt;16,"低","中"),IF(L1056&lt;3,IF(N1056&lt;5,"低",IF(N1056&lt;16,"中","高")),IF(N1056&lt;5,"中","高"))))),IF(OR(I1056="EO",I1056="EQ"),IF(OR(X1056="估算法",X1056="算法类"),"中",IF(X1056="无法识别","低",IF(L1056&lt;2,IF(N1056&lt;20,"低","中"),IF(L1056&lt;4,IF(N1056&lt;6,"低",IF(N1056&lt;20,"中","高")),IF(N1056&lt;6,"中","高"))))),IF(OR(I1056="ILF",I1056="EIF"),IF(OR(X1056="估算法",X1056="算法类",X1056="无法识别"),"低",IF(M1056&lt;2,IF(N1056&lt;51,"低","中"),IF(M1056&lt;6,IF(N1056&lt;20,"低",IF(N1056&lt;51,"中","高")),IF(N1056&lt;20,"中","高")))),"不计算")))</f>
        <v/>
      </c>
      <c r="P1056" s="142">
        <f>IFERROR(IF(I1056="EI",IF(O1056="低",3,IF(O1056="中",4,6)),IF(I1056="EO",IF(O1056="低",4,IF(O1056="中",5,7)),IF(I1056="EQ",IF(O1056="低",3,IF(O1056="中",4,6)),IF(I1056="ILF",IF(O1056="低",7,IF(O1056="中",10,15)),IF(I1056="EIF",IF(O1056="低",5,IF(O1056="中",7,10)),"不计算")))))*Q1056,"不计算")</f>
        <v/>
      </c>
      <c r="Q1056" s="142" t="n">
        <v>1</v>
      </c>
      <c r="R1056" s="143">
        <f>调整因子!$F$13</f>
        <v/>
      </c>
      <c r="S1056" s="70" t="n">
        <v>1</v>
      </c>
      <c r="T1056" s="144">
        <f>IFERROR(P1056*R1056,0)</f>
        <v/>
      </c>
      <c r="U1056" s="145">
        <f>T1056*S1056</f>
        <v/>
      </c>
      <c r="V1056" s="96" t="inlineStr">
        <is>
          <t>资产扫描覆盖表、扫描盲区记录表、扫描能力缺口表、离线扫描报告表</t>
        </is>
      </c>
      <c r="W1056" s="96" t="inlineStr"/>
      <c r="X1056" s="111"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Y1056" s="88" t="n"/>
      <c r="Z1056" s="88" t="n"/>
    </row>
    <row r="1057" hidden="1" ht="64.8" customHeight="1">
      <c r="A1057" s="69">
        <f>ROW()-1</f>
        <v/>
      </c>
      <c r="B1057" s="53" t="n"/>
      <c r="C1057" s="117" t="n">
        <v>2026</v>
      </c>
      <c r="D1057" s="64" t="n"/>
      <c r="E1057" s="53" t="n"/>
      <c r="F1057" s="53" t="n"/>
      <c r="G1057" s="53" t="n"/>
      <c r="H1057" s="96" t="inlineStr">
        <is>
          <t>下载计划配置</t>
        </is>
      </c>
      <c r="I1057" s="76" t="inlineStr">
        <is>
          <t>EO</t>
        </is>
      </c>
      <c r="J1057" s="95" t="n"/>
      <c r="K1057" s="95" t="n"/>
      <c r="L1057" s="83">
        <f>IF(OR(X1057="估算法",X1057="算法类",X1057="无法识别"),"",IF(V1057="",IF(OR(I1057="EI",I1057="EO",I1057="EQ"),0,""),LEN(V1057)-LEN(SUBSTITUTE(V1057,"、",""))+1))</f>
        <v/>
      </c>
      <c r="M1057" s="83">
        <f>IF(OR(X1057="估算法",X1057="算法类",X1057="无法识别"),"",IF(W1057="",IF(OR(I1057="ILF",I1057="EIF"),0,""),LEN(W1057)-LEN(SUBSTITUTE(W1057,"、",""))+1))</f>
        <v/>
      </c>
      <c r="N1057" s="83">
        <f>IF(OR(X1057="估算法",X1057="算法类",X1057="无法识别"),"",IF(X1057="",IF(OR(I1057="ILF",I1057="EIF",I1057="EI",I1057="EO",I1057="EQ"),0,""),LEN(X1057)-LEN(SUBSTITUTE(SUBSTITUTE(SUBSTITUTE(SUBSTITUTE(SUBSTITUTE(X1057,"|}","--"),"{|","--"),CHAR(10),""),"、",""),"|",""))+IF(AND(OR(I1057="EI",I1057="EO",I1057="EQ"),$AD$1="NESMA"),2,1)))</f>
        <v/>
      </c>
      <c r="O1057" s="84">
        <f>IF(I1057="EI",IF(OR(X1057="估算法",X1057="算法类"),"中",IF(X1057="无法识别","低",IF(L1057&lt;2,IF(N1057&lt;16,"低","中"),IF(L1057&lt;3,IF(N1057&lt;5,"低",IF(N1057&lt;16,"中","高")),IF(N1057&lt;5,"中","高"))))),IF(OR(I1057="EO",I1057="EQ"),IF(OR(X1057="估算法",X1057="算法类"),"中",IF(X1057="无法识别","低",IF(L1057&lt;2,IF(N1057&lt;20,"低","中"),IF(L1057&lt;4,IF(N1057&lt;6,"低",IF(N1057&lt;20,"中","高")),IF(N1057&lt;6,"中","高"))))),IF(OR(I1057="ILF",I1057="EIF"),IF(OR(X1057="估算法",X1057="算法类",X1057="无法识别"),"低",IF(M1057&lt;2,IF(N1057&lt;51,"低","中"),IF(M1057&lt;6,IF(N1057&lt;20,"低",IF(N1057&lt;51,"中","高")),IF(N1057&lt;20,"中","高")))),"不计算")))</f>
        <v/>
      </c>
      <c r="P1057" s="142">
        <f>IFERROR(IF(I1057="EI",IF(O1057="低",3,IF(O1057="中",4,6)),IF(I1057="EO",IF(O1057="低",4,IF(O1057="中",5,7)),IF(I1057="EQ",IF(O1057="低",3,IF(O1057="中",4,6)),IF(I1057="ILF",IF(O1057="低",7,IF(O1057="中",10,15)),IF(I1057="EIF",IF(O1057="低",5,IF(O1057="中",7,10)),"不计算")))))*Q1057,"不计算")</f>
        <v/>
      </c>
      <c r="Q1057" s="142" t="n">
        <v>1</v>
      </c>
      <c r="R1057" s="143">
        <f>调整因子!$F$13</f>
        <v/>
      </c>
      <c r="S1057" s="70" t="n">
        <v>1</v>
      </c>
      <c r="T1057" s="144">
        <f>IFERROR(P1057*R1057,0)</f>
        <v/>
      </c>
      <c r="U1057" s="145">
        <f>T1057*S1057</f>
        <v/>
      </c>
      <c r="V1057" s="96" t="inlineStr">
        <is>
          <t>任务优先级配置表、模板参数配置表、处置单配置表、验证配置表</t>
        </is>
      </c>
      <c r="W1057" s="96" t="inlineStr"/>
      <c r="X1057"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Y1057" s="88" t="n"/>
      <c r="Z1057" s="88" t="n"/>
    </row>
    <row r="1058" hidden="1" ht="86.40000000000001" customHeight="1">
      <c r="A1058" s="69">
        <f>ROW()-1</f>
        <v/>
      </c>
      <c r="B1058" s="53" t="n"/>
      <c r="C1058" s="117" t="n">
        <v>2026</v>
      </c>
      <c r="D1058" s="64" t="n"/>
      <c r="E1058" s="53" t="n"/>
      <c r="F1058" s="53" t="n"/>
      <c r="G1058" s="53" t="n"/>
      <c r="H1058" s="96" t="inlineStr">
        <is>
          <t>查询扫描计划列表</t>
        </is>
      </c>
      <c r="I1058" s="76" t="inlineStr">
        <is>
          <t>EQ</t>
        </is>
      </c>
      <c r="J1058" s="95" t="n"/>
      <c r="K1058" s="95" t="inlineStr">
        <is>
          <t>处理流程和上行基本一致，为查询功能，未体现详情功能</t>
        </is>
      </c>
      <c r="L1058" s="83">
        <f>IF(OR(X1058="估算法",X1058="算法类",X1058="无法识别"),"",IF(V1058="",IF(OR(I1058="EI",I1058="EO",I1058="EQ"),0,""),LEN(V1058)-LEN(SUBSTITUTE(V1058,"、",""))+1))</f>
        <v/>
      </c>
      <c r="M1058" s="83">
        <f>IF(OR(X1058="估算法",X1058="算法类",X1058="无法识别"),"",IF(W1058="",IF(OR(I1058="ILF",I1058="EIF"),0,""),LEN(W1058)-LEN(SUBSTITUTE(W1058,"、",""))+1))</f>
        <v/>
      </c>
      <c r="N1058" s="83">
        <f>IF(OR(X1058="估算法",X1058="算法类",X1058="无法识别"),"",IF(X1058="",IF(OR(I1058="ILF",I1058="EIF",I1058="EI",I1058="EO",I1058="EQ"),0,""),LEN(X1058)-LEN(SUBSTITUTE(SUBSTITUTE(SUBSTITUTE(SUBSTITUTE(SUBSTITUTE(X1058,"|}","--"),"{|","--"),CHAR(10),""),"、",""),"|",""))+IF(AND(OR(I1058="EI",I1058="EO",I1058="EQ"),$AD$1="NESMA"),2,1)))</f>
        <v/>
      </c>
      <c r="O1058" s="84">
        <f>IF(I1058="EI",IF(OR(X1058="估算法",X1058="算法类"),"中",IF(X1058="无法识别","低",IF(L1058&lt;2,IF(N1058&lt;16,"低","中"),IF(L1058&lt;3,IF(N1058&lt;5,"低",IF(N1058&lt;16,"中","高")),IF(N1058&lt;5,"中","高"))))),IF(OR(I1058="EO",I1058="EQ"),IF(OR(X1058="估算法",X1058="算法类"),"中",IF(X1058="无法识别","低",IF(L1058&lt;2,IF(N1058&lt;20,"低","中"),IF(L1058&lt;4,IF(N1058&lt;6,"低",IF(N1058&lt;20,"中","高")),IF(N1058&lt;6,"中","高"))))),IF(OR(I1058="ILF",I1058="EIF"),IF(OR(X1058="估算法",X1058="算法类",X1058="无法识别"),"低",IF(M1058&lt;2,IF(N1058&lt;51,"低","中"),IF(M1058&lt;6,IF(N1058&lt;20,"低",IF(N1058&lt;51,"中","高")),IF(N1058&lt;20,"中","高")))),"不计算")))</f>
        <v/>
      </c>
      <c r="P1058" s="142">
        <f>IFERROR(IF(I1058="EI",IF(O1058="低",3,IF(O1058="中",4,6)),IF(I1058="EO",IF(O1058="低",4,IF(O1058="中",5,7)),IF(I1058="EQ",IF(O1058="低",3,IF(O1058="中",4,6)),IF(I1058="ILF",IF(O1058="低",7,IF(O1058="中",10,15)),IF(I1058="EIF",IF(O1058="低",5,IF(O1058="中",7,10)),"不计算")))))*Q1058,"不计算")</f>
        <v/>
      </c>
      <c r="Q1058" s="142" t="n">
        <v>0.333333333333333</v>
      </c>
      <c r="R1058" s="143">
        <f>调整因子!$F$13</f>
        <v/>
      </c>
      <c r="S1058" s="76" t="n">
        <v>1</v>
      </c>
      <c r="T1058" s="144">
        <f>IFERROR(P1058*R1058,0)</f>
        <v/>
      </c>
      <c r="U1058" s="145">
        <f>T1058*S1058</f>
        <v/>
      </c>
      <c r="V1058" s="96" t="inlineStr">
        <is>
          <t>资产扫描覆盖表、扫描盲区记录表、扫描能力缺口表、离线扫描报告表</t>
        </is>
      </c>
      <c r="W1058" s="96" t="inlineStr"/>
      <c r="X1058" s="111"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Y1058" s="88" t="n"/>
      <c r="Z1058" s="88" t="n"/>
    </row>
    <row r="1059" hidden="1" ht="108" customHeight="1">
      <c r="A1059" s="69">
        <f>ROW()-1</f>
        <v/>
      </c>
      <c r="B1059" s="53" t="n"/>
      <c r="C1059" s="117" t="n">
        <v>2026</v>
      </c>
      <c r="D1059" s="64" t="n"/>
      <c r="E1059" s="53" t="n"/>
      <c r="F1059" s="53" t="n"/>
      <c r="G1059" s="54" t="n"/>
      <c r="H1059" s="96" t="inlineStr">
        <is>
          <t>查看扫描计划详情</t>
        </is>
      </c>
      <c r="I1059" s="76" t="inlineStr">
        <is>
          <t>EQ</t>
        </is>
      </c>
      <c r="J1059" s="95" t="n"/>
      <c r="K1059" s="95" t="inlineStr">
        <is>
          <t>处理流程和上行基本一致，为查询功能，未体现详情功能</t>
        </is>
      </c>
      <c r="L1059" s="83">
        <f>IF(OR(X1059="估算法",X1059="算法类",X1059="无法识别"),"",IF(V1059="",IF(OR(I1059="EI",I1059="EO",I1059="EQ"),0,""),LEN(V1059)-LEN(SUBSTITUTE(V1059,"、",""))+1))</f>
        <v/>
      </c>
      <c r="M1059" s="83">
        <f>IF(OR(X1059="估算法",X1059="算法类",X1059="无法识别"),"",IF(W1059="",IF(OR(I1059="ILF",I1059="EIF"),0,""),LEN(W1059)-LEN(SUBSTITUTE(W1059,"、",""))+1))</f>
        <v/>
      </c>
      <c r="N1059" s="83">
        <f>IF(OR(X1059="估算法",X1059="算法类",X1059="无法识别"),"",IF(X1059="",IF(OR(I1059="ILF",I1059="EIF",I1059="EI",I1059="EO",I1059="EQ"),0,""),LEN(X1059)-LEN(SUBSTITUTE(SUBSTITUTE(SUBSTITUTE(SUBSTITUTE(SUBSTITUTE(X1059,"|}","--"),"{|","--"),CHAR(10),""),"、",""),"|",""))+IF(AND(OR(I1059="EI",I1059="EO",I1059="EQ"),$AD$1="NESMA"),2,1)))</f>
        <v/>
      </c>
      <c r="O1059" s="84">
        <f>IF(I1059="EI",IF(OR(X1059="估算法",X1059="算法类"),"中",IF(X1059="无法识别","低",IF(L1059&lt;2,IF(N1059&lt;16,"低","中"),IF(L1059&lt;3,IF(N1059&lt;5,"低",IF(N1059&lt;16,"中","高")),IF(N1059&lt;5,"中","高"))))),IF(OR(I1059="EO",I1059="EQ"),IF(OR(X1059="估算法",X1059="算法类"),"中",IF(X1059="无法识别","低",IF(L1059&lt;2,IF(N1059&lt;20,"低","中"),IF(L1059&lt;4,IF(N1059&lt;6,"低",IF(N1059&lt;20,"中","高")),IF(N1059&lt;6,"中","高"))))),IF(OR(I1059="ILF",I1059="EIF"),IF(OR(X1059="估算法",X1059="算法类",X1059="无法识别"),"低",IF(M1059&lt;2,IF(N1059&lt;51,"低","中"),IF(M1059&lt;6,IF(N1059&lt;20,"低",IF(N1059&lt;51,"中","高")),IF(N1059&lt;20,"中","高")))),"不计算")))</f>
        <v/>
      </c>
      <c r="P1059" s="142">
        <f>IFERROR(IF(I1059="EI",IF(O1059="低",3,IF(O1059="中",4,6)),IF(I1059="EO",IF(O1059="低",4,IF(O1059="中",5,7)),IF(I1059="EQ",IF(O1059="低",3,IF(O1059="中",4,6)),IF(I1059="ILF",IF(O1059="低",7,IF(O1059="中",10,15)),IF(I1059="EIF",IF(O1059="低",5,IF(O1059="中",7,10)),"不计算")))))*Q1059,"不计算")</f>
        <v/>
      </c>
      <c r="Q1059" s="142" t="n">
        <v>0.333333333333333</v>
      </c>
      <c r="R1059" s="143">
        <f>调整因子!$F$13</f>
        <v/>
      </c>
      <c r="S1059" s="70" t="n">
        <v>1</v>
      </c>
      <c r="T1059" s="144">
        <f>IFERROR(P1059*R1059,0)</f>
        <v/>
      </c>
      <c r="U1059" s="145">
        <f>T1059*S1059</f>
        <v/>
      </c>
      <c r="V1059" s="96" t="inlineStr">
        <is>
          <t>资产扫描覆盖表、扫描盲区记录表、扫描能力缺口表、离线扫描报告表、扫描策略模板表</t>
        </is>
      </c>
      <c r="W1059" s="96" t="inlineStr"/>
      <c r="X1059" s="111"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Y1059" s="88" t="n"/>
      <c r="Z1059" s="88" t="n"/>
    </row>
    <row r="1060" hidden="1" ht="108" customHeight="1">
      <c r="A1060" s="69">
        <f>ROW()-1</f>
        <v/>
      </c>
      <c r="B1060" s="53" t="n"/>
      <c r="C1060" s="117" t="n">
        <v>2026</v>
      </c>
      <c r="D1060" s="64" t="n"/>
      <c r="E1060" s="53" t="n"/>
      <c r="F1060" s="53" t="n"/>
      <c r="G1060" s="111" t="inlineStr">
        <is>
          <t>扫描节点调度管理</t>
        </is>
      </c>
      <c r="H1060" s="96" t="inlineStr">
        <is>
          <t>编辑节点调度策略</t>
        </is>
      </c>
      <c r="I1060" s="76" t="inlineStr">
        <is>
          <t>EI</t>
        </is>
      </c>
      <c r="J1060" s="95" t="n"/>
      <c r="K1060" s="95" t="n"/>
      <c r="L1060" s="83">
        <f>IF(OR(X1060="估算法",X1060="算法类",X1060="无法识别"),"",IF(V1060="",IF(OR(I1060="EI",I1060="EO",I1060="EQ"),0,""),LEN(V1060)-LEN(SUBSTITUTE(V1060,"、",""))+1))</f>
        <v/>
      </c>
      <c r="M1060" s="83">
        <f>IF(OR(X1060="估算法",X1060="算法类",X1060="无法识别"),"",IF(W1060="",IF(OR(I1060="ILF",I1060="EIF"),0,""),LEN(W1060)-LEN(SUBSTITUTE(W1060,"、",""))+1))</f>
        <v/>
      </c>
      <c r="N1060" s="83">
        <f>IF(OR(X1060="估算法",X1060="算法类",X1060="无法识别"),"",IF(X1060="",IF(OR(I1060="ILF",I1060="EIF",I1060="EI",I1060="EO",I1060="EQ"),0,""),LEN(X1060)-LEN(SUBSTITUTE(SUBSTITUTE(SUBSTITUTE(SUBSTITUTE(SUBSTITUTE(X1060,"|}","--"),"{|","--"),CHAR(10),""),"、",""),"|",""))+IF(AND(OR(I1060="EI",I1060="EO",I1060="EQ"),$AD$1="NESMA"),2,1)))</f>
        <v/>
      </c>
      <c r="O1060" s="84">
        <f>IF(I1060="EI",IF(OR(X1060="估算法",X1060="算法类"),"中",IF(X1060="无法识别","低",IF(L1060&lt;2,IF(N1060&lt;16,"低","中"),IF(L1060&lt;3,IF(N1060&lt;5,"低",IF(N1060&lt;16,"中","高")),IF(N1060&lt;5,"中","高"))))),IF(OR(I1060="EO",I1060="EQ"),IF(OR(X1060="估算法",X1060="算法类"),"中",IF(X1060="无法识别","低",IF(L1060&lt;2,IF(N1060&lt;20,"低","中"),IF(L1060&lt;4,IF(N1060&lt;6,"低",IF(N1060&lt;20,"中","高")),IF(N1060&lt;6,"中","高"))))),IF(OR(I1060="ILF",I1060="EIF"),IF(OR(X1060="估算法",X1060="算法类",X1060="无法识别"),"低",IF(M1060&lt;2,IF(N1060&lt;51,"低","中"),IF(M1060&lt;6,IF(N1060&lt;20,"低",IF(N1060&lt;51,"中","高")),IF(N1060&lt;20,"中","高")))),"不计算")))</f>
        <v/>
      </c>
      <c r="P1060" s="142">
        <f>IFERROR(IF(I1060="EI",IF(O1060="低",3,IF(O1060="中",4,6)),IF(I1060="EO",IF(O1060="低",4,IF(O1060="中",5,7)),IF(I1060="EQ",IF(O1060="低",3,IF(O1060="中",4,6)),IF(I1060="ILF",IF(O1060="低",7,IF(O1060="中",10,15)),IF(I1060="EIF",IF(O1060="低",5,IF(O1060="中",7,10)),"不计算")))))*Q1060,"不计算")</f>
        <v/>
      </c>
      <c r="Q1060" s="142" t="n">
        <v>0.333333333333333</v>
      </c>
      <c r="R1060" s="143">
        <f>调整因子!$F$13</f>
        <v/>
      </c>
      <c r="S1060" s="70" t="n">
        <v>1</v>
      </c>
      <c r="T1060" s="144">
        <f>IFERROR(P1060*R1060,0)</f>
        <v/>
      </c>
      <c r="U1060" s="145">
        <f>T1060*S1060</f>
        <v/>
      </c>
      <c r="V1060" s="96" t="inlineStr">
        <is>
          <t>扫描策略模板表、提醒策略配置表、加密策略表、通报配置表、处置单配置表</t>
        </is>
      </c>
      <c r="W1060" s="96" t="inlineStr"/>
      <c r="X1060" s="111"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通报配置表{配置ID、配置名称、配置类型、配置值、创建时间|配置ID、配置名称、配置类型}
处置单配置表{配置ID、配置名称、配置类型、配置值、创建时间|配置ID、配置名称、配置类型}</t>
        </is>
      </c>
      <c r="Y1060" s="88" t="n"/>
      <c r="Z1060" s="88" t="n"/>
    </row>
    <row r="1061" hidden="1" ht="64.8" customHeight="1">
      <c r="A1061" s="69">
        <f>ROW()-1</f>
        <v/>
      </c>
      <c r="B1061" s="53" t="n"/>
      <c r="C1061" s="117" t="n">
        <v>2026</v>
      </c>
      <c r="D1061" s="64" t="n"/>
      <c r="E1061" s="53" t="n"/>
      <c r="F1061" s="53" t="n"/>
      <c r="G1061" s="53" t="n"/>
      <c r="H1061" s="96" t="inlineStr">
        <is>
          <t>删除节点调度策略</t>
        </is>
      </c>
      <c r="I1061" s="76" t="inlineStr">
        <is>
          <t>EI</t>
        </is>
      </c>
      <c r="J1061" s="95" t="n"/>
      <c r="K1061" s="95" t="n"/>
      <c r="L1061" s="83">
        <f>IF(OR(X1061="估算法",X1061="算法类",X1061="无法识别"),"",IF(V1061="",IF(OR(I1061="EI",I1061="EO",I1061="EQ"),0,""),LEN(V1061)-LEN(SUBSTITUTE(V1061,"、",""))+1))</f>
        <v/>
      </c>
      <c r="M1061" s="83">
        <f>IF(OR(X1061="估算法",X1061="算法类",X1061="无法识别"),"",IF(W1061="",IF(OR(I1061="ILF",I1061="EIF"),0,""),LEN(W1061)-LEN(SUBSTITUTE(W1061,"、",""))+1))</f>
        <v/>
      </c>
      <c r="N1061" s="83">
        <f>IF(OR(X1061="估算法",X1061="算法类",X1061="无法识别"),"",IF(X1061="",IF(OR(I1061="ILF",I1061="EIF",I1061="EI",I1061="EO",I1061="EQ"),0,""),LEN(X1061)-LEN(SUBSTITUTE(SUBSTITUTE(SUBSTITUTE(SUBSTITUTE(SUBSTITUTE(X1061,"|}","--"),"{|","--"),CHAR(10),""),"、",""),"|",""))+IF(AND(OR(I1061="EI",I1061="EO",I1061="EQ"),$AD$1="NESMA"),2,1)))</f>
        <v/>
      </c>
      <c r="O1061" s="84">
        <f>IF(I1061="EI",IF(OR(X1061="估算法",X1061="算法类"),"中",IF(X1061="无法识别","低",IF(L1061&lt;2,IF(N1061&lt;16,"低","中"),IF(L1061&lt;3,IF(N1061&lt;5,"低",IF(N1061&lt;16,"中","高")),IF(N1061&lt;5,"中","高"))))),IF(OR(I1061="EO",I1061="EQ"),IF(OR(X1061="估算法",X1061="算法类"),"中",IF(X1061="无法识别","低",IF(L1061&lt;2,IF(N1061&lt;20,"低","中"),IF(L1061&lt;4,IF(N1061&lt;6,"低",IF(N1061&lt;20,"中","高")),IF(N1061&lt;6,"中","高"))))),IF(OR(I1061="ILF",I1061="EIF"),IF(OR(X1061="估算法",X1061="算法类",X1061="无法识别"),"低",IF(M1061&lt;2,IF(N1061&lt;51,"低","中"),IF(M1061&lt;6,IF(N1061&lt;20,"低",IF(N1061&lt;51,"中","高")),IF(N1061&lt;20,"中","高")))),"不计算")))</f>
        <v/>
      </c>
      <c r="P1061" s="142">
        <f>IFERROR(IF(I1061="EI",IF(O1061="低",3,IF(O1061="中",4,6)),IF(I1061="EO",IF(O1061="低",4,IF(O1061="中",5,7)),IF(I1061="EQ",IF(O1061="低",3,IF(O1061="中",4,6)),IF(I1061="ILF",IF(O1061="低",7,IF(O1061="中",10,15)),IF(I1061="EIF",IF(O1061="低",5,IF(O1061="中",7,10)),"不计算")))))*Q1061,"不计算")</f>
        <v/>
      </c>
      <c r="Q1061" s="142" t="n">
        <v>0.333333333333333</v>
      </c>
      <c r="R1061" s="143">
        <f>调整因子!$F$13</f>
        <v/>
      </c>
      <c r="S1061" s="76" t="n">
        <v>1</v>
      </c>
      <c r="T1061" s="144">
        <f>IFERROR(P1061*R1061,0)</f>
        <v/>
      </c>
      <c r="U1061" s="145">
        <f>T1061*S1061</f>
        <v/>
      </c>
      <c r="V1061" s="96" t="inlineStr">
        <is>
          <t>扫描策略模板表、提醒策略配置表、加密策略表</t>
        </is>
      </c>
      <c r="W1061" s="96" t="inlineStr"/>
      <c r="X1061" s="111"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t>
        </is>
      </c>
      <c r="Y1061" s="88" t="n"/>
      <c r="Z1061" s="88" t="n"/>
    </row>
    <row r="1062" hidden="1" ht="86.40000000000001" customHeight="1">
      <c r="A1062" s="69">
        <f>ROW()-1</f>
        <v/>
      </c>
      <c r="B1062" s="53" t="n"/>
      <c r="C1062" s="117" t="n">
        <v>2026</v>
      </c>
      <c r="D1062" s="64" t="n"/>
      <c r="E1062" s="53" t="n"/>
      <c r="F1062" s="53" t="n"/>
      <c r="G1062" s="53" t="n"/>
      <c r="H1062" s="96" t="inlineStr">
        <is>
          <t>启用节点调度</t>
        </is>
      </c>
      <c r="I1062" s="76" t="inlineStr">
        <is>
          <t>EI</t>
        </is>
      </c>
      <c r="J1062" s="95" t="n"/>
      <c r="K1062" s="95" t="n"/>
      <c r="L1062" s="83">
        <f>IF(OR(X1062="估算法",X1062="算法类",X1062="无法识别"),"",IF(V1062="",IF(OR(I1062="EI",I1062="EO",I1062="EQ"),0,""),LEN(V1062)-LEN(SUBSTITUTE(V1062,"、",""))+1))</f>
        <v/>
      </c>
      <c r="M1062" s="83">
        <f>IF(OR(X1062="估算法",X1062="算法类",X1062="无法识别"),"",IF(W1062="",IF(OR(I1062="ILF",I1062="EIF"),0,""),LEN(W1062)-LEN(SUBSTITUTE(W1062,"、",""))+1))</f>
        <v/>
      </c>
      <c r="N1062" s="83">
        <f>IF(OR(X1062="估算法",X1062="算法类",X1062="无法识别"),"",IF(X1062="",IF(OR(I1062="ILF",I1062="EIF",I1062="EI",I1062="EO",I1062="EQ"),0,""),LEN(X1062)-LEN(SUBSTITUTE(SUBSTITUTE(SUBSTITUTE(SUBSTITUTE(SUBSTITUTE(X1062,"|}","--"),"{|","--"),CHAR(10),""),"、",""),"|",""))+IF(AND(OR(I1062="EI",I1062="EO",I1062="EQ"),$AD$1="NESMA"),2,1)))</f>
        <v/>
      </c>
      <c r="O1062" s="84">
        <f>IF(I1062="EI",IF(OR(X1062="估算法",X1062="算法类"),"中",IF(X1062="无法识别","低",IF(L1062&lt;2,IF(N1062&lt;16,"低","中"),IF(L1062&lt;3,IF(N1062&lt;5,"低",IF(N1062&lt;16,"中","高")),IF(N1062&lt;5,"中","高"))))),IF(OR(I1062="EO",I1062="EQ"),IF(OR(X1062="估算法",X1062="算法类"),"中",IF(X1062="无法识别","低",IF(L1062&lt;2,IF(N1062&lt;20,"低","中"),IF(L1062&lt;4,IF(N1062&lt;6,"低",IF(N1062&lt;20,"中","高")),IF(N1062&lt;6,"中","高"))))),IF(OR(I1062="ILF",I1062="EIF"),IF(OR(X1062="估算法",X1062="算法类",X1062="无法识别"),"低",IF(M1062&lt;2,IF(N1062&lt;51,"低","中"),IF(M1062&lt;6,IF(N1062&lt;20,"低",IF(N1062&lt;51,"中","高")),IF(N1062&lt;20,"中","高")))),"不计算")))</f>
        <v/>
      </c>
      <c r="P1062" s="142">
        <f>IFERROR(IF(I1062="EI",IF(O1062="低",3,IF(O1062="中",4,6)),IF(I1062="EO",IF(O1062="低",4,IF(O1062="中",5,7)),IF(I1062="EQ",IF(O1062="低",3,IF(O1062="中",4,6)),IF(I1062="ILF",IF(O1062="低",7,IF(O1062="中",10,15)),IF(I1062="EIF",IF(O1062="低",5,IF(O1062="中",7,10)),"不计算")))))*Q1062,"不计算")</f>
        <v/>
      </c>
      <c r="Q1062" s="142" t="n">
        <v>0.333333333333333</v>
      </c>
      <c r="R1062" s="143">
        <f>调整因子!$F$13</f>
        <v/>
      </c>
      <c r="S1062" s="76" t="n">
        <v>1</v>
      </c>
      <c r="T1062" s="144">
        <f>IFERROR(P1062*R1062,0)</f>
        <v/>
      </c>
      <c r="U1062" s="145">
        <f>T1062*S1062</f>
        <v/>
      </c>
      <c r="V1062" s="96" t="inlineStr">
        <is>
          <t>修复步骤表、模板配置表、脱敏规则表、报告解析结果表、漏洞统计数据表</t>
        </is>
      </c>
      <c r="W1062" s="96" t="inlineStr"/>
      <c r="X1062" s="111" t="inlineStr">
        <is>
          <t>修复步骤表{ID、名称、类型、状态、创建时间、更新时间|ID、名称、类型}
模板配置表{配置ID、配置名称、配置类型、配置值、创建时间|配置ID、配置名称、配置类型}
脱敏规则表{规则ID、规则名称、规则类型、规则条件、创建时间|规则ID、规则名称、规则类型}
报告解析结果表{ID、名称、类型、状态、创建时间、更新时间|ID、名称、类型}
漏洞统计数据表{漏洞ID、漏洞名称、漏洞等级、漏洞类型、CVE编号、发现时间、修复状态|漏洞ID、漏洞名称、漏洞等级}</t>
        </is>
      </c>
      <c r="Y1062" s="88" t="n"/>
      <c r="Z1062" s="88" t="n"/>
    </row>
    <row r="1063" hidden="1" ht="54" customHeight="1">
      <c r="A1063" s="69">
        <f>ROW()-1</f>
        <v/>
      </c>
      <c r="B1063" s="53" t="n"/>
      <c r="C1063" s="117" t="n">
        <v>2026</v>
      </c>
      <c r="D1063" s="64" t="n"/>
      <c r="E1063" s="53" t="n"/>
      <c r="F1063" s="53" t="n"/>
      <c r="G1063" s="53" t="n"/>
      <c r="H1063" s="96" t="inlineStr">
        <is>
          <t>停用节点调度</t>
        </is>
      </c>
      <c r="I1063" s="76" t="n"/>
      <c r="J1063" s="95" t="n"/>
      <c r="K1063" s="95" t="inlineStr">
        <is>
          <t>和上行合并，启停为相同功能</t>
        </is>
      </c>
      <c r="L1063" s="83">
        <f>IF(OR(X1063="估算法",X1063="算法类",X1063="无法识别"),"",IF(V1063="",IF(OR(I1063="EI",I1063="EO",I1063="EQ"),0,""),LEN(V1063)-LEN(SUBSTITUTE(V1063,"、",""))+1))</f>
        <v/>
      </c>
      <c r="M1063" s="83">
        <f>IF(OR(X1063="估算法",X1063="算法类",X1063="无法识别"),"",IF(W1063="",IF(OR(I1063="ILF",I1063="EIF"),0,""),LEN(W1063)-LEN(SUBSTITUTE(W1063,"、",""))+1))</f>
        <v/>
      </c>
      <c r="N1063" s="83">
        <f>IF(OR(X1063="估算法",X1063="算法类",X1063="无法识别"),"",IF(X1063="",IF(OR(I1063="ILF",I1063="EIF",I1063="EI",I1063="EO",I1063="EQ"),0,""),LEN(X1063)-LEN(SUBSTITUTE(SUBSTITUTE(SUBSTITUTE(SUBSTITUTE(SUBSTITUTE(X1063,"|}","--"),"{|","--"),CHAR(10),""),"、",""),"|",""))+IF(AND(OR(I1063="EI",I1063="EO",I1063="EQ"),$AD$1="NESMA"),2,1)))</f>
        <v/>
      </c>
      <c r="O1063" s="84">
        <f>IF(I1063="EI",IF(OR(X1063="估算法",X1063="算法类"),"中",IF(X1063="无法识别","低",IF(L1063&lt;2,IF(N1063&lt;16,"低","中"),IF(L1063&lt;3,IF(N1063&lt;5,"低",IF(N1063&lt;16,"中","高")),IF(N1063&lt;5,"中","高"))))),IF(OR(I1063="EO",I1063="EQ"),IF(OR(X1063="估算法",X1063="算法类"),"中",IF(X1063="无法识别","低",IF(L1063&lt;2,IF(N1063&lt;20,"低","中"),IF(L1063&lt;4,IF(N1063&lt;6,"低",IF(N1063&lt;20,"中","高")),IF(N1063&lt;6,"中","高"))))),IF(OR(I1063="ILF",I1063="EIF"),IF(OR(X1063="估算法",X1063="算法类",X1063="无法识别"),"低",IF(M1063&lt;2,IF(N1063&lt;51,"低","中"),IF(M1063&lt;6,IF(N1063&lt;20,"低",IF(N1063&lt;51,"中","高")),IF(N1063&lt;20,"中","高")))),"不计算")))</f>
        <v/>
      </c>
      <c r="P1063" s="142">
        <f>IFERROR(IF(I1063="EI",IF(O1063="低",3,IF(O1063="中",4,6)),IF(I1063="EO",IF(O1063="低",4,IF(O1063="中",5,7)),IF(I1063="EQ",IF(O1063="低",3,IF(O1063="中",4,6)),IF(I1063="ILF",IF(O1063="低",7,IF(O1063="中",10,15)),IF(I1063="EIF",IF(O1063="低",5,IF(O1063="中",7,10)),"不计算")))))*Q1063,"不计算")</f>
        <v/>
      </c>
      <c r="Q1063" s="142" t="n">
        <v>0.333333333333333</v>
      </c>
      <c r="R1063" s="143">
        <f>调整因子!$F$13</f>
        <v/>
      </c>
      <c r="S1063" s="70" t="n">
        <v>1</v>
      </c>
      <c r="T1063" s="144">
        <f>IFERROR(P1063*R1063,0)</f>
        <v/>
      </c>
      <c r="U1063" s="145">
        <f>T1063*S1063</f>
        <v/>
      </c>
      <c r="V1063" s="96" t="inlineStr">
        <is>
          <t>任务队列表、处置单关联表、分布分析表、模板分类表</t>
        </is>
      </c>
      <c r="W1063" s="96" t="inlineStr"/>
      <c r="X1063" s="111" t="inlineStr">
        <is>
          <t>任务队列表{任务ID、任务名称、任务类型、任务状态、创建时间、执行时间|任务ID、任务名称、任务类型}
处置单关联表{ID、名称、类型、状态、创建时间、更新时间|ID、名称、类型}
分布分析表{ID、名称、类型、状态、创建时间、更新时间|ID、名称、类型}
模板分类表{ID、名称、类型、状态、创建时间、更新时间|ID、名称、类型}</t>
        </is>
      </c>
      <c r="Y1063" s="88" t="n"/>
      <c r="Z1063" s="88" t="n"/>
    </row>
    <row r="1064" hidden="1" ht="54" customHeight="1">
      <c r="A1064" s="69">
        <f>ROW()-1</f>
        <v/>
      </c>
      <c r="B1064" s="53" t="n"/>
      <c r="C1064" s="117" t="n">
        <v>2026</v>
      </c>
      <c r="D1064" s="64" t="n"/>
      <c r="E1064" s="53" t="n"/>
      <c r="F1064" s="53" t="n"/>
      <c r="G1064" s="53" t="n"/>
      <c r="H1064" s="96" t="inlineStr">
        <is>
          <t>导出调度配置</t>
        </is>
      </c>
      <c r="I1064" s="76" t="inlineStr">
        <is>
          <t>EO</t>
        </is>
      </c>
      <c r="J1064" s="95" t="n"/>
      <c r="K1064" s="95" t="n"/>
      <c r="L1064" s="83">
        <f>IF(OR(X1064="估算法",X1064="算法类",X1064="无法识别"),"",IF(V1064="",IF(OR(I1064="EI",I1064="EO",I1064="EQ"),0,""),LEN(V1064)-LEN(SUBSTITUTE(V1064,"、",""))+1))</f>
        <v/>
      </c>
      <c r="M1064" s="83">
        <f>IF(OR(X1064="估算法",X1064="算法类",X1064="无法识别"),"",IF(W1064="",IF(OR(I1064="ILF",I1064="EIF"),0,""),LEN(W1064)-LEN(SUBSTITUTE(W1064,"、",""))+1))</f>
        <v/>
      </c>
      <c r="N1064" s="83">
        <f>IF(OR(X1064="估算法",X1064="算法类",X1064="无法识别"),"",IF(X1064="",IF(OR(I1064="ILF",I1064="EIF",I1064="EI",I1064="EO",I1064="EQ"),0,""),LEN(X1064)-LEN(SUBSTITUTE(SUBSTITUTE(SUBSTITUTE(SUBSTITUTE(SUBSTITUTE(X1064,"|}","--"),"{|","--"),CHAR(10),""),"、",""),"|",""))+IF(AND(OR(I1064="EI",I1064="EO",I1064="EQ"),$AD$1="NESMA"),2,1)))</f>
        <v/>
      </c>
      <c r="O1064" s="84">
        <f>IF(I1064="EI",IF(OR(X1064="估算法",X1064="算法类"),"中",IF(X1064="无法识别","低",IF(L1064&lt;2,IF(N1064&lt;16,"低","中"),IF(L1064&lt;3,IF(N1064&lt;5,"低",IF(N1064&lt;16,"中","高")),IF(N1064&lt;5,"中","高"))))),IF(OR(I1064="EO",I1064="EQ"),IF(OR(X1064="估算法",X1064="算法类"),"中",IF(X1064="无法识别","低",IF(L1064&lt;2,IF(N1064&lt;20,"低","中"),IF(L1064&lt;4,IF(N1064&lt;6,"低",IF(N1064&lt;20,"中","高")),IF(N1064&lt;6,"中","高"))))),IF(OR(I1064="ILF",I1064="EIF"),IF(OR(X1064="估算法",X1064="算法类",X1064="无法识别"),"低",IF(M1064&lt;2,IF(N1064&lt;51,"低","中"),IF(M1064&lt;6,IF(N1064&lt;20,"低",IF(N1064&lt;51,"中","高")),IF(N1064&lt;20,"中","高")))),"不计算")))</f>
        <v/>
      </c>
      <c r="P1064" s="142">
        <f>IFERROR(IF(I1064="EI",IF(O1064="低",3,IF(O1064="中",4,6)),IF(I1064="EO",IF(O1064="低",4,IF(O1064="中",5,7)),IF(I1064="EQ",IF(O1064="低",3,IF(O1064="中",4,6)),IF(I1064="ILF",IF(O1064="低",7,IF(O1064="中",10,15)),IF(I1064="EIF",IF(O1064="低",5,IF(O1064="中",7,10)),"不计算")))))*Q1064,"不计算")</f>
        <v/>
      </c>
      <c r="Q1064" s="142" t="n">
        <v>0.333333333333333</v>
      </c>
      <c r="R1064" s="143">
        <f>调整因子!$F$13</f>
        <v/>
      </c>
      <c r="S1064" s="70" t="n">
        <v>1</v>
      </c>
      <c r="T1064" s="144">
        <f>IFERROR(P1064*R1064,0)</f>
        <v/>
      </c>
      <c r="U1064" s="145">
        <f>T1064*S1064</f>
        <v/>
      </c>
      <c r="V1064" s="96" t="inlineStr">
        <is>
          <t>任务优先级配置表、模板参数配置表、处置单配置表</t>
        </is>
      </c>
      <c r="W1064" s="96" t="inlineStr"/>
      <c r="X1064"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Y1064" s="88" t="n"/>
      <c r="Z1064" s="88" t="n"/>
    </row>
    <row r="1065" hidden="1" ht="54" customHeight="1">
      <c r="A1065" s="69">
        <f>ROW()-1</f>
        <v/>
      </c>
      <c r="B1065" s="53" t="n"/>
      <c r="C1065" s="117" t="n">
        <v>2026</v>
      </c>
      <c r="D1065" s="64" t="n"/>
      <c r="E1065" s="53" t="n"/>
      <c r="F1065" s="53" t="n"/>
      <c r="G1065" s="53" t="n"/>
      <c r="H1065" s="96" t="inlineStr">
        <is>
          <t>查询节点调度状态</t>
        </is>
      </c>
      <c r="I1065" s="76" t="inlineStr">
        <is>
          <t>EQ</t>
        </is>
      </c>
      <c r="J1065" s="95" t="n"/>
      <c r="K1065" s="95" t="inlineStr">
        <is>
          <t>处理流程和上行基本一致，为查询功能，未体现详情功能</t>
        </is>
      </c>
      <c r="L1065" s="83">
        <f>IF(OR(X1065="估算法",X1065="算法类",X1065="无法识别"),"",IF(V1065="",IF(OR(I1065="EI",I1065="EO",I1065="EQ"),0,""),LEN(V1065)-LEN(SUBSTITUTE(V1065,"、",""))+1))</f>
        <v/>
      </c>
      <c r="M1065" s="83">
        <f>IF(OR(X1065="估算法",X1065="算法类",X1065="无法识别"),"",IF(W1065="",IF(OR(I1065="ILF",I1065="EIF"),0,""),LEN(W1065)-LEN(SUBSTITUTE(W1065,"、",""))+1))</f>
        <v/>
      </c>
      <c r="N1065" s="83">
        <f>IF(OR(X1065="估算法",X1065="算法类",X1065="无法识别"),"",IF(X1065="",IF(OR(I1065="ILF",I1065="EIF",I1065="EI",I1065="EO",I1065="EQ"),0,""),LEN(X1065)-LEN(SUBSTITUTE(SUBSTITUTE(SUBSTITUTE(SUBSTITUTE(SUBSTITUTE(X1065,"|}","--"),"{|","--"),CHAR(10),""),"、",""),"|",""))+IF(AND(OR(I1065="EI",I1065="EO",I1065="EQ"),$AD$1="NESMA"),2,1)))</f>
        <v/>
      </c>
      <c r="O1065" s="84">
        <f>IF(I1065="EI",IF(OR(X1065="估算法",X1065="算法类"),"中",IF(X1065="无法识别","低",IF(L1065&lt;2,IF(N1065&lt;16,"低","中"),IF(L1065&lt;3,IF(N1065&lt;5,"低",IF(N1065&lt;16,"中","高")),IF(N1065&lt;5,"中","高"))))),IF(OR(I1065="EO",I1065="EQ"),IF(OR(X1065="估算法",X1065="算法类"),"中",IF(X1065="无法识别","低",IF(L1065&lt;2,IF(N1065&lt;20,"低","中"),IF(L1065&lt;4,IF(N1065&lt;6,"低",IF(N1065&lt;20,"中","高")),IF(N1065&lt;6,"中","高"))))),IF(OR(I1065="ILF",I1065="EIF"),IF(OR(X1065="估算法",X1065="算法类",X1065="无法识别"),"低",IF(M1065&lt;2,IF(N1065&lt;51,"低","中"),IF(M1065&lt;6,IF(N1065&lt;20,"低",IF(N1065&lt;51,"中","高")),IF(N1065&lt;20,"中","高")))),"不计算")))</f>
        <v/>
      </c>
      <c r="P1065" s="142">
        <f>IFERROR(IF(I1065="EI",IF(O1065="低",3,IF(O1065="中",4,6)),IF(I1065="EO",IF(O1065="低",4,IF(O1065="中",5,7)),IF(I1065="EQ",IF(O1065="低",3,IF(O1065="中",4,6)),IF(I1065="ILF",IF(O1065="低",7,IF(O1065="中",10,15)),IF(I1065="EIF",IF(O1065="低",5,IF(O1065="中",7,10)),"不计算")))))*Q1065,"不计算")</f>
        <v/>
      </c>
      <c r="Q1065" s="142" t="n">
        <v>0.333333333333333</v>
      </c>
      <c r="R1065" s="143">
        <f>调整因子!$F$13</f>
        <v/>
      </c>
      <c r="S1065" s="76" t="n">
        <v>1</v>
      </c>
      <c r="T1065" s="144">
        <f>IFERROR(P1065*R1065,0)</f>
        <v/>
      </c>
      <c r="U1065" s="145">
        <f>T1065*S1065</f>
        <v/>
      </c>
      <c r="V1065" s="96" t="inlineStr">
        <is>
          <t>模板参数配置表、任务趋势分析表、日志查询记录表</t>
        </is>
      </c>
      <c r="W1065" s="96" t="inlineStr"/>
      <c r="X1065" s="111" t="inlineStr">
        <is>
          <t>模板参数配置表{配置ID、配置名称|配置ID、配置名称、配置类型、配置值、创建时间}
任务趋势分析表{任务ID、任务名称|任务ID、任务名称、任务类型、任务状态、创建时间、执行时间}
日志查询记录表{日志ID、操作人|日志ID、操作人、操作类型、操作时间、操作内容}</t>
        </is>
      </c>
      <c r="Y1065" s="88" t="n"/>
      <c r="Z1065" s="88" t="n"/>
    </row>
    <row r="1066" hidden="1" ht="64.8" customHeight="1">
      <c r="A1066" s="69">
        <f>ROW()-1</f>
        <v/>
      </c>
      <c r="B1066" s="53" t="n"/>
      <c r="C1066" s="117" t="n">
        <v>2026</v>
      </c>
      <c r="D1066" s="64" t="n"/>
      <c r="E1066" s="53" t="n"/>
      <c r="F1066" s="53" t="n"/>
      <c r="G1066" s="54" t="n"/>
      <c r="H1066" s="96" t="inlineStr">
        <is>
          <t>查看资源分配情况</t>
        </is>
      </c>
      <c r="I1066" s="76" t="inlineStr">
        <is>
          <t>EQ</t>
        </is>
      </c>
      <c r="J1066" s="95" t="n"/>
      <c r="K1066" s="95" t="inlineStr">
        <is>
          <t>处理流程和上行基本一致，为查询功能，未体现详情功能</t>
        </is>
      </c>
      <c r="L1066" s="83">
        <f>IF(OR(X1066="估算法",X1066="算法类",X1066="无法识别"),"",IF(V1066="",IF(OR(I1066="EI",I1066="EO",I1066="EQ"),0,""),LEN(V1066)-LEN(SUBSTITUTE(V1066,"、",""))+1))</f>
        <v/>
      </c>
      <c r="M1066" s="83">
        <f>IF(OR(X1066="估算法",X1066="算法类",X1066="无法识别"),"",IF(W1066="",IF(OR(I1066="ILF",I1066="EIF"),0,""),LEN(W1066)-LEN(SUBSTITUTE(W1066,"、",""))+1))</f>
        <v/>
      </c>
      <c r="N1066" s="83">
        <f>IF(OR(X1066="估算法",X1066="算法类",X1066="无法识别"),"",IF(X1066="",IF(OR(I1066="ILF",I1066="EIF",I1066="EI",I1066="EO",I1066="EQ"),0,""),LEN(X1066)-LEN(SUBSTITUTE(SUBSTITUTE(SUBSTITUTE(SUBSTITUTE(SUBSTITUTE(X1066,"|}","--"),"{|","--"),CHAR(10),""),"、",""),"|",""))+IF(AND(OR(I1066="EI",I1066="EO",I1066="EQ"),$AD$1="NESMA"),2,1)))</f>
        <v/>
      </c>
      <c r="O1066" s="84">
        <f>IF(I1066="EI",IF(OR(X1066="估算法",X1066="算法类"),"中",IF(X1066="无法识别","低",IF(L1066&lt;2,IF(N1066&lt;16,"低","中"),IF(L1066&lt;3,IF(N1066&lt;5,"低",IF(N1066&lt;16,"中","高")),IF(N1066&lt;5,"中","高"))))),IF(OR(I1066="EO",I1066="EQ"),IF(OR(X1066="估算法",X1066="算法类"),"中",IF(X1066="无法识别","低",IF(L1066&lt;2,IF(N1066&lt;20,"低","中"),IF(L1066&lt;4,IF(N1066&lt;6,"低",IF(N1066&lt;20,"中","高")),IF(N1066&lt;6,"中","高"))))),IF(OR(I1066="ILF",I1066="EIF"),IF(OR(X1066="估算法",X1066="算法类",X1066="无法识别"),"低",IF(M1066&lt;2,IF(N1066&lt;51,"低","中"),IF(M1066&lt;6,IF(N1066&lt;20,"低",IF(N1066&lt;51,"中","高")),IF(N1066&lt;20,"中","高")))),"不计算")))</f>
        <v/>
      </c>
      <c r="P1066" s="142">
        <f>IFERROR(IF(I1066="EI",IF(O1066="低",3,IF(O1066="中",4,6)),IF(I1066="EO",IF(O1066="低",4,IF(O1066="中",5,7)),IF(I1066="EQ",IF(O1066="低",3,IF(O1066="中",4,6)),IF(I1066="ILF",IF(O1066="低",7,IF(O1066="中",10,15)),IF(I1066="EIF",IF(O1066="低",5,IF(O1066="中",7,10)),"不计算")))))*Q1066,"不计算")</f>
        <v/>
      </c>
      <c r="Q1066" s="142" t="n">
        <v>0.333333333333333</v>
      </c>
      <c r="R1066" s="143">
        <f>调整因子!$F$13</f>
        <v/>
      </c>
      <c r="S1066" s="70" t="n">
        <v>1</v>
      </c>
      <c r="T1066" s="144">
        <f>IFERROR(P1066*R1066,0)</f>
        <v/>
      </c>
      <c r="U1066" s="145">
        <f>T1066*S1066</f>
        <v/>
      </c>
      <c r="V1066" s="96" t="inlineStr">
        <is>
          <t>验证记录表、通报对象表、数据清洗任务表、漏洞处置推送接口配置表</t>
        </is>
      </c>
      <c r="W1066" s="96" t="inlineStr"/>
      <c r="X1066" s="111" t="inlineStr">
        <is>
          <t>验证记录表{ID、名称|ID、名称、类型、状态、创建时间、更新时间}
通报对象表{ID、名称|ID、名称、类型、状态、创建时间、更新时间}
数据清洗任务表{任务ID、任务名称|任务ID、任务名称、任务类型、任务状态、创建时间、执行时间}
漏洞处置推送接口配置表{漏洞ID、漏洞名称|漏洞ID、漏洞名称、漏洞等级、漏洞类型、CVE编号、发现时间、修复状态}</t>
        </is>
      </c>
      <c r="Y1066" s="88" t="n"/>
      <c r="Z1066" s="88" t="n"/>
    </row>
    <row r="1067" hidden="1" ht="97.2" customHeight="1">
      <c r="A1067" s="69">
        <f>ROW()-1</f>
        <v/>
      </c>
      <c r="B1067" s="53" t="n"/>
      <c r="C1067" s="117" t="n">
        <v>2026</v>
      </c>
      <c r="D1067" s="64" t="n"/>
      <c r="E1067" s="53" t="n"/>
      <c r="F1067" s="53" t="n"/>
      <c r="G1067" s="111" t="inlineStr">
        <is>
          <t>智能匹配管理</t>
        </is>
      </c>
      <c r="H1067" s="96" t="inlineStr">
        <is>
          <t>编辑智能匹配规则</t>
        </is>
      </c>
      <c r="I1067" s="76" t="inlineStr">
        <is>
          <t>EI</t>
        </is>
      </c>
      <c r="J1067" s="95" t="n"/>
      <c r="K1067" s="95" t="n"/>
      <c r="L1067" s="83">
        <f>IF(OR(X1067="估算法",X1067="算法类",X1067="无法识别"),"",IF(V1067="",IF(OR(I1067="EI",I1067="EO",I1067="EQ"),0,""),LEN(V1067)-LEN(SUBSTITUTE(V1067,"、",""))+1))</f>
        <v/>
      </c>
      <c r="M1067" s="83">
        <f>IF(OR(X1067="估算法",X1067="算法类",X1067="无法识别"),"",IF(W1067="",IF(OR(I1067="ILF",I1067="EIF"),0,""),LEN(W1067)-LEN(SUBSTITUTE(W1067,"、",""))+1))</f>
        <v/>
      </c>
      <c r="N1067" s="83">
        <f>IF(OR(X1067="估算法",X1067="算法类",X1067="无法识别"),"",IF(X1067="",IF(OR(I1067="ILF",I1067="EIF",I1067="EI",I1067="EO",I1067="EQ"),0,""),LEN(X1067)-LEN(SUBSTITUTE(SUBSTITUTE(SUBSTITUTE(SUBSTITUTE(SUBSTITUTE(X1067,"|}","--"),"{|","--"),CHAR(10),""),"、",""),"|",""))+IF(AND(OR(I1067="EI",I1067="EO",I1067="EQ"),$AD$1="NESMA"),2,1)))</f>
        <v/>
      </c>
      <c r="O1067" s="84">
        <f>IF(I1067="EI",IF(OR(X1067="估算法",X1067="算法类"),"中",IF(X1067="无法识别","低",IF(L1067&lt;2,IF(N1067&lt;16,"低","中"),IF(L1067&lt;3,IF(N1067&lt;5,"低",IF(N1067&lt;16,"中","高")),IF(N1067&lt;5,"中","高"))))),IF(OR(I1067="EO",I1067="EQ"),IF(OR(X1067="估算法",X1067="算法类"),"中",IF(X1067="无法识别","低",IF(L1067&lt;2,IF(N1067&lt;20,"低","中"),IF(L1067&lt;4,IF(N1067&lt;6,"低",IF(N1067&lt;20,"中","高")),IF(N1067&lt;6,"中","高"))))),IF(OR(I1067="ILF",I1067="EIF"),IF(OR(X1067="估算法",X1067="算法类",X1067="无法识别"),"低",IF(M1067&lt;2,IF(N1067&lt;51,"低","中"),IF(M1067&lt;6,IF(N1067&lt;20,"低",IF(N1067&lt;51,"中","高")),IF(N1067&lt;20,"中","高")))),"不计算")))</f>
        <v/>
      </c>
      <c r="P1067" s="142">
        <f>IFERROR(IF(I1067="EI",IF(O1067="低",3,IF(O1067="中",4,6)),IF(I1067="EO",IF(O1067="低",4,IF(O1067="中",5,7)),IF(I1067="EQ",IF(O1067="低",3,IF(O1067="中",4,6)),IF(I1067="ILF",IF(O1067="低",7,IF(O1067="中",10,15)),IF(I1067="EIF",IF(O1067="低",5,IF(O1067="中",7,10)),"不计算")))))*Q1067,"不计算")</f>
        <v/>
      </c>
      <c r="Q1067" s="142" t="n">
        <v>0.333333333333333</v>
      </c>
      <c r="R1067" s="143">
        <f>调整因子!$F$13</f>
        <v/>
      </c>
      <c r="S1067" s="70" t="n">
        <v>1</v>
      </c>
      <c r="T1067" s="144">
        <f>IFERROR(P1067*R1067,0)</f>
        <v/>
      </c>
      <c r="U1067" s="145">
        <f>T1067*S1067</f>
        <v/>
      </c>
      <c r="V1067" s="96" t="inlineStr">
        <is>
          <t>推送规则表、提醒规则表、脱敏规则表、加密规则表、推送结果表</t>
        </is>
      </c>
      <c r="W1067" s="96" t="inlineStr"/>
      <c r="X1067"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推送结果表{ID、名称、类型、状态、创建时间、更新时间|ID、名称、类型}</t>
        </is>
      </c>
      <c r="Y1067" s="88" t="n"/>
      <c r="Z1067" s="88" t="n"/>
    </row>
    <row r="1068" hidden="1" ht="64.8" customHeight="1">
      <c r="A1068" s="69">
        <f>ROW()-1</f>
        <v/>
      </c>
      <c r="B1068" s="53" t="n"/>
      <c r="C1068" s="117" t="n">
        <v>2026</v>
      </c>
      <c r="D1068" s="64" t="n"/>
      <c r="E1068" s="53" t="n"/>
      <c r="F1068" s="53" t="n"/>
      <c r="G1068" s="53" t="n"/>
      <c r="H1068" s="96" t="inlineStr">
        <is>
          <t>删除智能匹配规则</t>
        </is>
      </c>
      <c r="I1068" s="76" t="inlineStr">
        <is>
          <t>EI</t>
        </is>
      </c>
      <c r="J1068" s="95" t="n"/>
      <c r="K1068" s="95" t="n"/>
      <c r="L1068" s="83">
        <f>IF(OR(X1068="估算法",X1068="算法类",X1068="无法识别"),"",IF(V1068="",IF(OR(I1068="EI",I1068="EO",I1068="EQ"),0,""),LEN(V1068)-LEN(SUBSTITUTE(V1068,"、",""))+1))</f>
        <v/>
      </c>
      <c r="M1068" s="83">
        <f>IF(OR(X1068="估算法",X1068="算法类",X1068="无法识别"),"",IF(W1068="",IF(OR(I1068="ILF",I1068="EIF"),0,""),LEN(W1068)-LEN(SUBSTITUTE(W1068,"、",""))+1))</f>
        <v/>
      </c>
      <c r="N1068" s="83">
        <f>IF(OR(X1068="估算法",X1068="算法类",X1068="无法识别"),"",IF(X1068="",IF(OR(I1068="ILF",I1068="EIF",I1068="EI",I1068="EO",I1068="EQ"),0,""),LEN(X1068)-LEN(SUBSTITUTE(SUBSTITUTE(SUBSTITUTE(SUBSTITUTE(SUBSTITUTE(X1068,"|}","--"),"{|","--"),CHAR(10),""),"、",""),"|",""))+IF(AND(OR(I1068="EI",I1068="EO",I1068="EQ"),$AD$1="NESMA"),2,1)))</f>
        <v/>
      </c>
      <c r="O1068" s="84">
        <f>IF(I1068="EI",IF(OR(X1068="估算法",X1068="算法类"),"中",IF(X1068="无法识别","低",IF(L1068&lt;2,IF(N1068&lt;16,"低","中"),IF(L1068&lt;3,IF(N1068&lt;5,"低",IF(N1068&lt;16,"中","高")),IF(N1068&lt;5,"中","高"))))),IF(OR(I1068="EO",I1068="EQ"),IF(OR(X1068="估算法",X1068="算法类"),"中",IF(X1068="无法识别","低",IF(L1068&lt;2,IF(N1068&lt;20,"低","中"),IF(L1068&lt;4,IF(N1068&lt;6,"低",IF(N1068&lt;20,"中","高")),IF(N1068&lt;6,"中","高"))))),IF(OR(I1068="ILF",I1068="EIF"),IF(OR(X1068="估算法",X1068="算法类",X1068="无法识别"),"低",IF(M1068&lt;2,IF(N1068&lt;51,"低","中"),IF(M1068&lt;6,IF(N1068&lt;20,"低",IF(N1068&lt;51,"中","高")),IF(N1068&lt;20,"中","高")))),"不计算")))</f>
        <v/>
      </c>
      <c r="P1068" s="142">
        <f>IFERROR(IF(I1068="EI",IF(O1068="低",3,IF(O1068="中",4,6)),IF(I1068="EO",IF(O1068="低",4,IF(O1068="中",5,7)),IF(I1068="EQ",IF(O1068="低",3,IF(O1068="中",4,6)),IF(I1068="ILF",IF(O1068="低",7,IF(O1068="中",10,15)),IF(I1068="EIF",IF(O1068="低",5,IF(O1068="中",7,10)),"不计算")))))*Q1068,"不计算")</f>
        <v/>
      </c>
      <c r="Q1068" s="142" t="n">
        <v>0.333333333333333</v>
      </c>
      <c r="R1068" s="143">
        <f>调整因子!$F$13</f>
        <v/>
      </c>
      <c r="S1068" s="76" t="n">
        <v>1</v>
      </c>
      <c r="T1068" s="144">
        <f>IFERROR(P1068*R1068,0)</f>
        <v/>
      </c>
      <c r="U1068" s="145">
        <f>T1068*S1068</f>
        <v/>
      </c>
      <c r="V1068" s="96" t="inlineStr">
        <is>
          <t>推送规则表、提醒规则表、脱敏规则表</t>
        </is>
      </c>
      <c r="W1068" s="96" t="inlineStr"/>
      <c r="X1068"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Y1068" s="88" t="n"/>
      <c r="Z1068" s="88" t="n"/>
    </row>
    <row r="1069" hidden="1" ht="64.8" customHeight="1">
      <c r="A1069" s="69">
        <f>ROW()-1</f>
        <v/>
      </c>
      <c r="B1069" s="53" t="n"/>
      <c r="C1069" s="117" t="n">
        <v>2026</v>
      </c>
      <c r="D1069" s="64" t="n"/>
      <c r="E1069" s="53" t="n"/>
      <c r="F1069" s="53" t="n"/>
      <c r="G1069" s="53" t="n"/>
      <c r="H1069" s="96" t="inlineStr">
        <is>
          <t>启用智能匹配</t>
        </is>
      </c>
      <c r="I1069" s="76" t="inlineStr">
        <is>
          <t>EI</t>
        </is>
      </c>
      <c r="J1069" s="95" t="n"/>
      <c r="K1069" s="95" t="n"/>
      <c r="L1069" s="83">
        <f>IF(OR(X1069="估算法",X1069="算法类",X1069="无法识别"),"",IF(V1069="",IF(OR(I1069="EI",I1069="EO",I1069="EQ"),0,""),LEN(V1069)-LEN(SUBSTITUTE(V1069,"、",""))+1))</f>
        <v/>
      </c>
      <c r="M1069" s="83">
        <f>IF(OR(X1069="估算法",X1069="算法类",X1069="无法识别"),"",IF(W1069="",IF(OR(I1069="ILF",I1069="EIF"),0,""),LEN(W1069)-LEN(SUBSTITUTE(W1069,"、",""))+1))</f>
        <v/>
      </c>
      <c r="N1069" s="83">
        <f>IF(OR(X1069="估算法",X1069="算法类",X1069="无法识别"),"",IF(X1069="",IF(OR(I1069="ILF",I1069="EIF",I1069="EI",I1069="EO",I1069="EQ"),0,""),LEN(X1069)-LEN(SUBSTITUTE(SUBSTITUTE(SUBSTITUTE(SUBSTITUTE(SUBSTITUTE(X1069,"|}","--"),"{|","--"),CHAR(10),""),"、",""),"|",""))+IF(AND(OR(I1069="EI",I1069="EO",I1069="EQ"),$AD$1="NESMA"),2,1)))</f>
        <v/>
      </c>
      <c r="O1069" s="84">
        <f>IF(I1069="EI",IF(OR(X1069="估算法",X1069="算法类"),"中",IF(X1069="无法识别","低",IF(L1069&lt;2,IF(N1069&lt;16,"低","中"),IF(L1069&lt;3,IF(N1069&lt;5,"低",IF(N1069&lt;16,"中","高")),IF(N1069&lt;5,"中","高"))))),IF(OR(I1069="EO",I1069="EQ"),IF(OR(X1069="估算法",X1069="算法类"),"中",IF(X1069="无法识别","低",IF(L1069&lt;2,IF(N1069&lt;20,"低","中"),IF(L1069&lt;4,IF(N1069&lt;6,"低",IF(N1069&lt;20,"中","高")),IF(N1069&lt;6,"中","高"))))),IF(OR(I1069="ILF",I1069="EIF"),IF(OR(X1069="估算法",X1069="算法类",X1069="无法识别"),"低",IF(M1069&lt;2,IF(N1069&lt;51,"低","中"),IF(M1069&lt;6,IF(N1069&lt;20,"低",IF(N1069&lt;51,"中","高")),IF(N1069&lt;20,"中","高")))),"不计算")))</f>
        <v/>
      </c>
      <c r="P1069" s="142">
        <f>IFERROR(IF(I1069="EI",IF(O1069="低",3,IF(O1069="中",4,6)),IF(I1069="EO",IF(O1069="低",4,IF(O1069="中",5,7)),IF(I1069="EQ",IF(O1069="低",3,IF(O1069="中",4,6)),IF(I1069="ILF",IF(O1069="低",7,IF(O1069="中",10,15)),IF(I1069="EIF",IF(O1069="低",5,IF(O1069="中",7,10)),"不计算")))))*Q1069,"不计算")</f>
        <v/>
      </c>
      <c r="Q1069" s="142" t="n">
        <v>0.333333333333333</v>
      </c>
      <c r="R1069" s="143">
        <f>调整因子!$F$13</f>
        <v/>
      </c>
      <c r="S1069" s="76" t="n">
        <v>1</v>
      </c>
      <c r="T1069" s="144">
        <f>IFERROR(P1069*R1069,0)</f>
        <v/>
      </c>
      <c r="U1069" s="145">
        <f>T1069*S1069</f>
        <v/>
      </c>
      <c r="V1069" s="96" t="inlineStr">
        <is>
          <t>模板分类表、漏洞查询接口配置表、调用统计表、接口参数配置表</t>
        </is>
      </c>
      <c r="W1069" s="96" t="inlineStr"/>
      <c r="X1069" s="111" t="inlineStr">
        <is>
          <t>模板分类表{ID、名称、类型、状态、创建时间、更新时间|ID、名称、类型}
漏洞查询接口配置表{漏洞ID、漏洞名称、漏洞等级、漏洞类型、CVE编号、发现时间、修复状态|漏洞ID、漏洞名称、漏洞等级}
调用统计表{ID、名称、类型、状态、创建时间、更新时间|ID、名称、类型}
接口参数配置表{配置ID、配置名称、配置类型、配置值、创建时间|配置ID、配置名称、配置类型}</t>
        </is>
      </c>
      <c r="Y1069" s="88" t="n"/>
      <c r="Z1069" s="88" t="n"/>
    </row>
    <row r="1070" hidden="1" ht="64.8" customHeight="1">
      <c r="A1070" s="69">
        <f>ROW()-1</f>
        <v/>
      </c>
      <c r="B1070" s="53" t="n"/>
      <c r="C1070" s="117" t="n">
        <v>2026</v>
      </c>
      <c r="D1070" s="64" t="n"/>
      <c r="E1070" s="53" t="n"/>
      <c r="F1070" s="53" t="n"/>
      <c r="G1070" s="53" t="n"/>
      <c r="H1070" s="96" t="inlineStr">
        <is>
          <t>停用智能匹配</t>
        </is>
      </c>
      <c r="I1070" s="76" t="n"/>
      <c r="J1070" s="95" t="n"/>
      <c r="K1070" s="95" t="inlineStr">
        <is>
          <t>和上行合并，启停为相同功能</t>
        </is>
      </c>
      <c r="L1070" s="83">
        <f>IF(OR(X1070="估算法",X1070="算法类",X1070="无法识别"),"",IF(V1070="",IF(OR(I1070="EI",I1070="EO",I1070="EQ"),0,""),LEN(V1070)-LEN(SUBSTITUTE(V1070,"、",""))+1))</f>
        <v/>
      </c>
      <c r="M1070" s="83">
        <f>IF(OR(X1070="估算法",X1070="算法类",X1070="无法识别"),"",IF(W1070="",IF(OR(I1070="ILF",I1070="EIF"),0,""),LEN(W1070)-LEN(SUBSTITUTE(W1070,"、",""))+1))</f>
        <v/>
      </c>
      <c r="N1070" s="83">
        <f>IF(OR(X1070="估算法",X1070="算法类",X1070="无法识别"),"",IF(X1070="",IF(OR(I1070="ILF",I1070="EIF",I1070="EI",I1070="EO",I1070="EQ"),0,""),LEN(X1070)-LEN(SUBSTITUTE(SUBSTITUTE(SUBSTITUTE(SUBSTITUTE(SUBSTITUTE(X1070,"|}","--"),"{|","--"),CHAR(10),""),"、",""),"|",""))+IF(AND(OR(I1070="EI",I1070="EO",I1070="EQ"),$AD$1="NESMA"),2,1)))</f>
        <v/>
      </c>
      <c r="O1070" s="84">
        <f>IF(I1070="EI",IF(OR(X1070="估算法",X1070="算法类"),"中",IF(X1070="无法识别","低",IF(L1070&lt;2,IF(N1070&lt;16,"低","中"),IF(L1070&lt;3,IF(N1070&lt;5,"低",IF(N1070&lt;16,"中","高")),IF(N1070&lt;5,"中","高"))))),IF(OR(I1070="EO",I1070="EQ"),IF(OR(X1070="估算法",X1070="算法类"),"中",IF(X1070="无法识别","低",IF(L1070&lt;2,IF(N1070&lt;20,"低","中"),IF(L1070&lt;4,IF(N1070&lt;6,"低",IF(N1070&lt;20,"中","高")),IF(N1070&lt;6,"中","高"))))),IF(OR(I1070="ILF",I1070="EIF"),IF(OR(X1070="估算法",X1070="算法类",X1070="无法识别"),"低",IF(M1070&lt;2,IF(N1070&lt;51,"低","中"),IF(M1070&lt;6,IF(N1070&lt;20,"低",IF(N1070&lt;51,"中","高")),IF(N1070&lt;20,"中","高")))),"不计算")))</f>
        <v/>
      </c>
      <c r="P1070" s="142">
        <f>IFERROR(IF(I1070="EI",IF(O1070="低",3,IF(O1070="中",4,6)),IF(I1070="EO",IF(O1070="低",4,IF(O1070="中",5,7)),IF(I1070="EQ",IF(O1070="低",3,IF(O1070="中",4,6)),IF(I1070="ILF",IF(O1070="低",7,IF(O1070="中",10,15)),IF(I1070="EIF",IF(O1070="低",5,IF(O1070="中",7,10)),"不计算")))))*Q1070,"不计算")</f>
        <v/>
      </c>
      <c r="Q1070" s="142" t="n">
        <v>0.333333333333333</v>
      </c>
      <c r="R1070" s="143">
        <f>调整因子!$F$13</f>
        <v/>
      </c>
      <c r="S1070" s="70" t="n">
        <v>1</v>
      </c>
      <c r="T1070" s="144">
        <f>IFERROR(P1070*R1070,0)</f>
        <v/>
      </c>
      <c r="U1070" s="145">
        <f>T1070*S1070</f>
        <v/>
      </c>
      <c r="V1070" s="96" t="inlineStr">
        <is>
          <t>日志采集配置表、报告模板表、模板配置表、验证记录表</t>
        </is>
      </c>
      <c r="W1070" s="96" t="inlineStr"/>
      <c r="X1070" s="111" t="inlineStr">
        <is>
          <t>日志采集配置表{配置ID、配置名称、配置类型、配置值、创建时间|配置ID、配置名称、配置类型}
报告模板表{ID、名称、类型、状态、创建时间、更新时间|ID、名称、类型}
模板配置表{配置ID、配置名称、配置类型、配置值、创建时间|配置ID、配置名称、配置类型}
验证记录表{ID、名称、类型、状态、创建时间、更新时间|ID、名称、类型}</t>
        </is>
      </c>
      <c r="Y1070" s="88" t="n"/>
      <c r="Z1070" s="88" t="n"/>
    </row>
    <row r="1071" hidden="1" ht="54" customHeight="1">
      <c r="A1071" s="69">
        <f>ROW()-1</f>
        <v/>
      </c>
      <c r="B1071" s="53" t="n"/>
      <c r="C1071" s="117" t="n">
        <v>2026</v>
      </c>
      <c r="D1071" s="64" t="n"/>
      <c r="E1071" s="53" t="n"/>
      <c r="F1071" s="53" t="n"/>
      <c r="G1071" s="53" t="n"/>
      <c r="H1071" s="96" t="inlineStr">
        <is>
          <t>导出匹配规则</t>
        </is>
      </c>
      <c r="I1071" s="76" t="inlineStr">
        <is>
          <t>EO</t>
        </is>
      </c>
      <c r="J1071" s="95" t="n"/>
      <c r="K1071" s="95" t="n"/>
      <c r="L1071" s="83">
        <f>IF(OR(X1071="估算法",X1071="算法类",X1071="无法识别"),"",IF(V1071="",IF(OR(I1071="EI",I1071="EO",I1071="EQ"),0,""),LEN(V1071)-LEN(SUBSTITUTE(V1071,"、",""))+1))</f>
        <v/>
      </c>
      <c r="M1071" s="83">
        <f>IF(OR(X1071="估算法",X1071="算法类",X1071="无法识别"),"",IF(W1071="",IF(OR(I1071="ILF",I1071="EIF"),0,""),LEN(W1071)-LEN(SUBSTITUTE(W1071,"、",""))+1))</f>
        <v/>
      </c>
      <c r="N1071" s="83">
        <f>IF(OR(X1071="估算法",X1071="算法类",X1071="无法识别"),"",IF(X1071="",IF(OR(I1071="ILF",I1071="EIF",I1071="EI",I1071="EO",I1071="EQ"),0,""),LEN(X1071)-LEN(SUBSTITUTE(SUBSTITUTE(SUBSTITUTE(SUBSTITUTE(SUBSTITUTE(X1071,"|}","--"),"{|","--"),CHAR(10),""),"、",""),"|",""))+IF(AND(OR(I1071="EI",I1071="EO",I1071="EQ"),$AD$1="NESMA"),2,1)))</f>
        <v/>
      </c>
      <c r="O1071" s="84">
        <f>IF(I1071="EI",IF(OR(X1071="估算法",X1071="算法类"),"中",IF(X1071="无法识别","低",IF(L1071&lt;2,IF(N1071&lt;16,"低","中"),IF(L1071&lt;3,IF(N1071&lt;5,"低",IF(N1071&lt;16,"中","高")),IF(N1071&lt;5,"中","高"))))),IF(OR(I1071="EO",I1071="EQ"),IF(OR(X1071="估算法",X1071="算法类"),"中",IF(X1071="无法识别","低",IF(L1071&lt;2,IF(N1071&lt;20,"低","中"),IF(L1071&lt;4,IF(N1071&lt;6,"低",IF(N1071&lt;20,"中","高")),IF(N1071&lt;6,"中","高"))))),IF(OR(I1071="ILF",I1071="EIF"),IF(OR(X1071="估算法",X1071="算法类",X1071="无法识别"),"低",IF(M1071&lt;2,IF(N1071&lt;51,"低","中"),IF(M1071&lt;6,IF(N1071&lt;20,"低",IF(N1071&lt;51,"中","高")),IF(N1071&lt;20,"中","高")))),"不计算")))</f>
        <v/>
      </c>
      <c r="P1071" s="142">
        <f>IFERROR(IF(I1071="EI",IF(O1071="低",3,IF(O1071="中",4,6)),IF(I1071="EO",IF(O1071="低",4,IF(O1071="中",5,7)),IF(I1071="EQ",IF(O1071="低",3,IF(O1071="中",4,6)),IF(I1071="ILF",IF(O1071="低",7,IF(O1071="中",10,15)),IF(I1071="EIF",IF(O1071="低",5,IF(O1071="中",7,10)),"不计算")))))*Q1071,"不计算")</f>
        <v/>
      </c>
      <c r="Q1071" s="142" t="n">
        <v>0.333333333333333</v>
      </c>
      <c r="R1071" s="143">
        <f>调整因子!$F$13</f>
        <v/>
      </c>
      <c r="S1071" s="70" t="n">
        <v>1</v>
      </c>
      <c r="T1071" s="144">
        <f>IFERROR(P1071*R1071,0)</f>
        <v/>
      </c>
      <c r="U1071" s="145">
        <f>T1071*S1071</f>
        <v/>
      </c>
      <c r="V1071" s="96" t="inlineStr">
        <is>
          <t>推送规则表、提醒规则表、脱敏规则表、加密规则表、加密策略表</t>
        </is>
      </c>
      <c r="W1071" s="96" t="inlineStr"/>
      <c r="X1071"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加密策略表{策略ID、策略名称|策略ID、策略名称、策略类型、策略内容、生效时间}</t>
        </is>
      </c>
      <c r="Y1071" s="88" t="n"/>
      <c r="Z1071" s="88" t="n"/>
    </row>
    <row r="1072" hidden="1" ht="43.2" customHeight="1">
      <c r="A1072" s="69">
        <f>ROW()-1</f>
        <v/>
      </c>
      <c r="B1072" s="53" t="n"/>
      <c r="C1072" s="117" t="n">
        <v>2026</v>
      </c>
      <c r="D1072" s="64" t="n"/>
      <c r="E1072" s="53" t="n"/>
      <c r="F1072" s="53" t="n"/>
      <c r="G1072" s="53" t="n"/>
      <c r="H1072" s="96" t="inlineStr">
        <is>
          <t>查询匹配规则</t>
        </is>
      </c>
      <c r="I1072" s="76" t="inlineStr">
        <is>
          <t>EQ</t>
        </is>
      </c>
      <c r="J1072" s="95" t="n"/>
      <c r="K1072" s="95" t="inlineStr">
        <is>
          <t>处理流程和上行基本一致，为查询功能，未体现详情功能</t>
        </is>
      </c>
      <c r="L1072" s="83">
        <f>IF(OR(X1072="估算法",X1072="算法类",X1072="无法识别"),"",IF(V1072="",IF(OR(I1072="EI",I1072="EO",I1072="EQ"),0,""),LEN(V1072)-LEN(SUBSTITUTE(V1072,"、",""))+1))</f>
        <v/>
      </c>
      <c r="M1072" s="83">
        <f>IF(OR(X1072="估算法",X1072="算法类",X1072="无法识别"),"",IF(W1072="",IF(OR(I1072="ILF",I1072="EIF"),0,""),LEN(W1072)-LEN(SUBSTITUTE(W1072,"、",""))+1))</f>
        <v/>
      </c>
      <c r="N1072" s="83">
        <f>IF(OR(X1072="估算法",X1072="算法类",X1072="无法识别"),"",IF(X1072="",IF(OR(I1072="ILF",I1072="EIF",I1072="EI",I1072="EO",I1072="EQ"),0,""),LEN(X1072)-LEN(SUBSTITUTE(SUBSTITUTE(SUBSTITUTE(SUBSTITUTE(SUBSTITUTE(X1072,"|}","--"),"{|","--"),CHAR(10),""),"、",""),"|",""))+IF(AND(OR(I1072="EI",I1072="EO",I1072="EQ"),$AD$1="NESMA"),2,1)))</f>
        <v/>
      </c>
      <c r="O1072" s="84">
        <f>IF(I1072="EI",IF(OR(X1072="估算法",X1072="算法类"),"中",IF(X1072="无法识别","低",IF(L1072&lt;2,IF(N1072&lt;16,"低","中"),IF(L1072&lt;3,IF(N1072&lt;5,"低",IF(N1072&lt;16,"中","高")),IF(N1072&lt;5,"中","高"))))),IF(OR(I1072="EO",I1072="EQ"),IF(OR(X1072="估算法",X1072="算法类"),"中",IF(X1072="无法识别","低",IF(L1072&lt;2,IF(N1072&lt;20,"低","中"),IF(L1072&lt;4,IF(N1072&lt;6,"低",IF(N1072&lt;20,"中","高")),IF(N1072&lt;6,"中","高"))))),IF(OR(I1072="ILF",I1072="EIF"),IF(OR(X1072="估算法",X1072="算法类",X1072="无法识别"),"低",IF(M1072&lt;2,IF(N1072&lt;51,"低","中"),IF(M1072&lt;6,IF(N1072&lt;20,"低",IF(N1072&lt;51,"中","高")),IF(N1072&lt;20,"中","高")))),"不计算")))</f>
        <v/>
      </c>
      <c r="P1072" s="142">
        <f>IFERROR(IF(I1072="EI",IF(O1072="低",3,IF(O1072="中",4,6)),IF(I1072="EO",IF(O1072="低",4,IF(O1072="中",5,7)),IF(I1072="EQ",IF(O1072="低",3,IF(O1072="中",4,6)),IF(I1072="ILF",IF(O1072="低",7,IF(O1072="中",10,15)),IF(I1072="EIF",IF(O1072="低",5,IF(O1072="中",7,10)),"不计算")))))*Q1072,"不计算")</f>
        <v/>
      </c>
      <c r="Q1072" s="142" t="n">
        <v>0.333333333333333</v>
      </c>
      <c r="R1072" s="143">
        <f>调整因子!$F$13</f>
        <v/>
      </c>
      <c r="S1072" s="76" t="n">
        <v>1</v>
      </c>
      <c r="T1072" s="144">
        <f>IFERROR(P1072*R1072,0)</f>
        <v/>
      </c>
      <c r="U1072" s="145">
        <f>T1072*S1072</f>
        <v/>
      </c>
      <c r="V1072" s="96" t="inlineStr">
        <is>
          <t>推送规则表、提醒规则表、脱敏规则表、加密规则表</t>
        </is>
      </c>
      <c r="W1072" s="96" t="inlineStr"/>
      <c r="X1072" s="111"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Y1072" s="88" t="n"/>
      <c r="Z1072" s="88" t="n"/>
    </row>
    <row r="1073" hidden="1" ht="64.8" customHeight="1">
      <c r="A1073" s="69">
        <f>ROW()-1</f>
        <v/>
      </c>
      <c r="B1073" s="53" t="n"/>
      <c r="C1073" s="117" t="n">
        <v>2026</v>
      </c>
      <c r="D1073" s="64" t="n"/>
      <c r="E1073" s="53" t="n"/>
      <c r="F1073" s="54" t="n"/>
      <c r="G1073" s="54" t="n"/>
      <c r="H1073" s="96" t="inlineStr">
        <is>
          <t>查看匹配结果</t>
        </is>
      </c>
      <c r="I1073" s="76" t="inlineStr">
        <is>
          <t>EQ</t>
        </is>
      </c>
      <c r="J1073" s="95" t="n"/>
      <c r="K1073" s="95" t="inlineStr">
        <is>
          <t>处理流程和上行基本一致，为查询功能，未体现详情功能</t>
        </is>
      </c>
      <c r="L1073" s="83">
        <f>IF(OR(X1073="估算法",X1073="算法类",X1073="无法识别"),"",IF(V1073="",IF(OR(I1073="EI",I1073="EO",I1073="EQ"),0,""),LEN(V1073)-LEN(SUBSTITUTE(V1073,"、",""))+1))</f>
        <v/>
      </c>
      <c r="M1073" s="83">
        <f>IF(OR(X1073="估算法",X1073="算法类",X1073="无法识别"),"",IF(W1073="",IF(OR(I1073="ILF",I1073="EIF"),0,""),LEN(W1073)-LEN(SUBSTITUTE(W1073,"、",""))+1))</f>
        <v/>
      </c>
      <c r="N1073" s="83">
        <f>IF(OR(X1073="估算法",X1073="算法类",X1073="无法识别"),"",IF(X1073="",IF(OR(I1073="ILF",I1073="EIF",I1073="EI",I1073="EO",I1073="EQ"),0,""),LEN(X1073)-LEN(SUBSTITUTE(SUBSTITUTE(SUBSTITUTE(SUBSTITUTE(SUBSTITUTE(X1073,"|}","--"),"{|","--"),CHAR(10),""),"、",""),"|",""))+IF(AND(OR(I1073="EI",I1073="EO",I1073="EQ"),$AD$1="NESMA"),2,1)))</f>
        <v/>
      </c>
      <c r="O1073" s="84">
        <f>IF(I1073="EI",IF(OR(X1073="估算法",X1073="算法类"),"中",IF(X1073="无法识别","低",IF(L1073&lt;2,IF(N1073&lt;16,"低","中"),IF(L1073&lt;3,IF(N1073&lt;5,"低",IF(N1073&lt;16,"中","高")),IF(N1073&lt;5,"中","高"))))),IF(OR(I1073="EO",I1073="EQ"),IF(OR(X1073="估算法",X1073="算法类"),"中",IF(X1073="无法识别","低",IF(L1073&lt;2,IF(N1073&lt;20,"低","中"),IF(L1073&lt;4,IF(N1073&lt;6,"低",IF(N1073&lt;20,"中","高")),IF(N1073&lt;6,"中","高"))))),IF(OR(I1073="ILF",I1073="EIF"),IF(OR(X1073="估算法",X1073="算法类",X1073="无法识别"),"低",IF(M1073&lt;2,IF(N1073&lt;51,"低","中"),IF(M1073&lt;6,IF(N1073&lt;20,"低",IF(N1073&lt;51,"中","高")),IF(N1073&lt;20,"中","高")))),"不计算")))</f>
        <v/>
      </c>
      <c r="P1073" s="142">
        <f>IFERROR(IF(I1073="EI",IF(O1073="低",3,IF(O1073="中",4,6)),IF(I1073="EO",IF(O1073="低",4,IF(O1073="中",5,7)),IF(I1073="EQ",IF(O1073="低",3,IF(O1073="中",4,6)),IF(I1073="ILF",IF(O1073="低",7,IF(O1073="中",10,15)),IF(I1073="EIF",IF(O1073="低",5,IF(O1073="中",7,10)),"不计算")))))*Q1073,"不计算")</f>
        <v/>
      </c>
      <c r="Q1073" s="142" t="n">
        <v>0.333333333333333</v>
      </c>
      <c r="R1073" s="143">
        <f>调整因子!$F$13</f>
        <v/>
      </c>
      <c r="S1073" s="70" t="n">
        <v>1</v>
      </c>
      <c r="T1073" s="144">
        <f>IFERROR(P1073*R1073,0)</f>
        <v/>
      </c>
      <c r="U1073" s="145">
        <f>T1073*S1073</f>
        <v/>
      </c>
      <c r="V1073" s="96" t="inlineStr">
        <is>
          <t>推送配置表、资产同步任务表、态势数据采集表、任务故障记录表</t>
        </is>
      </c>
      <c r="W1073" s="96" t="inlineStr"/>
      <c r="X1073" s="111" t="inlineStr">
        <is>
          <t>推送配置表{配置ID、配置名称|配置ID、配置名称、配置类型、配置值、创建时间}
资产同步任务表{资产ID、资产名称|资产ID、资产名称、IP地址、资产类型、资产状态、创建时间、更新时间}
态势数据采集表{ID、名称|ID、名称、类型、状态、创建时间、更新时间}
任务故障记录表{任务ID、任务名称|任务ID、任务名称、任务类型、任务状态、创建时间、执行时间}</t>
        </is>
      </c>
      <c r="Y1073" s="88" t="n"/>
      <c r="Z1073" s="88" t="n"/>
    </row>
    <row r="1074" hidden="1" ht="108" customHeight="1">
      <c r="A1074" s="69">
        <f>ROW()-1</f>
        <v/>
      </c>
      <c r="B1074" s="53" t="n"/>
      <c r="C1074" s="117" t="n">
        <v>2026</v>
      </c>
      <c r="D1074" s="64" t="n"/>
      <c r="E1074" s="53" t="n"/>
      <c r="F1074" s="111" t="inlineStr">
        <is>
          <t>多源扫描设备集中管理</t>
        </is>
      </c>
      <c r="G1074" s="111" t="inlineStr">
        <is>
          <t>扫描设备注册管理</t>
        </is>
      </c>
      <c r="H1074" s="96" t="inlineStr">
        <is>
          <t>编辑扫描设备</t>
        </is>
      </c>
      <c r="I1074" s="76" t="inlineStr">
        <is>
          <t>EI</t>
        </is>
      </c>
      <c r="J1074" s="95" t="n"/>
      <c r="K1074" s="95" t="n"/>
      <c r="L1074" s="83">
        <f>IF(OR(X1074="估算法",X1074="算法类",X1074="无法识别"),"",IF(V1074="",IF(OR(I1074="EI",I1074="EO",I1074="EQ"),0,""),LEN(V1074)-LEN(SUBSTITUTE(V1074,"、",""))+1))</f>
        <v/>
      </c>
      <c r="M1074" s="83">
        <f>IF(OR(X1074="估算法",X1074="算法类",X1074="无法识别"),"",IF(W1074="",IF(OR(I1074="ILF",I1074="EIF"),0,""),LEN(W1074)-LEN(SUBSTITUTE(W1074,"、",""))+1))</f>
        <v/>
      </c>
      <c r="N1074" s="83">
        <f>IF(OR(X1074="估算法",X1074="算法类",X1074="无法识别"),"",IF(X1074="",IF(OR(I1074="ILF",I1074="EIF",I1074="EI",I1074="EO",I1074="EQ"),0,""),LEN(X1074)-LEN(SUBSTITUTE(SUBSTITUTE(SUBSTITUTE(SUBSTITUTE(SUBSTITUTE(X1074,"|}","--"),"{|","--"),CHAR(10),""),"、",""),"|",""))+IF(AND(OR(I1074="EI",I1074="EO",I1074="EQ"),$AD$1="NESMA"),2,1)))</f>
        <v/>
      </c>
      <c r="O1074" s="84">
        <f>IF(I1074="EI",IF(OR(X1074="估算法",X1074="算法类"),"中",IF(X1074="无法识别","低",IF(L1074&lt;2,IF(N1074&lt;16,"低","中"),IF(L1074&lt;3,IF(N1074&lt;5,"低",IF(N1074&lt;16,"中","高")),IF(N1074&lt;5,"中","高"))))),IF(OR(I1074="EO",I1074="EQ"),IF(OR(X1074="估算法",X1074="算法类"),"中",IF(X1074="无法识别","低",IF(L1074&lt;2,IF(N1074&lt;20,"低","中"),IF(L1074&lt;4,IF(N1074&lt;6,"低",IF(N1074&lt;20,"中","高")),IF(N1074&lt;6,"中","高"))))),IF(OR(I1074="ILF",I1074="EIF"),IF(OR(X1074="估算法",X1074="算法类",X1074="无法识别"),"低",IF(M1074&lt;2,IF(N1074&lt;51,"低","中"),IF(M1074&lt;6,IF(N1074&lt;20,"低",IF(N1074&lt;51,"中","高")),IF(N1074&lt;20,"中","高")))),"不计算")))</f>
        <v/>
      </c>
      <c r="P1074" s="142">
        <f>IFERROR(IF(I1074="EI",IF(O1074="低",3,IF(O1074="中",4,6)),IF(I1074="EO",IF(O1074="低",4,IF(O1074="中",5,7)),IF(I1074="EQ",IF(O1074="低",3,IF(O1074="中",4,6)),IF(I1074="ILF",IF(O1074="低",7,IF(O1074="中",10,15)),IF(I1074="EIF",IF(O1074="低",5,IF(O1074="中",7,10)),"不计算")))))*Q1074,"不计算")</f>
        <v/>
      </c>
      <c r="Q1074" s="142" t="n">
        <v>1</v>
      </c>
      <c r="R1074" s="143">
        <f>调整因子!$F$13</f>
        <v/>
      </c>
      <c r="S1074" s="70" t="n">
        <v>1</v>
      </c>
      <c r="T1074" s="144">
        <f>IFERROR(P1074*R1074,0)</f>
        <v/>
      </c>
      <c r="U1074" s="145">
        <f>T1074*S1074</f>
        <v/>
      </c>
      <c r="V1074" s="96" t="inlineStr">
        <is>
          <t>资产扫描覆盖表、扫描盲区记录表、扫描能力缺口表、离线扫描报告表、扫描策略模板表</t>
        </is>
      </c>
      <c r="W1074" s="96" t="inlineStr"/>
      <c r="X1074"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Y1074" s="88" t="n"/>
      <c r="Z1074" s="88" t="n"/>
    </row>
    <row r="1075" hidden="1" ht="86.40000000000001" customHeight="1">
      <c r="A1075" s="69">
        <f>ROW()-1</f>
        <v/>
      </c>
      <c r="B1075" s="53" t="n"/>
      <c r="C1075" s="117" t="n">
        <v>2026</v>
      </c>
      <c r="D1075" s="64" t="n"/>
      <c r="E1075" s="53" t="n"/>
      <c r="F1075" s="53" t="n"/>
      <c r="G1075" s="53" t="n"/>
      <c r="H1075" s="96" t="inlineStr">
        <is>
          <t>删除扫描设备</t>
        </is>
      </c>
      <c r="I1075" s="76" t="inlineStr">
        <is>
          <t>EI</t>
        </is>
      </c>
      <c r="J1075" s="95" t="n"/>
      <c r="K1075" s="95" t="n"/>
      <c r="L1075" s="83">
        <f>IF(OR(X1075="估算法",X1075="算法类",X1075="无法识别"),"",IF(V1075="",IF(OR(I1075="EI",I1075="EO",I1075="EQ"),0,""),LEN(V1075)-LEN(SUBSTITUTE(V1075,"、",""))+1))</f>
        <v/>
      </c>
      <c r="M1075" s="83">
        <f>IF(OR(X1075="估算法",X1075="算法类",X1075="无法识别"),"",IF(W1075="",IF(OR(I1075="ILF",I1075="EIF"),0,""),LEN(W1075)-LEN(SUBSTITUTE(W1075,"、",""))+1))</f>
        <v/>
      </c>
      <c r="N1075" s="83">
        <f>IF(OR(X1075="估算法",X1075="算法类",X1075="无法识别"),"",IF(X1075="",IF(OR(I1075="ILF",I1075="EIF",I1075="EI",I1075="EO",I1075="EQ"),0,""),LEN(X1075)-LEN(SUBSTITUTE(SUBSTITUTE(SUBSTITUTE(SUBSTITUTE(SUBSTITUTE(X1075,"|}","--"),"{|","--"),CHAR(10),""),"、",""),"|",""))+IF(AND(OR(I1075="EI",I1075="EO",I1075="EQ"),$AD$1="NESMA"),2,1)))</f>
        <v/>
      </c>
      <c r="O1075" s="84">
        <f>IF(I1075="EI",IF(OR(X1075="估算法",X1075="算法类"),"中",IF(X1075="无法识别","低",IF(L1075&lt;2,IF(N1075&lt;16,"低","中"),IF(L1075&lt;3,IF(N1075&lt;5,"低",IF(N1075&lt;16,"中","高")),IF(N1075&lt;5,"中","高"))))),IF(OR(I1075="EO",I1075="EQ"),IF(OR(X1075="估算法",X1075="算法类"),"中",IF(X1075="无法识别","低",IF(L1075&lt;2,IF(N1075&lt;20,"低","中"),IF(L1075&lt;4,IF(N1075&lt;6,"低",IF(N1075&lt;20,"中","高")),IF(N1075&lt;6,"中","高"))))),IF(OR(I1075="ILF",I1075="EIF"),IF(OR(X1075="估算法",X1075="算法类",X1075="无法识别"),"低",IF(M1075&lt;2,IF(N1075&lt;51,"低","中"),IF(M1075&lt;6,IF(N1075&lt;20,"低",IF(N1075&lt;51,"中","高")),IF(N1075&lt;20,"中","高")))),"不计算")))</f>
        <v/>
      </c>
      <c r="P1075" s="142">
        <f>IFERROR(IF(I1075="EI",IF(O1075="低",3,IF(O1075="中",4,6)),IF(I1075="EO",IF(O1075="低",4,IF(O1075="中",5,7)),IF(I1075="EQ",IF(O1075="低",3,IF(O1075="中",4,6)),IF(I1075="ILF",IF(O1075="低",7,IF(O1075="中",10,15)),IF(I1075="EIF",IF(O1075="低",5,IF(O1075="中",7,10)),"不计算")))))*Q1075,"不计算")</f>
        <v/>
      </c>
      <c r="Q1075" s="142" t="n">
        <v>0.333333333333333</v>
      </c>
      <c r="R1075" s="143">
        <f>调整因子!$F$13</f>
        <v/>
      </c>
      <c r="S1075" s="76" t="n">
        <v>1</v>
      </c>
      <c r="T1075" s="144">
        <f>IFERROR(P1075*R1075,0)</f>
        <v/>
      </c>
      <c r="U1075" s="145">
        <f>T1075*S1075</f>
        <v/>
      </c>
      <c r="V1075" s="96" t="inlineStr">
        <is>
          <t>资产扫描覆盖表、扫描盲区记录表、扫描能力缺口表、离线扫描报告表</t>
        </is>
      </c>
      <c r="W1075" s="96" t="inlineStr"/>
      <c r="X1075"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Y1075" s="88" t="n"/>
      <c r="Z1075" s="88" t="n"/>
    </row>
    <row r="1076" hidden="1" ht="86.40000000000001" customHeight="1">
      <c r="A1076" s="69">
        <f>ROW()-1</f>
        <v/>
      </c>
      <c r="B1076" s="53" t="n"/>
      <c r="C1076" s="117" t="n">
        <v>2026</v>
      </c>
      <c r="D1076" s="64" t="n"/>
      <c r="E1076" s="53" t="n"/>
      <c r="F1076" s="53" t="n"/>
      <c r="G1076" s="53" t="n"/>
      <c r="H1076" s="96" t="inlineStr">
        <is>
          <t>启用扫描设备</t>
        </is>
      </c>
      <c r="I1076" s="76" t="inlineStr">
        <is>
          <t>EI</t>
        </is>
      </c>
      <c r="J1076" s="95" t="n"/>
      <c r="K1076" s="95" t="n"/>
      <c r="L1076" s="83">
        <f>IF(OR(X1076="估算法",X1076="算法类",X1076="无法识别"),"",IF(V1076="",IF(OR(I1076="EI",I1076="EO",I1076="EQ"),0,""),LEN(V1076)-LEN(SUBSTITUTE(V1076,"、",""))+1))</f>
        <v/>
      </c>
      <c r="M1076" s="83">
        <f>IF(OR(X1076="估算法",X1076="算法类",X1076="无法识别"),"",IF(W1076="",IF(OR(I1076="ILF",I1076="EIF"),0,""),LEN(W1076)-LEN(SUBSTITUTE(W1076,"、",""))+1))</f>
        <v/>
      </c>
      <c r="N1076" s="83">
        <f>IF(OR(X1076="估算法",X1076="算法类",X1076="无法识别"),"",IF(X1076="",IF(OR(I1076="ILF",I1076="EIF",I1076="EI",I1076="EO",I1076="EQ"),0,""),LEN(X1076)-LEN(SUBSTITUTE(SUBSTITUTE(SUBSTITUTE(SUBSTITUTE(SUBSTITUTE(X1076,"|}","--"),"{|","--"),CHAR(10),""),"、",""),"|",""))+IF(AND(OR(I1076="EI",I1076="EO",I1076="EQ"),$AD$1="NESMA"),2,1)))</f>
        <v/>
      </c>
      <c r="O1076" s="84">
        <f>IF(I1076="EI",IF(OR(X1076="估算法",X1076="算法类"),"中",IF(X1076="无法识别","低",IF(L1076&lt;2,IF(N1076&lt;16,"低","中"),IF(L1076&lt;3,IF(N1076&lt;5,"低",IF(N1076&lt;16,"中","高")),IF(N1076&lt;5,"中","高"))))),IF(OR(I1076="EO",I1076="EQ"),IF(OR(X1076="估算法",X1076="算法类"),"中",IF(X1076="无法识别","低",IF(L1076&lt;2,IF(N1076&lt;20,"低","中"),IF(L1076&lt;4,IF(N1076&lt;6,"低",IF(N1076&lt;20,"中","高")),IF(N1076&lt;6,"中","高"))))),IF(OR(I1076="ILF",I1076="EIF"),IF(OR(X1076="估算法",X1076="算法类",X1076="无法识别"),"低",IF(M1076&lt;2,IF(N1076&lt;51,"低","中"),IF(M1076&lt;6,IF(N1076&lt;20,"低",IF(N1076&lt;51,"中","高")),IF(N1076&lt;20,"中","高")))),"不计算")))</f>
        <v/>
      </c>
      <c r="P1076" s="142">
        <f>IFERROR(IF(I1076="EI",IF(O1076="低",3,IF(O1076="中",4,6)),IF(I1076="EO",IF(O1076="低",4,IF(O1076="中",5,7)),IF(I1076="EQ",IF(O1076="低",3,IF(O1076="中",4,6)),IF(I1076="ILF",IF(O1076="低",7,IF(O1076="中",10,15)),IF(I1076="EIF",IF(O1076="低",5,IF(O1076="中",7,10)),"不计算")))))*Q1076,"不计算")</f>
        <v/>
      </c>
      <c r="Q1076" s="142" t="n">
        <v>1</v>
      </c>
      <c r="R1076" s="143">
        <f>调整因子!$F$13</f>
        <v/>
      </c>
      <c r="S1076" s="76" t="n">
        <v>1</v>
      </c>
      <c r="T1076" s="144">
        <f>IFERROR(P1076*R1076,0)</f>
        <v/>
      </c>
      <c r="U1076" s="145">
        <f>T1076*S1076</f>
        <v/>
      </c>
      <c r="V1076" s="96" t="inlineStr">
        <is>
          <t>资产扫描覆盖表、扫描盲区记录表、扫描能力缺口表、离线扫描报告表</t>
        </is>
      </c>
      <c r="W1076" s="96" t="inlineStr"/>
      <c r="X1076"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Y1076" s="88" t="n"/>
      <c r="Z1076" s="88" t="n"/>
    </row>
    <row r="1077" hidden="1" ht="108" customHeight="1">
      <c r="A1077" s="69">
        <f>ROW()-1</f>
        <v/>
      </c>
      <c r="B1077" s="53" t="n"/>
      <c r="C1077" s="117" t="n">
        <v>2026</v>
      </c>
      <c r="D1077" s="64" t="n"/>
      <c r="E1077" s="53" t="n"/>
      <c r="F1077" s="53" t="n"/>
      <c r="G1077" s="53" t="n"/>
      <c r="H1077" s="96" t="inlineStr">
        <is>
          <t>停用扫描设备</t>
        </is>
      </c>
      <c r="I1077" s="76" t="n"/>
      <c r="J1077" s="95" t="n"/>
      <c r="K1077" s="95" t="inlineStr">
        <is>
          <t>和上行合并，启停为相同功能</t>
        </is>
      </c>
      <c r="L1077" s="83">
        <f>IF(OR(X1077="估算法",X1077="算法类",X1077="无法识别"),"",IF(V1077="",IF(OR(I1077="EI",I1077="EO",I1077="EQ"),0,""),LEN(V1077)-LEN(SUBSTITUTE(V1077,"、",""))+1))</f>
        <v/>
      </c>
      <c r="M1077" s="83">
        <f>IF(OR(X1077="估算法",X1077="算法类",X1077="无法识别"),"",IF(W1077="",IF(OR(I1077="ILF",I1077="EIF"),0,""),LEN(W1077)-LEN(SUBSTITUTE(W1077,"、",""))+1))</f>
        <v/>
      </c>
      <c r="N1077" s="83">
        <f>IF(OR(X1077="估算法",X1077="算法类",X1077="无法识别"),"",IF(X1077="",IF(OR(I1077="ILF",I1077="EIF",I1077="EI",I1077="EO",I1077="EQ"),0,""),LEN(X1077)-LEN(SUBSTITUTE(SUBSTITUTE(SUBSTITUTE(SUBSTITUTE(SUBSTITUTE(X1077,"|}","--"),"{|","--"),CHAR(10),""),"、",""),"|",""))+IF(AND(OR(I1077="EI",I1077="EO",I1077="EQ"),$AD$1="NESMA"),2,1)))</f>
        <v/>
      </c>
      <c r="O1077" s="84">
        <f>IF(I1077="EI",IF(OR(X1077="估算法",X1077="算法类"),"中",IF(X1077="无法识别","低",IF(L1077&lt;2,IF(N1077&lt;16,"低","中"),IF(L1077&lt;3,IF(N1077&lt;5,"低",IF(N1077&lt;16,"中","高")),IF(N1077&lt;5,"中","高"))))),IF(OR(I1077="EO",I1077="EQ"),IF(OR(X1077="估算法",X1077="算法类"),"中",IF(X1077="无法识别","低",IF(L1077&lt;2,IF(N1077&lt;20,"低","中"),IF(L1077&lt;4,IF(N1077&lt;6,"低",IF(N1077&lt;20,"中","高")),IF(N1077&lt;6,"中","高"))))),IF(OR(I1077="ILF",I1077="EIF"),IF(OR(X1077="估算法",X1077="算法类",X1077="无法识别"),"低",IF(M1077&lt;2,IF(N1077&lt;51,"低","中"),IF(M1077&lt;6,IF(N1077&lt;20,"低",IF(N1077&lt;51,"中","高")),IF(N1077&lt;20,"中","高")))),"不计算")))</f>
        <v/>
      </c>
      <c r="P1077" s="142">
        <f>IFERROR(IF(I1077="EI",IF(O1077="低",3,IF(O1077="中",4,6)),IF(I1077="EO",IF(O1077="低",4,IF(O1077="中",5,7)),IF(I1077="EQ",IF(O1077="低",3,IF(O1077="中",4,6)),IF(I1077="ILF",IF(O1077="低",7,IF(O1077="中",10,15)),IF(I1077="EIF",IF(O1077="低",5,IF(O1077="中",7,10)),"不计算")))))*Q1077,"不计算")</f>
        <v/>
      </c>
      <c r="Q1077" s="142" t="n">
        <v>1</v>
      </c>
      <c r="R1077" s="143">
        <f>调整因子!$F$13</f>
        <v/>
      </c>
      <c r="S1077" s="70" t="n">
        <v>1</v>
      </c>
      <c r="T1077" s="144">
        <f>IFERROR(P1077*R1077,0)</f>
        <v/>
      </c>
      <c r="U1077" s="145">
        <f>T1077*S1077</f>
        <v/>
      </c>
      <c r="V1077" s="96" t="inlineStr">
        <is>
          <t>资产扫描覆盖表、扫描盲区记录表、扫描能力缺口表、离线扫描报告表、扫描策略模板表</t>
        </is>
      </c>
      <c r="W1077" s="96" t="inlineStr"/>
      <c r="X1077"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Y1077" s="88" t="n"/>
      <c r="Z1077" s="88" t="n"/>
    </row>
    <row r="1078" hidden="1" ht="97.2" customHeight="1">
      <c r="A1078" s="69">
        <f>ROW()-1</f>
        <v/>
      </c>
      <c r="B1078" s="53" t="n"/>
      <c r="C1078" s="117" t="n">
        <v>2026</v>
      </c>
      <c r="D1078" s="64" t="n"/>
      <c r="E1078" s="53" t="n"/>
      <c r="F1078" s="53" t="n"/>
      <c r="G1078" s="53" t="n"/>
      <c r="H1078" s="96" t="inlineStr">
        <is>
          <t>导出设备列表</t>
        </is>
      </c>
      <c r="I1078" s="76" t="inlineStr">
        <is>
          <t>EO</t>
        </is>
      </c>
      <c r="J1078" s="95" t="n"/>
      <c r="K1078" s="95" t="n"/>
      <c r="L1078" s="83">
        <f>IF(OR(X1078="估算法",X1078="算法类",X1078="无法识别"),"",IF(V1078="",IF(OR(I1078="EI",I1078="EO",I1078="EQ"),0,""),LEN(V1078)-LEN(SUBSTITUTE(V1078,"、",""))+1))</f>
        <v/>
      </c>
      <c r="M1078" s="83">
        <f>IF(OR(X1078="估算法",X1078="算法类",X1078="无法识别"),"",IF(W1078="",IF(OR(I1078="ILF",I1078="EIF"),0,""),LEN(W1078)-LEN(SUBSTITUTE(W1078,"、",""))+1))</f>
        <v/>
      </c>
      <c r="N1078" s="83">
        <f>IF(OR(X1078="估算法",X1078="算法类",X1078="无法识别"),"",IF(X1078="",IF(OR(I1078="ILF",I1078="EIF",I1078="EI",I1078="EO",I1078="EQ"),0,""),LEN(X1078)-LEN(SUBSTITUTE(SUBSTITUTE(SUBSTITUTE(SUBSTITUTE(SUBSTITUTE(X1078,"|}","--"),"{|","--"),CHAR(10),""),"、",""),"|",""))+IF(AND(OR(I1078="EI",I1078="EO",I1078="EQ"),$AD$1="NESMA"),2,1)))</f>
        <v/>
      </c>
      <c r="O1078" s="84">
        <f>IF(I1078="EI",IF(OR(X1078="估算法",X1078="算法类"),"中",IF(X1078="无法识别","低",IF(L1078&lt;2,IF(N1078&lt;16,"低","中"),IF(L1078&lt;3,IF(N1078&lt;5,"低",IF(N1078&lt;16,"中","高")),IF(N1078&lt;5,"中","高"))))),IF(OR(I1078="EO",I1078="EQ"),IF(OR(X1078="估算法",X1078="算法类"),"中",IF(X1078="无法识别","低",IF(L1078&lt;2,IF(N1078&lt;20,"低","中"),IF(L1078&lt;4,IF(N1078&lt;6,"低",IF(N1078&lt;20,"中","高")),IF(N1078&lt;6,"中","高"))))),IF(OR(I1078="ILF",I1078="EIF"),IF(OR(X1078="估算法",X1078="算法类",X1078="无法识别"),"低",IF(M1078&lt;2,IF(N1078&lt;51,"低","中"),IF(M1078&lt;6,IF(N1078&lt;20,"低",IF(N1078&lt;51,"中","高")),IF(N1078&lt;20,"中","高")))),"不计算")))</f>
        <v/>
      </c>
      <c r="P1078" s="142">
        <f>IFERROR(IF(I1078="EI",IF(O1078="低",3,IF(O1078="中",4,6)),IF(I1078="EO",IF(O1078="低",4,IF(O1078="中",5,7)),IF(I1078="EQ",IF(O1078="低",3,IF(O1078="中",4,6)),IF(I1078="ILF",IF(O1078="低",7,IF(O1078="中",10,15)),IF(I1078="EIF",IF(O1078="低",5,IF(O1078="中",7,10)),"不计算")))))*Q1078,"不计算")</f>
        <v/>
      </c>
      <c r="Q1078" s="142" t="n">
        <v>1</v>
      </c>
      <c r="R1078" s="143">
        <f>调整因子!$F$13</f>
        <v/>
      </c>
      <c r="S1078" s="70" t="n">
        <v>1</v>
      </c>
      <c r="T1078" s="144">
        <f>IFERROR(P1078*R1078,0)</f>
        <v/>
      </c>
      <c r="U1078" s="145">
        <f>T1078*S1078</f>
        <v/>
      </c>
      <c r="V1078" s="96" t="inlineStr">
        <is>
          <t>离线扫描报告表、数据清洗任务表、复测任务表、资产查询接口配置表、推送失败重试表</t>
        </is>
      </c>
      <c r="W1078" s="96" t="inlineStr"/>
      <c r="X1078" s="111" t="inlineStr">
        <is>
          <t>离线扫描报告表{任务ID、任务名称|任务ID、任务名称、任务状态、扫描器类型、开始时间、结束时间、扫描结果}
数据清洗任务表{任务ID、任务名称|任务ID、任务名称、任务类型、任务状态、创建时间、执行时间}
复测任务表{任务ID、任务名称|任务ID、任务名称、任务类型、任务状态、创建时间、执行时间}
资产查询接口配置表{资产ID、资产名称|资产ID、资产名称、IP地址、资产类型、资产状态、创建时间、更新时间}
推送失败重试表{ID、名称|ID、名称、类型、状态、创建时间、更新时间}</t>
        </is>
      </c>
      <c r="Y1078" s="88" t="n"/>
      <c r="Z1078" s="88" t="n"/>
    </row>
    <row r="1079" hidden="1" ht="75.59999999999999" customHeight="1">
      <c r="A1079" s="69">
        <f>ROW()-1</f>
        <v/>
      </c>
      <c r="B1079" s="53" t="n"/>
      <c r="C1079" s="117" t="n">
        <v>2026</v>
      </c>
      <c r="D1079" s="64" t="n"/>
      <c r="E1079" s="53" t="n"/>
      <c r="F1079" s="53" t="n"/>
      <c r="G1079" s="53" t="n"/>
      <c r="H1079" s="96" t="inlineStr">
        <is>
          <t>下载设备配置</t>
        </is>
      </c>
      <c r="I1079" s="76" t="inlineStr">
        <is>
          <t>EO</t>
        </is>
      </c>
      <c r="J1079" s="95" t="n"/>
      <c r="K1079" s="95" t="n"/>
      <c r="L1079" s="83">
        <f>IF(OR(X1079="估算法",X1079="算法类",X1079="无法识别"),"",IF(V1079="",IF(OR(I1079="EI",I1079="EO",I1079="EQ"),0,""),LEN(V1079)-LEN(SUBSTITUTE(V1079,"、",""))+1))</f>
        <v/>
      </c>
      <c r="M1079" s="83">
        <f>IF(OR(X1079="估算法",X1079="算法类",X1079="无法识别"),"",IF(W1079="",IF(OR(I1079="ILF",I1079="EIF"),0,""),LEN(W1079)-LEN(SUBSTITUTE(W1079,"、",""))+1))</f>
        <v/>
      </c>
      <c r="N1079" s="83">
        <f>IF(OR(X1079="估算法",X1079="算法类",X1079="无法识别"),"",IF(X1079="",IF(OR(I1079="ILF",I1079="EIF",I1079="EI",I1079="EO",I1079="EQ"),0,""),LEN(X1079)-LEN(SUBSTITUTE(SUBSTITUTE(SUBSTITUTE(SUBSTITUTE(SUBSTITUTE(X1079,"|}","--"),"{|","--"),CHAR(10),""),"、",""),"|",""))+IF(AND(OR(I1079="EI",I1079="EO",I1079="EQ"),$AD$1="NESMA"),2,1)))</f>
        <v/>
      </c>
      <c r="O1079" s="84">
        <f>IF(I1079="EI",IF(OR(X1079="估算法",X1079="算法类"),"中",IF(X1079="无法识别","低",IF(L1079&lt;2,IF(N1079&lt;16,"低","中"),IF(L1079&lt;3,IF(N1079&lt;5,"低",IF(N1079&lt;16,"中","高")),IF(N1079&lt;5,"中","高"))))),IF(OR(I1079="EO",I1079="EQ"),IF(OR(X1079="估算法",X1079="算法类"),"中",IF(X1079="无法识别","低",IF(L1079&lt;2,IF(N1079&lt;20,"低","中"),IF(L1079&lt;4,IF(N1079&lt;6,"低",IF(N1079&lt;20,"中","高")),IF(N1079&lt;6,"中","高"))))),IF(OR(I1079="ILF",I1079="EIF"),IF(OR(X1079="估算法",X1079="算法类",X1079="无法识别"),"低",IF(M1079&lt;2,IF(N1079&lt;51,"低","中"),IF(M1079&lt;6,IF(N1079&lt;20,"低",IF(N1079&lt;51,"中","高")),IF(N1079&lt;20,"中","高")))),"不计算")))</f>
        <v/>
      </c>
      <c r="P1079" s="142">
        <f>IFERROR(IF(I1079="EI",IF(O1079="低",3,IF(O1079="中",4,6)),IF(I1079="EO",IF(O1079="低",4,IF(O1079="中",5,7)),IF(I1079="EQ",IF(O1079="低",3,IF(O1079="中",4,6)),IF(I1079="ILF",IF(O1079="低",7,IF(O1079="中",10,15)),IF(I1079="EIF",IF(O1079="低",5,IF(O1079="中",7,10)),"不计算")))))*Q1079,"不计算")</f>
        <v/>
      </c>
      <c r="Q1079" s="142" t="n">
        <v>1</v>
      </c>
      <c r="R1079" s="143">
        <f>调整因子!$F$13</f>
        <v/>
      </c>
      <c r="S1079" s="76" t="n">
        <v>1</v>
      </c>
      <c r="T1079" s="144">
        <f>IFERROR(P1079*R1079,0)</f>
        <v/>
      </c>
      <c r="U1079" s="145">
        <f>T1079*S1079</f>
        <v/>
      </c>
      <c r="V1079" s="96" t="inlineStr">
        <is>
          <t>任务优先级配置表、模板参数配置表、处置单配置表、验证配置表、复测配置表</t>
        </is>
      </c>
      <c r="W1079" s="96" t="inlineStr"/>
      <c r="X1079"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Y1079" s="88" t="n"/>
      <c r="Z1079" s="88" t="n"/>
    </row>
    <row r="1080" hidden="1" ht="64.8" customHeight="1">
      <c r="A1080" s="69">
        <f>ROW()-1</f>
        <v/>
      </c>
      <c r="B1080" s="53" t="n"/>
      <c r="C1080" s="117" t="n">
        <v>2026</v>
      </c>
      <c r="D1080" s="64" t="n"/>
      <c r="E1080" s="53" t="n"/>
      <c r="F1080" s="53" t="n"/>
      <c r="G1080" s="53" t="n"/>
      <c r="H1080" s="96" t="inlineStr">
        <is>
          <t>查询设备列表</t>
        </is>
      </c>
      <c r="I1080" s="76" t="inlineStr">
        <is>
          <t>EQ</t>
        </is>
      </c>
      <c r="J1080" s="95" t="n"/>
      <c r="K1080" s="95" t="inlineStr">
        <is>
          <t>处理流程和上行基本一致，为查询功能，未体现详情功能</t>
        </is>
      </c>
      <c r="L1080" s="83">
        <f>IF(OR(X1080="估算法",X1080="算法类",X1080="无法识别"),"",IF(V1080="",IF(OR(I1080="EI",I1080="EO",I1080="EQ"),0,""),LEN(V1080)-LEN(SUBSTITUTE(V1080,"、",""))+1))</f>
        <v/>
      </c>
      <c r="M1080" s="83">
        <f>IF(OR(X1080="估算法",X1080="算法类",X1080="无法识别"),"",IF(W1080="",IF(OR(I1080="ILF",I1080="EIF"),0,""),LEN(W1080)-LEN(SUBSTITUTE(W1080,"、",""))+1))</f>
        <v/>
      </c>
      <c r="N1080" s="83">
        <f>IF(OR(X1080="估算法",X1080="算法类",X1080="无法识别"),"",IF(X1080="",IF(OR(I1080="ILF",I1080="EIF",I1080="EI",I1080="EO",I1080="EQ"),0,""),LEN(X1080)-LEN(SUBSTITUTE(SUBSTITUTE(SUBSTITUTE(SUBSTITUTE(SUBSTITUTE(X1080,"|}","--"),"{|","--"),CHAR(10),""),"、",""),"|",""))+IF(AND(OR(I1080="EI",I1080="EO",I1080="EQ"),$AD$1="NESMA"),2,1)))</f>
        <v/>
      </c>
      <c r="O1080" s="84">
        <f>IF(I1080="EI",IF(OR(X1080="估算法",X1080="算法类"),"中",IF(X1080="无法识别","低",IF(L1080&lt;2,IF(N1080&lt;16,"低","中"),IF(L1080&lt;3,IF(N1080&lt;5,"低",IF(N1080&lt;16,"中","高")),IF(N1080&lt;5,"中","高"))))),IF(OR(I1080="EO",I1080="EQ"),IF(OR(X1080="估算法",X1080="算法类"),"中",IF(X1080="无法识别","低",IF(L1080&lt;2,IF(N1080&lt;20,"低","中"),IF(L1080&lt;4,IF(N1080&lt;6,"低",IF(N1080&lt;20,"中","高")),IF(N1080&lt;6,"中","高"))))),IF(OR(I1080="ILF",I1080="EIF"),IF(OR(X1080="估算法",X1080="算法类",X1080="无法识别"),"低",IF(M1080&lt;2,IF(N1080&lt;51,"低","中"),IF(M1080&lt;6,IF(N1080&lt;20,"低",IF(N1080&lt;51,"中","高")),IF(N1080&lt;20,"中","高")))),"不计算")))</f>
        <v/>
      </c>
      <c r="P1080" s="142">
        <f>IFERROR(IF(I1080="EI",IF(O1080="低",3,IF(O1080="中",4,6)),IF(I1080="EO",IF(O1080="低",4,IF(O1080="中",5,7)),IF(I1080="EQ",IF(O1080="低",3,IF(O1080="中",4,6)),IF(I1080="ILF",IF(O1080="低",7,IF(O1080="中",10,15)),IF(I1080="EIF",IF(O1080="低",5,IF(O1080="中",7,10)),"不计算")))))*Q1080,"不计算")</f>
        <v/>
      </c>
      <c r="Q1080" s="142" t="n">
        <v>0.333333333333333</v>
      </c>
      <c r="R1080" s="143">
        <f>调整因子!$F$13</f>
        <v/>
      </c>
      <c r="S1080" s="70" t="n">
        <v>1</v>
      </c>
      <c r="T1080" s="144">
        <f>IFERROR(P1080*R1080,0)</f>
        <v/>
      </c>
      <c r="U1080" s="145">
        <f>T1080*S1080</f>
        <v/>
      </c>
      <c r="V1080" s="96" t="inlineStr">
        <is>
          <t>日志采集配置表、脱敏规则表、任务优先级配置表、提醒规则表</t>
        </is>
      </c>
      <c r="W1080" s="96" t="inlineStr"/>
      <c r="X1080" s="111" t="inlineStr">
        <is>
          <t>日志采集配置表{配置ID、配置名称|配置ID、配置名称、配置类型、配置值、创建时间}
脱敏规则表{规则ID、规则名称|规则ID、规则名称、规则类型、规则条件、创建时间}
任务优先级配置表{任务ID、任务名称|任务ID、任务名称、任务类型、任务状态、创建时间、执行时间}
提醒规则表{规则ID、规则名称|规则ID、规则名称、规则类型、规则条件、创建时间}</t>
        </is>
      </c>
      <c r="Y1080" s="88" t="n"/>
      <c r="Z1080" s="88" t="n"/>
    </row>
    <row r="1081" hidden="1" ht="54" customHeight="1">
      <c r="A1081" s="69">
        <f>ROW()-1</f>
        <v/>
      </c>
      <c r="B1081" s="53" t="n"/>
      <c r="C1081" s="117" t="n">
        <v>2026</v>
      </c>
      <c r="D1081" s="64" t="n"/>
      <c r="E1081" s="53" t="n"/>
      <c r="F1081" s="53" t="n"/>
      <c r="G1081" s="54" t="n"/>
      <c r="H1081" s="96" t="inlineStr">
        <is>
          <t>查看设备详情</t>
        </is>
      </c>
      <c r="I1081" s="76" t="inlineStr">
        <is>
          <t>EQ</t>
        </is>
      </c>
      <c r="J1081" s="95" t="n"/>
      <c r="K1081" s="95" t="inlineStr">
        <is>
          <t>处理流程和上行基本一致，为查询功能，未体现详情功能</t>
        </is>
      </c>
      <c r="L1081" s="83">
        <f>IF(OR(X1081="估算法",X1081="算法类",X1081="无法识别"),"",IF(V1081="",IF(OR(I1081="EI",I1081="EO",I1081="EQ"),0,""),LEN(V1081)-LEN(SUBSTITUTE(V1081,"、",""))+1))</f>
        <v/>
      </c>
      <c r="M1081" s="83">
        <f>IF(OR(X1081="估算法",X1081="算法类",X1081="无法识别"),"",IF(W1081="",IF(OR(I1081="ILF",I1081="EIF"),0,""),LEN(W1081)-LEN(SUBSTITUTE(W1081,"、",""))+1))</f>
        <v/>
      </c>
      <c r="N1081" s="83">
        <f>IF(OR(X1081="估算法",X1081="算法类",X1081="无法识别"),"",IF(X1081="",IF(OR(I1081="ILF",I1081="EIF",I1081="EI",I1081="EO",I1081="EQ"),0,""),LEN(X1081)-LEN(SUBSTITUTE(SUBSTITUTE(SUBSTITUTE(SUBSTITUTE(SUBSTITUTE(X1081,"|}","--"),"{|","--"),CHAR(10),""),"、",""),"|",""))+IF(AND(OR(I1081="EI",I1081="EO",I1081="EQ"),$AD$1="NESMA"),2,1)))</f>
        <v/>
      </c>
      <c r="O1081" s="84">
        <f>IF(I1081="EI",IF(OR(X1081="估算法",X1081="算法类"),"中",IF(X1081="无法识别","低",IF(L1081&lt;2,IF(N1081&lt;16,"低","中"),IF(L1081&lt;3,IF(N1081&lt;5,"低",IF(N1081&lt;16,"中","高")),IF(N1081&lt;5,"中","高"))))),IF(OR(I1081="EO",I1081="EQ"),IF(OR(X1081="估算法",X1081="算法类"),"中",IF(X1081="无法识别","低",IF(L1081&lt;2,IF(N1081&lt;20,"低","中"),IF(L1081&lt;4,IF(N1081&lt;6,"低",IF(N1081&lt;20,"中","高")),IF(N1081&lt;6,"中","高"))))),IF(OR(I1081="ILF",I1081="EIF"),IF(OR(X1081="估算法",X1081="算法类",X1081="无法识别"),"低",IF(M1081&lt;2,IF(N1081&lt;51,"低","中"),IF(M1081&lt;6,IF(N1081&lt;20,"低",IF(N1081&lt;51,"中","高")),IF(N1081&lt;20,"中","高")))),"不计算")))</f>
        <v/>
      </c>
      <c r="P1081" s="142">
        <f>IFERROR(IF(I1081="EI",IF(O1081="低",3,IF(O1081="中",4,6)),IF(I1081="EO",IF(O1081="低",4,IF(O1081="中",5,7)),IF(I1081="EQ",IF(O1081="低",3,IF(O1081="中",4,6)),IF(I1081="ILF",IF(O1081="低",7,IF(O1081="中",10,15)),IF(I1081="EIF",IF(O1081="低",5,IF(O1081="中",7,10)),"不计算")))))*Q1081,"不计算")</f>
        <v/>
      </c>
      <c r="Q1081" s="142" t="n">
        <v>0.333333333333333</v>
      </c>
      <c r="R1081" s="143">
        <f>调整因子!$F$13</f>
        <v/>
      </c>
      <c r="S1081" s="70" t="n">
        <v>1</v>
      </c>
      <c r="T1081" s="144">
        <f>IFERROR(P1081*R1081,0)</f>
        <v/>
      </c>
      <c r="U1081" s="145">
        <f>T1081*S1081</f>
        <v/>
      </c>
      <c r="V1081" s="96" t="inlineStr">
        <is>
          <t>修复方案表、故障知识库表、日志采集配置表、验证配置表</t>
        </is>
      </c>
      <c r="W1081" s="96" t="inlineStr"/>
      <c r="X1081" s="111" t="inlineStr">
        <is>
          <t>修复方案表{ID、名称|ID、名称、类型、状态、创建时间、更新时间}
故障知识库表{ID、名称|ID、名称、类型、状态、创建时间、更新时间}
日志采集配置表{配置ID、配置名称|配置ID、配置名称、配置类型、配置值、创建时间}
验证配置表{配置ID、配置名称|配置ID、配置名称、配置类型、配置值、创建时间}</t>
        </is>
      </c>
      <c r="Y1081" s="88" t="n"/>
      <c r="Z1081" s="88" t="n"/>
    </row>
    <row r="1082" hidden="1" ht="86.40000000000001" customHeight="1">
      <c r="A1082" s="69">
        <f>ROW()-1</f>
        <v/>
      </c>
      <c r="B1082" s="53" t="n"/>
      <c r="C1082" s="117" t="n">
        <v>2026</v>
      </c>
      <c r="D1082" s="64" t="n"/>
      <c r="E1082" s="53" t="n"/>
      <c r="F1082" s="53" t="n"/>
      <c r="G1082" s="111" t="inlineStr">
        <is>
          <t>设备状态监控</t>
        </is>
      </c>
      <c r="H1082" s="96" t="inlineStr">
        <is>
          <t>启用设备监控</t>
        </is>
      </c>
      <c r="I1082" s="76" t="inlineStr">
        <is>
          <t>EI</t>
        </is>
      </c>
      <c r="J1082" s="95" t="n"/>
      <c r="K1082" s="95" t="n"/>
      <c r="L1082" s="83">
        <f>IF(OR(X1082="估算法",X1082="算法类",X1082="无法识别"),"",IF(V1082="",IF(OR(I1082="EI",I1082="EO",I1082="EQ"),0,""),LEN(V1082)-LEN(SUBSTITUTE(V1082,"、",""))+1))</f>
        <v/>
      </c>
      <c r="M1082" s="83">
        <f>IF(OR(X1082="估算法",X1082="算法类",X1082="无法识别"),"",IF(W1082="",IF(OR(I1082="ILF",I1082="EIF"),0,""),LEN(W1082)-LEN(SUBSTITUTE(W1082,"、",""))+1))</f>
        <v/>
      </c>
      <c r="N1082" s="83">
        <f>IF(OR(X1082="估算法",X1082="算法类",X1082="无法识别"),"",IF(X1082="",IF(OR(I1082="ILF",I1082="EIF",I1082="EI",I1082="EO",I1082="EQ"),0,""),LEN(X1082)-LEN(SUBSTITUTE(SUBSTITUTE(SUBSTITUTE(SUBSTITUTE(SUBSTITUTE(X1082,"|}","--"),"{|","--"),CHAR(10),""),"、",""),"|",""))+IF(AND(OR(I1082="EI",I1082="EO",I1082="EQ"),$AD$1="NESMA"),2,1)))</f>
        <v/>
      </c>
      <c r="O1082" s="84">
        <f>IF(I1082="EI",IF(OR(X1082="估算法",X1082="算法类"),"中",IF(X1082="无法识别","低",IF(L1082&lt;2,IF(N1082&lt;16,"低","中"),IF(L1082&lt;3,IF(N1082&lt;5,"低",IF(N1082&lt;16,"中","高")),IF(N1082&lt;5,"中","高"))))),IF(OR(I1082="EO",I1082="EQ"),IF(OR(X1082="估算法",X1082="算法类"),"中",IF(X1082="无法识别","低",IF(L1082&lt;2,IF(N1082&lt;20,"低","中"),IF(L1082&lt;4,IF(N1082&lt;6,"低",IF(N1082&lt;20,"中","高")),IF(N1082&lt;6,"中","高"))))),IF(OR(I1082="ILF",I1082="EIF"),IF(OR(X1082="估算法",X1082="算法类",X1082="无法识别"),"低",IF(M1082&lt;2,IF(N1082&lt;51,"低","中"),IF(M1082&lt;6,IF(N1082&lt;20,"低",IF(N1082&lt;51,"中","高")),IF(N1082&lt;20,"中","高")))),"不计算")))</f>
        <v/>
      </c>
      <c r="P1082" s="142">
        <f>IFERROR(IF(I1082="EI",IF(O1082="低",3,IF(O1082="中",4,6)),IF(I1082="EO",IF(O1082="低",4,IF(O1082="中",5,7)),IF(I1082="EQ",IF(O1082="低",3,IF(O1082="中",4,6)),IF(I1082="ILF",IF(O1082="低",7,IF(O1082="中",10,15)),IF(I1082="EIF",IF(O1082="低",5,IF(O1082="中",7,10)),"不计算")))))*Q1082,"不计算")</f>
        <v/>
      </c>
      <c r="Q1082" s="142" t="n">
        <v>1</v>
      </c>
      <c r="R1082" s="143">
        <f>调整因子!$F$13</f>
        <v/>
      </c>
      <c r="S1082" s="76" t="n">
        <v>1</v>
      </c>
      <c r="T1082" s="144">
        <f>IFERROR(P1082*R1082,0)</f>
        <v/>
      </c>
      <c r="U1082" s="145">
        <f>T1082*S1082</f>
        <v/>
      </c>
      <c r="V1082" s="96" t="inlineStr">
        <is>
          <t>故障诊断结果表、态势数据采集表、复测任务表、模板配置表、数据清洗任务表</t>
        </is>
      </c>
      <c r="W1082" s="96" t="inlineStr"/>
      <c r="X1082" s="111" t="inlineStr">
        <is>
          <t>故障诊断结果表{ID、名称、类型、状态、创建时间、更新时间|ID、名称、类型}
态势数据采集表{ID、名称、类型、状态、创建时间、更新时间|ID、名称、类型}
复测任务表{任务ID、任务名称、任务类型、任务状态、创建时间、执行时间|任务ID、任务名称、任务类型}
模板配置表{配置ID、配置名称、配置类型、配置值、创建时间|配置ID、配置名称、配置类型}
数据清洗任务表{任务ID、任务名称、任务类型、任务状态、创建时间、执行时间|任务ID、任务名称、任务类型}</t>
        </is>
      </c>
      <c r="Y1082" s="88" t="n"/>
      <c r="Z1082" s="88" t="n"/>
    </row>
    <row r="1083" hidden="1" ht="43.2" customHeight="1">
      <c r="A1083" s="69">
        <f>ROW()-1</f>
        <v/>
      </c>
      <c r="B1083" s="53" t="n"/>
      <c r="C1083" s="117" t="n">
        <v>2026</v>
      </c>
      <c r="D1083" s="64" t="n"/>
      <c r="E1083" s="53" t="n"/>
      <c r="F1083" s="53" t="n"/>
      <c r="G1083" s="53" t="n"/>
      <c r="H1083" s="96" t="inlineStr">
        <is>
          <t>停用设备监控</t>
        </is>
      </c>
      <c r="I1083" s="76" t="n"/>
      <c r="J1083" s="95" t="n"/>
      <c r="K1083" s="95" t="inlineStr">
        <is>
          <t>和上行合并，启停为相同功能</t>
        </is>
      </c>
      <c r="L1083" s="83">
        <f>IF(OR(X1083="估算法",X1083="算法类",X1083="无法识别"),"",IF(V1083="",IF(OR(I1083="EI",I1083="EO",I1083="EQ"),0,""),LEN(V1083)-LEN(SUBSTITUTE(V1083,"、",""))+1))</f>
        <v/>
      </c>
      <c r="M1083" s="83">
        <f>IF(OR(X1083="估算法",X1083="算法类",X1083="无法识别"),"",IF(W1083="",IF(OR(I1083="ILF",I1083="EIF"),0,""),LEN(W1083)-LEN(SUBSTITUTE(W1083,"、",""))+1))</f>
        <v/>
      </c>
      <c r="N1083" s="83">
        <f>IF(OR(X1083="估算法",X1083="算法类",X1083="无法识别"),"",IF(X1083="",IF(OR(I1083="ILF",I1083="EIF",I1083="EI",I1083="EO",I1083="EQ"),0,""),LEN(X1083)-LEN(SUBSTITUTE(SUBSTITUTE(SUBSTITUTE(SUBSTITUTE(SUBSTITUTE(X1083,"|}","--"),"{|","--"),CHAR(10),""),"、",""),"|",""))+IF(AND(OR(I1083="EI",I1083="EO",I1083="EQ"),$AD$1="NESMA"),2,1)))</f>
        <v/>
      </c>
      <c r="O1083" s="84">
        <f>IF(I1083="EI",IF(OR(X1083="估算法",X1083="算法类"),"中",IF(X1083="无法识别","低",IF(L1083&lt;2,IF(N1083&lt;16,"低","中"),IF(L1083&lt;3,IF(N1083&lt;5,"低",IF(N1083&lt;16,"中","高")),IF(N1083&lt;5,"中","高"))))),IF(OR(I1083="EO",I1083="EQ"),IF(OR(X1083="估算法",X1083="算法类"),"中",IF(X1083="无法识别","低",IF(L1083&lt;2,IF(N1083&lt;20,"低","中"),IF(L1083&lt;4,IF(N1083&lt;6,"低",IF(N1083&lt;20,"中","高")),IF(N1083&lt;6,"中","高"))))),IF(OR(I1083="ILF",I1083="EIF"),IF(OR(X1083="估算法",X1083="算法类",X1083="无法识别"),"低",IF(M1083&lt;2,IF(N1083&lt;51,"低","中"),IF(M1083&lt;6,IF(N1083&lt;20,"低",IF(N1083&lt;51,"中","高")),IF(N1083&lt;20,"中","高")))),"不计算")))</f>
        <v/>
      </c>
      <c r="P1083" s="142">
        <f>IFERROR(IF(I1083="EI",IF(O1083="低",3,IF(O1083="中",4,6)),IF(I1083="EO",IF(O1083="低",4,IF(O1083="中",5,7)),IF(I1083="EQ",IF(O1083="低",3,IF(O1083="中",4,6)),IF(I1083="ILF",IF(O1083="低",7,IF(O1083="中",10,15)),IF(I1083="EIF",IF(O1083="低",5,IF(O1083="中",7,10)),"不计算")))))*Q1083,"不计算")</f>
        <v/>
      </c>
      <c r="Q1083" s="142" t="n">
        <v>1</v>
      </c>
      <c r="R1083" s="143">
        <f>调整因子!$F$13</f>
        <v/>
      </c>
      <c r="S1083" s="76" t="n">
        <v>1</v>
      </c>
      <c r="T1083" s="144">
        <f>IFERROR(P1083*R1083,0)</f>
        <v/>
      </c>
      <c r="U1083" s="145">
        <f>T1083*S1083</f>
        <v/>
      </c>
      <c r="V1083" s="96" t="inlineStr">
        <is>
          <t>推送日志表、通报模板表、推送失败重试表</t>
        </is>
      </c>
      <c r="W1083" s="96" t="inlineStr"/>
      <c r="X1083" s="111" t="inlineStr">
        <is>
          <t>推送日志表{日志ID、操作人、操作类型、操作时间、操作内容|日志ID、操作人、操作类型}
通报模板表{ID、名称、类型、状态、创建时间、更新时间|ID、名称、类型}
推送失败重试表{ID、名称、类型、状态、创建时间、更新时间|ID、名称、类型}</t>
        </is>
      </c>
      <c r="Y1083" s="88" t="n"/>
      <c r="Z1083" s="88" t="n"/>
    </row>
    <row r="1084" hidden="1" ht="86.40000000000001" customHeight="1">
      <c r="A1084" s="69">
        <f>ROW()-1</f>
        <v/>
      </c>
      <c r="B1084" s="53" t="n"/>
      <c r="C1084" s="117" t="n">
        <v>2026</v>
      </c>
      <c r="D1084" s="64" t="n"/>
      <c r="E1084" s="53" t="n"/>
      <c r="F1084" s="53" t="n"/>
      <c r="G1084" s="53" t="n"/>
      <c r="H1084" s="96" t="inlineStr">
        <is>
          <t>导出监控数据</t>
        </is>
      </c>
      <c r="I1084" s="76" t="inlineStr">
        <is>
          <t>EO</t>
        </is>
      </c>
      <c r="J1084" s="95" t="n"/>
      <c r="K1084" s="95" t="n"/>
      <c r="L1084" s="83">
        <f>IF(OR(X1084="估算法",X1084="算法类",X1084="无法识别"),"",IF(V1084="",IF(OR(I1084="EI",I1084="EO",I1084="EQ"),0,""),LEN(V1084)-LEN(SUBSTITUTE(V1084,"、",""))+1))</f>
        <v/>
      </c>
      <c r="M1084" s="83">
        <f>IF(OR(X1084="估算法",X1084="算法类",X1084="无法识别"),"",IF(W1084="",IF(OR(I1084="ILF",I1084="EIF"),0,""),LEN(W1084)-LEN(SUBSTITUTE(W1084,"、",""))+1))</f>
        <v/>
      </c>
      <c r="N1084" s="83">
        <f>IF(OR(X1084="估算法",X1084="算法类",X1084="无法识别"),"",IF(X1084="",IF(OR(I1084="ILF",I1084="EIF",I1084="EI",I1084="EO",I1084="EQ"),0,""),LEN(X1084)-LEN(SUBSTITUTE(SUBSTITUTE(SUBSTITUTE(SUBSTITUTE(SUBSTITUTE(X1084,"|}","--"),"{|","--"),CHAR(10),""),"、",""),"|",""))+IF(AND(OR(I1084="EI",I1084="EO",I1084="EQ"),$AD$1="NESMA"),2,1)))</f>
        <v/>
      </c>
      <c r="O1084" s="84">
        <f>IF(I1084="EI",IF(OR(X1084="估算法",X1084="算法类"),"中",IF(X1084="无法识别","低",IF(L1084&lt;2,IF(N1084&lt;16,"低","中"),IF(L1084&lt;3,IF(N1084&lt;5,"低",IF(N1084&lt;16,"中","高")),IF(N1084&lt;5,"中","高"))))),IF(OR(I1084="EO",I1084="EQ"),IF(OR(X1084="估算法",X1084="算法类"),"中",IF(X1084="无法识别","低",IF(L1084&lt;2,IF(N1084&lt;20,"低","中"),IF(L1084&lt;4,IF(N1084&lt;6,"低",IF(N1084&lt;20,"中","高")),IF(N1084&lt;6,"中","高"))))),IF(OR(I1084="ILF",I1084="EIF"),IF(OR(X1084="估算法",X1084="算法类",X1084="无法识别"),"低",IF(M1084&lt;2,IF(N1084&lt;51,"低","中"),IF(M1084&lt;6,IF(N1084&lt;20,"低",IF(N1084&lt;51,"中","高")),IF(N1084&lt;20,"中","高")))),"不计算")))</f>
        <v/>
      </c>
      <c r="P1084" s="142">
        <f>IFERROR(IF(I1084="EI",IF(O1084="低",3,IF(O1084="中",4,6)),IF(I1084="EO",IF(O1084="低",4,IF(O1084="中",5,7)),IF(I1084="EQ",IF(O1084="低",3,IF(O1084="中",4,6)),IF(I1084="ILF",IF(O1084="低",7,IF(O1084="中",10,15)),IF(I1084="EIF",IF(O1084="低",5,IF(O1084="中",7,10)),"不计算")))))*Q1084,"不计算")</f>
        <v/>
      </c>
      <c r="Q1084" s="142" t="n">
        <v>1</v>
      </c>
      <c r="R1084" s="143">
        <f>调整因子!$F$13</f>
        <v/>
      </c>
      <c r="S1084" s="70" t="n">
        <v>1</v>
      </c>
      <c r="T1084" s="144">
        <f>IFERROR(P1084*R1084,0)</f>
        <v/>
      </c>
      <c r="U1084" s="145">
        <f>T1084*S1084</f>
        <v/>
      </c>
      <c r="V1084" s="96" t="inlineStr">
        <is>
          <t>日志采集配置表、标签分类表、日志加密配置表、脱敏规则表、接口参数配置表</t>
        </is>
      </c>
      <c r="W1084" s="96" t="inlineStr"/>
      <c r="X1084" s="111" t="inlineStr">
        <is>
          <t>日志采集配置表{配置ID、配置名称|配置ID、配置名称、配置类型、配置值、创建时间}
标签分类表{ID、名称|ID、名称、类型、状态、创建时间、更新时间}
日志加密配置表{配置ID、配置名称|配置ID、配置名称、配置类型、配置值、创建时间}
脱敏规则表{规则ID、规则名称|规则ID、规则名称、规则类型、规则条件、创建时间}
接口参数配置表{配置ID、配置名称|配置ID、配置名称、配置类型、配置值、创建时间}</t>
        </is>
      </c>
      <c r="Y1084" s="88" t="n"/>
      <c r="Z1084" s="88" t="n"/>
    </row>
    <row r="1085" hidden="1" ht="54" customHeight="1">
      <c r="A1085" s="69">
        <f>ROW()-1</f>
        <v/>
      </c>
      <c r="B1085" s="53" t="n"/>
      <c r="C1085" s="117" t="n">
        <v>2026</v>
      </c>
      <c r="D1085" s="64" t="n"/>
      <c r="E1085" s="53" t="n"/>
      <c r="F1085" s="53" t="n"/>
      <c r="G1085" s="53" t="n"/>
      <c r="H1085" s="96" t="inlineStr">
        <is>
          <t>推送设备告警</t>
        </is>
      </c>
      <c r="I1085" s="76" t="inlineStr">
        <is>
          <t>EO</t>
        </is>
      </c>
      <c r="J1085" s="95" t="n"/>
      <c r="K1085" s="95" t="n"/>
      <c r="L1085" s="83">
        <f>IF(OR(X1085="估算法",X1085="算法类",X1085="无法识别"),"",IF(V1085="",IF(OR(I1085="EI",I1085="EO",I1085="EQ"),0,""),LEN(V1085)-LEN(SUBSTITUTE(V1085,"、",""))+1))</f>
        <v/>
      </c>
      <c r="M1085" s="83">
        <f>IF(OR(X1085="估算法",X1085="算法类",X1085="无法识别"),"",IF(W1085="",IF(OR(I1085="ILF",I1085="EIF"),0,""),LEN(W1085)-LEN(SUBSTITUTE(W1085,"、",""))+1))</f>
        <v/>
      </c>
      <c r="N1085" s="83">
        <f>IF(OR(X1085="估算法",X1085="算法类",X1085="无法识别"),"",IF(X1085="",IF(OR(I1085="ILF",I1085="EIF",I1085="EI",I1085="EO",I1085="EQ"),0,""),LEN(X1085)-LEN(SUBSTITUTE(SUBSTITUTE(SUBSTITUTE(SUBSTITUTE(SUBSTITUTE(X1085,"|}","--"),"{|","--"),CHAR(10),""),"、",""),"|",""))+IF(AND(OR(I1085="EI",I1085="EO",I1085="EQ"),$AD$1="NESMA"),2,1)))</f>
        <v/>
      </c>
      <c r="O1085" s="84">
        <f>IF(I1085="EI",IF(OR(X1085="估算法",X1085="算法类"),"中",IF(X1085="无法识别","低",IF(L1085&lt;2,IF(N1085&lt;16,"低","中"),IF(L1085&lt;3,IF(N1085&lt;5,"低",IF(N1085&lt;16,"中","高")),IF(N1085&lt;5,"中","高"))))),IF(OR(I1085="EO",I1085="EQ"),IF(OR(X1085="估算法",X1085="算法类"),"中",IF(X1085="无法识别","低",IF(L1085&lt;2,IF(N1085&lt;20,"低","中"),IF(L1085&lt;4,IF(N1085&lt;6,"低",IF(N1085&lt;20,"中","高")),IF(N1085&lt;6,"中","高"))))),IF(OR(I1085="ILF",I1085="EIF"),IF(OR(X1085="估算法",X1085="算法类",X1085="无法识别"),"低",IF(M1085&lt;2,IF(N1085&lt;51,"低","中"),IF(M1085&lt;6,IF(N1085&lt;20,"低",IF(N1085&lt;51,"中","高")),IF(N1085&lt;20,"中","高")))),"不计算")))</f>
        <v/>
      </c>
      <c r="P1085" s="142">
        <f>IFERROR(IF(I1085="EI",IF(O1085="低",3,IF(O1085="中",4,6)),IF(I1085="EO",IF(O1085="低",4,IF(O1085="中",5,7)),IF(I1085="EQ",IF(O1085="低",3,IF(O1085="中",4,6)),IF(I1085="ILF",IF(O1085="低",7,IF(O1085="中",10,15)),IF(I1085="EIF",IF(O1085="低",5,IF(O1085="中",7,10)),"不计算")))))*Q1085,"不计算")</f>
        <v/>
      </c>
      <c r="Q1085" s="142" t="n">
        <v>1</v>
      </c>
      <c r="R1085" s="143">
        <f>调整因子!$F$13</f>
        <v/>
      </c>
      <c r="S1085" s="70" t="n">
        <v>1</v>
      </c>
      <c r="T1085" s="144">
        <f>IFERROR(P1085*R1085,0)</f>
        <v/>
      </c>
      <c r="U1085" s="145">
        <f>T1085*S1085</f>
        <v/>
      </c>
      <c r="V1085" s="96" t="inlineStr">
        <is>
          <t>推送结果表、报告导入记录表、报表模板表、故障知识库表、推送对象表</t>
        </is>
      </c>
      <c r="W1085" s="96" t="inlineStr"/>
      <c r="X1085" s="111" t="inlineStr">
        <is>
          <t>推送结果表{ID、名称|ID、名称、类型、状态、创建时间、更新时间}
报告导入记录表{ID、名称|ID、名称、类型、状态、创建时间、更新时间}
报表模板表{报表ID、报表名称|报表ID、报表名称、报表类型、生成时间、报表内容}
故障知识库表{ID、名称|ID、名称、类型、状态、创建时间、更新时间}
推送对象表{ID、名称|ID、名称、类型、状态、创建时间、更新时间}</t>
        </is>
      </c>
      <c r="Y1085" s="88" t="n"/>
      <c r="Z1085" s="88" t="n"/>
    </row>
    <row r="1086" hidden="1" ht="64.8" customHeight="1">
      <c r="A1086" s="69">
        <f>ROW()-1</f>
        <v/>
      </c>
      <c r="B1086" s="53" t="n"/>
      <c r="C1086" s="117" t="n">
        <v>2026</v>
      </c>
      <c r="D1086" s="64" t="n"/>
      <c r="E1086" s="53" t="n"/>
      <c r="F1086" s="53" t="n"/>
      <c r="G1086" s="53" t="n"/>
      <c r="H1086" s="96" t="inlineStr">
        <is>
          <t>查询设备状态</t>
        </is>
      </c>
      <c r="I1086" s="76" t="inlineStr">
        <is>
          <t>EQ</t>
        </is>
      </c>
      <c r="J1086" s="95" t="n"/>
      <c r="K1086" s="95" t="inlineStr">
        <is>
          <t>处理流程和上行基本一致，为查询功能，未体现详情功能</t>
        </is>
      </c>
      <c r="L1086" s="83">
        <f>IF(OR(X1086="估算法",X1086="算法类",X1086="无法识别"),"",IF(V1086="",IF(OR(I1086="EI",I1086="EO",I1086="EQ"),0,""),LEN(V1086)-LEN(SUBSTITUTE(V1086,"、",""))+1))</f>
        <v/>
      </c>
      <c r="M1086" s="83">
        <f>IF(OR(X1086="估算法",X1086="算法类",X1086="无法识别"),"",IF(W1086="",IF(OR(I1086="ILF",I1086="EIF"),0,""),LEN(W1086)-LEN(SUBSTITUTE(W1086,"、",""))+1))</f>
        <v/>
      </c>
      <c r="N1086" s="83">
        <f>IF(OR(X1086="估算法",X1086="算法类",X1086="无法识别"),"",IF(X1086="",IF(OR(I1086="ILF",I1086="EIF",I1086="EI",I1086="EO",I1086="EQ"),0,""),LEN(X1086)-LEN(SUBSTITUTE(SUBSTITUTE(SUBSTITUTE(SUBSTITUTE(SUBSTITUTE(X1086,"|}","--"),"{|","--"),CHAR(10),""),"、",""),"|",""))+IF(AND(OR(I1086="EI",I1086="EO",I1086="EQ"),$AD$1="NESMA"),2,1)))</f>
        <v/>
      </c>
      <c r="O1086" s="84">
        <f>IF(I1086="EI",IF(OR(X1086="估算法",X1086="算法类"),"中",IF(X1086="无法识别","低",IF(L1086&lt;2,IF(N1086&lt;16,"低","中"),IF(L1086&lt;3,IF(N1086&lt;5,"低",IF(N1086&lt;16,"中","高")),IF(N1086&lt;5,"中","高"))))),IF(OR(I1086="EO",I1086="EQ"),IF(OR(X1086="估算法",X1086="算法类"),"中",IF(X1086="无法识别","低",IF(L1086&lt;2,IF(N1086&lt;20,"低","中"),IF(L1086&lt;4,IF(N1086&lt;6,"低",IF(N1086&lt;20,"中","高")),IF(N1086&lt;6,"中","高"))))),IF(OR(I1086="ILF",I1086="EIF"),IF(OR(X1086="估算法",X1086="算法类",X1086="无法识别"),"低",IF(M1086&lt;2,IF(N1086&lt;51,"低","中"),IF(M1086&lt;6,IF(N1086&lt;20,"低",IF(N1086&lt;51,"中","高")),IF(N1086&lt;20,"中","高")))),"不计算")))</f>
        <v/>
      </c>
      <c r="P1086" s="142">
        <f>IFERROR(IF(I1086="EI",IF(O1086="低",3,IF(O1086="中",4,6)),IF(I1086="EO",IF(O1086="低",4,IF(O1086="中",5,7)),IF(I1086="EQ",IF(O1086="低",3,IF(O1086="中",4,6)),IF(I1086="ILF",IF(O1086="低",7,IF(O1086="中",10,15)),IF(I1086="EIF",IF(O1086="低",5,IF(O1086="中",7,10)),"不计算")))))*Q1086,"不计算")</f>
        <v/>
      </c>
      <c r="Q1086" s="142" t="n">
        <v>0.333333333333333</v>
      </c>
      <c r="R1086" s="143">
        <f>调整因子!$F$13</f>
        <v/>
      </c>
      <c r="S1086" s="76" t="n">
        <v>1</v>
      </c>
      <c r="T1086" s="144">
        <f>IFERROR(P1086*R1086,0)</f>
        <v/>
      </c>
      <c r="U1086" s="145">
        <f>T1086*S1086</f>
        <v/>
      </c>
      <c r="V1086" s="96" t="inlineStr">
        <is>
          <t>指标阈值表、修复步骤表、调用统计表、日志采集配置表、标签定义表</t>
        </is>
      </c>
      <c r="W1086" s="96" t="inlineStr"/>
      <c r="X1086" s="111" t="inlineStr">
        <is>
          <t>指标阈值表{ID、名称|ID、名称、类型、状态、创建时间、更新时间}
修复步骤表{ID、名称|ID、名称、类型、状态、创建时间、更新时间}
调用统计表{ID、名称|ID、名称、类型、状态、创建时间、更新时间}
日志采集配置表{配置ID、配置名称|配置ID、配置名称、配置类型、配置值、创建时间}
标签定义表{ID、名称|ID、名称、类型、状态、创建时间、更新时间}</t>
        </is>
      </c>
      <c r="Y1086" s="88" t="n"/>
      <c r="Z1086" s="88" t="n"/>
    </row>
    <row r="1087" hidden="1" ht="43.2" customHeight="1">
      <c r="A1087" s="69">
        <f>ROW()-1</f>
        <v/>
      </c>
      <c r="B1087" s="53" t="n"/>
      <c r="C1087" s="117" t="n">
        <v>2026</v>
      </c>
      <c r="D1087" s="64" t="n"/>
      <c r="E1087" s="53" t="n"/>
      <c r="F1087" s="53" t="n"/>
      <c r="G1087" s="54" t="n"/>
      <c r="H1087" s="96" t="inlineStr">
        <is>
          <t>查看性能趋势</t>
        </is>
      </c>
      <c r="I1087" s="76" t="inlineStr">
        <is>
          <t>EQ</t>
        </is>
      </c>
      <c r="J1087" s="95" t="n"/>
      <c r="K1087" s="95" t="inlineStr">
        <is>
          <t>处理流程和上行基本一致，为查询功能，未体现详情功能</t>
        </is>
      </c>
      <c r="L1087" s="83">
        <f>IF(OR(X1087="估算法",X1087="算法类",X1087="无法识别"),"",IF(V1087="",IF(OR(I1087="EI",I1087="EO",I1087="EQ"),0,""),LEN(V1087)-LEN(SUBSTITUTE(V1087,"、",""))+1))</f>
        <v/>
      </c>
      <c r="M1087" s="83">
        <f>IF(OR(X1087="估算法",X1087="算法类",X1087="无法识别"),"",IF(W1087="",IF(OR(I1087="ILF",I1087="EIF"),0,""),LEN(W1087)-LEN(SUBSTITUTE(W1087,"、",""))+1))</f>
        <v/>
      </c>
      <c r="N1087" s="83">
        <f>IF(OR(X1087="估算法",X1087="算法类",X1087="无法识别"),"",IF(X1087="",IF(OR(I1087="ILF",I1087="EIF",I1087="EI",I1087="EO",I1087="EQ"),0,""),LEN(X1087)-LEN(SUBSTITUTE(SUBSTITUTE(SUBSTITUTE(SUBSTITUTE(SUBSTITUTE(X1087,"|}","--"),"{|","--"),CHAR(10),""),"、",""),"|",""))+IF(AND(OR(I1087="EI",I1087="EO",I1087="EQ"),$AD$1="NESMA"),2,1)))</f>
        <v/>
      </c>
      <c r="O1087" s="84">
        <f>IF(I1087="EI",IF(OR(X1087="估算法",X1087="算法类"),"中",IF(X1087="无法识别","低",IF(L1087&lt;2,IF(N1087&lt;16,"低","中"),IF(L1087&lt;3,IF(N1087&lt;5,"低",IF(N1087&lt;16,"中","高")),IF(N1087&lt;5,"中","高"))))),IF(OR(I1087="EO",I1087="EQ"),IF(OR(X1087="估算法",X1087="算法类"),"中",IF(X1087="无法识别","低",IF(L1087&lt;2,IF(N1087&lt;20,"低","中"),IF(L1087&lt;4,IF(N1087&lt;6,"低",IF(N1087&lt;20,"中","高")),IF(N1087&lt;6,"中","高"))))),IF(OR(I1087="ILF",I1087="EIF"),IF(OR(X1087="估算法",X1087="算法类",X1087="无法识别"),"低",IF(M1087&lt;2,IF(N1087&lt;51,"低","中"),IF(M1087&lt;6,IF(N1087&lt;20,"低",IF(N1087&lt;51,"中","高")),IF(N1087&lt;20,"中","高")))),"不计算")))</f>
        <v/>
      </c>
      <c r="P1087" s="142">
        <f>IFERROR(IF(I1087="EI",IF(O1087="低",3,IF(O1087="中",4,6)),IF(I1087="EO",IF(O1087="低",4,IF(O1087="中",5,7)),IF(I1087="EQ",IF(O1087="低",3,IF(O1087="中",4,6)),IF(I1087="ILF",IF(O1087="低",7,IF(O1087="中",10,15)),IF(I1087="EIF",IF(O1087="低",5,IF(O1087="中",7,10)),"不计算")))))*Q1087,"不计算")</f>
        <v/>
      </c>
      <c r="Q1087" s="142" t="n">
        <v>0.333333333333333</v>
      </c>
      <c r="R1087" s="143">
        <f>调整因子!$F$13</f>
        <v/>
      </c>
      <c r="S1087" s="70" t="n">
        <v>1</v>
      </c>
      <c r="T1087" s="144">
        <f>IFERROR(P1087*R1087,0)</f>
        <v/>
      </c>
      <c r="U1087" s="145">
        <f>T1087*S1087</f>
        <v/>
      </c>
      <c r="V1087" s="96" t="inlineStr">
        <is>
          <t>扫描盲区记录表、模板配置表、接口参数表</t>
        </is>
      </c>
      <c r="W1087" s="96" t="inlineStr"/>
      <c r="X1087" s="111" t="inlineStr">
        <is>
          <t>扫描盲区记录表{任务ID、任务名称|任务ID、任务名称、任务状态、扫描器类型、开始时间、结束时间、扫描结果}
模板配置表{配置ID、配置名称|配置ID、配置名称、配置类型、配置值、创建时间}
接口参数表{接口ID、接口名称|接口ID、接口名称、接口类型、接口地址、调用时间}</t>
        </is>
      </c>
      <c r="Y1087" s="88" t="n"/>
      <c r="Z1087" s="88" t="n"/>
    </row>
    <row r="1088" hidden="1" ht="64.8" customHeight="1">
      <c r="A1088" s="69">
        <f>ROW()-1</f>
        <v/>
      </c>
      <c r="B1088" s="53" t="n"/>
      <c r="C1088" s="117" t="n">
        <v>2026</v>
      </c>
      <c r="D1088" s="64" t="n"/>
      <c r="E1088" s="53" t="n"/>
      <c r="F1088" s="53" t="n"/>
      <c r="G1088" s="111" t="inlineStr">
        <is>
          <t>设备分组管理</t>
        </is>
      </c>
      <c r="H1088" s="96" t="inlineStr">
        <is>
          <t>编辑设备分组</t>
        </is>
      </c>
      <c r="I1088" s="76" t="inlineStr">
        <is>
          <t>EI</t>
        </is>
      </c>
      <c r="J1088" s="95" t="n"/>
      <c r="K1088" s="95" t="n"/>
      <c r="L1088" s="83">
        <f>IF(OR(X1088="估算法",X1088="算法类",X1088="无法识别"),"",IF(V1088="",IF(OR(I1088="EI",I1088="EO",I1088="EQ"),0,""),LEN(V1088)-LEN(SUBSTITUTE(V1088,"、",""))+1))</f>
        <v/>
      </c>
      <c r="M1088" s="83">
        <f>IF(OR(X1088="估算法",X1088="算法类",X1088="无法识别"),"",IF(W1088="",IF(OR(I1088="ILF",I1088="EIF"),0,""),LEN(W1088)-LEN(SUBSTITUTE(W1088,"、",""))+1))</f>
        <v/>
      </c>
      <c r="N1088" s="83">
        <f>IF(OR(X1088="估算法",X1088="算法类",X1088="无法识别"),"",IF(X1088="",IF(OR(I1088="ILF",I1088="EIF",I1088="EI",I1088="EO",I1088="EQ"),0,""),LEN(X1088)-LEN(SUBSTITUTE(SUBSTITUTE(SUBSTITUTE(SUBSTITUTE(SUBSTITUTE(X1088,"|}","--"),"{|","--"),CHAR(10),""),"、",""),"|",""))+IF(AND(OR(I1088="EI",I1088="EO",I1088="EQ"),$AD$1="NESMA"),2,1)))</f>
        <v/>
      </c>
      <c r="O1088" s="84">
        <f>IF(I1088="EI",IF(OR(X1088="估算法",X1088="算法类"),"中",IF(X1088="无法识别","低",IF(L1088&lt;2,IF(N1088&lt;16,"低","中"),IF(L1088&lt;3,IF(N1088&lt;5,"低",IF(N1088&lt;16,"中","高")),IF(N1088&lt;5,"中","高"))))),IF(OR(I1088="EO",I1088="EQ"),IF(OR(X1088="估算法",X1088="算法类"),"中",IF(X1088="无法识别","低",IF(L1088&lt;2,IF(N1088&lt;20,"低","中"),IF(L1088&lt;4,IF(N1088&lt;6,"低",IF(N1088&lt;20,"中","高")),IF(N1088&lt;6,"中","高"))))),IF(OR(I1088="ILF",I1088="EIF"),IF(OR(X1088="估算法",X1088="算法类",X1088="无法识别"),"低",IF(M1088&lt;2,IF(N1088&lt;51,"低","中"),IF(M1088&lt;6,IF(N1088&lt;20,"低",IF(N1088&lt;51,"中","高")),IF(N1088&lt;20,"中","高")))),"不计算")))</f>
        <v/>
      </c>
      <c r="P1088" s="142">
        <f>IFERROR(IF(I1088="EI",IF(O1088="低",3,IF(O1088="中",4,6)),IF(I1088="EO",IF(O1088="低",4,IF(O1088="中",5,7)),IF(I1088="EQ",IF(O1088="低",3,IF(O1088="中",4,6)),IF(I1088="ILF",IF(O1088="低",7,IF(O1088="中",10,15)),IF(I1088="EIF",IF(O1088="低",5,IF(O1088="中",7,10)),"不计算")))))*Q1088,"不计算")</f>
        <v/>
      </c>
      <c r="Q1088" s="142" t="n">
        <v>1</v>
      </c>
      <c r="R1088" s="143">
        <f>调整因子!$F$13</f>
        <v/>
      </c>
      <c r="S1088" s="70" t="n">
        <v>1</v>
      </c>
      <c r="T1088" s="144">
        <f>IFERROR(P1088*R1088,0)</f>
        <v/>
      </c>
      <c r="U1088" s="145">
        <f>T1088*S1088</f>
        <v/>
      </c>
      <c r="V1088" s="96" t="inlineStr">
        <is>
          <t>分布分析表、日志查询记录表、模板配置表、处置单关联表</t>
        </is>
      </c>
      <c r="W1088" s="96" t="inlineStr"/>
      <c r="X1088" s="111" t="inlineStr">
        <is>
          <t>分布分析表{ID、名称、类型、状态、创建时间、更新时间|ID、名称、类型}
日志查询记录表{日志ID、操作人、操作类型、操作时间、操作内容|日志ID、操作人、操作类型}
模板配置表{配置ID、配置名称、配置类型、配置值、创建时间|配置ID、配置名称、配置类型}
处置单关联表{ID、名称、类型、状态、创建时间、更新时间|ID、名称、类型}</t>
        </is>
      </c>
      <c r="Y1088" s="88" t="n"/>
      <c r="Z1088" s="88" t="n"/>
    </row>
    <row r="1089" hidden="1" ht="64.8" customHeight="1">
      <c r="A1089" s="69">
        <f>ROW()-1</f>
        <v/>
      </c>
      <c r="B1089" s="53" t="n"/>
      <c r="C1089" s="117" t="n">
        <v>2026</v>
      </c>
      <c r="D1089" s="64" t="n"/>
      <c r="E1089" s="53" t="n"/>
      <c r="F1089" s="53" t="n"/>
      <c r="G1089" s="53" t="n"/>
      <c r="H1089" s="96" t="inlineStr">
        <is>
          <t>删除设备分组</t>
        </is>
      </c>
      <c r="I1089" s="76" t="inlineStr">
        <is>
          <t>EI</t>
        </is>
      </c>
      <c r="J1089" s="95" t="n"/>
      <c r="K1089" s="95" t="n"/>
      <c r="L1089" s="83">
        <f>IF(OR(X1089="估算法",X1089="算法类",X1089="无法识别"),"",IF(V1089="",IF(OR(I1089="EI",I1089="EO",I1089="EQ"),0,""),LEN(V1089)-LEN(SUBSTITUTE(V1089,"、",""))+1))</f>
        <v/>
      </c>
      <c r="M1089" s="83">
        <f>IF(OR(X1089="估算法",X1089="算法类",X1089="无法识别"),"",IF(W1089="",IF(OR(I1089="ILF",I1089="EIF"),0,""),LEN(W1089)-LEN(SUBSTITUTE(W1089,"、",""))+1))</f>
        <v/>
      </c>
      <c r="N1089" s="83">
        <f>IF(OR(X1089="估算法",X1089="算法类",X1089="无法识别"),"",IF(X1089="",IF(OR(I1089="ILF",I1089="EIF",I1089="EI",I1089="EO",I1089="EQ"),0,""),LEN(X1089)-LEN(SUBSTITUTE(SUBSTITUTE(SUBSTITUTE(SUBSTITUTE(SUBSTITUTE(X1089,"|}","--"),"{|","--"),CHAR(10),""),"、",""),"|",""))+IF(AND(OR(I1089="EI",I1089="EO",I1089="EQ"),$AD$1="NESMA"),2,1)))</f>
        <v/>
      </c>
      <c r="O1089" s="84">
        <f>IF(I1089="EI",IF(OR(X1089="估算法",X1089="算法类"),"中",IF(X1089="无法识别","低",IF(L1089&lt;2,IF(N1089&lt;16,"低","中"),IF(L1089&lt;3,IF(N1089&lt;5,"低",IF(N1089&lt;16,"中","高")),IF(N1089&lt;5,"中","高"))))),IF(OR(I1089="EO",I1089="EQ"),IF(OR(X1089="估算法",X1089="算法类"),"中",IF(X1089="无法识别","低",IF(L1089&lt;2,IF(N1089&lt;20,"低","中"),IF(L1089&lt;4,IF(N1089&lt;6,"低",IF(N1089&lt;20,"中","高")),IF(N1089&lt;6,"中","高"))))),IF(OR(I1089="ILF",I1089="EIF"),IF(OR(X1089="估算法",X1089="算法类",X1089="无法识别"),"低",IF(M1089&lt;2,IF(N1089&lt;51,"低","中"),IF(M1089&lt;6,IF(N1089&lt;20,"低",IF(N1089&lt;51,"中","高")),IF(N1089&lt;20,"中","高")))),"不计算")))</f>
        <v/>
      </c>
      <c r="P1089" s="142">
        <f>IFERROR(IF(I1089="EI",IF(O1089="低",3,IF(O1089="中",4,6)),IF(I1089="EO",IF(O1089="低",4,IF(O1089="中",5,7)),IF(I1089="EQ",IF(O1089="低",3,IF(O1089="中",4,6)),IF(I1089="ILF",IF(O1089="低",7,IF(O1089="中",10,15)),IF(I1089="EIF",IF(O1089="低",5,IF(O1089="中",7,10)),"不计算")))))*Q1089,"不计算")</f>
        <v/>
      </c>
      <c r="Q1089" s="142" t="n">
        <v>0.333333333333333</v>
      </c>
      <c r="R1089" s="143">
        <f>调整因子!$F$13</f>
        <v/>
      </c>
      <c r="S1089" s="76" t="n">
        <v>1</v>
      </c>
      <c r="T1089" s="144">
        <f>IFERROR(P1089*R1089,0)</f>
        <v/>
      </c>
      <c r="U1089" s="145">
        <f>T1089*S1089</f>
        <v/>
      </c>
      <c r="V1089" s="96" t="inlineStr">
        <is>
          <t>修复步骤表、接口监控配置表、任务趋势分析表、修复步骤表</t>
        </is>
      </c>
      <c r="W1089" s="96" t="inlineStr"/>
      <c r="X1089" s="111" t="inlineStr">
        <is>
          <t>修复步骤表{ID、名称、类型、状态、创建时间、更新时间|ID、名称、类型}
接口监控配置表{配置ID、配置名称、配置类型、配置值、创建时间|配置ID、配置名称、配置类型}
任务趋势分析表{任务ID、任务名称、任务类型、任务状态、创建时间、执行时间|任务ID、任务名称、任务类型}
修复步骤表{ID、名称、类型、状态、创建时间、更新时间|ID、名称、类型}</t>
        </is>
      </c>
      <c r="Y1089" s="88" t="n"/>
      <c r="Z1089" s="88" t="n"/>
    </row>
    <row r="1090" hidden="1" ht="75.59999999999999" customHeight="1">
      <c r="A1090" s="69">
        <f>ROW()-1</f>
        <v/>
      </c>
      <c r="B1090" s="53" t="n"/>
      <c r="C1090" s="117" t="n">
        <v>2026</v>
      </c>
      <c r="D1090" s="64" t="n"/>
      <c r="E1090" s="53" t="n"/>
      <c r="F1090" s="53" t="n"/>
      <c r="G1090" s="53" t="n"/>
      <c r="H1090" s="96" t="inlineStr">
        <is>
          <t>导出分组配置</t>
        </is>
      </c>
      <c r="I1090" s="76" t="inlineStr">
        <is>
          <t>EO</t>
        </is>
      </c>
      <c r="J1090" s="95" t="n"/>
      <c r="K1090" s="95" t="n"/>
      <c r="L1090" s="83">
        <f>IF(OR(X1090="估算法",X1090="算法类",X1090="无法识别"),"",IF(V1090="",IF(OR(I1090="EI",I1090="EO",I1090="EQ"),0,""),LEN(V1090)-LEN(SUBSTITUTE(V1090,"、",""))+1))</f>
        <v/>
      </c>
      <c r="M1090" s="83">
        <f>IF(OR(X1090="估算法",X1090="算法类",X1090="无法识别"),"",IF(W1090="",IF(OR(I1090="ILF",I1090="EIF"),0,""),LEN(W1090)-LEN(SUBSTITUTE(W1090,"、",""))+1))</f>
        <v/>
      </c>
      <c r="N1090" s="83">
        <f>IF(OR(X1090="估算法",X1090="算法类",X1090="无法识别"),"",IF(X1090="",IF(OR(I1090="ILF",I1090="EIF",I1090="EI",I1090="EO",I1090="EQ"),0,""),LEN(X1090)-LEN(SUBSTITUTE(SUBSTITUTE(SUBSTITUTE(SUBSTITUTE(SUBSTITUTE(X1090,"|}","--"),"{|","--"),CHAR(10),""),"、",""),"|",""))+IF(AND(OR(I1090="EI",I1090="EO",I1090="EQ"),$AD$1="NESMA"),2,1)))</f>
        <v/>
      </c>
      <c r="O1090" s="84">
        <f>IF(I1090="EI",IF(OR(X1090="估算法",X1090="算法类"),"中",IF(X1090="无法识别","低",IF(L1090&lt;2,IF(N1090&lt;16,"低","中"),IF(L1090&lt;3,IF(N1090&lt;5,"低",IF(N1090&lt;16,"中","高")),IF(N1090&lt;5,"中","高"))))),IF(OR(I1090="EO",I1090="EQ"),IF(OR(X1090="估算法",X1090="算法类"),"中",IF(X1090="无法识别","低",IF(L1090&lt;2,IF(N1090&lt;20,"低","中"),IF(L1090&lt;4,IF(N1090&lt;6,"低",IF(N1090&lt;20,"中","高")),IF(N1090&lt;6,"中","高"))))),IF(OR(I1090="ILF",I1090="EIF"),IF(OR(X1090="估算法",X1090="算法类",X1090="无法识别"),"低",IF(M1090&lt;2,IF(N1090&lt;51,"低","中"),IF(M1090&lt;6,IF(N1090&lt;20,"低",IF(N1090&lt;51,"中","高")),IF(N1090&lt;20,"中","高")))),"不计算")))</f>
        <v/>
      </c>
      <c r="P1090" s="142">
        <f>IFERROR(IF(I1090="EI",IF(O1090="低",3,IF(O1090="中",4,6)),IF(I1090="EO",IF(O1090="低",4,IF(O1090="中",5,7)),IF(I1090="EQ",IF(O1090="低",3,IF(O1090="中",4,6)),IF(I1090="ILF",IF(O1090="低",7,IF(O1090="中",10,15)),IF(I1090="EIF",IF(O1090="低",5,IF(O1090="中",7,10)),"不计算")))))*Q1090,"不计算")</f>
        <v/>
      </c>
      <c r="Q1090" s="142" t="n">
        <v>1</v>
      </c>
      <c r="R1090" s="143">
        <f>调整因子!$F$13</f>
        <v/>
      </c>
      <c r="S1090" s="76" t="n">
        <v>1</v>
      </c>
      <c r="T1090" s="144">
        <f>IFERROR(P1090*R1090,0)</f>
        <v/>
      </c>
      <c r="U1090" s="145">
        <f>T1090*S1090</f>
        <v/>
      </c>
      <c r="V1090" s="96" t="inlineStr">
        <is>
          <t>任务优先级配置表、模板参数配置表、处置单配置表、验证配置表、复测配置表</t>
        </is>
      </c>
      <c r="W1090" s="96" t="inlineStr"/>
      <c r="X1090"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Y1090" s="88" t="n"/>
      <c r="Z1090" s="88" t="n"/>
    </row>
    <row r="1091" hidden="1" ht="54" customHeight="1">
      <c r="A1091" s="69">
        <f>ROW()-1</f>
        <v/>
      </c>
      <c r="B1091" s="53" t="n"/>
      <c r="C1091" s="117" t="n">
        <v>2026</v>
      </c>
      <c r="D1091" s="64" t="n"/>
      <c r="E1091" s="53" t="n"/>
      <c r="F1091" s="53" t="n"/>
      <c r="G1091" s="53" t="n"/>
      <c r="H1091" s="96" t="inlineStr">
        <is>
          <t>查询设备分组</t>
        </is>
      </c>
      <c r="I1091" s="76" t="inlineStr">
        <is>
          <t>EQ</t>
        </is>
      </c>
      <c r="J1091" s="95" t="n"/>
      <c r="K1091" s="95" t="inlineStr">
        <is>
          <t>处理流程和上行基本一致，为查询功能，未体现详情功能</t>
        </is>
      </c>
      <c r="L1091" s="83">
        <f>IF(OR(X1091="估算法",X1091="算法类",X1091="无法识别"),"",IF(V1091="",IF(OR(I1091="EI",I1091="EO",I1091="EQ"),0,""),LEN(V1091)-LEN(SUBSTITUTE(V1091,"、",""))+1))</f>
        <v/>
      </c>
      <c r="M1091" s="83">
        <f>IF(OR(X1091="估算法",X1091="算法类",X1091="无法识别"),"",IF(W1091="",IF(OR(I1091="ILF",I1091="EIF"),0,""),LEN(W1091)-LEN(SUBSTITUTE(W1091,"、",""))+1))</f>
        <v/>
      </c>
      <c r="N1091" s="83">
        <f>IF(OR(X1091="估算法",X1091="算法类",X1091="无法识别"),"",IF(X1091="",IF(OR(I1091="ILF",I1091="EIF",I1091="EI",I1091="EO",I1091="EQ"),0,""),LEN(X1091)-LEN(SUBSTITUTE(SUBSTITUTE(SUBSTITUTE(SUBSTITUTE(SUBSTITUTE(X1091,"|}","--"),"{|","--"),CHAR(10),""),"、",""),"|",""))+IF(AND(OR(I1091="EI",I1091="EO",I1091="EQ"),$AD$1="NESMA"),2,1)))</f>
        <v/>
      </c>
      <c r="O1091" s="84">
        <f>IF(I1091="EI",IF(OR(X1091="估算法",X1091="算法类"),"中",IF(X1091="无法识别","低",IF(L1091&lt;2,IF(N1091&lt;16,"低","中"),IF(L1091&lt;3,IF(N1091&lt;5,"低",IF(N1091&lt;16,"中","高")),IF(N1091&lt;5,"中","高"))))),IF(OR(I1091="EO",I1091="EQ"),IF(OR(X1091="估算法",X1091="算法类"),"中",IF(X1091="无法识别","低",IF(L1091&lt;2,IF(N1091&lt;20,"低","中"),IF(L1091&lt;4,IF(N1091&lt;6,"低",IF(N1091&lt;20,"中","高")),IF(N1091&lt;6,"中","高"))))),IF(OR(I1091="ILF",I1091="EIF"),IF(OR(X1091="估算法",X1091="算法类",X1091="无法识别"),"低",IF(M1091&lt;2,IF(N1091&lt;51,"低","中"),IF(M1091&lt;6,IF(N1091&lt;20,"低",IF(N1091&lt;51,"中","高")),IF(N1091&lt;20,"中","高")))),"不计算")))</f>
        <v/>
      </c>
      <c r="P1091" s="142">
        <f>IFERROR(IF(I1091="EI",IF(O1091="低",3,IF(O1091="中",4,6)),IF(I1091="EO",IF(O1091="低",4,IF(O1091="中",5,7)),IF(I1091="EQ",IF(O1091="低",3,IF(O1091="中",4,6)),IF(I1091="ILF",IF(O1091="低",7,IF(O1091="中",10,15)),IF(I1091="EIF",IF(O1091="低",5,IF(O1091="中",7,10)),"不计算")))))*Q1091,"不计算")</f>
        <v/>
      </c>
      <c r="Q1091" s="142" t="n">
        <v>0.333333333333333</v>
      </c>
      <c r="R1091" s="143">
        <f>调整因子!$F$13</f>
        <v/>
      </c>
      <c r="S1091" s="70" t="n">
        <v>1</v>
      </c>
      <c r="T1091" s="144">
        <f>IFERROR(P1091*R1091,0)</f>
        <v/>
      </c>
      <c r="U1091" s="145">
        <f>T1091*S1091</f>
        <v/>
      </c>
      <c r="V1091" s="96" t="inlineStr">
        <is>
          <t>推送任务表、态势数据采集表、考核指标配置表</t>
        </is>
      </c>
      <c r="W1091" s="96" t="inlineStr"/>
      <c r="X1091" s="111" t="inlineStr">
        <is>
          <t>推送任务表{任务ID、任务名称|任务ID、任务名称、任务类型、任务状态、创建时间、执行时间}
态势数据采集表{ID、名称|ID、名称、类型、状态、创建时间、更新时间}
考核指标配置表{配置ID、配置名称|配置ID、配置名称、配置类型、配置值、创建时间}</t>
        </is>
      </c>
      <c r="Y1091" s="88" t="n"/>
      <c r="Z1091" s="88" t="n"/>
    </row>
    <row r="1092" hidden="1" ht="64.8" customHeight="1">
      <c r="A1092" s="69">
        <f>ROW()-1</f>
        <v/>
      </c>
      <c r="B1092" s="53" t="n"/>
      <c r="C1092" s="117" t="n">
        <v>2026</v>
      </c>
      <c r="D1092" s="64" t="n"/>
      <c r="E1092" s="53" t="n"/>
      <c r="F1092" s="54" t="n"/>
      <c r="G1092" s="54" t="n"/>
      <c r="H1092" s="96" t="inlineStr">
        <is>
          <t>查看分组详情</t>
        </is>
      </c>
      <c r="I1092" s="76" t="inlineStr">
        <is>
          <t>EQ</t>
        </is>
      </c>
      <c r="J1092" s="95" t="n"/>
      <c r="K1092" s="95" t="inlineStr">
        <is>
          <t>处理流程和上行基本一致，为查询功能，未体现详情功能</t>
        </is>
      </c>
      <c r="L1092" s="83">
        <f>IF(OR(X1092="估算法",X1092="算法类",X1092="无法识别"),"",IF(V1092="",IF(OR(I1092="EI",I1092="EO",I1092="EQ"),0,""),LEN(V1092)-LEN(SUBSTITUTE(V1092,"、",""))+1))</f>
        <v/>
      </c>
      <c r="M1092" s="83">
        <f>IF(OR(X1092="估算法",X1092="算法类",X1092="无法识别"),"",IF(W1092="",IF(OR(I1092="ILF",I1092="EIF"),0,""),LEN(W1092)-LEN(SUBSTITUTE(W1092,"、",""))+1))</f>
        <v/>
      </c>
      <c r="N1092" s="83">
        <f>IF(OR(X1092="估算法",X1092="算法类",X1092="无法识别"),"",IF(X1092="",IF(OR(I1092="ILF",I1092="EIF",I1092="EI",I1092="EO",I1092="EQ"),0,""),LEN(X1092)-LEN(SUBSTITUTE(SUBSTITUTE(SUBSTITUTE(SUBSTITUTE(SUBSTITUTE(X1092,"|}","--"),"{|","--"),CHAR(10),""),"、",""),"|",""))+IF(AND(OR(I1092="EI",I1092="EO",I1092="EQ"),$AD$1="NESMA"),2,1)))</f>
        <v/>
      </c>
      <c r="O1092" s="84">
        <f>IF(I1092="EI",IF(OR(X1092="估算法",X1092="算法类"),"中",IF(X1092="无法识别","低",IF(L1092&lt;2,IF(N1092&lt;16,"低","中"),IF(L1092&lt;3,IF(N1092&lt;5,"低",IF(N1092&lt;16,"中","高")),IF(N1092&lt;5,"中","高"))))),IF(OR(I1092="EO",I1092="EQ"),IF(OR(X1092="估算法",X1092="算法类"),"中",IF(X1092="无法识别","低",IF(L1092&lt;2,IF(N1092&lt;20,"低","中"),IF(L1092&lt;4,IF(N1092&lt;6,"低",IF(N1092&lt;20,"中","高")),IF(N1092&lt;6,"中","高"))))),IF(OR(I1092="ILF",I1092="EIF"),IF(OR(X1092="估算法",X1092="算法类",X1092="无法识别"),"低",IF(M1092&lt;2,IF(N1092&lt;51,"低","中"),IF(M1092&lt;6,IF(N1092&lt;20,"低",IF(N1092&lt;51,"中","高")),IF(N1092&lt;20,"中","高")))),"不计算")))</f>
        <v/>
      </c>
      <c r="P1092" s="142">
        <f>IFERROR(IF(I1092="EI",IF(O1092="低",3,IF(O1092="中",4,6)),IF(I1092="EO",IF(O1092="低",4,IF(O1092="中",5,7)),IF(I1092="EQ",IF(O1092="低",3,IF(O1092="中",4,6)),IF(I1092="ILF",IF(O1092="低",7,IF(O1092="中",10,15)),IF(I1092="EIF",IF(O1092="低",5,IF(O1092="中",7,10)),"不计算")))))*Q1092,"不计算")</f>
        <v/>
      </c>
      <c r="Q1092" s="142" t="n">
        <v>0.333333333333333</v>
      </c>
      <c r="R1092" s="143">
        <f>调整因子!$F$13</f>
        <v/>
      </c>
      <c r="S1092" s="70" t="n">
        <v>1</v>
      </c>
      <c r="T1092" s="144">
        <f>IFERROR(P1092*R1092,0)</f>
        <v/>
      </c>
      <c r="U1092" s="145">
        <f>T1092*S1092</f>
        <v/>
      </c>
      <c r="V1092" s="96" t="inlineStr">
        <is>
          <t>报告导入记录表、脱敏规则表、推送对象表、任务日志表、复测配置表</t>
        </is>
      </c>
      <c r="W1092" s="96" t="inlineStr"/>
      <c r="X1092" s="111" t="inlineStr">
        <is>
          <t>报告导入记录表{ID、名称|ID、名称、类型、状态、创建时间、更新时间}
脱敏规则表{规则ID、规则名称|规则ID、规则名称、规则类型、规则条件、创建时间}
推送对象表{ID、名称|ID、名称、类型、状态、创建时间、更新时间}
任务日志表{任务ID、任务名称|任务ID、任务名称、任务类型、任务状态、创建时间、执行时间}
复测配置表{配置ID、配置名称|配置ID、配置名称、配置类型、配置值、创建时间}</t>
        </is>
      </c>
      <c r="Y1092" s="88" t="n"/>
      <c r="Z1092" s="88" t="n"/>
    </row>
    <row r="1093" hidden="1" ht="21.6" customHeight="1">
      <c r="A1093" s="69">
        <f>ROW()-1</f>
        <v/>
      </c>
      <c r="B1093" s="53" t="n"/>
      <c r="C1093" s="117" t="n">
        <v>2026</v>
      </c>
      <c r="D1093" s="64" t="n"/>
      <c r="E1093" s="53" t="n"/>
      <c r="F1093" s="111" t="inlineStr">
        <is>
          <t>扫描任务统计与分析</t>
        </is>
      </c>
      <c r="G1093" s="111" t="inlineStr">
        <is>
          <t>任务统计分析</t>
        </is>
      </c>
      <c r="H1093" s="96" t="inlineStr">
        <is>
          <t>任务统计数据表</t>
        </is>
      </c>
      <c r="I1093" s="76" t="inlineStr">
        <is>
          <t>ILF</t>
        </is>
      </c>
      <c r="J1093" s="95" t="n"/>
      <c r="K1093" s="95" t="n"/>
      <c r="L1093" s="83">
        <f>IF(OR(X1093="估算法",X1093="算法类",X1093="无法识别"),"",IF(V1093="",IF(OR(I1093="EI",I1093="EO",I1093="EQ"),0,""),LEN(V1093)-LEN(SUBSTITUTE(V1093,"、",""))+1))</f>
        <v/>
      </c>
      <c r="M1093" s="83">
        <f>IF(OR(X1093="估算法",X1093="算法类",X1093="无法识别"),"",IF(W1093="",IF(OR(I1093="ILF",I1093="EIF"),0,""),LEN(W1093)-LEN(SUBSTITUTE(W1093,"、",""))+1))</f>
        <v/>
      </c>
      <c r="N1093" s="83">
        <f>IF(OR(X1093="估算法",X1093="算法类",X1093="无法识别"),"",IF(X1093="",IF(OR(I1093="ILF",I1093="EIF",I1093="EI",I1093="EO",I1093="EQ"),0,""),LEN(X1093)-LEN(SUBSTITUTE(SUBSTITUTE(SUBSTITUTE(SUBSTITUTE(SUBSTITUTE(X1093,"|}","--"),"{|","--"),CHAR(10),""),"、",""),"|",""))+IF(AND(OR(I1093="EI",I1093="EO",I1093="EQ"),$AD$1="NESMA"),2,1)))</f>
        <v/>
      </c>
      <c r="O1093" s="84">
        <f>IF(I1093="EI",IF(OR(X1093="估算法",X1093="算法类"),"中",IF(X1093="无法识别","低",IF(L1093&lt;2,IF(N1093&lt;16,"低","中"),IF(L1093&lt;3,IF(N1093&lt;5,"低",IF(N1093&lt;16,"中","高")),IF(N1093&lt;5,"中","高"))))),IF(OR(I1093="EO",I1093="EQ"),IF(OR(X1093="估算法",X1093="算法类"),"中",IF(X1093="无法识别","低",IF(L1093&lt;2,IF(N1093&lt;20,"低","中"),IF(L1093&lt;4,IF(N1093&lt;6,"低",IF(N1093&lt;20,"中","高")),IF(N1093&lt;6,"中","高"))))),IF(OR(I1093="ILF",I1093="EIF"),IF(OR(X1093="估算法",X1093="算法类",X1093="无法识别"),"低",IF(M1093&lt;2,IF(N1093&lt;51,"低","中"),IF(M1093&lt;6,IF(N1093&lt;20,"低",IF(N1093&lt;51,"中","高")),IF(N1093&lt;20,"中","高")))),"不计算")))</f>
        <v/>
      </c>
      <c r="P1093" s="142">
        <f>IFERROR(IF(I1093="EI",IF(O1093="低",3,IF(O1093="中",4,6)),IF(I1093="EO",IF(O1093="低",4,IF(O1093="中",5,7)),IF(I1093="EQ",IF(O1093="低",3,IF(O1093="中",4,6)),IF(I1093="ILF",IF(O1093="低",7,IF(O1093="中",10,15)),IF(I1093="EIF",IF(O1093="低",5,IF(O1093="中",7,10)),"不计算")))))*Q1093,"不计算")</f>
        <v/>
      </c>
      <c r="Q1093" s="142" t="n">
        <v>1</v>
      </c>
      <c r="R1093" s="143">
        <f>调整因子!$F$13</f>
        <v/>
      </c>
      <c r="S1093" s="76" t="n">
        <v>1</v>
      </c>
      <c r="T1093" s="144">
        <f>IFERROR(P1093*R1093,0)</f>
        <v/>
      </c>
      <c r="U1093" s="145">
        <f>T1093*S1093</f>
        <v/>
      </c>
      <c r="V1093" s="96" t="inlineStr"/>
      <c r="W1093" s="96" t="inlineStr">
        <is>
          <t>扫描任务、发现任务</t>
        </is>
      </c>
      <c r="X1093" s="111" t="inlineStr">
        <is>
          <t>任务统计数据表{任务ID、任务名称、任务类型|任务ID、任务名称、任务类型、任务状态、创建时间、执行时间}</t>
        </is>
      </c>
      <c r="Y1093" s="88">
        <f>IF(COUNTIFS(V:V,"*"&amp;H1093&amp;"*")&gt;0,"存在","不存在")</f>
        <v/>
      </c>
      <c r="Z1093" s="88">
        <f>IF(COUNTIFS(AA:AA,"*"&amp;H1093&amp;"*")&gt;0,"存在","不存在")</f>
        <v/>
      </c>
    </row>
    <row r="1094" hidden="1" ht="21.6" customHeight="1">
      <c r="A1094" s="69">
        <f>ROW()-1</f>
        <v/>
      </c>
      <c r="B1094" s="53" t="n"/>
      <c r="C1094" s="117" t="n">
        <v>2026</v>
      </c>
      <c r="D1094" s="64" t="n"/>
      <c r="E1094" s="53" t="n"/>
      <c r="F1094" s="53" t="n"/>
      <c r="G1094" s="53" t="n"/>
      <c r="H1094" s="96" t="inlineStr">
        <is>
          <t>任务趋势分析表</t>
        </is>
      </c>
      <c r="I1094" s="76" t="inlineStr">
        <is>
          <t>ILF</t>
        </is>
      </c>
      <c r="J1094" s="95" t="n"/>
      <c r="K1094" s="95" t="n"/>
      <c r="L1094" s="83">
        <f>IF(OR(X1094="估算法",X1094="算法类",X1094="无法识别"),"",IF(V1094="",IF(OR(I1094="EI",I1094="EO",I1094="EQ"),0,""),LEN(V1094)-LEN(SUBSTITUTE(V1094,"、",""))+1))</f>
        <v/>
      </c>
      <c r="M1094" s="83">
        <f>IF(OR(X1094="估算法",X1094="算法类",X1094="无法识别"),"",IF(W1094="",IF(OR(I1094="ILF",I1094="EIF"),0,""),LEN(W1094)-LEN(SUBSTITUTE(W1094,"、",""))+1))</f>
        <v/>
      </c>
      <c r="N1094" s="83">
        <f>IF(OR(X1094="估算法",X1094="算法类",X1094="无法识别"),"",IF(X1094="",IF(OR(I1094="ILF",I1094="EIF",I1094="EI",I1094="EO",I1094="EQ"),0,""),LEN(X1094)-LEN(SUBSTITUTE(SUBSTITUTE(SUBSTITUTE(SUBSTITUTE(SUBSTITUTE(X1094,"|}","--"),"{|","--"),CHAR(10),""),"、",""),"|",""))+IF(AND(OR(I1094="EI",I1094="EO",I1094="EQ"),$AD$1="NESMA"),2,1)))</f>
        <v/>
      </c>
      <c r="O1094" s="84">
        <f>IF(I1094="EI",IF(OR(X1094="估算法",X1094="算法类"),"中",IF(X1094="无法识别","低",IF(L1094&lt;2,IF(N1094&lt;16,"低","中"),IF(L1094&lt;3,IF(N1094&lt;5,"低",IF(N1094&lt;16,"中","高")),IF(N1094&lt;5,"中","高"))))),IF(OR(I1094="EO",I1094="EQ"),IF(OR(X1094="估算法",X1094="算法类"),"中",IF(X1094="无法识别","低",IF(L1094&lt;2,IF(N1094&lt;20,"低","中"),IF(L1094&lt;4,IF(N1094&lt;6,"低",IF(N1094&lt;20,"中","高")),IF(N1094&lt;6,"中","高"))))),IF(OR(I1094="ILF",I1094="EIF"),IF(OR(X1094="估算法",X1094="算法类",X1094="无法识别"),"低",IF(M1094&lt;2,IF(N1094&lt;51,"低","中"),IF(M1094&lt;6,IF(N1094&lt;20,"低",IF(N1094&lt;51,"中","高")),IF(N1094&lt;20,"中","高")))),"不计算")))</f>
        <v/>
      </c>
      <c r="P1094" s="142">
        <f>IFERROR(IF(I1094="EI",IF(O1094="低",3,IF(O1094="中",4,6)),IF(I1094="EO",IF(O1094="低",4,IF(O1094="中",5,7)),IF(I1094="EQ",IF(O1094="低",3,IF(O1094="中",4,6)),IF(I1094="ILF",IF(O1094="低",7,IF(O1094="中",10,15)),IF(I1094="EIF",IF(O1094="低",5,IF(O1094="中",7,10)),"不计算")))))*Q1094,"不计算")</f>
        <v/>
      </c>
      <c r="Q1094" s="142" t="n">
        <v>1</v>
      </c>
      <c r="R1094" s="143">
        <f>调整因子!$F$13</f>
        <v/>
      </c>
      <c r="S1094" s="70" t="n">
        <v>1</v>
      </c>
      <c r="T1094" s="144">
        <f>IFERROR(P1094*R1094,0)</f>
        <v/>
      </c>
      <c r="U1094" s="145">
        <f>T1094*S1094</f>
        <v/>
      </c>
      <c r="V1094" s="96" t="inlineStr"/>
      <c r="W1094" s="96" t="inlineStr">
        <is>
          <t>扫描任务、发现任务、口令猜测任务</t>
        </is>
      </c>
      <c r="X1094" s="111" t="inlineStr">
        <is>
          <t>任务趋势分析表{任务ID、任务名称、任务类型|任务ID、任务名称、任务类型、任务状态、创建时间、执行时间}</t>
        </is>
      </c>
      <c r="Y1094" s="88">
        <f>IF(COUNTIFS(V:V,"*"&amp;H1094&amp;"*")&gt;0,"存在","不存在")</f>
        <v/>
      </c>
      <c r="Z1094" s="88">
        <f>IF(COUNTIFS(AA:AA,"*"&amp;H1094&amp;"*")&gt;0,"存在","不存在")</f>
        <v/>
      </c>
    </row>
    <row r="1095" hidden="1" ht="64.8" customHeight="1">
      <c r="A1095" s="69">
        <f>ROW()-1</f>
        <v/>
      </c>
      <c r="B1095" s="53" t="n"/>
      <c r="C1095" s="117" t="n">
        <v>2026</v>
      </c>
      <c r="D1095" s="64" t="n"/>
      <c r="E1095" s="53" t="n"/>
      <c r="F1095" s="53" t="n"/>
      <c r="G1095" s="53" t="n"/>
      <c r="H1095" s="96" t="inlineStr">
        <is>
          <t>导出统计报表</t>
        </is>
      </c>
      <c r="I1095" s="76" t="inlineStr">
        <is>
          <t>EO</t>
        </is>
      </c>
      <c r="J1095" s="95" t="n"/>
      <c r="K1095" s="95" t="n"/>
      <c r="L1095" s="83">
        <f>IF(OR(X1095="估算法",X1095="算法类",X1095="无法识别"),"",IF(V1095="",IF(OR(I1095="EI",I1095="EO",I1095="EQ"),0,""),LEN(V1095)-LEN(SUBSTITUTE(V1095,"、",""))+1))</f>
        <v/>
      </c>
      <c r="M1095" s="83">
        <f>IF(OR(X1095="估算法",X1095="算法类",X1095="无法识别"),"",IF(W1095="",IF(OR(I1095="ILF",I1095="EIF"),0,""),LEN(W1095)-LEN(SUBSTITUTE(W1095,"、",""))+1))</f>
        <v/>
      </c>
      <c r="N1095" s="83">
        <f>IF(OR(X1095="估算法",X1095="算法类",X1095="无法识别"),"",IF(X1095="",IF(OR(I1095="ILF",I1095="EIF",I1095="EI",I1095="EO",I1095="EQ"),0,""),LEN(X1095)-LEN(SUBSTITUTE(SUBSTITUTE(SUBSTITUTE(SUBSTITUTE(SUBSTITUTE(X1095,"|}","--"),"{|","--"),CHAR(10),""),"、",""),"|",""))+IF(AND(OR(I1095="EI",I1095="EO",I1095="EQ"),$AD$1="NESMA"),2,1)))</f>
        <v/>
      </c>
      <c r="O1095" s="84">
        <f>IF(I1095="EI",IF(OR(X1095="估算法",X1095="算法类"),"中",IF(X1095="无法识别","低",IF(L1095&lt;2,IF(N1095&lt;16,"低","中"),IF(L1095&lt;3,IF(N1095&lt;5,"低",IF(N1095&lt;16,"中","高")),IF(N1095&lt;5,"中","高"))))),IF(OR(I1095="EO",I1095="EQ"),IF(OR(X1095="估算法",X1095="算法类"),"中",IF(X1095="无法识别","低",IF(L1095&lt;2,IF(N1095&lt;20,"低","中"),IF(L1095&lt;4,IF(N1095&lt;6,"低",IF(N1095&lt;20,"中","高")),IF(N1095&lt;6,"中","高"))))),IF(OR(I1095="ILF",I1095="EIF"),IF(OR(X1095="估算法",X1095="算法类",X1095="无法识别"),"低",IF(M1095&lt;2,IF(N1095&lt;51,"低","中"),IF(M1095&lt;6,IF(N1095&lt;20,"低",IF(N1095&lt;51,"中","高")),IF(N1095&lt;20,"中","高")))),"不计算")))</f>
        <v/>
      </c>
      <c r="P1095" s="142">
        <f>IFERROR(IF(I1095="EI",IF(O1095="低",3,IF(O1095="中",4,6)),IF(I1095="EO",IF(O1095="低",4,IF(O1095="中",5,7)),IF(I1095="EQ",IF(O1095="低",3,IF(O1095="中",4,6)),IF(I1095="ILF",IF(O1095="低",7,IF(O1095="中",10,15)),IF(I1095="EIF",IF(O1095="低",5,IF(O1095="中",7,10)),"不计算")))))*Q1095,"不计算")</f>
        <v/>
      </c>
      <c r="Q1095" s="142" t="n">
        <v>1</v>
      </c>
      <c r="R1095" s="143">
        <f>调整因子!$F$13</f>
        <v/>
      </c>
      <c r="S1095" s="70" t="n">
        <v>1</v>
      </c>
      <c r="T1095" s="144">
        <f>IFERROR(P1095*R1095,0)</f>
        <v/>
      </c>
      <c r="U1095" s="145">
        <f>T1095*S1095</f>
        <v/>
      </c>
      <c r="V1095" s="96" t="inlineStr">
        <is>
          <t>报表模板表、数据清洗任务表、推送对象表、任务队列表</t>
        </is>
      </c>
      <c r="W1095" s="96" t="inlineStr"/>
      <c r="X1095" s="111" t="inlineStr">
        <is>
          <t>报表模板表{报表ID、报表名称|报表ID、报表名称、报表类型、生成时间、报表内容}
数据清洗任务表{任务ID、任务名称|任务ID、任务名称、任务类型、任务状态、创建时间、执行时间}
推送对象表{ID、名称|ID、名称、类型、状态、创建时间、更新时间}
任务队列表{任务ID、任务名称|任务ID、任务名称、任务类型、任务状态、创建时间、执行时间}</t>
        </is>
      </c>
      <c r="Y1095" s="88" t="n"/>
      <c r="Z1095" s="88" t="n"/>
    </row>
    <row r="1096" hidden="1" ht="64.8" customHeight="1">
      <c r="A1096" s="69">
        <f>ROW()-1</f>
        <v/>
      </c>
      <c r="B1096" s="53" t="n"/>
      <c r="C1096" s="117" t="n">
        <v>2026</v>
      </c>
      <c r="D1096" s="64" t="n"/>
      <c r="E1096" s="53" t="n"/>
      <c r="F1096" s="53" t="n"/>
      <c r="G1096" s="53" t="n"/>
      <c r="H1096" s="96" t="inlineStr">
        <is>
          <t>下载分析报告</t>
        </is>
      </c>
      <c r="I1096" s="76" t="inlineStr">
        <is>
          <t>EO</t>
        </is>
      </c>
      <c r="J1096" s="95" t="n"/>
      <c r="K1096" s="95" t="n"/>
      <c r="L1096" s="83">
        <f>IF(OR(X1096="估算法",X1096="算法类",X1096="无法识别"),"",IF(V1096="",IF(OR(I1096="EI",I1096="EO",I1096="EQ"),0,""),LEN(V1096)-LEN(SUBSTITUTE(V1096,"、",""))+1))</f>
        <v/>
      </c>
      <c r="M1096" s="83">
        <f>IF(OR(X1096="估算法",X1096="算法类",X1096="无法识别"),"",IF(W1096="",IF(OR(I1096="ILF",I1096="EIF"),0,""),LEN(W1096)-LEN(SUBSTITUTE(W1096,"、",""))+1))</f>
        <v/>
      </c>
      <c r="N1096" s="83">
        <f>IF(OR(X1096="估算法",X1096="算法类",X1096="无法识别"),"",IF(X1096="",IF(OR(I1096="ILF",I1096="EIF",I1096="EI",I1096="EO",I1096="EQ"),0,""),LEN(X1096)-LEN(SUBSTITUTE(SUBSTITUTE(SUBSTITUTE(SUBSTITUTE(SUBSTITUTE(X1096,"|}","--"),"{|","--"),CHAR(10),""),"、",""),"|",""))+IF(AND(OR(I1096="EI",I1096="EO",I1096="EQ"),$AD$1="NESMA"),2,1)))</f>
        <v/>
      </c>
      <c r="O1096" s="84">
        <f>IF(I1096="EI",IF(OR(X1096="估算法",X1096="算法类"),"中",IF(X1096="无法识别","低",IF(L1096&lt;2,IF(N1096&lt;16,"低","中"),IF(L1096&lt;3,IF(N1096&lt;5,"低",IF(N1096&lt;16,"中","高")),IF(N1096&lt;5,"中","高"))))),IF(OR(I1096="EO",I1096="EQ"),IF(OR(X1096="估算法",X1096="算法类"),"中",IF(X1096="无法识别","低",IF(L1096&lt;2,IF(N1096&lt;20,"低","中"),IF(L1096&lt;4,IF(N1096&lt;6,"低",IF(N1096&lt;20,"中","高")),IF(N1096&lt;6,"中","高"))))),IF(OR(I1096="ILF",I1096="EIF"),IF(OR(X1096="估算法",X1096="算法类",X1096="无法识别"),"低",IF(M1096&lt;2,IF(N1096&lt;51,"低","中"),IF(M1096&lt;6,IF(N1096&lt;20,"低",IF(N1096&lt;51,"中","高")),IF(N1096&lt;20,"中","高")))),"不计算")))</f>
        <v/>
      </c>
      <c r="P1096" s="142">
        <f>IFERROR(IF(I1096="EI",IF(O1096="低",3,IF(O1096="中",4,6)),IF(I1096="EO",IF(O1096="低",4,IF(O1096="中",5,7)),IF(I1096="EQ",IF(O1096="低",3,IF(O1096="中",4,6)),IF(I1096="ILF",IF(O1096="低",7,IF(O1096="中",10,15)),IF(I1096="EIF",IF(O1096="低",5,IF(O1096="中",7,10)),"不计算")))))*Q1096,"不计算")</f>
        <v/>
      </c>
      <c r="Q1096" s="142" t="n">
        <v>1</v>
      </c>
      <c r="R1096" s="143">
        <f>调整因子!$F$13</f>
        <v/>
      </c>
      <c r="S1096" s="76" t="n">
        <v>1</v>
      </c>
      <c r="T1096" s="144">
        <f>IFERROR(P1096*R1096,0)</f>
        <v/>
      </c>
      <c r="U1096" s="145">
        <f>T1096*S1096</f>
        <v/>
      </c>
      <c r="V1096" s="96" t="inlineStr">
        <is>
          <t>漏洞查询接口配置表、处置单配置表、通报模板表、扫描策略模板表</t>
        </is>
      </c>
      <c r="W1096" s="96" t="inlineStr"/>
      <c r="X1096" s="111" t="inlineStr">
        <is>
          <t>漏洞查询接口配置表{漏洞ID、漏洞名称|漏洞ID、漏洞名称、漏洞等级、漏洞类型、CVE编号、发现时间、修复状态}
处置单配置表{配置ID、配置名称|配置ID、配置名称、配置类型、配置值、创建时间}
通报模板表{ID、名称|ID、名称、类型、状态、创建时间、更新时间}
扫描策略模板表{任务ID、任务名称|任务ID、任务名称、任务状态、扫描器类型、开始时间、结束时间、扫描结果}</t>
        </is>
      </c>
      <c r="Y1096" s="88" t="n"/>
      <c r="Z1096" s="88" t="n"/>
    </row>
    <row r="1097" hidden="1" ht="32.4" customHeight="1">
      <c r="A1097" s="69">
        <f>ROW()-1</f>
        <v/>
      </c>
      <c r="B1097" s="53" t="n"/>
      <c r="C1097" s="117" t="n">
        <v>2026</v>
      </c>
      <c r="D1097" s="64" t="n"/>
      <c r="E1097" s="53" t="n"/>
      <c r="F1097" s="53" t="n"/>
      <c r="G1097" s="53" t="n"/>
      <c r="H1097" s="96" t="inlineStr">
        <is>
          <t>推送统计结果</t>
        </is>
      </c>
      <c r="I1097" s="76" t="inlineStr">
        <is>
          <t>EO</t>
        </is>
      </c>
      <c r="J1097" s="95" t="n"/>
      <c r="K1097" s="95" t="n"/>
      <c r="L1097" s="83">
        <f>IF(OR(X1097="估算法",X1097="算法类",X1097="无法识别"),"",IF(V1097="",IF(OR(I1097="EI",I1097="EO",I1097="EQ"),0,""),LEN(V1097)-LEN(SUBSTITUTE(V1097,"、",""))+1))</f>
        <v/>
      </c>
      <c r="M1097" s="83">
        <f>IF(OR(X1097="估算法",X1097="算法类",X1097="无法识别"),"",IF(W1097="",IF(OR(I1097="ILF",I1097="EIF"),0,""),LEN(W1097)-LEN(SUBSTITUTE(W1097,"、",""))+1))</f>
        <v/>
      </c>
      <c r="N1097" s="83">
        <f>IF(OR(X1097="估算法",X1097="算法类",X1097="无法识别"),"",IF(X1097="",IF(OR(I1097="ILF",I1097="EIF",I1097="EI",I1097="EO",I1097="EQ"),0,""),LEN(X1097)-LEN(SUBSTITUTE(SUBSTITUTE(SUBSTITUTE(SUBSTITUTE(SUBSTITUTE(X1097,"|}","--"),"{|","--"),CHAR(10),""),"、",""),"|",""))+IF(AND(OR(I1097="EI",I1097="EO",I1097="EQ"),$AD$1="NESMA"),2,1)))</f>
        <v/>
      </c>
      <c r="O1097" s="84">
        <f>IF(I1097="EI",IF(OR(X1097="估算法",X1097="算法类"),"中",IF(X1097="无法识别","低",IF(L1097&lt;2,IF(N1097&lt;16,"低","中"),IF(L1097&lt;3,IF(N1097&lt;5,"低",IF(N1097&lt;16,"中","高")),IF(N1097&lt;5,"中","高"))))),IF(OR(I1097="EO",I1097="EQ"),IF(OR(X1097="估算法",X1097="算法类"),"中",IF(X1097="无法识别","低",IF(L1097&lt;2,IF(N1097&lt;20,"低","中"),IF(L1097&lt;4,IF(N1097&lt;6,"低",IF(N1097&lt;20,"中","高")),IF(N1097&lt;6,"中","高"))))),IF(OR(I1097="ILF",I1097="EIF"),IF(OR(X1097="估算法",X1097="算法类",X1097="无法识别"),"低",IF(M1097&lt;2,IF(N1097&lt;51,"低","中"),IF(M1097&lt;6,IF(N1097&lt;20,"低",IF(N1097&lt;51,"中","高")),IF(N1097&lt;20,"中","高")))),"不计算")))</f>
        <v/>
      </c>
      <c r="P1097" s="142">
        <f>IFERROR(IF(I1097="EI",IF(O1097="低",3,IF(O1097="中",4,6)),IF(I1097="EO",IF(O1097="低",4,IF(O1097="中",5,7)),IF(I1097="EQ",IF(O1097="低",3,IF(O1097="中",4,6)),IF(I1097="ILF",IF(O1097="低",7,IF(O1097="中",10,15)),IF(I1097="EIF",IF(O1097="低",5,IF(O1097="中",7,10)),"不计算")))))*Q1097,"不计算")</f>
        <v/>
      </c>
      <c r="Q1097" s="142" t="n">
        <v>1</v>
      </c>
      <c r="R1097" s="143">
        <f>调整因子!$F$13</f>
        <v/>
      </c>
      <c r="S1097" s="76" t="n">
        <v>1</v>
      </c>
      <c r="T1097" s="144">
        <f>IFERROR(P1097*R1097,0)</f>
        <v/>
      </c>
      <c r="U1097" s="145">
        <f>T1097*S1097</f>
        <v/>
      </c>
      <c r="V1097" s="96" t="inlineStr">
        <is>
          <t>推送失败重试表、修复方案表、推送配置表</t>
        </is>
      </c>
      <c r="W1097" s="96" t="inlineStr"/>
      <c r="X1097" s="111" t="inlineStr">
        <is>
          <t>推送失败重试表{ID、名称|ID、名称、类型、状态、创建时间、更新时间}
修复方案表{ID、名称|ID、名称、类型、状态、创建时间、更新时间}
推送配置表{配置ID、配置名称|配置ID、配置名称、配置类型、配置值、创建时间}</t>
        </is>
      </c>
      <c r="Y1097" s="88" t="n"/>
      <c r="Z1097" s="88" t="n"/>
    </row>
    <row r="1098" hidden="1" ht="86.40000000000001" customHeight="1">
      <c r="A1098" s="69">
        <f>ROW()-1</f>
        <v/>
      </c>
      <c r="B1098" s="53" t="n"/>
      <c r="C1098" s="117" t="n">
        <v>2026</v>
      </c>
      <c r="D1098" s="64" t="n"/>
      <c r="E1098" s="53" t="n"/>
      <c r="F1098" s="53" t="n"/>
      <c r="G1098" s="53" t="n"/>
      <c r="H1098" s="96" t="inlineStr">
        <is>
          <t>查询任务统计</t>
        </is>
      </c>
      <c r="I1098" s="76" t="inlineStr">
        <is>
          <t>EQ</t>
        </is>
      </c>
      <c r="J1098" s="95" t="n"/>
      <c r="K1098" s="95" t="n"/>
      <c r="L1098" s="83">
        <f>IF(OR(X1098="估算法",X1098="算法类",X1098="无法识别"),"",IF(V1098="",IF(OR(I1098="EI",I1098="EO",I1098="EQ"),0,""),LEN(V1098)-LEN(SUBSTITUTE(V1098,"、",""))+1))</f>
        <v/>
      </c>
      <c r="M1098" s="83">
        <f>IF(OR(X1098="估算法",X1098="算法类",X1098="无法识别"),"",IF(W1098="",IF(OR(I1098="ILF",I1098="EIF"),0,""),LEN(W1098)-LEN(SUBSTITUTE(W1098,"、",""))+1))</f>
        <v/>
      </c>
      <c r="N1098" s="83">
        <f>IF(OR(X1098="估算法",X1098="算法类",X1098="无法识别"),"",IF(X1098="",IF(OR(I1098="ILF",I1098="EIF",I1098="EI",I1098="EO",I1098="EQ"),0,""),LEN(X1098)-LEN(SUBSTITUTE(SUBSTITUTE(SUBSTITUTE(SUBSTITUTE(SUBSTITUTE(X1098,"|}","--"),"{|","--"),CHAR(10),""),"、",""),"|",""))+IF(AND(OR(I1098="EI",I1098="EO",I1098="EQ"),$AD$1="NESMA"),2,1)))</f>
        <v/>
      </c>
      <c r="O1098" s="84">
        <f>IF(I1098="EI",IF(OR(X1098="估算法",X1098="算法类"),"中",IF(X1098="无法识别","低",IF(L1098&lt;2,IF(N1098&lt;16,"低","中"),IF(L1098&lt;3,IF(N1098&lt;5,"低",IF(N1098&lt;16,"中","高")),IF(N1098&lt;5,"中","高"))))),IF(OR(I1098="EO",I1098="EQ"),IF(OR(X1098="估算法",X1098="算法类"),"中",IF(X1098="无法识别","低",IF(L1098&lt;2,IF(N1098&lt;20,"低","中"),IF(L1098&lt;4,IF(N1098&lt;6,"低",IF(N1098&lt;20,"中","高")),IF(N1098&lt;6,"中","高"))))),IF(OR(I1098="ILF",I1098="EIF"),IF(OR(X1098="估算法",X1098="算法类",X1098="无法识别"),"低",IF(M1098&lt;2,IF(N1098&lt;51,"低","中"),IF(M1098&lt;6,IF(N1098&lt;20,"低",IF(N1098&lt;51,"中","高")),IF(N1098&lt;20,"中","高")))),"不计算")))</f>
        <v/>
      </c>
      <c r="P1098" s="142">
        <f>IFERROR(IF(I1098="EI",IF(O1098="低",3,IF(O1098="中",4,6)),IF(I1098="EO",IF(O1098="低",4,IF(O1098="中",5,7)),IF(I1098="EQ",IF(O1098="低",3,IF(O1098="中",4,6)),IF(I1098="ILF",IF(O1098="低",7,IF(O1098="中",10,15)),IF(I1098="EIF",IF(O1098="低",5,IF(O1098="中",7,10)),"不计算")))))*Q1098,"不计算")</f>
        <v/>
      </c>
      <c r="Q1098" s="142" t="n">
        <v>1</v>
      </c>
      <c r="R1098" s="143">
        <f>调整因子!$F$13</f>
        <v/>
      </c>
      <c r="S1098" s="70" t="n">
        <v>1</v>
      </c>
      <c r="T1098" s="144">
        <f>IFERROR(P1098*R1098,0)</f>
        <v/>
      </c>
      <c r="U1098" s="145">
        <f>T1098*S1098</f>
        <v/>
      </c>
      <c r="V1098" s="96" t="inlineStr">
        <is>
          <t>数据清洗任务表、资产同步任务表、同步任务调度表、任务统计数据表</t>
        </is>
      </c>
      <c r="W1098" s="96" t="inlineStr"/>
      <c r="X1098"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Y1098" s="88" t="n"/>
      <c r="Z1098" s="88" t="n"/>
    </row>
    <row r="1099" hidden="1" ht="54" customHeight="1">
      <c r="A1099" s="69">
        <f>ROW()-1</f>
        <v/>
      </c>
      <c r="B1099" s="53" t="n"/>
      <c r="C1099" s="117" t="n">
        <v>2026</v>
      </c>
      <c r="D1099" s="64" t="n"/>
      <c r="E1099" s="53" t="n"/>
      <c r="F1099" s="53" t="n"/>
      <c r="G1099" s="53" t="n"/>
      <c r="H1099" s="96" t="inlineStr">
        <is>
          <t>查看趋势分析</t>
        </is>
      </c>
      <c r="I1099" s="76" t="n"/>
      <c r="J1099" s="95" t="n"/>
      <c r="K1099" s="95" t="inlineStr">
        <is>
          <t>功能描述和查询基本一致，合并</t>
        </is>
      </c>
      <c r="L1099" s="83">
        <f>IF(OR(X1099="估算法",X1099="算法类",X1099="无法识别"),"",IF(V1099="",IF(OR(I1099="EI",I1099="EO",I1099="EQ"),0,""),LEN(V1099)-LEN(SUBSTITUTE(V1099,"、",""))+1))</f>
        <v/>
      </c>
      <c r="M1099" s="83">
        <f>IF(OR(X1099="估算法",X1099="算法类",X1099="无法识别"),"",IF(W1099="",IF(OR(I1099="ILF",I1099="EIF"),0,""),LEN(W1099)-LEN(SUBSTITUTE(W1099,"、",""))+1))</f>
        <v/>
      </c>
      <c r="N1099" s="83">
        <f>IF(OR(X1099="估算法",X1099="算法类",X1099="无法识别"),"",IF(X1099="",IF(OR(I1099="ILF",I1099="EIF",I1099="EI",I1099="EO",I1099="EQ"),0,""),LEN(X1099)-LEN(SUBSTITUTE(SUBSTITUTE(SUBSTITUTE(SUBSTITUTE(SUBSTITUTE(X1099,"|}","--"),"{|","--"),CHAR(10),""),"、",""),"|",""))+IF(AND(OR(I1099="EI",I1099="EO",I1099="EQ"),$AD$1="NESMA"),2,1)))</f>
        <v/>
      </c>
      <c r="O1099" s="84">
        <f>IF(I1099="EI",IF(OR(X1099="估算法",X1099="算法类"),"中",IF(X1099="无法识别","低",IF(L1099&lt;2,IF(N1099&lt;16,"低","中"),IF(L1099&lt;3,IF(N1099&lt;5,"低",IF(N1099&lt;16,"中","高")),IF(N1099&lt;5,"中","高"))))),IF(OR(I1099="EO",I1099="EQ"),IF(OR(X1099="估算法",X1099="算法类"),"中",IF(X1099="无法识别","低",IF(L1099&lt;2,IF(N1099&lt;20,"低","中"),IF(L1099&lt;4,IF(N1099&lt;6,"低",IF(N1099&lt;20,"中","高")),IF(N1099&lt;6,"中","高"))))),IF(OR(I1099="ILF",I1099="EIF"),IF(OR(X1099="估算法",X1099="算法类",X1099="无法识别"),"低",IF(M1099&lt;2,IF(N1099&lt;51,"低","中"),IF(M1099&lt;6,IF(N1099&lt;20,"低",IF(N1099&lt;51,"中","高")),IF(N1099&lt;20,"中","高")))),"不计算")))</f>
        <v/>
      </c>
      <c r="P1099" s="142">
        <f>IFERROR(IF(I1099="EI",IF(O1099="低",3,IF(O1099="中",4,6)),IF(I1099="EO",IF(O1099="低",4,IF(O1099="中",5,7)),IF(I1099="EQ",IF(O1099="低",3,IF(O1099="中",4,6)),IF(I1099="ILF",IF(O1099="低",7,IF(O1099="中",10,15)),IF(I1099="EIF",IF(O1099="低",5,IF(O1099="中",7,10)),"不计算")))))*Q1099,"不计算")</f>
        <v/>
      </c>
      <c r="Q1099" s="142" t="n">
        <v>0.333333333333333</v>
      </c>
      <c r="R1099" s="143">
        <f>调整因子!$F$13</f>
        <v/>
      </c>
      <c r="S1099" s="70" t="n">
        <v>1</v>
      </c>
      <c r="T1099" s="144">
        <f>IFERROR(P1099*R1099,0)</f>
        <v/>
      </c>
      <c r="U1099" s="145">
        <f>T1099*S1099</f>
        <v/>
      </c>
      <c r="V1099" s="96" t="inlineStr">
        <is>
          <t>模板分类表、复测任务表、审计日志表、态势数据采集表</t>
        </is>
      </c>
      <c r="W1099" s="96" t="inlineStr"/>
      <c r="X1099" s="111" t="inlineStr">
        <is>
          <t>模板分类表{ID、名称|ID、名称、类型、状态、创建时间、更新时间}
复测任务表{任务ID、任务名称|任务ID、任务名称、任务类型、任务状态、创建时间、执行时间}
审计日志表{日志ID、操作人|日志ID、操作人、操作类型、操作时间、操作内容}
态势数据采集表{ID、名称|ID、名称、类型、状态、创建时间、更新时间}</t>
        </is>
      </c>
      <c r="Y1099" s="88" t="n"/>
      <c r="Z1099" s="88" t="n"/>
    </row>
    <row r="1100" hidden="1" ht="86.40000000000001" customHeight="1">
      <c r="A1100" s="69">
        <f>ROW()-1</f>
        <v/>
      </c>
      <c r="B1100" s="53" t="n"/>
      <c r="C1100" s="117" t="n">
        <v>2026</v>
      </c>
      <c r="D1100" s="64" t="n"/>
      <c r="E1100" s="53" t="n"/>
      <c r="F1100" s="53" t="n"/>
      <c r="G1100" s="54" t="n"/>
      <c r="H1100" s="96" t="inlineStr">
        <is>
          <t>查看效率分析</t>
        </is>
      </c>
      <c r="I1100" s="76" t="n"/>
      <c r="J1100" s="95" t="n"/>
      <c r="K1100" s="95" t="inlineStr">
        <is>
          <t>功能描述和查询基本一致，合并</t>
        </is>
      </c>
      <c r="L1100" s="83">
        <f>IF(OR(X1100="估算法",X1100="算法类",X1100="无法识别"),"",IF(V1100="",IF(OR(I1100="EI",I1100="EO",I1100="EQ"),0,""),LEN(V1100)-LEN(SUBSTITUTE(V1100,"、",""))+1))</f>
        <v/>
      </c>
      <c r="M1100" s="83">
        <f>IF(OR(X1100="估算法",X1100="算法类",X1100="无法识别"),"",IF(W1100="",IF(OR(I1100="ILF",I1100="EIF"),0,""),LEN(W1100)-LEN(SUBSTITUTE(W1100,"、",""))+1))</f>
        <v/>
      </c>
      <c r="N1100" s="83">
        <f>IF(OR(X1100="估算法",X1100="算法类",X1100="无法识别"),"",IF(X1100="",IF(OR(I1100="ILF",I1100="EIF",I1100="EI",I1100="EO",I1100="EQ"),0,""),LEN(X1100)-LEN(SUBSTITUTE(SUBSTITUTE(SUBSTITUTE(SUBSTITUTE(SUBSTITUTE(X1100,"|}","--"),"{|","--"),CHAR(10),""),"、",""),"|",""))+IF(AND(OR(I1100="EI",I1100="EO",I1100="EQ"),$AD$1="NESMA"),2,1)))</f>
        <v/>
      </c>
      <c r="O1100" s="84">
        <f>IF(I1100="EI",IF(OR(X1100="估算法",X1100="算法类"),"中",IF(X1100="无法识别","低",IF(L1100&lt;2,IF(N1100&lt;16,"低","中"),IF(L1100&lt;3,IF(N1100&lt;5,"低",IF(N1100&lt;16,"中","高")),IF(N1100&lt;5,"中","高"))))),IF(OR(I1100="EO",I1100="EQ"),IF(OR(X1100="估算法",X1100="算法类"),"中",IF(X1100="无法识别","低",IF(L1100&lt;2,IF(N1100&lt;20,"低","中"),IF(L1100&lt;4,IF(N1100&lt;6,"低",IF(N1100&lt;20,"中","高")),IF(N1100&lt;6,"中","高"))))),IF(OR(I1100="ILF",I1100="EIF"),IF(OR(X1100="估算法",X1100="算法类",X1100="无法识别"),"低",IF(M1100&lt;2,IF(N1100&lt;51,"低","中"),IF(M1100&lt;6,IF(N1100&lt;20,"低",IF(N1100&lt;51,"中","高")),IF(N1100&lt;20,"中","高")))),"不计算")))</f>
        <v/>
      </c>
      <c r="P1100" s="142">
        <f>IFERROR(IF(I1100="EI",IF(O1100="低",3,IF(O1100="中",4,6)),IF(I1100="EO",IF(O1100="低",4,IF(O1100="中",5,7)),IF(I1100="EQ",IF(O1100="低",3,IF(O1100="中",4,6)),IF(I1100="ILF",IF(O1100="低",7,IF(O1100="中",10,15)),IF(I1100="EIF",IF(O1100="低",5,IF(O1100="中",7,10)),"不计算")))))*Q1100,"不计算")</f>
        <v/>
      </c>
      <c r="Q1100" s="142" t="n">
        <v>0.333333333333333</v>
      </c>
      <c r="R1100" s="143">
        <f>调整因子!$F$13</f>
        <v/>
      </c>
      <c r="S1100" s="76" t="n">
        <v>1</v>
      </c>
      <c r="T1100" s="144">
        <f>IFERROR(P1100*R1100,0)</f>
        <v/>
      </c>
      <c r="U1100" s="145">
        <f>T1100*S1100</f>
        <v/>
      </c>
      <c r="V1100" s="96" t="inlineStr">
        <is>
          <t>任务故障记录表、故障诊断结果表、接口参数表、漏洞查询接口配置表、任务日志表</t>
        </is>
      </c>
      <c r="W1100" s="96" t="inlineStr"/>
      <c r="X1100" s="111" t="inlineStr">
        <is>
          <t>任务故障记录表{任务ID、任务名称|任务ID、任务名称、任务类型、任务状态、创建时间、执行时间}
故障诊断结果表{ID、名称|ID、名称、类型、状态、创建时间、更新时间}
接口参数表{接口ID、接口名称|接口ID、接口名称、接口类型、接口地址、调用时间}
漏洞查询接口配置表{漏洞ID、漏洞名称|漏洞ID、漏洞名称、漏洞等级、漏洞类型、CVE编号、发现时间、修复状态}
任务日志表{任务ID、任务名称|任务ID、任务名称、任务类型、任务状态、创建时间、执行时间}</t>
        </is>
      </c>
      <c r="Y1100" s="88" t="n"/>
      <c r="Z1100" s="88" t="n"/>
    </row>
    <row r="1101" hidden="1" ht="108" customHeight="1">
      <c r="A1101" s="69">
        <f>ROW()-1</f>
        <v/>
      </c>
      <c r="B1101" s="53" t="n"/>
      <c r="C1101" s="117" t="n">
        <v>2026</v>
      </c>
      <c r="D1101" s="64" t="n"/>
      <c r="E1101" s="53" t="n"/>
      <c r="F1101" s="53" t="n"/>
      <c r="G1101" s="111" t="inlineStr">
        <is>
          <t>扫描器统计分析</t>
        </is>
      </c>
      <c r="H1101" s="96" t="inlineStr">
        <is>
          <t>导出扫描器统计</t>
        </is>
      </c>
      <c r="I1101" s="76" t="inlineStr">
        <is>
          <t>EO</t>
        </is>
      </c>
      <c r="J1101" s="95" t="n"/>
      <c r="K1101" s="95" t="n"/>
      <c r="L1101" s="83">
        <f>IF(OR(X1101="估算法",X1101="算法类",X1101="无法识别"),"",IF(V1101="",IF(OR(I1101="EI",I1101="EO",I1101="EQ"),0,""),LEN(V1101)-LEN(SUBSTITUTE(V1101,"、",""))+1))</f>
        <v/>
      </c>
      <c r="M1101" s="83">
        <f>IF(OR(X1101="估算法",X1101="算法类",X1101="无法识别"),"",IF(W1101="",IF(OR(I1101="ILF",I1101="EIF"),0,""),LEN(W1101)-LEN(SUBSTITUTE(W1101,"、",""))+1))</f>
        <v/>
      </c>
      <c r="N1101" s="83">
        <f>IF(OR(X1101="估算法",X1101="算法类",X1101="无法识别"),"",IF(X1101="",IF(OR(I1101="ILF",I1101="EIF",I1101="EI",I1101="EO",I1101="EQ"),0,""),LEN(X1101)-LEN(SUBSTITUTE(SUBSTITUTE(SUBSTITUTE(SUBSTITUTE(SUBSTITUTE(X1101,"|}","--"),"{|","--"),CHAR(10),""),"、",""),"|",""))+IF(AND(OR(I1101="EI",I1101="EO",I1101="EQ"),$AD$1="NESMA"),2,1)))</f>
        <v/>
      </c>
      <c r="O1101" s="84">
        <f>IF(I1101="EI",IF(OR(X1101="估算法",X1101="算法类"),"中",IF(X1101="无法识别","低",IF(L1101&lt;2,IF(N1101&lt;16,"低","中"),IF(L1101&lt;3,IF(N1101&lt;5,"低",IF(N1101&lt;16,"中","高")),IF(N1101&lt;5,"中","高"))))),IF(OR(I1101="EO",I1101="EQ"),IF(OR(X1101="估算法",X1101="算法类"),"中",IF(X1101="无法识别","低",IF(L1101&lt;2,IF(N1101&lt;20,"低","中"),IF(L1101&lt;4,IF(N1101&lt;6,"低",IF(N1101&lt;20,"中","高")),IF(N1101&lt;6,"中","高"))))),IF(OR(I1101="ILF",I1101="EIF"),IF(OR(X1101="估算法",X1101="算法类",X1101="无法识别"),"低",IF(M1101&lt;2,IF(N1101&lt;51,"低","中"),IF(M1101&lt;6,IF(N1101&lt;20,"低",IF(N1101&lt;51,"中","高")),IF(N1101&lt;20,"中","高")))),"不计算")))</f>
        <v/>
      </c>
      <c r="P1101" s="142">
        <f>IFERROR(IF(I1101="EI",IF(O1101="低",3,IF(O1101="中",4,6)),IF(I1101="EO",IF(O1101="低",4,IF(O1101="中",5,7)),IF(I1101="EQ",IF(O1101="低",3,IF(O1101="中",4,6)),IF(I1101="ILF",IF(O1101="低",7,IF(O1101="中",10,15)),IF(I1101="EIF",IF(O1101="低",5,IF(O1101="中",7,10)),"不计算")))))*Q1101,"不计算")</f>
        <v/>
      </c>
      <c r="Q1101" s="142" t="n">
        <v>1</v>
      </c>
      <c r="R1101" s="143">
        <f>调整因子!$F$13</f>
        <v/>
      </c>
      <c r="S1101" s="70" t="n">
        <v>1</v>
      </c>
      <c r="T1101" s="144">
        <f>IFERROR(P1101*R1101,0)</f>
        <v/>
      </c>
      <c r="U1101" s="145">
        <f>T1101*S1101</f>
        <v/>
      </c>
      <c r="V1101" s="96" t="inlineStr">
        <is>
          <t>资产扫描覆盖表、扫描盲区记录表、扫描能力缺口表、离线扫描报告表、扫描策略模板表</t>
        </is>
      </c>
      <c r="W1101" s="96" t="inlineStr"/>
      <c r="X1101" s="111"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Y1101" s="88" t="n"/>
      <c r="Z1101" s="88" t="n"/>
    </row>
    <row r="1102" hidden="1" ht="86.40000000000001" customHeight="1">
      <c r="A1102" s="69">
        <f>ROW()-1</f>
        <v/>
      </c>
      <c r="B1102" s="53" t="n"/>
      <c r="C1102" s="117" t="n">
        <v>2026</v>
      </c>
      <c r="D1102" s="64" t="n"/>
      <c r="E1102" s="53" t="n"/>
      <c r="F1102" s="53" t="n"/>
      <c r="G1102" s="53" t="n"/>
      <c r="H1102" s="96" t="inlineStr">
        <is>
          <t>下载扫描器报告</t>
        </is>
      </c>
      <c r="I1102" s="76" t="inlineStr">
        <is>
          <t>EO</t>
        </is>
      </c>
      <c r="J1102" s="95" t="n"/>
      <c r="K1102" s="95" t="n"/>
      <c r="L1102" s="83">
        <f>IF(OR(X1102="估算法",X1102="算法类",X1102="无法识别"),"",IF(V1102="",IF(OR(I1102="EI",I1102="EO",I1102="EQ"),0,""),LEN(V1102)-LEN(SUBSTITUTE(V1102,"、",""))+1))</f>
        <v/>
      </c>
      <c r="M1102" s="83">
        <f>IF(OR(X1102="估算法",X1102="算法类",X1102="无法识别"),"",IF(W1102="",IF(OR(I1102="ILF",I1102="EIF"),0,""),LEN(W1102)-LEN(SUBSTITUTE(W1102,"、",""))+1))</f>
        <v/>
      </c>
      <c r="N1102" s="83">
        <f>IF(OR(X1102="估算法",X1102="算法类",X1102="无法识别"),"",IF(X1102="",IF(OR(I1102="ILF",I1102="EIF",I1102="EI",I1102="EO",I1102="EQ"),0,""),LEN(X1102)-LEN(SUBSTITUTE(SUBSTITUTE(SUBSTITUTE(SUBSTITUTE(SUBSTITUTE(X1102,"|}","--"),"{|","--"),CHAR(10),""),"、",""),"|",""))+IF(AND(OR(I1102="EI",I1102="EO",I1102="EQ"),$AD$1="NESMA"),2,1)))</f>
        <v/>
      </c>
      <c r="O1102" s="84">
        <f>IF(I1102="EI",IF(OR(X1102="估算法",X1102="算法类"),"中",IF(X1102="无法识别","低",IF(L1102&lt;2,IF(N1102&lt;16,"低","中"),IF(L1102&lt;3,IF(N1102&lt;5,"低",IF(N1102&lt;16,"中","高")),IF(N1102&lt;5,"中","高"))))),IF(OR(I1102="EO",I1102="EQ"),IF(OR(X1102="估算法",X1102="算法类"),"中",IF(X1102="无法识别","低",IF(L1102&lt;2,IF(N1102&lt;20,"低","中"),IF(L1102&lt;4,IF(N1102&lt;6,"低",IF(N1102&lt;20,"中","高")),IF(N1102&lt;6,"中","高"))))),IF(OR(I1102="ILF",I1102="EIF"),IF(OR(X1102="估算法",X1102="算法类",X1102="无法识别"),"低",IF(M1102&lt;2,IF(N1102&lt;51,"低","中"),IF(M1102&lt;6,IF(N1102&lt;20,"低",IF(N1102&lt;51,"中","高")),IF(N1102&lt;20,"中","高")))),"不计算")))</f>
        <v/>
      </c>
      <c r="P1102" s="142">
        <f>IFERROR(IF(I1102="EI",IF(O1102="低",3,IF(O1102="中",4,6)),IF(I1102="EO",IF(O1102="低",4,IF(O1102="中",5,7)),IF(I1102="EQ",IF(O1102="低",3,IF(O1102="中",4,6)),IF(I1102="ILF",IF(O1102="低",7,IF(O1102="中",10,15)),IF(I1102="EIF",IF(O1102="低",5,IF(O1102="中",7,10)),"不计算")))))*Q1102,"不计算")</f>
        <v/>
      </c>
      <c r="Q1102" s="142" t="n">
        <v>1</v>
      </c>
      <c r="R1102" s="143">
        <f>调整因子!$F$13</f>
        <v/>
      </c>
      <c r="S1102" s="70" t="n">
        <v>1</v>
      </c>
      <c r="T1102" s="144">
        <f>IFERROR(P1102*R1102,0)</f>
        <v/>
      </c>
      <c r="U1102" s="145">
        <f>T1102*S1102</f>
        <v/>
      </c>
      <c r="V1102" s="96" t="inlineStr">
        <is>
          <t>资产扫描覆盖表、扫描盲区记录表、扫描能力缺口表、离线扫描报告表</t>
        </is>
      </c>
      <c r="W1102" s="96" t="inlineStr"/>
      <c r="X1102" s="111"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Y1102" s="88" t="n"/>
      <c r="Z1102" s="88" t="n"/>
    </row>
    <row r="1103" hidden="1" ht="64.8" customHeight="1">
      <c r="A1103" s="69">
        <f>ROW()-1</f>
        <v/>
      </c>
      <c r="B1103" s="53" t="n"/>
      <c r="C1103" s="117" t="n">
        <v>2026</v>
      </c>
      <c r="D1103" s="64" t="n"/>
      <c r="E1103" s="53" t="n"/>
      <c r="F1103" s="53" t="n"/>
      <c r="G1103" s="53" t="n"/>
      <c r="H1103" s="96" t="inlineStr">
        <is>
          <t>查询扫描器统计</t>
        </is>
      </c>
      <c r="I1103" s="76" t="inlineStr">
        <is>
          <t>EQ</t>
        </is>
      </c>
      <c r="J1103" s="95" t="n"/>
      <c r="K1103" s="95" t="inlineStr">
        <is>
          <t>处理流程和上行基本一致，为查询功能，未体现详情功能</t>
        </is>
      </c>
      <c r="L1103" s="83">
        <f>IF(OR(X1103="估算法",X1103="算法类",X1103="无法识别"),"",IF(V1103="",IF(OR(I1103="EI",I1103="EO",I1103="EQ"),0,""),LEN(V1103)-LEN(SUBSTITUTE(V1103,"、",""))+1))</f>
        <v/>
      </c>
      <c r="M1103" s="83">
        <f>IF(OR(X1103="估算法",X1103="算法类",X1103="无法识别"),"",IF(W1103="",IF(OR(I1103="ILF",I1103="EIF"),0,""),LEN(W1103)-LEN(SUBSTITUTE(W1103,"、",""))+1))</f>
        <v/>
      </c>
      <c r="N1103" s="83">
        <f>IF(OR(X1103="估算法",X1103="算法类",X1103="无法识别"),"",IF(X1103="",IF(OR(I1103="ILF",I1103="EIF",I1103="EI",I1103="EO",I1103="EQ"),0,""),LEN(X1103)-LEN(SUBSTITUTE(SUBSTITUTE(SUBSTITUTE(SUBSTITUTE(SUBSTITUTE(X1103,"|}","--"),"{|","--"),CHAR(10),""),"、",""),"|",""))+IF(AND(OR(I1103="EI",I1103="EO",I1103="EQ"),$AD$1="NESMA"),2,1)))</f>
        <v/>
      </c>
      <c r="O1103" s="84">
        <f>IF(I1103="EI",IF(OR(X1103="估算法",X1103="算法类"),"中",IF(X1103="无法识别","低",IF(L1103&lt;2,IF(N1103&lt;16,"低","中"),IF(L1103&lt;3,IF(N1103&lt;5,"低",IF(N1103&lt;16,"中","高")),IF(N1103&lt;5,"中","高"))))),IF(OR(I1103="EO",I1103="EQ"),IF(OR(X1103="估算法",X1103="算法类"),"中",IF(X1103="无法识别","低",IF(L1103&lt;2,IF(N1103&lt;20,"低","中"),IF(L1103&lt;4,IF(N1103&lt;6,"低",IF(N1103&lt;20,"中","高")),IF(N1103&lt;6,"中","高"))))),IF(OR(I1103="ILF",I1103="EIF"),IF(OR(X1103="估算法",X1103="算法类",X1103="无法识别"),"低",IF(M1103&lt;2,IF(N1103&lt;51,"低","中"),IF(M1103&lt;6,IF(N1103&lt;20,"低",IF(N1103&lt;51,"中","高")),IF(N1103&lt;20,"中","高")))),"不计算")))</f>
        <v/>
      </c>
      <c r="P1103" s="142">
        <f>IFERROR(IF(I1103="EI",IF(O1103="低",3,IF(O1103="中",4,6)),IF(I1103="EO",IF(O1103="低",4,IF(O1103="中",5,7)),IF(I1103="EQ",IF(O1103="低",3,IF(O1103="中",4,6)),IF(I1103="ILF",IF(O1103="低",7,IF(O1103="中",10,15)),IF(I1103="EIF",IF(O1103="低",5,IF(O1103="中",7,10)),"不计算")))))*Q1103,"不计算")</f>
        <v/>
      </c>
      <c r="Q1103" s="142" t="n">
        <v>0.333333333333333</v>
      </c>
      <c r="R1103" s="143">
        <f>调整因子!$F$13</f>
        <v/>
      </c>
      <c r="S1103" s="76" t="n">
        <v>1</v>
      </c>
      <c r="T1103" s="144">
        <f>IFERROR(P1103*R1103,0)</f>
        <v/>
      </c>
      <c r="U1103" s="145">
        <f>T1103*S1103</f>
        <v/>
      </c>
      <c r="V1103" s="96" t="inlineStr">
        <is>
          <t>资产扫描覆盖表、扫描盲区记录表、扫描能力缺口表</t>
        </is>
      </c>
      <c r="W1103" s="96" t="inlineStr"/>
      <c r="X1103" s="111"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t>
        </is>
      </c>
      <c r="Y1103" s="88" t="n"/>
      <c r="Z1103" s="88" t="n"/>
    </row>
    <row r="1104" hidden="1" ht="86.40000000000001" customHeight="1">
      <c r="A1104" s="69">
        <f>ROW()-1</f>
        <v/>
      </c>
      <c r="B1104" s="53" t="n"/>
      <c r="C1104" s="117" t="n">
        <v>2026</v>
      </c>
      <c r="D1104" s="64" t="n"/>
      <c r="E1104" s="53" t="n"/>
      <c r="F1104" s="53" t="n"/>
      <c r="G1104" s="54" t="n"/>
      <c r="H1104" s="96" t="inlineStr">
        <is>
          <t>查看扫描器分布</t>
        </is>
      </c>
      <c r="I1104" s="76" t="inlineStr">
        <is>
          <t>EQ</t>
        </is>
      </c>
      <c r="J1104" s="95" t="n"/>
      <c r="K1104" s="95" t="inlineStr">
        <is>
          <t>处理流程和上行基本一致，为查询功能，未体现详情功能</t>
        </is>
      </c>
      <c r="L1104" s="83">
        <f>IF(OR(X1104="估算法",X1104="算法类",X1104="无法识别"),"",IF(V1104="",IF(OR(I1104="EI",I1104="EO",I1104="EQ"),0,""),LEN(V1104)-LEN(SUBSTITUTE(V1104,"、",""))+1))</f>
        <v/>
      </c>
      <c r="M1104" s="83">
        <f>IF(OR(X1104="估算法",X1104="算法类",X1104="无法识别"),"",IF(W1104="",IF(OR(I1104="ILF",I1104="EIF"),0,""),LEN(W1104)-LEN(SUBSTITUTE(W1104,"、",""))+1))</f>
        <v/>
      </c>
      <c r="N1104" s="83">
        <f>IF(OR(X1104="估算法",X1104="算法类",X1104="无法识别"),"",IF(X1104="",IF(OR(I1104="ILF",I1104="EIF",I1104="EI",I1104="EO",I1104="EQ"),0,""),LEN(X1104)-LEN(SUBSTITUTE(SUBSTITUTE(SUBSTITUTE(SUBSTITUTE(SUBSTITUTE(X1104,"|}","--"),"{|","--"),CHAR(10),""),"、",""),"|",""))+IF(AND(OR(I1104="EI",I1104="EO",I1104="EQ"),$AD$1="NESMA"),2,1)))</f>
        <v/>
      </c>
      <c r="O1104" s="84">
        <f>IF(I1104="EI",IF(OR(X1104="估算法",X1104="算法类"),"中",IF(X1104="无法识别","低",IF(L1104&lt;2,IF(N1104&lt;16,"低","中"),IF(L1104&lt;3,IF(N1104&lt;5,"低",IF(N1104&lt;16,"中","高")),IF(N1104&lt;5,"中","高"))))),IF(OR(I1104="EO",I1104="EQ"),IF(OR(X1104="估算法",X1104="算法类"),"中",IF(X1104="无法识别","低",IF(L1104&lt;2,IF(N1104&lt;20,"低","中"),IF(L1104&lt;4,IF(N1104&lt;6,"低",IF(N1104&lt;20,"中","高")),IF(N1104&lt;6,"中","高"))))),IF(OR(I1104="ILF",I1104="EIF"),IF(OR(X1104="估算法",X1104="算法类",X1104="无法识别"),"低",IF(M1104&lt;2,IF(N1104&lt;51,"低","中"),IF(M1104&lt;6,IF(N1104&lt;20,"低",IF(N1104&lt;51,"中","高")),IF(N1104&lt;20,"中","高")))),"不计算")))</f>
        <v/>
      </c>
      <c r="P1104" s="142">
        <f>IFERROR(IF(I1104="EI",IF(O1104="低",3,IF(O1104="中",4,6)),IF(I1104="EO",IF(O1104="低",4,IF(O1104="中",5,7)),IF(I1104="EQ",IF(O1104="低",3,IF(O1104="中",4,6)),IF(I1104="ILF",IF(O1104="低",7,IF(O1104="中",10,15)),IF(I1104="EIF",IF(O1104="低",5,IF(O1104="中",7,10)),"不计算")))))*Q1104,"不计算")</f>
        <v/>
      </c>
      <c r="Q1104" s="142" t="n">
        <v>0.333333333333333</v>
      </c>
      <c r="R1104" s="143">
        <f>调整因子!$F$13</f>
        <v/>
      </c>
      <c r="S1104" s="76" t="n">
        <v>1</v>
      </c>
      <c r="T1104" s="144">
        <f>IFERROR(P1104*R1104,0)</f>
        <v/>
      </c>
      <c r="U1104" s="145">
        <f>T1104*S1104</f>
        <v/>
      </c>
      <c r="V1104" s="96" t="inlineStr">
        <is>
          <t>资产扫描覆盖表、扫描盲区记录表、扫描能力缺口表、离线扫描报告表</t>
        </is>
      </c>
      <c r="W1104" s="96" t="inlineStr"/>
      <c r="X1104" s="111"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Y1104" s="88" t="n"/>
      <c r="Z1104" s="88" t="n"/>
    </row>
    <row r="1105" hidden="1" ht="86.40000000000001" customHeight="1">
      <c r="A1105" s="69">
        <f>ROW()-1</f>
        <v/>
      </c>
      <c r="B1105" s="53" t="n"/>
      <c r="C1105" s="117" t="n">
        <v>2026</v>
      </c>
      <c r="D1105" s="64" t="n"/>
      <c r="E1105" s="53" t="n"/>
      <c r="F1105" s="53" t="n"/>
      <c r="G1105" s="111" t="inlineStr">
        <is>
          <t>漏洞统计分析</t>
        </is>
      </c>
      <c r="H1105" s="96" t="inlineStr">
        <is>
          <t>导出漏洞统计</t>
        </is>
      </c>
      <c r="I1105" s="76" t="inlineStr">
        <is>
          <t>EO</t>
        </is>
      </c>
      <c r="J1105" s="95" t="n"/>
      <c r="K1105" s="95" t="n"/>
      <c r="L1105" s="83">
        <f>IF(OR(X1105="估算法",X1105="算法类",X1105="无法识别"),"",IF(V1105="",IF(OR(I1105="EI",I1105="EO",I1105="EQ"),0,""),LEN(V1105)-LEN(SUBSTITUTE(V1105,"、",""))+1))</f>
        <v/>
      </c>
      <c r="M1105" s="83">
        <f>IF(OR(X1105="估算法",X1105="算法类",X1105="无法识别"),"",IF(W1105="",IF(OR(I1105="ILF",I1105="EIF"),0,""),LEN(W1105)-LEN(SUBSTITUTE(W1105,"、",""))+1))</f>
        <v/>
      </c>
      <c r="N1105" s="83">
        <f>IF(OR(X1105="估算法",X1105="算法类",X1105="无法识别"),"",IF(X1105="",IF(OR(I1105="ILF",I1105="EIF",I1105="EI",I1105="EO",I1105="EQ"),0,""),LEN(X1105)-LEN(SUBSTITUTE(SUBSTITUTE(SUBSTITUTE(SUBSTITUTE(SUBSTITUTE(X1105,"|}","--"),"{|","--"),CHAR(10),""),"、",""),"|",""))+IF(AND(OR(I1105="EI",I1105="EO",I1105="EQ"),$AD$1="NESMA"),2,1)))</f>
        <v/>
      </c>
      <c r="O1105" s="84">
        <f>IF(I1105="EI",IF(OR(X1105="估算法",X1105="算法类"),"中",IF(X1105="无法识别","低",IF(L1105&lt;2,IF(N1105&lt;16,"低","中"),IF(L1105&lt;3,IF(N1105&lt;5,"低",IF(N1105&lt;16,"中","高")),IF(N1105&lt;5,"中","高"))))),IF(OR(I1105="EO",I1105="EQ"),IF(OR(X1105="估算法",X1105="算法类"),"中",IF(X1105="无法识别","低",IF(L1105&lt;2,IF(N1105&lt;20,"低","中"),IF(L1105&lt;4,IF(N1105&lt;6,"低",IF(N1105&lt;20,"中","高")),IF(N1105&lt;6,"中","高"))))),IF(OR(I1105="ILF",I1105="EIF"),IF(OR(X1105="估算法",X1105="算法类",X1105="无法识别"),"低",IF(M1105&lt;2,IF(N1105&lt;51,"低","中"),IF(M1105&lt;6,IF(N1105&lt;20,"低",IF(N1105&lt;51,"中","高")),IF(N1105&lt;20,"中","高")))),"不计算")))</f>
        <v/>
      </c>
      <c r="P1105" s="142">
        <f>IFERROR(IF(I1105="EI",IF(O1105="低",3,IF(O1105="中",4,6)),IF(I1105="EO",IF(O1105="低",4,IF(O1105="中",5,7)),IF(I1105="EQ",IF(O1105="低",3,IF(O1105="中",4,6)),IF(I1105="ILF",IF(O1105="低",7,IF(O1105="中",10,15)),IF(I1105="EIF",IF(O1105="低",5,IF(O1105="中",7,10)),"不计算")))))*Q1105,"不计算")</f>
        <v/>
      </c>
      <c r="Q1105" s="142" t="n">
        <v>1</v>
      </c>
      <c r="R1105" s="143">
        <f>调整因子!$F$13</f>
        <v/>
      </c>
      <c r="S1105" s="70" t="n">
        <v>1</v>
      </c>
      <c r="T1105" s="144">
        <f>IFERROR(P1105*R1105,0)</f>
        <v/>
      </c>
      <c r="U1105" s="145">
        <f>T1105*S1105</f>
        <v/>
      </c>
      <c r="V1105" s="96" t="inlineStr">
        <is>
          <t>漏洞处置单表、漏洞统计数据表、漏洞趋势数据表、漏洞查询接口配置表</t>
        </is>
      </c>
      <c r="W1105" s="96" t="inlineStr"/>
      <c r="X1105" s="111"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t>
        </is>
      </c>
      <c r="Y1105" s="88" t="n"/>
      <c r="Z1105" s="88" t="n"/>
    </row>
    <row r="1106" hidden="1" ht="64.8" customHeight="1">
      <c r="A1106" s="69">
        <f>ROW()-1</f>
        <v/>
      </c>
      <c r="B1106" s="53" t="n"/>
      <c r="C1106" s="117" t="n">
        <v>2026</v>
      </c>
      <c r="D1106" s="64" t="n"/>
      <c r="E1106" s="53" t="n"/>
      <c r="F1106" s="53" t="n"/>
      <c r="G1106" s="53" t="n"/>
      <c r="H1106" s="96" t="inlineStr">
        <is>
          <t>下载漏洞报告</t>
        </is>
      </c>
      <c r="I1106" s="76" t="inlineStr">
        <is>
          <t>EO</t>
        </is>
      </c>
      <c r="J1106" s="95" t="n"/>
      <c r="K1106" s="95" t="n"/>
      <c r="L1106" s="83">
        <f>IF(OR(X1106="估算法",X1106="算法类",X1106="无法识别"),"",IF(V1106="",IF(OR(I1106="EI",I1106="EO",I1106="EQ"),0,""),LEN(V1106)-LEN(SUBSTITUTE(V1106,"、",""))+1))</f>
        <v/>
      </c>
      <c r="M1106" s="83">
        <f>IF(OR(X1106="估算法",X1106="算法类",X1106="无法识别"),"",IF(W1106="",IF(OR(I1106="ILF",I1106="EIF"),0,""),LEN(W1106)-LEN(SUBSTITUTE(W1106,"、",""))+1))</f>
        <v/>
      </c>
      <c r="N1106" s="83">
        <f>IF(OR(X1106="估算法",X1106="算法类",X1106="无法识别"),"",IF(X1106="",IF(OR(I1106="ILF",I1106="EIF",I1106="EI",I1106="EO",I1106="EQ"),0,""),LEN(X1106)-LEN(SUBSTITUTE(SUBSTITUTE(SUBSTITUTE(SUBSTITUTE(SUBSTITUTE(X1106,"|}","--"),"{|","--"),CHAR(10),""),"、",""),"|",""))+IF(AND(OR(I1106="EI",I1106="EO",I1106="EQ"),$AD$1="NESMA"),2,1)))</f>
        <v/>
      </c>
      <c r="O1106" s="84">
        <f>IF(I1106="EI",IF(OR(X1106="估算法",X1106="算法类"),"中",IF(X1106="无法识别","低",IF(L1106&lt;2,IF(N1106&lt;16,"低","中"),IF(L1106&lt;3,IF(N1106&lt;5,"低",IF(N1106&lt;16,"中","高")),IF(N1106&lt;5,"中","高"))))),IF(OR(I1106="EO",I1106="EQ"),IF(OR(X1106="估算法",X1106="算法类"),"中",IF(X1106="无法识别","低",IF(L1106&lt;2,IF(N1106&lt;20,"低","中"),IF(L1106&lt;4,IF(N1106&lt;6,"低",IF(N1106&lt;20,"中","高")),IF(N1106&lt;6,"中","高"))))),IF(OR(I1106="ILF",I1106="EIF"),IF(OR(X1106="估算法",X1106="算法类",X1106="无法识别"),"低",IF(M1106&lt;2,IF(N1106&lt;51,"低","中"),IF(M1106&lt;6,IF(N1106&lt;20,"低",IF(N1106&lt;51,"中","高")),IF(N1106&lt;20,"中","高")))),"不计算")))</f>
        <v/>
      </c>
      <c r="P1106" s="142">
        <f>IFERROR(IF(I1106="EI",IF(O1106="低",3,IF(O1106="中",4,6)),IF(I1106="EO",IF(O1106="低",4,IF(O1106="中",5,7)),IF(I1106="EQ",IF(O1106="低",3,IF(O1106="中",4,6)),IF(I1106="ILF",IF(O1106="低",7,IF(O1106="中",10,15)),IF(I1106="EIF",IF(O1106="低",5,IF(O1106="中",7,10)),"不计算")))))*Q1106,"不计算")</f>
        <v/>
      </c>
      <c r="Q1106" s="142" t="n">
        <v>1</v>
      </c>
      <c r="R1106" s="143">
        <f>调整因子!$F$13</f>
        <v/>
      </c>
      <c r="S1106" s="70" t="n">
        <v>1</v>
      </c>
      <c r="T1106" s="144">
        <f>IFERROR(P1106*R1106,0)</f>
        <v/>
      </c>
      <c r="U1106" s="145">
        <f>T1106*S1106</f>
        <v/>
      </c>
      <c r="V1106" s="96" t="inlineStr">
        <is>
          <t>漏洞处置单表、漏洞统计数据表、漏洞趋势数据表</t>
        </is>
      </c>
      <c r="W1106" s="96" t="inlineStr"/>
      <c r="X1106" s="111"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is>
      </c>
      <c r="Y1106" s="88" t="n"/>
      <c r="Z1106" s="88" t="n"/>
    </row>
    <row r="1107" hidden="1" ht="64.8" customHeight="1">
      <c r="A1107" s="69">
        <f>ROW()-1</f>
        <v/>
      </c>
      <c r="B1107" s="53" t="n"/>
      <c r="C1107" s="117" t="n">
        <v>2026</v>
      </c>
      <c r="D1107" s="64" t="n"/>
      <c r="E1107" s="53" t="n"/>
      <c r="F1107" s="53" t="n"/>
      <c r="G1107" s="53" t="n"/>
      <c r="H1107" s="96" t="inlineStr">
        <is>
          <t>查询漏洞统计</t>
        </is>
      </c>
      <c r="I1107" s="76" t="inlineStr">
        <is>
          <t>EQ</t>
        </is>
      </c>
      <c r="J1107" s="95" t="n"/>
      <c r="K1107" s="95" t="inlineStr">
        <is>
          <t>处理流程和上行基本一致，为查询功能，未体现详情功能</t>
        </is>
      </c>
      <c r="L1107" s="83">
        <f>IF(OR(X1107="估算法",X1107="算法类",X1107="无法识别"),"",IF(V1107="",IF(OR(I1107="EI",I1107="EO",I1107="EQ"),0,""),LEN(V1107)-LEN(SUBSTITUTE(V1107,"、",""))+1))</f>
        <v/>
      </c>
      <c r="M1107" s="83">
        <f>IF(OR(X1107="估算法",X1107="算法类",X1107="无法识别"),"",IF(W1107="",IF(OR(I1107="ILF",I1107="EIF"),0,""),LEN(W1107)-LEN(SUBSTITUTE(W1107,"、",""))+1))</f>
        <v/>
      </c>
      <c r="N1107" s="83">
        <f>IF(OR(X1107="估算法",X1107="算法类",X1107="无法识别"),"",IF(X1107="",IF(OR(I1107="ILF",I1107="EIF",I1107="EI",I1107="EO",I1107="EQ"),0,""),LEN(X1107)-LEN(SUBSTITUTE(SUBSTITUTE(SUBSTITUTE(SUBSTITUTE(SUBSTITUTE(X1107,"|}","--"),"{|","--"),CHAR(10),""),"、",""),"|",""))+IF(AND(OR(I1107="EI",I1107="EO",I1107="EQ"),$AD$1="NESMA"),2,1)))</f>
        <v/>
      </c>
      <c r="O1107" s="84">
        <f>IF(I1107="EI",IF(OR(X1107="估算法",X1107="算法类"),"中",IF(X1107="无法识别","低",IF(L1107&lt;2,IF(N1107&lt;16,"低","中"),IF(L1107&lt;3,IF(N1107&lt;5,"低",IF(N1107&lt;16,"中","高")),IF(N1107&lt;5,"中","高"))))),IF(OR(I1107="EO",I1107="EQ"),IF(OR(X1107="估算法",X1107="算法类"),"中",IF(X1107="无法识别","低",IF(L1107&lt;2,IF(N1107&lt;20,"低","中"),IF(L1107&lt;4,IF(N1107&lt;6,"低",IF(N1107&lt;20,"中","高")),IF(N1107&lt;6,"中","高"))))),IF(OR(I1107="ILF",I1107="EIF"),IF(OR(X1107="估算法",X1107="算法类",X1107="无法识别"),"低",IF(M1107&lt;2,IF(N1107&lt;51,"低","中"),IF(M1107&lt;6,IF(N1107&lt;20,"低",IF(N1107&lt;51,"中","高")),IF(N1107&lt;20,"中","高")))),"不计算")))</f>
        <v/>
      </c>
      <c r="P1107" s="142">
        <f>IFERROR(IF(I1107="EI",IF(O1107="低",3,IF(O1107="中",4,6)),IF(I1107="EO",IF(O1107="低",4,IF(O1107="中",5,7)),IF(I1107="EQ",IF(O1107="低",3,IF(O1107="中",4,6)),IF(I1107="ILF",IF(O1107="低",7,IF(O1107="中",10,15)),IF(I1107="EIF",IF(O1107="低",5,IF(O1107="中",7,10)),"不计算")))))*Q1107,"不计算")</f>
        <v/>
      </c>
      <c r="Q1107" s="142" t="n">
        <v>0.333333333333333</v>
      </c>
      <c r="R1107" s="143">
        <f>调整因子!$F$13</f>
        <v/>
      </c>
      <c r="S1107" s="76" t="n">
        <v>1</v>
      </c>
      <c r="T1107" s="144">
        <f>IFERROR(P1107*R1107,0)</f>
        <v/>
      </c>
      <c r="U1107" s="145">
        <f>T1107*S1107</f>
        <v/>
      </c>
      <c r="V1107" s="96" t="inlineStr">
        <is>
          <t>漏洞处置单表、漏洞统计数据表、漏洞趋势数据表</t>
        </is>
      </c>
      <c r="W1107" s="96" t="inlineStr"/>
      <c r="X1107" s="111"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is>
      </c>
      <c r="Y1107" s="88" t="n"/>
      <c r="Z1107" s="88" t="n"/>
    </row>
    <row r="1108" hidden="1" ht="108" customHeight="1">
      <c r="A1108" s="69">
        <f>ROW()-1</f>
        <v/>
      </c>
      <c r="B1108" s="53" t="n"/>
      <c r="C1108" s="117" t="n">
        <v>2026</v>
      </c>
      <c r="D1108" s="64" t="n"/>
      <c r="E1108" s="53" t="n"/>
      <c r="F1108" s="54" t="n"/>
      <c r="G1108" s="54" t="n"/>
      <c r="H1108" s="96" t="inlineStr">
        <is>
          <t>查看漏洞分布</t>
        </is>
      </c>
      <c r="I1108" s="76" t="inlineStr">
        <is>
          <t>EQ</t>
        </is>
      </c>
      <c r="J1108" s="95" t="n"/>
      <c r="K1108" s="95" t="inlineStr">
        <is>
          <t>处理流程和上行基本一致，为查询功能，未体现详情功能</t>
        </is>
      </c>
      <c r="L1108" s="83">
        <f>IF(OR(X1108="估算法",X1108="算法类",X1108="无法识别"),"",IF(V1108="",IF(OR(I1108="EI",I1108="EO",I1108="EQ"),0,""),LEN(V1108)-LEN(SUBSTITUTE(V1108,"、",""))+1))</f>
        <v/>
      </c>
      <c r="M1108" s="83">
        <f>IF(OR(X1108="估算法",X1108="算法类",X1108="无法识别"),"",IF(W1108="",IF(OR(I1108="ILF",I1108="EIF"),0,""),LEN(W1108)-LEN(SUBSTITUTE(W1108,"、",""))+1))</f>
        <v/>
      </c>
      <c r="N1108" s="83">
        <f>IF(OR(X1108="估算法",X1108="算法类",X1108="无法识别"),"",IF(X1108="",IF(OR(I1108="ILF",I1108="EIF",I1108="EI",I1108="EO",I1108="EQ"),0,""),LEN(X1108)-LEN(SUBSTITUTE(SUBSTITUTE(SUBSTITUTE(SUBSTITUTE(SUBSTITUTE(X1108,"|}","--"),"{|","--"),CHAR(10),""),"、",""),"|",""))+IF(AND(OR(I1108="EI",I1108="EO",I1108="EQ"),$AD$1="NESMA"),2,1)))</f>
        <v/>
      </c>
      <c r="O1108" s="84">
        <f>IF(I1108="EI",IF(OR(X1108="估算法",X1108="算法类"),"中",IF(X1108="无法识别","低",IF(L1108&lt;2,IF(N1108&lt;16,"低","中"),IF(L1108&lt;3,IF(N1108&lt;5,"低",IF(N1108&lt;16,"中","高")),IF(N1108&lt;5,"中","高"))))),IF(OR(I1108="EO",I1108="EQ"),IF(OR(X1108="估算法",X1108="算法类"),"中",IF(X1108="无法识别","低",IF(L1108&lt;2,IF(N1108&lt;20,"低","中"),IF(L1108&lt;4,IF(N1108&lt;6,"低",IF(N1108&lt;20,"中","高")),IF(N1108&lt;6,"中","高"))))),IF(OR(I1108="ILF",I1108="EIF"),IF(OR(X1108="估算法",X1108="算法类",X1108="无法识别"),"低",IF(M1108&lt;2,IF(N1108&lt;51,"低","中"),IF(M1108&lt;6,IF(N1108&lt;20,"低",IF(N1108&lt;51,"中","高")),IF(N1108&lt;20,"中","高")))),"不计算")))</f>
        <v/>
      </c>
      <c r="P1108" s="142">
        <f>IFERROR(IF(I1108="EI",IF(O1108="低",3,IF(O1108="中",4,6)),IF(I1108="EO",IF(O1108="低",4,IF(O1108="中",5,7)),IF(I1108="EQ",IF(O1108="低",3,IF(O1108="中",4,6)),IF(I1108="ILF",IF(O1108="低",7,IF(O1108="中",10,15)),IF(I1108="EIF",IF(O1108="低",5,IF(O1108="中",7,10)),"不计算")))))*Q1108,"不计算")</f>
        <v/>
      </c>
      <c r="Q1108" s="142" t="n">
        <v>0.333333333333333</v>
      </c>
      <c r="R1108" s="143">
        <f>调整因子!$F$13</f>
        <v/>
      </c>
      <c r="S1108" s="70" t="n">
        <v>1</v>
      </c>
      <c r="T1108" s="144">
        <f>IFERROR(P1108*R1108,0)</f>
        <v/>
      </c>
      <c r="U1108" s="145">
        <f>T1108*S1108</f>
        <v/>
      </c>
      <c r="V1108" s="96" t="inlineStr">
        <is>
          <t>漏洞处置单表、漏洞统计数据表、漏洞趋势数据表、漏洞查询接口配置表、漏洞处置推送接口配置表</t>
        </is>
      </c>
      <c r="W1108" s="96" t="inlineStr"/>
      <c r="X1108" s="111"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
漏洞处置推送接口配置表{漏洞ID、漏洞名称|漏洞ID、漏洞名称、漏洞等级、漏洞类型、CVE编号、发现时间、修复状态}</t>
        </is>
      </c>
      <c r="Y1108" s="88" t="n"/>
      <c r="Z1108" s="88" t="n"/>
    </row>
    <row r="1109" hidden="1" ht="21.6" customHeight="1">
      <c r="A1109" s="69">
        <f>ROW()-1</f>
        <v/>
      </c>
      <c r="B1109" s="53" t="n"/>
      <c r="C1109" s="117" t="n">
        <v>2026</v>
      </c>
      <c r="D1109" s="64" t="n"/>
      <c r="E1109" s="53" t="n"/>
      <c r="F1109" s="111" t="inlineStr">
        <is>
          <t>任务故障诊断与日志管理</t>
        </is>
      </c>
      <c r="G1109" s="111" t="inlineStr">
        <is>
          <t>故障诊断管理</t>
        </is>
      </c>
      <c r="H1109" s="96" t="inlineStr">
        <is>
          <t>任务故障记录表</t>
        </is>
      </c>
      <c r="I1109" s="76" t="inlineStr">
        <is>
          <t>ILF</t>
        </is>
      </c>
      <c r="J1109" s="95" t="n"/>
      <c r="K1109" s="95" t="n"/>
      <c r="L1109" s="83">
        <f>IF(OR(X1109="估算法",X1109="算法类",X1109="无法识别"),"",IF(V1109="",IF(OR(I1109="EI",I1109="EO",I1109="EQ"),0,""),LEN(V1109)-LEN(SUBSTITUTE(V1109,"、",""))+1))</f>
        <v/>
      </c>
      <c r="M1109" s="83">
        <f>IF(OR(X1109="估算法",X1109="算法类",X1109="无法识别"),"",IF(W1109="",IF(OR(I1109="ILF",I1109="EIF"),0,""),LEN(W1109)-LEN(SUBSTITUTE(W1109,"、",""))+1))</f>
        <v/>
      </c>
      <c r="N1109" s="83">
        <f>IF(OR(X1109="估算法",X1109="算法类",X1109="无法识别"),"",IF(X1109="",IF(OR(I1109="ILF",I1109="EIF",I1109="EI",I1109="EO",I1109="EQ"),0,""),LEN(X1109)-LEN(SUBSTITUTE(SUBSTITUTE(SUBSTITUTE(SUBSTITUTE(SUBSTITUTE(X1109,"|}","--"),"{|","--"),CHAR(10),""),"、",""),"|",""))+IF(AND(OR(I1109="EI",I1109="EO",I1109="EQ"),$AD$1="NESMA"),2,1)))</f>
        <v/>
      </c>
      <c r="O1109" s="84">
        <f>IF(I1109="EI",IF(OR(X1109="估算法",X1109="算法类"),"中",IF(X1109="无法识别","低",IF(L1109&lt;2,IF(N1109&lt;16,"低","中"),IF(L1109&lt;3,IF(N1109&lt;5,"低",IF(N1109&lt;16,"中","高")),IF(N1109&lt;5,"中","高"))))),IF(OR(I1109="EO",I1109="EQ"),IF(OR(X1109="估算法",X1109="算法类"),"中",IF(X1109="无法识别","低",IF(L1109&lt;2,IF(N1109&lt;20,"低","中"),IF(L1109&lt;4,IF(N1109&lt;6,"低",IF(N1109&lt;20,"中","高")),IF(N1109&lt;6,"中","高"))))),IF(OR(I1109="ILF",I1109="EIF"),IF(OR(X1109="估算法",X1109="算法类",X1109="无法识别"),"低",IF(M1109&lt;2,IF(N1109&lt;51,"低","中"),IF(M1109&lt;6,IF(N1109&lt;20,"低",IF(N1109&lt;51,"中","高")),IF(N1109&lt;20,"中","高")))),"不计算")))</f>
        <v/>
      </c>
      <c r="P1109" s="142">
        <f>IFERROR(IF(I1109="EI",IF(O1109="低",3,IF(O1109="中",4,6)),IF(I1109="EO",IF(O1109="低",4,IF(O1109="中",5,7)),IF(I1109="EQ",IF(O1109="低",3,IF(O1109="中",4,6)),IF(I1109="ILF",IF(O1109="低",7,IF(O1109="中",10,15)),IF(I1109="EIF",IF(O1109="低",5,IF(O1109="中",7,10)),"不计算")))))*Q1109,"不计算")</f>
        <v/>
      </c>
      <c r="Q1109" s="142" t="n">
        <v>1</v>
      </c>
      <c r="R1109" s="143">
        <f>调整因子!$F$13</f>
        <v/>
      </c>
      <c r="S1109" s="70" t="n">
        <v>1</v>
      </c>
      <c r="T1109" s="144">
        <f>IFERROR(P1109*R1109,0)</f>
        <v/>
      </c>
      <c r="U1109" s="145">
        <f>T1109*S1109</f>
        <v/>
      </c>
      <c r="V1109" s="96" t="inlineStr"/>
      <c r="W1109" s="96" t="inlineStr">
        <is>
          <t>扫描任务、发现任务</t>
        </is>
      </c>
      <c r="X1109" s="111" t="inlineStr">
        <is>
          <t>任务故障记录表{任务ID、任务名称、任务类型|任务ID、任务名称、任务类型、任务状态、创建时间、执行时间}</t>
        </is>
      </c>
      <c r="Y1109" s="88">
        <f>IF(COUNTIFS(V:V,"*"&amp;H1109&amp;"*")&gt;0,"存在","不存在")</f>
        <v/>
      </c>
      <c r="Z1109" s="88">
        <f>IF(COUNTIFS(AA:AA,"*"&amp;H1109&amp;"*")&gt;0,"存在","不存在")</f>
        <v/>
      </c>
    </row>
    <row r="1110" hidden="1">
      <c r="A1110" s="69">
        <f>ROW()-1</f>
        <v/>
      </c>
      <c r="B1110" s="53" t="n"/>
      <c r="C1110" s="117" t="n">
        <v>2026</v>
      </c>
      <c r="D1110" s="64" t="n"/>
      <c r="E1110" s="53" t="n"/>
      <c r="F1110" s="53" t="n"/>
      <c r="G1110" s="53" t="n"/>
      <c r="H1110" s="96" t="inlineStr">
        <is>
          <t>故障诊断结果表</t>
        </is>
      </c>
      <c r="I1110" s="76" t="inlineStr">
        <is>
          <t>ILF</t>
        </is>
      </c>
      <c r="J1110" s="95" t="n"/>
      <c r="K1110" s="95" t="n"/>
      <c r="L1110" s="83">
        <f>IF(OR(X1110="估算法",X1110="算法类",X1110="无法识别"),"",IF(V1110="",IF(OR(I1110="EI",I1110="EO",I1110="EQ"),0,""),LEN(V1110)-LEN(SUBSTITUTE(V1110,"、",""))+1))</f>
        <v/>
      </c>
      <c r="M1110" s="83">
        <f>IF(OR(X1110="估算法",X1110="算法类",X1110="无法识别"),"",IF(W1110="",IF(OR(I1110="ILF",I1110="EIF"),0,""),LEN(W1110)-LEN(SUBSTITUTE(W1110,"、",""))+1))</f>
        <v/>
      </c>
      <c r="N1110" s="83">
        <f>IF(OR(X1110="估算法",X1110="算法类",X1110="无法识别"),"",IF(X1110="",IF(OR(I1110="ILF",I1110="EIF",I1110="EI",I1110="EO",I1110="EQ"),0,""),LEN(X1110)-LEN(SUBSTITUTE(SUBSTITUTE(SUBSTITUTE(SUBSTITUTE(SUBSTITUTE(X1110,"|}","--"),"{|","--"),CHAR(10),""),"、",""),"|",""))+IF(AND(OR(I1110="EI",I1110="EO",I1110="EQ"),$AD$1="NESMA"),2,1)))</f>
        <v/>
      </c>
      <c r="O1110" s="84">
        <f>IF(I1110="EI",IF(OR(X1110="估算法",X1110="算法类"),"中",IF(X1110="无法识别","低",IF(L1110&lt;2,IF(N1110&lt;16,"低","中"),IF(L1110&lt;3,IF(N1110&lt;5,"低",IF(N1110&lt;16,"中","高")),IF(N1110&lt;5,"中","高"))))),IF(OR(I1110="EO",I1110="EQ"),IF(OR(X1110="估算法",X1110="算法类"),"中",IF(X1110="无法识别","低",IF(L1110&lt;2,IF(N1110&lt;20,"低","中"),IF(L1110&lt;4,IF(N1110&lt;6,"低",IF(N1110&lt;20,"中","高")),IF(N1110&lt;6,"中","高"))))),IF(OR(I1110="ILF",I1110="EIF"),IF(OR(X1110="估算法",X1110="算法类",X1110="无法识别"),"低",IF(M1110&lt;2,IF(N1110&lt;51,"低","中"),IF(M1110&lt;6,IF(N1110&lt;20,"低",IF(N1110&lt;51,"中","高")),IF(N1110&lt;20,"中","高")))),"不计算")))</f>
        <v/>
      </c>
      <c r="P1110" s="142">
        <f>IFERROR(IF(I1110="EI",IF(O1110="低",3,IF(O1110="中",4,6)),IF(I1110="EO",IF(O1110="低",4,IF(O1110="中",5,7)),IF(I1110="EQ",IF(O1110="低",3,IF(O1110="中",4,6)),IF(I1110="ILF",IF(O1110="低",7,IF(O1110="中",10,15)),IF(I1110="EIF",IF(O1110="低",5,IF(O1110="中",7,10)),"不计算")))))*Q1110,"不计算")</f>
        <v/>
      </c>
      <c r="Q1110" s="142" t="n">
        <v>1</v>
      </c>
      <c r="R1110" s="143">
        <f>调整因子!$F$13</f>
        <v/>
      </c>
      <c r="S1110" s="76" t="n">
        <v>1</v>
      </c>
      <c r="T1110" s="144">
        <f>IFERROR(P1110*R1110,0)</f>
        <v/>
      </c>
      <c r="U1110" s="145">
        <f>T1110*S1110</f>
        <v/>
      </c>
      <c r="V1110" s="96" t="inlineStr"/>
      <c r="W1110" s="96" t="inlineStr">
        <is>
          <t>数据记录</t>
        </is>
      </c>
      <c r="X1110" s="111" t="inlineStr">
        <is>
          <t>故障诊断结果表{ID、名称、类型|ID、名称、类型、状态、创建时间、更新时间}</t>
        </is>
      </c>
      <c r="Y1110" s="88">
        <f>IF(COUNTIFS(V:V,"*"&amp;H1110&amp;"*")&gt;0,"存在","不存在")</f>
        <v/>
      </c>
      <c r="Z1110" s="88">
        <f>IF(COUNTIFS(AA:AA,"*"&amp;H1110&amp;"*")&gt;0,"存在","不存在")</f>
        <v/>
      </c>
    </row>
    <row r="1111" hidden="1">
      <c r="A1111" s="69">
        <f>ROW()-1</f>
        <v/>
      </c>
      <c r="B1111" s="53" t="n"/>
      <c r="C1111" s="117" t="n">
        <v>2026</v>
      </c>
      <c r="D1111" s="64" t="n"/>
      <c r="E1111" s="53" t="n"/>
      <c r="F1111" s="53" t="n"/>
      <c r="G1111" s="53" t="n"/>
      <c r="H1111" s="96" t="inlineStr">
        <is>
          <t>故障知识库表</t>
        </is>
      </c>
      <c r="I1111" s="76" t="inlineStr">
        <is>
          <t>ILF</t>
        </is>
      </c>
      <c r="J1111" s="95" t="n"/>
      <c r="K1111" s="95" t="n"/>
      <c r="L1111" s="83">
        <f>IF(OR(X1111="估算法",X1111="算法类",X1111="无法识别"),"",IF(V1111="",IF(OR(I1111="EI",I1111="EO",I1111="EQ"),0,""),LEN(V1111)-LEN(SUBSTITUTE(V1111,"、",""))+1))</f>
        <v/>
      </c>
      <c r="M1111" s="83">
        <f>IF(OR(X1111="估算法",X1111="算法类",X1111="无法识别"),"",IF(W1111="",IF(OR(I1111="ILF",I1111="EIF"),0,""),LEN(W1111)-LEN(SUBSTITUTE(W1111,"、",""))+1))</f>
        <v/>
      </c>
      <c r="N1111" s="83">
        <f>IF(OR(X1111="估算法",X1111="算法类",X1111="无法识别"),"",IF(X1111="",IF(OR(I1111="ILF",I1111="EIF",I1111="EI",I1111="EO",I1111="EQ"),0,""),LEN(X1111)-LEN(SUBSTITUTE(SUBSTITUTE(SUBSTITUTE(SUBSTITUTE(SUBSTITUTE(X1111,"|}","--"),"{|","--"),CHAR(10),""),"、",""),"|",""))+IF(AND(OR(I1111="EI",I1111="EO",I1111="EQ"),$AD$1="NESMA"),2,1)))</f>
        <v/>
      </c>
      <c r="O1111" s="84">
        <f>IF(I1111="EI",IF(OR(X1111="估算法",X1111="算法类"),"中",IF(X1111="无法识别","低",IF(L1111&lt;2,IF(N1111&lt;16,"低","中"),IF(L1111&lt;3,IF(N1111&lt;5,"低",IF(N1111&lt;16,"中","高")),IF(N1111&lt;5,"中","高"))))),IF(OR(I1111="EO",I1111="EQ"),IF(OR(X1111="估算法",X1111="算法类"),"中",IF(X1111="无法识别","低",IF(L1111&lt;2,IF(N1111&lt;20,"低","中"),IF(L1111&lt;4,IF(N1111&lt;6,"低",IF(N1111&lt;20,"中","高")),IF(N1111&lt;6,"中","高"))))),IF(OR(I1111="ILF",I1111="EIF"),IF(OR(X1111="估算法",X1111="算法类",X1111="无法识别"),"低",IF(M1111&lt;2,IF(N1111&lt;51,"低","中"),IF(M1111&lt;6,IF(N1111&lt;20,"低",IF(N1111&lt;51,"中","高")),IF(N1111&lt;20,"中","高")))),"不计算")))</f>
        <v/>
      </c>
      <c r="P1111" s="142">
        <f>IFERROR(IF(I1111="EI",IF(O1111="低",3,IF(O1111="中",4,6)),IF(I1111="EO",IF(O1111="低",4,IF(O1111="中",5,7)),IF(I1111="EQ",IF(O1111="低",3,IF(O1111="中",4,6)),IF(I1111="ILF",IF(O1111="低",7,IF(O1111="中",10,15)),IF(I1111="EIF",IF(O1111="低",5,IF(O1111="中",7,10)),"不计算")))))*Q1111,"不计算")</f>
        <v/>
      </c>
      <c r="Q1111" s="142" t="n">
        <v>1</v>
      </c>
      <c r="R1111" s="143">
        <f>调整因子!$F$13</f>
        <v/>
      </c>
      <c r="S1111" s="76" t="n">
        <v>1</v>
      </c>
      <c r="T1111" s="144">
        <f>IFERROR(P1111*R1111,0)</f>
        <v/>
      </c>
      <c r="U1111" s="145">
        <f>T1111*S1111</f>
        <v/>
      </c>
      <c r="V1111" s="96" t="inlineStr"/>
      <c r="W1111" s="96" t="inlineStr">
        <is>
          <t>数据记录</t>
        </is>
      </c>
      <c r="X1111" s="111" t="inlineStr">
        <is>
          <t>故障知识库表{ID、名称、类型|ID、名称、类型、状态、创建时间、更新时间}</t>
        </is>
      </c>
      <c r="Y1111" s="88">
        <f>IF(COUNTIFS(V:V,"*"&amp;H1111&amp;"*")&gt;0,"存在","不存在")</f>
        <v/>
      </c>
      <c r="Z1111" s="88">
        <f>IF(COUNTIFS(AA:AA,"*"&amp;H1111&amp;"*")&gt;0,"存在","不存在")</f>
        <v/>
      </c>
    </row>
    <row r="1112" hidden="1" ht="64.8" customHeight="1">
      <c r="A1112" s="69">
        <f>ROW()-1</f>
        <v/>
      </c>
      <c r="B1112" s="53" t="n"/>
      <c r="C1112" s="117" t="n">
        <v>2026</v>
      </c>
      <c r="D1112" s="64" t="n"/>
      <c r="E1112" s="53" t="n"/>
      <c r="F1112" s="53" t="n"/>
      <c r="G1112" s="53" t="n"/>
      <c r="H1112" s="96" t="inlineStr">
        <is>
          <t>检测任务故障</t>
        </is>
      </c>
      <c r="I1112" s="76" t="inlineStr">
        <is>
          <t>EQ</t>
        </is>
      </c>
      <c r="J1112" s="95" t="n"/>
      <c r="K1112" s="95" t="inlineStr">
        <is>
          <t>查询功能</t>
        </is>
      </c>
      <c r="L1112" s="83">
        <f>IF(OR(X1112="估算法",X1112="算法类",X1112="无法识别"),"",IF(V1112="",IF(OR(I1112="EI",I1112="EO",I1112="EQ"),0,""),LEN(V1112)-LEN(SUBSTITUTE(V1112,"、",""))+1))</f>
        <v/>
      </c>
      <c r="M1112" s="83">
        <f>IF(OR(X1112="估算法",X1112="算法类",X1112="无法识别"),"",IF(W1112="",IF(OR(I1112="ILF",I1112="EIF"),0,""),LEN(W1112)-LEN(SUBSTITUTE(W1112,"、",""))+1))</f>
        <v/>
      </c>
      <c r="N1112" s="83">
        <f>IF(OR(X1112="估算法",X1112="算法类",X1112="无法识别"),"",IF(X1112="",IF(OR(I1112="ILF",I1112="EIF",I1112="EI",I1112="EO",I1112="EQ"),0,""),LEN(X1112)-LEN(SUBSTITUTE(SUBSTITUTE(SUBSTITUTE(SUBSTITUTE(SUBSTITUTE(X1112,"|}","--"),"{|","--"),CHAR(10),""),"、",""),"|",""))+IF(AND(OR(I1112="EI",I1112="EO",I1112="EQ"),$AD$1="NESMA"),2,1)))</f>
        <v/>
      </c>
      <c r="O1112" s="84">
        <f>IF(I1112="EI",IF(OR(X1112="估算法",X1112="算法类"),"中",IF(X1112="无法识别","低",IF(L1112&lt;2,IF(N1112&lt;16,"低","中"),IF(L1112&lt;3,IF(N1112&lt;5,"低",IF(N1112&lt;16,"中","高")),IF(N1112&lt;5,"中","高"))))),IF(OR(I1112="EO",I1112="EQ"),IF(OR(X1112="估算法",X1112="算法类"),"中",IF(X1112="无法识别","低",IF(L1112&lt;2,IF(N1112&lt;20,"低","中"),IF(L1112&lt;4,IF(N1112&lt;6,"低",IF(N1112&lt;20,"中","高")),IF(N1112&lt;6,"中","高"))))),IF(OR(I1112="ILF",I1112="EIF"),IF(OR(X1112="估算法",X1112="算法类",X1112="无法识别"),"低",IF(M1112&lt;2,IF(N1112&lt;51,"低","中"),IF(M1112&lt;6,IF(N1112&lt;20,"低",IF(N1112&lt;51,"中","高")),IF(N1112&lt;20,"中","高")))),"不计算")))</f>
        <v/>
      </c>
      <c r="P1112" s="142">
        <f>IFERROR(IF(I1112="EI",IF(O1112="低",3,IF(O1112="中",4,6)),IF(I1112="EO",IF(O1112="低",4,IF(O1112="中",5,7)),IF(I1112="EQ",IF(O1112="低",3,IF(O1112="中",4,6)),IF(I1112="ILF",IF(O1112="低",7,IF(O1112="中",10,15)),IF(I1112="EIF",IF(O1112="低",5,IF(O1112="中",7,10)),"不计算")))))*Q1112,"不计算")</f>
        <v/>
      </c>
      <c r="Q1112" s="142" t="n">
        <v>1</v>
      </c>
      <c r="R1112" s="143">
        <f>调整因子!$F$13</f>
        <v/>
      </c>
      <c r="S1112" s="70" t="n">
        <v>1</v>
      </c>
      <c r="T1112" s="144">
        <f>IFERROR(P1112*R1112,0)</f>
        <v/>
      </c>
      <c r="U1112" s="145">
        <f>T1112*S1112</f>
        <v/>
      </c>
      <c r="V1112" s="96" t="inlineStr">
        <is>
          <t>数据清洗任务表、资产同步任务表、同步任务调度表</t>
        </is>
      </c>
      <c r="W1112" s="96" t="inlineStr"/>
      <c r="X1112"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Y1112" s="88" t="n"/>
      <c r="Z1112" s="88" t="n"/>
    </row>
    <row r="1113" hidden="1" ht="97.2" customHeight="1">
      <c r="A1113" s="69">
        <f>ROW()-1</f>
        <v/>
      </c>
      <c r="B1113" s="53" t="n"/>
      <c r="C1113" s="117" t="n">
        <v>2026</v>
      </c>
      <c r="D1113" s="64" t="n"/>
      <c r="E1113" s="53" t="n"/>
      <c r="F1113" s="53" t="n"/>
      <c r="G1113" s="53" t="n"/>
      <c r="H1113" s="96" t="inlineStr">
        <is>
          <t>诊断故障原因</t>
        </is>
      </c>
      <c r="I1113" s="76" t="n"/>
      <c r="J1113" s="95" t="n"/>
      <c r="K1113" s="95" t="inlineStr">
        <is>
          <t>和上行合并</t>
        </is>
      </c>
      <c r="L1113" s="83">
        <f>IF(OR(X1113="估算法",X1113="算法类",X1113="无法识别"),"",IF(V1113="",IF(OR(I1113="EI",I1113="EO",I1113="EQ"),0,""),LEN(V1113)-LEN(SUBSTITUTE(V1113,"、",""))+1))</f>
        <v/>
      </c>
      <c r="M1113" s="83">
        <f>IF(OR(X1113="估算法",X1113="算法类",X1113="无法识别"),"",IF(W1113="",IF(OR(I1113="ILF",I1113="EIF"),0,""),LEN(W1113)-LEN(SUBSTITUTE(W1113,"、",""))+1))</f>
        <v/>
      </c>
      <c r="N1113" s="83">
        <f>IF(OR(X1113="估算法",X1113="算法类",X1113="无法识别"),"",IF(X1113="",IF(OR(I1113="ILF",I1113="EIF",I1113="EI",I1113="EO",I1113="EQ"),0,""),LEN(X1113)-LEN(SUBSTITUTE(SUBSTITUTE(SUBSTITUTE(SUBSTITUTE(SUBSTITUTE(X1113,"|}","--"),"{|","--"),CHAR(10),""),"、",""),"|",""))+IF(AND(OR(I1113="EI",I1113="EO",I1113="EQ"),$AD$1="NESMA"),2,1)))</f>
        <v/>
      </c>
      <c r="O1113" s="84">
        <f>IF(I1113="EI",IF(OR(X1113="估算法",X1113="算法类"),"中",IF(X1113="无法识别","低",IF(L1113&lt;2,IF(N1113&lt;16,"低","中"),IF(L1113&lt;3,IF(N1113&lt;5,"低",IF(N1113&lt;16,"中","高")),IF(N1113&lt;5,"中","高"))))),IF(OR(I1113="EO",I1113="EQ"),IF(OR(X1113="估算法",X1113="算法类"),"中",IF(X1113="无法识别","低",IF(L1113&lt;2,IF(N1113&lt;20,"低","中"),IF(L1113&lt;4,IF(N1113&lt;6,"低",IF(N1113&lt;20,"中","高")),IF(N1113&lt;6,"中","高"))))),IF(OR(I1113="ILF",I1113="EIF"),IF(OR(X1113="估算法",X1113="算法类",X1113="无法识别"),"低",IF(M1113&lt;2,IF(N1113&lt;51,"低","中"),IF(M1113&lt;6,IF(N1113&lt;20,"低",IF(N1113&lt;51,"中","高")),IF(N1113&lt;20,"中","高")))),"不计算")))</f>
        <v/>
      </c>
      <c r="P1113" s="142">
        <f>IFERROR(IF(I1113="EI",IF(O1113="低",3,IF(O1113="中",4,6)),IF(I1113="EO",IF(O1113="低",4,IF(O1113="中",5,7)),IF(I1113="EQ",IF(O1113="低",3,IF(O1113="中",4,6)),IF(I1113="ILF",IF(O1113="低",7,IF(O1113="中",10,15)),IF(I1113="EIF",IF(O1113="低",5,IF(O1113="中",7,10)),"不计算")))))*Q1113,"不计算")</f>
        <v/>
      </c>
      <c r="Q1113" s="142" t="n">
        <v>1</v>
      </c>
      <c r="R1113" s="143">
        <f>调整因子!$F$13</f>
        <v/>
      </c>
      <c r="S1113" s="70" t="n">
        <v>1</v>
      </c>
      <c r="T1113" s="144">
        <f>IFERROR(P1113*R1113,0)</f>
        <v/>
      </c>
      <c r="U1113" s="145">
        <f>T1113*S1113</f>
        <v/>
      </c>
      <c r="V1113" s="96" t="inlineStr">
        <is>
          <t>提醒策略配置表、通报配置表、日志查询记录表、推送失败重试表、处置单配置表</t>
        </is>
      </c>
      <c r="W1113" s="96" t="inlineStr"/>
      <c r="X1113" s="111" t="inlineStr">
        <is>
          <t>提醒策略配置表{配置ID、配置名称、配置类型、配置值、创建时间|配置ID、配置名称、配置类型}
通报配置表{配置ID、配置名称、配置类型、配置值、创建时间|配置ID、配置名称、配置类型}
日志查询记录表{日志ID、操作人、操作类型、操作时间、操作内容|日志ID、操作人、操作类型}
推送失败重试表{ID、名称、类型、状态、创建时间、更新时间|ID、名称、类型}
处置单配置表{配置ID、配置名称、配置类型、配置值、创建时间|配置ID、配置名称、配置类型}</t>
        </is>
      </c>
      <c r="Y1113" s="88" t="n"/>
      <c r="Z1113" s="88" t="n"/>
    </row>
    <row r="1114" hidden="1" ht="43.2" customHeight="1">
      <c r="A1114" s="69">
        <f>ROW()-1</f>
        <v/>
      </c>
      <c r="B1114" s="53" t="n"/>
      <c r="C1114" s="117" t="n">
        <v>2026</v>
      </c>
      <c r="D1114" s="64" t="n"/>
      <c r="E1114" s="53" t="n"/>
      <c r="F1114" s="53" t="n"/>
      <c r="G1114" s="53" t="n"/>
      <c r="H1114" s="96" t="inlineStr">
        <is>
          <t>推荐解决方案</t>
        </is>
      </c>
      <c r="I1114" s="76" t="n"/>
      <c r="J1114" s="95" t="n"/>
      <c r="K1114" s="95" t="inlineStr">
        <is>
          <t>和上行合并</t>
        </is>
      </c>
      <c r="L1114" s="83">
        <f>IF(OR(X1114="估算法",X1114="算法类",X1114="无法识别"),"",IF(V1114="",IF(OR(I1114="EI",I1114="EO",I1114="EQ"),0,""),LEN(V1114)-LEN(SUBSTITUTE(V1114,"、",""))+1))</f>
        <v/>
      </c>
      <c r="M1114" s="83">
        <f>IF(OR(X1114="估算法",X1114="算法类",X1114="无法识别"),"",IF(W1114="",IF(OR(I1114="ILF",I1114="EIF"),0,""),LEN(W1114)-LEN(SUBSTITUTE(W1114,"、",""))+1))</f>
        <v/>
      </c>
      <c r="N1114" s="83">
        <f>IF(OR(X1114="估算法",X1114="算法类",X1114="无法识别"),"",IF(X1114="",IF(OR(I1114="ILF",I1114="EIF",I1114="EI",I1114="EO",I1114="EQ"),0,""),LEN(X1114)-LEN(SUBSTITUTE(SUBSTITUTE(SUBSTITUTE(SUBSTITUTE(SUBSTITUTE(X1114,"|}","--"),"{|","--"),CHAR(10),""),"、",""),"|",""))+IF(AND(OR(I1114="EI",I1114="EO",I1114="EQ"),$AD$1="NESMA"),2,1)))</f>
        <v/>
      </c>
      <c r="O1114" s="84">
        <f>IF(I1114="EI",IF(OR(X1114="估算法",X1114="算法类"),"中",IF(X1114="无法识别","低",IF(L1114&lt;2,IF(N1114&lt;16,"低","中"),IF(L1114&lt;3,IF(N1114&lt;5,"低",IF(N1114&lt;16,"中","高")),IF(N1114&lt;5,"中","高"))))),IF(OR(I1114="EO",I1114="EQ"),IF(OR(X1114="估算法",X1114="算法类"),"中",IF(X1114="无法识别","低",IF(L1114&lt;2,IF(N1114&lt;20,"低","中"),IF(L1114&lt;4,IF(N1114&lt;6,"低",IF(N1114&lt;20,"中","高")),IF(N1114&lt;6,"中","高"))))),IF(OR(I1114="ILF",I1114="EIF"),IF(OR(X1114="估算法",X1114="算法类",X1114="无法识别"),"低",IF(M1114&lt;2,IF(N1114&lt;51,"低","中"),IF(M1114&lt;6,IF(N1114&lt;20,"低",IF(N1114&lt;51,"中","高")),IF(N1114&lt;20,"中","高")))),"不计算")))</f>
        <v/>
      </c>
      <c r="P1114" s="142">
        <f>IFERROR(IF(I1114="EI",IF(O1114="低",3,IF(O1114="中",4,6)),IF(I1114="EO",IF(O1114="低",4,IF(O1114="中",5,7)),IF(I1114="EQ",IF(O1114="低",3,IF(O1114="中",4,6)),IF(I1114="ILF",IF(O1114="低",7,IF(O1114="中",10,15)),IF(I1114="EIF",IF(O1114="低",5,IF(O1114="中",7,10)),"不计算")))))*Q1114,"不计算")</f>
        <v/>
      </c>
      <c r="Q1114" s="142" t="n">
        <v>1</v>
      </c>
      <c r="R1114" s="143">
        <f>调整因子!$F$13</f>
        <v/>
      </c>
      <c r="S1114" s="76" t="n">
        <v>1</v>
      </c>
      <c r="T1114" s="144">
        <f>IFERROR(P1114*R1114,0)</f>
        <v/>
      </c>
      <c r="U1114" s="145">
        <f>T1114*S1114</f>
        <v/>
      </c>
      <c r="V1114" s="96" t="inlineStr">
        <is>
          <t>扫描盲区记录表、报告解析结果表、方案审批表</t>
        </is>
      </c>
      <c r="W1114" s="96" t="inlineStr"/>
      <c r="X1114" s="111" t="inlineStr">
        <is>
          <t>扫描盲区记录表{任务ID、任务名称、任务状态、扫描器类型、开始时间、结束时间、扫描结果|任务ID、任务名称、任务状态}
报告解析结果表{ID、名称、类型、状态、创建时间、更新时间|ID、名称、类型}
方案审批表{ID、名称、类型、状态、创建时间、更新时间|ID、名称、类型}</t>
        </is>
      </c>
      <c r="Y1114" s="88" t="n"/>
      <c r="Z1114" s="88" t="n"/>
    </row>
    <row r="1115" hidden="1" ht="108" customHeight="1">
      <c r="A1115" s="69">
        <f>ROW()-1</f>
        <v/>
      </c>
      <c r="B1115" s="53" t="n"/>
      <c r="C1115" s="117" t="n">
        <v>2026</v>
      </c>
      <c r="D1115" s="64" t="n"/>
      <c r="E1115" s="53" t="n"/>
      <c r="F1115" s="53" t="n"/>
      <c r="G1115" s="53" t="n"/>
      <c r="H1115" s="96" t="inlineStr">
        <is>
          <t>标记故障已解决</t>
        </is>
      </c>
      <c r="I1115" s="76" t="inlineStr">
        <is>
          <t>EI</t>
        </is>
      </c>
      <c r="J1115" s="95" t="n"/>
      <c r="K1115" s="95" t="n"/>
      <c r="L1115" s="83">
        <f>IF(OR(X1115="估算法",X1115="算法类",X1115="无法识别"),"",IF(V1115="",IF(OR(I1115="EI",I1115="EO",I1115="EQ"),0,""),LEN(V1115)-LEN(SUBSTITUTE(V1115,"、",""))+1))</f>
        <v/>
      </c>
      <c r="M1115" s="83">
        <f>IF(OR(X1115="估算法",X1115="算法类",X1115="无法识别"),"",IF(W1115="",IF(OR(I1115="ILF",I1115="EIF"),0,""),LEN(W1115)-LEN(SUBSTITUTE(W1115,"、",""))+1))</f>
        <v/>
      </c>
      <c r="N1115" s="83">
        <f>IF(OR(X1115="估算法",X1115="算法类",X1115="无法识别"),"",IF(X1115="",IF(OR(I1115="ILF",I1115="EIF",I1115="EI",I1115="EO",I1115="EQ"),0,""),LEN(X1115)-LEN(SUBSTITUTE(SUBSTITUTE(SUBSTITUTE(SUBSTITUTE(SUBSTITUTE(X1115,"|}","--"),"{|","--"),CHAR(10),""),"、",""),"|",""))+IF(AND(OR(I1115="EI",I1115="EO",I1115="EQ"),$AD$1="NESMA"),2,1)))</f>
        <v/>
      </c>
      <c r="O1115" s="84">
        <f>IF(I1115="EI",IF(OR(X1115="估算法",X1115="算法类"),"中",IF(X1115="无法识别","低",IF(L1115&lt;2,IF(N1115&lt;16,"低","中"),IF(L1115&lt;3,IF(N1115&lt;5,"低",IF(N1115&lt;16,"中","高")),IF(N1115&lt;5,"中","高"))))),IF(OR(I1115="EO",I1115="EQ"),IF(OR(X1115="估算法",X1115="算法类"),"中",IF(X1115="无法识别","低",IF(L1115&lt;2,IF(N1115&lt;20,"低","中"),IF(L1115&lt;4,IF(N1115&lt;6,"低",IF(N1115&lt;20,"中","高")),IF(N1115&lt;6,"中","高"))))),IF(OR(I1115="ILF",I1115="EIF"),IF(OR(X1115="估算法",X1115="算法类",X1115="无法识别"),"低",IF(M1115&lt;2,IF(N1115&lt;51,"低","中"),IF(M1115&lt;6,IF(N1115&lt;20,"低",IF(N1115&lt;51,"中","高")),IF(N1115&lt;20,"中","高")))),"不计算")))</f>
        <v/>
      </c>
      <c r="P1115" s="142">
        <f>IFERROR(IF(I1115="EI",IF(O1115="低",3,IF(O1115="中",4,6)),IF(I1115="EO",IF(O1115="低",4,IF(O1115="中",5,7)),IF(I1115="EQ",IF(O1115="低",3,IF(O1115="中",4,6)),IF(I1115="ILF",IF(O1115="低",7,IF(O1115="中",10,15)),IF(I1115="EIF",IF(O1115="低",5,IF(O1115="中",7,10)),"不计算")))))*Q1115,"不计算")</f>
        <v/>
      </c>
      <c r="Q1115" s="142" t="n">
        <v>1</v>
      </c>
      <c r="R1115" s="143">
        <f>调整因子!$F$13</f>
        <v/>
      </c>
      <c r="S1115" s="70" t="n">
        <v>1</v>
      </c>
      <c r="T1115" s="144">
        <f>IFERROR(P1115*R1115,0)</f>
        <v/>
      </c>
      <c r="U1115" s="145">
        <f>T1115*S1115</f>
        <v/>
      </c>
      <c r="V1115" s="96" t="inlineStr">
        <is>
          <t>脱敏规则表、处置单配置表、推送日志表、漏洞处置推送接口配置表、加密规则表</t>
        </is>
      </c>
      <c r="W1115" s="96" t="inlineStr"/>
      <c r="X1115" s="111" t="inlineStr">
        <is>
          <t>脱敏规则表{规则ID、规则名称、规则类型、规则条件、创建时间|规则ID、规则名称、规则类型}
处置单配置表{配置ID、配置名称、配置类型、配置值、创建时间|配置ID、配置名称、配置类型}
推送日志表{日志ID、操作人、操作类型、操作时间、操作内容|日志ID、操作人、操作类型}
漏洞处置推送接口配置表{漏洞ID、漏洞名称、漏洞等级、漏洞类型、CVE编号、发现时间、修复状态|漏洞ID、漏洞名称、漏洞等级}
加密规则表{规则ID、规则名称、规则类型、规则条件、创建时间|规则ID、规则名称、规则类型}</t>
        </is>
      </c>
      <c r="Y1115" s="88" t="n"/>
      <c r="Z1115" s="88" t="n"/>
    </row>
    <row r="1116" hidden="1" ht="86.40000000000001" customHeight="1">
      <c r="A1116" s="69">
        <f>ROW()-1</f>
        <v/>
      </c>
      <c r="B1116" s="53" t="n"/>
      <c r="C1116" s="117" t="n">
        <v>2026</v>
      </c>
      <c r="D1116" s="64" t="n"/>
      <c r="E1116" s="53" t="n"/>
      <c r="F1116" s="53" t="n"/>
      <c r="G1116" s="53" t="n"/>
      <c r="H1116" s="96" t="inlineStr">
        <is>
          <t>配置故障规则</t>
        </is>
      </c>
      <c r="I1116" s="76" t="inlineStr">
        <is>
          <t>EI</t>
        </is>
      </c>
      <c r="J1116" s="95" t="n"/>
      <c r="K1116" s="95" t="n"/>
      <c r="L1116" s="83">
        <f>IF(OR(X1116="估算法",X1116="算法类",X1116="无法识别"),"",IF(V1116="",IF(OR(I1116="EI",I1116="EO",I1116="EQ"),0,""),LEN(V1116)-LEN(SUBSTITUTE(V1116,"、",""))+1))</f>
        <v/>
      </c>
      <c r="M1116" s="83">
        <f>IF(OR(X1116="估算法",X1116="算法类",X1116="无法识别"),"",IF(W1116="",IF(OR(I1116="ILF",I1116="EIF"),0,""),LEN(W1116)-LEN(SUBSTITUTE(W1116,"、",""))+1))</f>
        <v/>
      </c>
      <c r="N1116" s="83">
        <f>IF(OR(X1116="估算法",X1116="算法类",X1116="无法识别"),"",IF(X1116="",IF(OR(I1116="ILF",I1116="EIF",I1116="EI",I1116="EO",I1116="EQ"),0,""),LEN(X1116)-LEN(SUBSTITUTE(SUBSTITUTE(SUBSTITUTE(SUBSTITUTE(SUBSTITUTE(X1116,"|}","--"),"{|","--"),CHAR(10),""),"、",""),"|",""))+IF(AND(OR(I1116="EI",I1116="EO",I1116="EQ"),$AD$1="NESMA"),2,1)))</f>
        <v/>
      </c>
      <c r="O1116" s="84">
        <f>IF(I1116="EI",IF(OR(X1116="估算法",X1116="算法类"),"中",IF(X1116="无法识别","低",IF(L1116&lt;2,IF(N1116&lt;16,"低","中"),IF(L1116&lt;3,IF(N1116&lt;5,"低",IF(N1116&lt;16,"中","高")),IF(N1116&lt;5,"中","高"))))),IF(OR(I1116="EO",I1116="EQ"),IF(OR(X1116="估算法",X1116="算法类"),"中",IF(X1116="无法识别","低",IF(L1116&lt;2,IF(N1116&lt;20,"低","中"),IF(L1116&lt;4,IF(N1116&lt;6,"低",IF(N1116&lt;20,"中","高")),IF(N1116&lt;6,"中","高"))))),IF(OR(I1116="ILF",I1116="EIF"),IF(OR(X1116="估算法",X1116="算法类",X1116="无法识别"),"低",IF(M1116&lt;2,IF(N1116&lt;51,"低","中"),IF(M1116&lt;6,IF(N1116&lt;20,"低",IF(N1116&lt;51,"中","高")),IF(N1116&lt;20,"中","高")))),"不计算")))</f>
        <v/>
      </c>
      <c r="P1116" s="142">
        <f>IFERROR(IF(I1116="EI",IF(O1116="低",3,IF(O1116="中",4,6)),IF(I1116="EO",IF(O1116="低",4,IF(O1116="中",5,7)),IF(I1116="EQ",IF(O1116="低",3,IF(O1116="中",4,6)),IF(I1116="ILF",IF(O1116="低",7,IF(O1116="中",10,15)),IF(I1116="EIF",IF(O1116="低",5,IF(O1116="中",7,10)),"不计算")))))*Q1116,"不计算")</f>
        <v/>
      </c>
      <c r="Q1116" s="142" t="n">
        <v>1</v>
      </c>
      <c r="R1116" s="143">
        <f>调整因子!$F$13</f>
        <v/>
      </c>
      <c r="S1116" s="70" t="n">
        <v>1</v>
      </c>
      <c r="T1116" s="144">
        <f>IFERROR(P1116*R1116,0)</f>
        <v/>
      </c>
      <c r="U1116" s="145">
        <f>T1116*S1116</f>
        <v/>
      </c>
      <c r="V1116" s="96" t="inlineStr">
        <is>
          <t>任务优先级配置表、模板参数配置表、处置单配置表、验证配置表</t>
        </is>
      </c>
      <c r="W1116" s="96" t="inlineStr"/>
      <c r="X1116" s="111" t="inlineStr">
        <is>
          <t>任务优先级配置表{任务ID、任务名称、任务类型、任务状态、创建时间、执行时间|任务ID、任务名称、任务类型}
模板参数配置表{配置ID、配置名称、配置类型、配置值、创建时间|配置ID、配置名称、配置类型}
处置单配置表{配置ID、配置名称、配置类型、配置值、创建时间|配置ID、配置名称、配置类型}
验证配置表{配置ID、配置名称、配置类型、配置值、创建时间|配置ID、配置名称、配置类型}</t>
        </is>
      </c>
      <c r="Y1116" s="88" t="n"/>
      <c r="Z1116" s="88" t="n"/>
    </row>
    <row r="1117" hidden="1" ht="43.2" customHeight="1">
      <c r="A1117" s="69">
        <f>ROW()-1</f>
        <v/>
      </c>
      <c r="B1117" s="53" t="n"/>
      <c r="C1117" s="117" t="n">
        <v>2026</v>
      </c>
      <c r="D1117" s="64" t="n"/>
      <c r="E1117" s="53" t="n"/>
      <c r="F1117" s="53" t="n"/>
      <c r="G1117" s="53" t="n"/>
      <c r="H1117" s="96" t="inlineStr">
        <is>
          <t>导出故障记录</t>
        </is>
      </c>
      <c r="I1117" s="76" t="inlineStr">
        <is>
          <t>EO</t>
        </is>
      </c>
      <c r="J1117" s="95" t="n"/>
      <c r="K1117" s="95" t="n"/>
      <c r="L1117" s="83">
        <f>IF(OR(X1117="估算法",X1117="算法类",X1117="无法识别"),"",IF(V1117="",IF(OR(I1117="EI",I1117="EO",I1117="EQ"),0,""),LEN(V1117)-LEN(SUBSTITUTE(V1117,"、",""))+1))</f>
        <v/>
      </c>
      <c r="M1117" s="83">
        <f>IF(OR(X1117="估算法",X1117="算法类",X1117="无法识别"),"",IF(W1117="",IF(OR(I1117="ILF",I1117="EIF"),0,""),LEN(W1117)-LEN(SUBSTITUTE(W1117,"、",""))+1))</f>
        <v/>
      </c>
      <c r="N1117" s="83">
        <f>IF(OR(X1117="估算法",X1117="算法类",X1117="无法识别"),"",IF(X1117="",IF(OR(I1117="ILF",I1117="EIF",I1117="EI",I1117="EO",I1117="EQ"),0,""),LEN(X1117)-LEN(SUBSTITUTE(SUBSTITUTE(SUBSTITUTE(SUBSTITUTE(SUBSTITUTE(X1117,"|}","--"),"{|","--"),CHAR(10),""),"、",""),"|",""))+IF(AND(OR(I1117="EI",I1117="EO",I1117="EQ"),$AD$1="NESMA"),2,1)))</f>
        <v/>
      </c>
      <c r="O1117" s="84">
        <f>IF(I1117="EI",IF(OR(X1117="估算法",X1117="算法类"),"中",IF(X1117="无法识别","低",IF(L1117&lt;2,IF(N1117&lt;16,"低","中"),IF(L1117&lt;3,IF(N1117&lt;5,"低",IF(N1117&lt;16,"中","高")),IF(N1117&lt;5,"中","高"))))),IF(OR(I1117="EO",I1117="EQ"),IF(OR(X1117="估算法",X1117="算法类"),"中",IF(X1117="无法识别","低",IF(L1117&lt;2,IF(N1117&lt;20,"低","中"),IF(L1117&lt;4,IF(N1117&lt;6,"低",IF(N1117&lt;20,"中","高")),IF(N1117&lt;6,"中","高"))))),IF(OR(I1117="ILF",I1117="EIF"),IF(OR(X1117="估算法",X1117="算法类",X1117="无法识别"),"低",IF(M1117&lt;2,IF(N1117&lt;51,"低","中"),IF(M1117&lt;6,IF(N1117&lt;20,"低",IF(N1117&lt;51,"中","高")),IF(N1117&lt;20,"中","高")))),"不计算")))</f>
        <v/>
      </c>
      <c r="P1117" s="142">
        <f>IFERROR(IF(I1117="EI",IF(O1117="低",3,IF(O1117="中",4,6)),IF(I1117="EO",IF(O1117="低",4,IF(O1117="中",5,7)),IF(I1117="EQ",IF(O1117="低",3,IF(O1117="中",4,6)),IF(I1117="ILF",IF(O1117="低",7,IF(O1117="中",10,15)),IF(I1117="EIF",IF(O1117="低",5,IF(O1117="中",7,10)),"不计算")))))*Q1117,"不计算")</f>
        <v/>
      </c>
      <c r="Q1117" s="142" t="n">
        <v>1</v>
      </c>
      <c r="R1117" s="143">
        <f>调整因子!$F$13</f>
        <v/>
      </c>
      <c r="S1117" s="76" t="n">
        <v>1</v>
      </c>
      <c r="T1117" s="144">
        <f>IFERROR(P1117*R1117,0)</f>
        <v/>
      </c>
      <c r="U1117" s="145">
        <f>T1117*S1117</f>
        <v/>
      </c>
      <c r="V1117" s="96" t="inlineStr">
        <is>
          <t>推送规则表、通报配置表、离线扫描报告表</t>
        </is>
      </c>
      <c r="W1117" s="96" t="inlineStr"/>
      <c r="X1117" s="111" t="inlineStr">
        <is>
          <t>推送规则表{规则ID、规则名称|规则ID、规则名称、规则类型、规则条件、创建时间}
通报配置表{配置ID、配置名称|配置ID、配置名称、配置类型、配置值、创建时间}
离线扫描报告表{任务ID、任务名称|任务ID、任务名称、任务状态、扫描器类型、开始时间、结束时间、扫描结果}</t>
        </is>
      </c>
      <c r="Y1117" s="88" t="n"/>
      <c r="Z1117" s="88" t="n"/>
    </row>
    <row r="1118" hidden="1" ht="64.8" customHeight="1">
      <c r="A1118" s="69">
        <f>ROW()-1</f>
        <v/>
      </c>
      <c r="B1118" s="53" t="n"/>
      <c r="C1118" s="117" t="n">
        <v>2026</v>
      </c>
      <c r="D1118" s="64" t="n"/>
      <c r="E1118" s="53" t="n"/>
      <c r="F1118" s="53" t="n"/>
      <c r="G1118" s="53" t="n"/>
      <c r="H1118" s="96" t="inlineStr">
        <is>
          <t>推送故障告警</t>
        </is>
      </c>
      <c r="I1118" s="76" t="inlineStr">
        <is>
          <t>EO</t>
        </is>
      </c>
      <c r="J1118" s="95" t="n"/>
      <c r="K1118" s="95" t="n"/>
      <c r="L1118" s="83">
        <f>IF(OR(X1118="估算法",X1118="算法类",X1118="无法识别"),"",IF(V1118="",IF(OR(I1118="EI",I1118="EO",I1118="EQ"),0,""),LEN(V1118)-LEN(SUBSTITUTE(V1118,"、",""))+1))</f>
        <v/>
      </c>
      <c r="M1118" s="83">
        <f>IF(OR(X1118="估算法",X1118="算法类",X1118="无法识别"),"",IF(W1118="",IF(OR(I1118="ILF",I1118="EIF"),0,""),LEN(W1118)-LEN(SUBSTITUTE(W1118,"、",""))+1))</f>
        <v/>
      </c>
      <c r="N1118" s="83">
        <f>IF(OR(X1118="估算法",X1118="算法类",X1118="无法识别"),"",IF(X1118="",IF(OR(I1118="ILF",I1118="EIF",I1118="EI",I1118="EO",I1118="EQ"),0,""),LEN(X1118)-LEN(SUBSTITUTE(SUBSTITUTE(SUBSTITUTE(SUBSTITUTE(SUBSTITUTE(X1118,"|}","--"),"{|","--"),CHAR(10),""),"、",""),"|",""))+IF(AND(OR(I1118="EI",I1118="EO",I1118="EQ"),$AD$1="NESMA"),2,1)))</f>
        <v/>
      </c>
      <c r="O1118" s="84">
        <f>IF(I1118="EI",IF(OR(X1118="估算法",X1118="算法类"),"中",IF(X1118="无法识别","低",IF(L1118&lt;2,IF(N1118&lt;16,"低","中"),IF(L1118&lt;3,IF(N1118&lt;5,"低",IF(N1118&lt;16,"中","高")),IF(N1118&lt;5,"中","高"))))),IF(OR(I1118="EO",I1118="EQ"),IF(OR(X1118="估算法",X1118="算法类"),"中",IF(X1118="无法识别","低",IF(L1118&lt;2,IF(N1118&lt;20,"低","中"),IF(L1118&lt;4,IF(N1118&lt;6,"低",IF(N1118&lt;20,"中","高")),IF(N1118&lt;6,"中","高"))))),IF(OR(I1118="ILF",I1118="EIF"),IF(OR(X1118="估算法",X1118="算法类",X1118="无法识别"),"低",IF(M1118&lt;2,IF(N1118&lt;51,"低","中"),IF(M1118&lt;6,IF(N1118&lt;20,"低",IF(N1118&lt;51,"中","高")),IF(N1118&lt;20,"中","高")))),"不计算")))</f>
        <v/>
      </c>
      <c r="P1118" s="142">
        <f>IFERROR(IF(I1118="EI",IF(O1118="低",3,IF(O1118="中",4,6)),IF(I1118="EO",IF(O1118="低",4,IF(O1118="中",5,7)),IF(I1118="EQ",IF(O1118="低",3,IF(O1118="中",4,6)),IF(I1118="ILF",IF(O1118="低",7,IF(O1118="中",10,15)),IF(I1118="EIF",IF(O1118="低",5,IF(O1118="中",7,10)),"不计算")))))*Q1118,"不计算")</f>
        <v/>
      </c>
      <c r="Q1118" s="142" t="n">
        <v>1</v>
      </c>
      <c r="R1118" s="143">
        <f>调整因子!$F$13</f>
        <v/>
      </c>
      <c r="S1118" s="76" t="n">
        <v>1</v>
      </c>
      <c r="T1118" s="144">
        <f>IFERROR(P1118*R1118,0)</f>
        <v/>
      </c>
      <c r="U1118" s="145">
        <f>T1118*S1118</f>
        <v/>
      </c>
      <c r="V1118" s="96" t="inlineStr">
        <is>
          <t>任务优先级配置表、验证记录表、提醒规则表、漏洞处置推送接口配置表</t>
        </is>
      </c>
      <c r="W1118" s="96" t="inlineStr"/>
      <c r="X1118" s="111" t="inlineStr">
        <is>
          <t>任务优先级配置表{任务ID、任务名称|任务ID、任务名称、任务类型、任务状态、创建时间、执行时间}
验证记录表{ID、名称|ID、名称、类型、状态、创建时间、更新时间}
提醒规则表{规则ID、规则名称|规则ID、规则名称、规则类型、规则条件、创建时间}
漏洞处置推送接口配置表{漏洞ID、漏洞名称|漏洞ID、漏洞名称、漏洞等级、漏洞类型、CVE编号、发现时间、修复状态}</t>
        </is>
      </c>
      <c r="Y1118" s="88" t="n"/>
      <c r="Z1118" s="88" t="n"/>
    </row>
    <row r="1119" hidden="1" ht="75.59999999999999" customHeight="1">
      <c r="A1119" s="69">
        <f>ROW()-1</f>
        <v/>
      </c>
      <c r="B1119" s="53" t="n"/>
      <c r="C1119" s="117" t="n">
        <v>2026</v>
      </c>
      <c r="D1119" s="64" t="n"/>
      <c r="E1119" s="53" t="n"/>
      <c r="F1119" s="53" t="n"/>
      <c r="G1119" s="53" t="n"/>
      <c r="H1119" s="96" t="inlineStr">
        <is>
          <t>查询故障记录</t>
        </is>
      </c>
      <c r="I1119" s="76" t="inlineStr">
        <is>
          <t>EQ</t>
        </is>
      </c>
      <c r="J1119" s="95" t="n"/>
      <c r="K1119" s="95" t="inlineStr">
        <is>
          <t>处理流程和上行基本一致，为查询功能，未体现详情功能</t>
        </is>
      </c>
      <c r="L1119" s="83">
        <f>IF(OR(X1119="估算法",X1119="算法类",X1119="无法识别"),"",IF(V1119="",IF(OR(I1119="EI",I1119="EO",I1119="EQ"),0,""),LEN(V1119)-LEN(SUBSTITUTE(V1119,"、",""))+1))</f>
        <v/>
      </c>
      <c r="M1119" s="83">
        <f>IF(OR(X1119="估算法",X1119="算法类",X1119="无法识别"),"",IF(W1119="",IF(OR(I1119="ILF",I1119="EIF"),0,""),LEN(W1119)-LEN(SUBSTITUTE(W1119,"、",""))+1))</f>
        <v/>
      </c>
      <c r="N1119" s="83">
        <f>IF(OR(X1119="估算法",X1119="算法类",X1119="无法识别"),"",IF(X1119="",IF(OR(I1119="ILF",I1119="EIF",I1119="EI",I1119="EO",I1119="EQ"),0,""),LEN(X1119)-LEN(SUBSTITUTE(SUBSTITUTE(SUBSTITUTE(SUBSTITUTE(SUBSTITUTE(X1119,"|}","--"),"{|","--"),CHAR(10),""),"、",""),"|",""))+IF(AND(OR(I1119="EI",I1119="EO",I1119="EQ"),$AD$1="NESMA"),2,1)))</f>
        <v/>
      </c>
      <c r="O1119" s="84">
        <f>IF(I1119="EI",IF(OR(X1119="估算法",X1119="算法类"),"中",IF(X1119="无法识别","低",IF(L1119&lt;2,IF(N1119&lt;16,"低","中"),IF(L1119&lt;3,IF(N1119&lt;5,"低",IF(N1119&lt;16,"中","高")),IF(N1119&lt;5,"中","高"))))),IF(OR(I1119="EO",I1119="EQ"),IF(OR(X1119="估算法",X1119="算法类"),"中",IF(X1119="无法识别","低",IF(L1119&lt;2,IF(N1119&lt;20,"低","中"),IF(L1119&lt;4,IF(N1119&lt;6,"低",IF(N1119&lt;20,"中","高")),IF(N1119&lt;6,"中","高"))))),IF(OR(I1119="ILF",I1119="EIF"),IF(OR(X1119="估算法",X1119="算法类",X1119="无法识别"),"低",IF(M1119&lt;2,IF(N1119&lt;51,"低","中"),IF(M1119&lt;6,IF(N1119&lt;20,"低",IF(N1119&lt;51,"中","高")),IF(N1119&lt;20,"中","高")))),"不计算")))</f>
        <v/>
      </c>
      <c r="P1119" s="142">
        <f>IFERROR(IF(I1119="EI",IF(O1119="低",3,IF(O1119="中",4,6)),IF(I1119="EO",IF(O1119="低",4,IF(O1119="中",5,7)),IF(I1119="EQ",IF(O1119="低",3,IF(O1119="中",4,6)),IF(I1119="ILF",IF(O1119="低",7,IF(O1119="中",10,15)),IF(I1119="EIF",IF(O1119="低",5,IF(O1119="中",7,10)),"不计算")))))*Q1119,"不计算")</f>
        <v/>
      </c>
      <c r="Q1119" s="142" t="n">
        <v>0.333333333333333</v>
      </c>
      <c r="R1119" s="143">
        <f>调整因子!$F$13</f>
        <v/>
      </c>
      <c r="S1119" s="70" t="n">
        <v>1</v>
      </c>
      <c r="T1119" s="144">
        <f>IFERROR(P1119*R1119,0)</f>
        <v/>
      </c>
      <c r="U1119" s="145">
        <f>T1119*S1119</f>
        <v/>
      </c>
      <c r="V1119" s="96" t="inlineStr">
        <is>
          <t>任务统计数据表、处置流程定义表、漏洞统计数据表、态势数据采集表、故障知识库表</t>
        </is>
      </c>
      <c r="W1119" s="96" t="inlineStr"/>
      <c r="X1119" s="111" t="inlineStr">
        <is>
          <t>任务统计数据表{任务ID、任务名称|任务ID、任务名称、任务类型、任务状态、创建时间、执行时间}
处置流程定义表{ID、名称|ID、名称、类型、状态、创建时间、更新时间}
漏洞统计数据表{漏洞ID、漏洞名称|漏洞ID、漏洞名称、漏洞等级、漏洞类型、CVE编号、发现时间、修复状态}
态势数据采集表{ID、名称|ID、名称、类型、状态、创建时间、更新时间}
故障知识库表{ID、名称|ID、名称、类型、状态、创建时间、更新时间}</t>
        </is>
      </c>
      <c r="Y1119" s="88" t="n"/>
      <c r="Z1119" s="88" t="n"/>
    </row>
    <row r="1120" hidden="1" ht="32.4" customHeight="1">
      <c r="A1120" s="69">
        <f>ROW()-1</f>
        <v/>
      </c>
      <c r="B1120" s="53" t="n"/>
      <c r="C1120" s="117" t="n">
        <v>2026</v>
      </c>
      <c r="D1120" s="64" t="n"/>
      <c r="E1120" s="53" t="n"/>
      <c r="F1120" s="53" t="n"/>
      <c r="G1120" s="54" t="n"/>
      <c r="H1120" s="96" t="inlineStr">
        <is>
          <t>查看故障详情</t>
        </is>
      </c>
      <c r="I1120" s="76" t="inlineStr">
        <is>
          <t>EQ</t>
        </is>
      </c>
      <c r="J1120" s="95" t="n"/>
      <c r="K1120" s="95" t="inlineStr">
        <is>
          <t>处理流程和上行基本一致，为查询功能，未体现详情功能</t>
        </is>
      </c>
      <c r="L1120" s="83">
        <f>IF(OR(X1120="估算法",X1120="算法类",X1120="无法识别"),"",IF(V1120="",IF(OR(I1120="EI",I1120="EO",I1120="EQ"),0,""),LEN(V1120)-LEN(SUBSTITUTE(V1120,"、",""))+1))</f>
        <v/>
      </c>
      <c r="M1120" s="83">
        <f>IF(OR(X1120="估算法",X1120="算法类",X1120="无法识别"),"",IF(W1120="",IF(OR(I1120="ILF",I1120="EIF"),0,""),LEN(W1120)-LEN(SUBSTITUTE(W1120,"、",""))+1))</f>
        <v/>
      </c>
      <c r="N1120" s="83">
        <f>IF(OR(X1120="估算法",X1120="算法类",X1120="无法识别"),"",IF(X1120="",IF(OR(I1120="ILF",I1120="EIF",I1120="EI",I1120="EO",I1120="EQ"),0,""),LEN(X1120)-LEN(SUBSTITUTE(SUBSTITUTE(SUBSTITUTE(SUBSTITUTE(SUBSTITUTE(X1120,"|}","--"),"{|","--"),CHAR(10),""),"、",""),"|",""))+IF(AND(OR(I1120="EI",I1120="EO",I1120="EQ"),$AD$1="NESMA"),2,1)))</f>
        <v/>
      </c>
      <c r="O1120" s="84">
        <f>IF(I1120="EI",IF(OR(X1120="估算法",X1120="算法类"),"中",IF(X1120="无法识别","低",IF(L1120&lt;2,IF(N1120&lt;16,"低","中"),IF(L1120&lt;3,IF(N1120&lt;5,"低",IF(N1120&lt;16,"中","高")),IF(N1120&lt;5,"中","高"))))),IF(OR(I1120="EO",I1120="EQ"),IF(OR(X1120="估算法",X1120="算法类"),"中",IF(X1120="无法识别","低",IF(L1120&lt;2,IF(N1120&lt;20,"低","中"),IF(L1120&lt;4,IF(N1120&lt;6,"低",IF(N1120&lt;20,"中","高")),IF(N1120&lt;6,"中","高"))))),IF(OR(I1120="ILF",I1120="EIF"),IF(OR(X1120="估算法",X1120="算法类",X1120="无法识别"),"低",IF(M1120&lt;2,IF(N1120&lt;51,"低","中"),IF(M1120&lt;6,IF(N1120&lt;20,"低",IF(N1120&lt;51,"中","高")),IF(N1120&lt;20,"中","高")))),"不计算")))</f>
        <v/>
      </c>
      <c r="P1120" s="142">
        <f>IFERROR(IF(I1120="EI",IF(O1120="低",3,IF(O1120="中",4,6)),IF(I1120="EO",IF(O1120="低",4,IF(O1120="中",5,7)),IF(I1120="EQ",IF(O1120="低",3,IF(O1120="中",4,6)),IF(I1120="ILF",IF(O1120="低",7,IF(O1120="中",10,15)),IF(I1120="EIF",IF(O1120="低",5,IF(O1120="中",7,10)),"不计算")))))*Q1120,"不计算")</f>
        <v/>
      </c>
      <c r="Q1120" s="142" t="n">
        <v>0.333333333333333</v>
      </c>
      <c r="R1120" s="143">
        <f>调整因子!$F$13</f>
        <v/>
      </c>
      <c r="S1120" s="70" t="n">
        <v>1</v>
      </c>
      <c r="T1120" s="144">
        <f>IFERROR(P1120*R1120,0)</f>
        <v/>
      </c>
      <c r="U1120" s="145">
        <f>T1120*S1120</f>
        <v/>
      </c>
      <c r="V1120" s="96" t="inlineStr">
        <is>
          <t>指标权重表、指标阈值表、修复方案表</t>
        </is>
      </c>
      <c r="W1120" s="96" t="inlineStr"/>
      <c r="X1120" s="111" t="inlineStr">
        <is>
          <t>指标权重表{ID、名称|ID、名称、类型、状态、创建时间、更新时间}
指标阈值表{ID、名称|ID、名称、类型、状态、创建时间、更新时间}
修复方案表{ID、名称|ID、名称、类型、状态、创建时间、更新时间}</t>
        </is>
      </c>
      <c r="Y1120" s="88" t="n"/>
      <c r="Z1120" s="88" t="n"/>
    </row>
    <row r="1121" hidden="1" ht="21.6" customHeight="1">
      <c r="A1121" s="69">
        <f>ROW()-1</f>
        <v/>
      </c>
      <c r="B1121" s="53" t="n"/>
      <c r="C1121" s="117" t="n">
        <v>2026</v>
      </c>
      <c r="D1121" s="64" t="n"/>
      <c r="E1121" s="53" t="n"/>
      <c r="F1121" s="53" t="n"/>
      <c r="G1121" s="111" t="inlineStr">
        <is>
          <t>任务日志管理</t>
        </is>
      </c>
      <c r="H1121" s="96" t="inlineStr">
        <is>
          <t>任务日志表</t>
        </is>
      </c>
      <c r="I1121" s="76" t="n"/>
      <c r="J1121" s="95" t="n"/>
      <c r="K1121" s="95" t="inlineStr">
        <is>
          <t>非ILF - 日志表</t>
        </is>
      </c>
      <c r="L1121" s="83">
        <f>IF(OR(X1121="估算法",X1121="算法类",X1121="无法识别"),"",IF(V1121="",IF(OR(I1121="EI",I1121="EO",I1121="EQ"),0,""),LEN(V1121)-LEN(SUBSTITUTE(V1121,"、",""))+1))</f>
        <v/>
      </c>
      <c r="M1121" s="83">
        <f>IF(OR(X1121="估算法",X1121="算法类",X1121="无法识别"),"",IF(W1121="",IF(OR(I1121="ILF",I1121="EIF"),0,""),LEN(W1121)-LEN(SUBSTITUTE(W1121,"、",""))+1))</f>
        <v/>
      </c>
      <c r="N1121" s="83">
        <f>IF(OR(X1121="估算法",X1121="算法类",X1121="无法识别"),"",IF(X1121="",IF(OR(I1121="ILF",I1121="EIF",I1121="EI",I1121="EO",I1121="EQ"),0,""),LEN(X1121)-LEN(SUBSTITUTE(SUBSTITUTE(SUBSTITUTE(SUBSTITUTE(SUBSTITUTE(X1121,"|}","--"),"{|","--"),CHAR(10),""),"、",""),"|",""))+IF(AND(OR(I1121="EI",I1121="EO",I1121="EQ"),$AD$1="NESMA"),2,1)))</f>
        <v/>
      </c>
      <c r="O1121" s="84">
        <f>IF(I1121="EI",IF(OR(X1121="估算法",X1121="算法类"),"中",IF(X1121="无法识别","低",IF(L1121&lt;2,IF(N1121&lt;16,"低","中"),IF(L1121&lt;3,IF(N1121&lt;5,"低",IF(N1121&lt;16,"中","高")),IF(N1121&lt;5,"中","高"))))),IF(OR(I1121="EO",I1121="EQ"),IF(OR(X1121="估算法",X1121="算法类"),"中",IF(X1121="无法识别","低",IF(L1121&lt;2,IF(N1121&lt;20,"低","中"),IF(L1121&lt;4,IF(N1121&lt;6,"低",IF(N1121&lt;20,"中","高")),IF(N1121&lt;6,"中","高"))))),IF(OR(I1121="ILF",I1121="EIF"),IF(OR(X1121="估算法",X1121="算法类",X1121="无法识别"),"低",IF(M1121&lt;2,IF(N1121&lt;51,"低","中"),IF(M1121&lt;6,IF(N1121&lt;20,"低",IF(N1121&lt;51,"中","高")),IF(N1121&lt;20,"中","高")))),"不计算")))</f>
        <v/>
      </c>
      <c r="P1121" s="142">
        <f>IFERROR(IF(I1121="EI",IF(O1121="低",3,IF(O1121="中",4,6)),IF(I1121="EO",IF(O1121="低",4,IF(O1121="中",5,7)),IF(I1121="EQ",IF(O1121="低",3,IF(O1121="中",4,6)),IF(I1121="ILF",IF(O1121="低",7,IF(O1121="中",10,15)),IF(I1121="EIF",IF(O1121="低",5,IF(O1121="中",7,10)),"不计算")))))*Q1121,"不计算")</f>
        <v/>
      </c>
      <c r="Q1121" s="142" t="n">
        <v>1</v>
      </c>
      <c r="R1121" s="143">
        <f>调整因子!$F$13</f>
        <v/>
      </c>
      <c r="S1121" s="76" t="n">
        <v>1</v>
      </c>
      <c r="T1121" s="144">
        <f>IFERROR(P1121*R1121,0)</f>
        <v/>
      </c>
      <c r="U1121" s="145">
        <f>T1121*S1121</f>
        <v/>
      </c>
      <c r="V1121" s="96" t="inlineStr"/>
      <c r="W1121" s="96" t="inlineStr">
        <is>
          <t>扫描任务、发现任务</t>
        </is>
      </c>
      <c r="X1121" s="111" t="inlineStr">
        <is>
          <t>任务日志表{任务ID、任务名称、任务类型|任务ID、任务名称、任务类型、任务状态、创建时间、执行时间}</t>
        </is>
      </c>
      <c r="Y1121" s="88">
        <f>IF(COUNTIFS(V:V,"*"&amp;H1121&amp;"*")&gt;0,"存在","不存在")</f>
        <v/>
      </c>
      <c r="Z1121" s="88">
        <f>IF(COUNTIFS(AA:AA,"*"&amp;H1121&amp;"*")&gt;0,"存在","不存在")</f>
        <v/>
      </c>
    </row>
    <row r="1122" hidden="1" ht="108" customHeight="1">
      <c r="A1122" s="69">
        <f>ROW()-1</f>
        <v/>
      </c>
      <c r="B1122" s="53" t="n"/>
      <c r="C1122" s="117" t="n">
        <v>2026</v>
      </c>
      <c r="D1122" s="64" t="n"/>
      <c r="E1122" s="53" t="n"/>
      <c r="F1122" s="53" t="n"/>
      <c r="G1122" s="53" t="n"/>
      <c r="H1122" s="96" t="inlineStr">
        <is>
          <t>导出任务日志</t>
        </is>
      </c>
      <c r="I1122" s="76" t="inlineStr">
        <is>
          <t>EO</t>
        </is>
      </c>
      <c r="J1122" s="95" t="n"/>
      <c r="K1122" s="95" t="n"/>
      <c r="L1122" s="83">
        <f>IF(OR(X1122="估算法",X1122="算法类",X1122="无法识别"),"",IF(V1122="",IF(OR(I1122="EI",I1122="EO",I1122="EQ"),0,""),LEN(V1122)-LEN(SUBSTITUTE(V1122,"、",""))+1))</f>
        <v/>
      </c>
      <c r="M1122" s="83">
        <f>IF(OR(X1122="估算法",X1122="算法类",X1122="无法识别"),"",IF(W1122="",IF(OR(I1122="ILF",I1122="EIF"),0,""),LEN(W1122)-LEN(SUBSTITUTE(W1122,"、",""))+1))</f>
        <v/>
      </c>
      <c r="N1122" s="83">
        <f>IF(OR(X1122="估算法",X1122="算法类",X1122="无法识别"),"",IF(X1122="",IF(OR(I1122="ILF",I1122="EIF",I1122="EI",I1122="EO",I1122="EQ"),0,""),LEN(X1122)-LEN(SUBSTITUTE(SUBSTITUTE(SUBSTITUTE(SUBSTITUTE(SUBSTITUTE(X1122,"|}","--"),"{|","--"),CHAR(10),""),"、",""),"|",""))+IF(AND(OR(I1122="EI",I1122="EO",I1122="EQ"),$AD$1="NESMA"),2,1)))</f>
        <v/>
      </c>
      <c r="O1122" s="84">
        <f>IF(I1122="EI",IF(OR(X1122="估算法",X1122="算法类"),"中",IF(X1122="无法识别","低",IF(L1122&lt;2,IF(N1122&lt;16,"低","中"),IF(L1122&lt;3,IF(N1122&lt;5,"低",IF(N1122&lt;16,"中","高")),IF(N1122&lt;5,"中","高"))))),IF(OR(I1122="EO",I1122="EQ"),IF(OR(X1122="估算法",X1122="算法类"),"中",IF(X1122="无法识别","低",IF(L1122&lt;2,IF(N1122&lt;20,"低","中"),IF(L1122&lt;4,IF(N1122&lt;6,"低",IF(N1122&lt;20,"中","高")),IF(N1122&lt;6,"中","高"))))),IF(OR(I1122="ILF",I1122="EIF"),IF(OR(X1122="估算法",X1122="算法类",X1122="无法识别"),"低",IF(M1122&lt;2,IF(N1122&lt;51,"低","中"),IF(M1122&lt;6,IF(N1122&lt;20,"低",IF(N1122&lt;51,"中","高")),IF(N1122&lt;20,"中","高")))),"不计算")))</f>
        <v/>
      </c>
      <c r="P1122" s="142">
        <f>IFERROR(IF(I1122="EI",IF(O1122="低",3,IF(O1122="中",4,6)),IF(I1122="EO",IF(O1122="低",4,IF(O1122="中",5,7)),IF(I1122="EQ",IF(O1122="低",3,IF(O1122="中",4,6)),IF(I1122="ILF",IF(O1122="低",7,IF(O1122="中",10,15)),IF(I1122="EIF",IF(O1122="低",5,IF(O1122="中",7,10)),"不计算")))))*Q1122,"不计算")</f>
        <v/>
      </c>
      <c r="Q1122" s="142" t="n">
        <v>1</v>
      </c>
      <c r="R1122" s="143">
        <f>调整因子!$F$13</f>
        <v/>
      </c>
      <c r="S1122" s="70" t="n">
        <v>1</v>
      </c>
      <c r="T1122" s="144">
        <f>IFERROR(P1122*R1122,0)</f>
        <v/>
      </c>
      <c r="U1122" s="145">
        <f>T1122*S1122</f>
        <v/>
      </c>
      <c r="V1122" s="96" t="inlineStr">
        <is>
          <t>数据清洗任务表、资产同步任务表、同步任务调度表、任务统计数据表、任务趋势分析表</t>
        </is>
      </c>
      <c r="W1122" s="96" t="inlineStr"/>
      <c r="X1122"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Y1122" s="88" t="n"/>
      <c r="Z1122" s="88" t="n"/>
    </row>
    <row r="1123" hidden="1" ht="86.40000000000001" customHeight="1">
      <c r="A1123" s="69">
        <f>ROW()-1</f>
        <v/>
      </c>
      <c r="B1123" s="53" t="n"/>
      <c r="C1123" s="117" t="n">
        <v>2026</v>
      </c>
      <c r="D1123" s="64" t="n"/>
      <c r="E1123" s="53" t="n"/>
      <c r="F1123" s="53" t="n"/>
      <c r="G1123" s="53" t="n"/>
      <c r="H1123" s="96" t="inlineStr">
        <is>
          <t>下载日志文件</t>
        </is>
      </c>
      <c r="I1123" s="76" t="inlineStr">
        <is>
          <t>EO</t>
        </is>
      </c>
      <c r="J1123" s="95" t="n"/>
      <c r="K1123" s="95" t="n"/>
      <c r="L1123" s="83">
        <f>IF(OR(X1123="估算法",X1123="算法类",X1123="无法识别"),"",IF(V1123="",IF(OR(I1123="EI",I1123="EO",I1123="EQ"),0,""),LEN(V1123)-LEN(SUBSTITUTE(V1123,"、",""))+1))</f>
        <v/>
      </c>
      <c r="M1123" s="83">
        <f>IF(OR(X1123="估算法",X1123="算法类",X1123="无法识别"),"",IF(W1123="",IF(OR(I1123="ILF",I1123="EIF"),0,""),LEN(W1123)-LEN(SUBSTITUTE(W1123,"、",""))+1))</f>
        <v/>
      </c>
      <c r="N1123" s="83">
        <f>IF(OR(X1123="估算法",X1123="算法类",X1123="无法识别"),"",IF(X1123="",IF(OR(I1123="ILF",I1123="EIF",I1123="EI",I1123="EO",I1123="EQ"),0,""),LEN(X1123)-LEN(SUBSTITUTE(SUBSTITUTE(SUBSTITUTE(SUBSTITUTE(SUBSTITUTE(X1123,"|}","--"),"{|","--"),CHAR(10),""),"、",""),"|",""))+IF(AND(OR(I1123="EI",I1123="EO",I1123="EQ"),$AD$1="NESMA"),2,1)))</f>
        <v/>
      </c>
      <c r="O1123" s="84">
        <f>IF(I1123="EI",IF(OR(X1123="估算法",X1123="算法类"),"中",IF(X1123="无法识别","低",IF(L1123&lt;2,IF(N1123&lt;16,"低","中"),IF(L1123&lt;3,IF(N1123&lt;5,"低",IF(N1123&lt;16,"中","高")),IF(N1123&lt;5,"中","高"))))),IF(OR(I1123="EO",I1123="EQ"),IF(OR(X1123="估算法",X1123="算法类"),"中",IF(X1123="无法识别","低",IF(L1123&lt;2,IF(N1123&lt;20,"低","中"),IF(L1123&lt;4,IF(N1123&lt;6,"低",IF(N1123&lt;20,"中","高")),IF(N1123&lt;6,"中","高"))))),IF(OR(I1123="ILF",I1123="EIF"),IF(OR(X1123="估算法",X1123="算法类",X1123="无法识别"),"低",IF(M1123&lt;2,IF(N1123&lt;51,"低","中"),IF(M1123&lt;6,IF(N1123&lt;20,"低",IF(N1123&lt;51,"中","高")),IF(N1123&lt;20,"中","高")))),"不计算")))</f>
        <v/>
      </c>
      <c r="P1123" s="142">
        <f>IFERROR(IF(I1123="EI",IF(O1123="低",3,IF(O1123="中",4,6)),IF(I1123="EO",IF(O1123="低",4,IF(O1123="中",5,7)),IF(I1123="EQ",IF(O1123="低",3,IF(O1123="中",4,6)),IF(I1123="ILF",IF(O1123="低",7,IF(O1123="中",10,15)),IF(I1123="EIF",IF(O1123="低",5,IF(O1123="中",7,10)),"不计算")))))*Q1123,"不计算")</f>
        <v/>
      </c>
      <c r="Q1123" s="142" t="n">
        <v>1</v>
      </c>
      <c r="R1123" s="143">
        <f>调整因子!$F$13</f>
        <v/>
      </c>
      <c r="S1123" s="70" t="n">
        <v>1</v>
      </c>
      <c r="T1123" s="144">
        <f>IFERROR(P1123*R1123,0)</f>
        <v/>
      </c>
      <c r="U1123" s="145">
        <f>T1123*S1123</f>
        <v/>
      </c>
      <c r="V1123" s="96" t="inlineStr">
        <is>
          <t>任务日志表、推送日志表、日志加密配置表、审计日志表、日志采集配置表</t>
        </is>
      </c>
      <c r="W1123" s="96" t="inlineStr"/>
      <c r="X1123" s="111"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
日志采集配置表{配置ID、配置名称|配置ID、配置名称、配置类型、配置值、创建时间}</t>
        </is>
      </c>
      <c r="Y1123" s="88" t="n"/>
      <c r="Z1123" s="88" t="n"/>
    </row>
    <row r="1124" hidden="1" ht="108" customHeight="1">
      <c r="A1124" s="69">
        <f>ROW()-1</f>
        <v/>
      </c>
      <c r="B1124" s="53" t="n"/>
      <c r="C1124" s="117" t="n">
        <v>2026</v>
      </c>
      <c r="D1124" s="64" t="n"/>
      <c r="E1124" s="54" t="n"/>
      <c r="F1124" s="54" t="n"/>
      <c r="G1124" s="54" t="n"/>
      <c r="H1124" s="96" t="inlineStr">
        <is>
          <t>查询任务日志</t>
        </is>
      </c>
      <c r="I1124" s="76" t="inlineStr">
        <is>
          <t>EQ</t>
        </is>
      </c>
      <c r="J1124" s="95" t="n"/>
      <c r="K1124" s="95" t="n"/>
      <c r="L1124" s="83">
        <f>IF(OR(X1124="估算法",X1124="算法类",X1124="无法识别"),"",IF(V1124="",IF(OR(I1124="EI",I1124="EO",I1124="EQ"),0,""),LEN(V1124)-LEN(SUBSTITUTE(V1124,"、",""))+1))</f>
        <v/>
      </c>
      <c r="M1124" s="83">
        <f>IF(OR(X1124="估算法",X1124="算法类",X1124="无法识别"),"",IF(W1124="",IF(OR(I1124="ILF",I1124="EIF"),0,""),LEN(W1124)-LEN(SUBSTITUTE(W1124,"、",""))+1))</f>
        <v/>
      </c>
      <c r="N1124" s="83">
        <f>IF(OR(X1124="估算法",X1124="算法类",X1124="无法识别"),"",IF(X1124="",IF(OR(I1124="ILF",I1124="EIF",I1124="EI",I1124="EO",I1124="EQ"),0,""),LEN(X1124)-LEN(SUBSTITUTE(SUBSTITUTE(SUBSTITUTE(SUBSTITUTE(SUBSTITUTE(X1124,"|}","--"),"{|","--"),CHAR(10),""),"、",""),"|",""))+IF(AND(OR(I1124="EI",I1124="EO",I1124="EQ"),$AD$1="NESMA"),2,1)))</f>
        <v/>
      </c>
      <c r="O1124" s="84">
        <f>IF(I1124="EI",IF(OR(X1124="估算法",X1124="算法类"),"中",IF(X1124="无法识别","低",IF(L1124&lt;2,IF(N1124&lt;16,"低","中"),IF(L1124&lt;3,IF(N1124&lt;5,"低",IF(N1124&lt;16,"中","高")),IF(N1124&lt;5,"中","高"))))),IF(OR(I1124="EO",I1124="EQ"),IF(OR(X1124="估算法",X1124="算法类"),"中",IF(X1124="无法识别","低",IF(L1124&lt;2,IF(N1124&lt;20,"低","中"),IF(L1124&lt;4,IF(N1124&lt;6,"低",IF(N1124&lt;20,"中","高")),IF(N1124&lt;6,"中","高"))))),IF(OR(I1124="ILF",I1124="EIF"),IF(OR(X1124="估算法",X1124="算法类",X1124="无法识别"),"低",IF(M1124&lt;2,IF(N1124&lt;51,"低","中"),IF(M1124&lt;6,IF(N1124&lt;20,"低",IF(N1124&lt;51,"中","高")),IF(N1124&lt;20,"中","高")))),"不计算")))</f>
        <v/>
      </c>
      <c r="P1124" s="142">
        <f>IFERROR(IF(I1124="EI",IF(O1124="低",3,IF(O1124="中",4,6)),IF(I1124="EO",IF(O1124="低",4,IF(O1124="中",5,7)),IF(I1124="EQ",IF(O1124="低",3,IF(O1124="中",4,6)),IF(I1124="ILF",IF(O1124="低",7,IF(O1124="中",10,15)),IF(I1124="EIF",IF(O1124="低",5,IF(O1124="中",7,10)),"不计算")))))*Q1124,"不计算")</f>
        <v/>
      </c>
      <c r="Q1124" s="142" t="n">
        <v>1</v>
      </c>
      <c r="R1124" s="143">
        <f>调整因子!$F$13</f>
        <v/>
      </c>
      <c r="S1124" s="76" t="n">
        <v>1</v>
      </c>
      <c r="T1124" s="144">
        <f>IFERROR(P1124*R1124,0)</f>
        <v/>
      </c>
      <c r="U1124" s="145">
        <f>T1124*S1124</f>
        <v/>
      </c>
      <c r="V1124" s="96" t="inlineStr">
        <is>
          <t>数据清洗任务表、资产同步任务表、同步任务调度表、任务统计数据表、任务趋势分析表</t>
        </is>
      </c>
      <c r="W1124" s="96" t="inlineStr"/>
      <c r="X1124" s="111"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Y1124" s="88" t="n"/>
      <c r="Z1124" s="88" t="n"/>
    </row>
    <row r="1125" hidden="1" ht="64.8" customHeight="1">
      <c r="A1125" s="69">
        <f>ROW()-1</f>
        <v/>
      </c>
      <c r="B1125" s="53" t="n"/>
      <c r="C1125" s="117" t="n">
        <v>2026</v>
      </c>
      <c r="D1125" s="119" t="n"/>
      <c r="E1125" s="111" t="inlineStr">
        <is>
          <t>扫描调度引擎</t>
        </is>
      </c>
      <c r="F1125" s="111" t="inlineStr">
        <is>
          <t>多扫描器统一适配层</t>
        </is>
      </c>
      <c r="G1125" s="111" t="inlineStr">
        <is>
          <t>扫描器适配管理</t>
        </is>
      </c>
      <c r="H1125" s="96" t="inlineStr">
        <is>
          <t>编辑扫描器配置</t>
        </is>
      </c>
      <c r="I1125" s="76" t="inlineStr">
        <is>
          <t>EI</t>
        </is>
      </c>
      <c r="J1125" s="95" t="n"/>
      <c r="K1125" s="95" t="n"/>
      <c r="L1125" s="83">
        <f>IF(OR(X1125="估算法",X1125="算法类",X1125="无法识别"),"",IF(V1125="",IF(OR(I1125="EI",I1125="EO",I1125="EQ"),0,""),LEN(V1125)-LEN(SUBSTITUTE(V1125,"、",""))+1))</f>
        <v/>
      </c>
      <c r="M1125" s="83">
        <f>IF(OR(X1125="估算法",X1125="算法类",X1125="无法识别"),"",IF(W1125="",IF(OR(I1125="ILF",I1125="EIF"),0,""),LEN(W1125)-LEN(SUBSTITUTE(W1125,"、",""))+1))</f>
        <v/>
      </c>
      <c r="N1125" s="83">
        <f>IF(OR(X1125="估算法",X1125="算法类",X1125="无法识别"),"",IF(X1125="",IF(OR(I1125="ILF",I1125="EIF",I1125="EI",I1125="EO",I1125="EQ"),0,""),LEN(X1125)-LEN(SUBSTITUTE(SUBSTITUTE(SUBSTITUTE(SUBSTITUTE(SUBSTITUTE(X1125,"|}","--"),"{|","--"),CHAR(10),""),"、",""),"|",""))+IF(AND(OR(I1125="EI",I1125="EO",I1125="EQ"),$AD$1="NESMA"),2,1)))</f>
        <v/>
      </c>
      <c r="O1125" s="84">
        <f>IF(I1125="EI",IF(OR(X1125="估算法",X1125="算法类"),"中",IF(X1125="无法识别","低",IF(L1125&lt;2,IF(N1125&lt;16,"低","中"),IF(L1125&lt;3,IF(N1125&lt;5,"低",IF(N1125&lt;16,"中","高")),IF(N1125&lt;5,"中","高"))))),IF(OR(I1125="EO",I1125="EQ"),IF(OR(X1125="估算法",X1125="算法类"),"中",IF(X1125="无法识别","低",IF(L1125&lt;2,IF(N1125&lt;20,"低","中"),IF(L1125&lt;4,IF(N1125&lt;6,"低",IF(N1125&lt;20,"中","高")),IF(N1125&lt;6,"中","高"))))),IF(OR(I1125="ILF",I1125="EIF"),IF(OR(X1125="估算法",X1125="算法类",X1125="无法识别"),"低",IF(M1125&lt;2,IF(N1125&lt;51,"低","中"),IF(M1125&lt;6,IF(N1125&lt;20,"低",IF(N1125&lt;51,"中","高")),IF(N1125&lt;20,"中","高")))),"不计算")))</f>
        <v/>
      </c>
      <c r="P1125" s="142">
        <f>IFERROR(IF(I1125="EI",IF(O1125="低",3,IF(O1125="中",4,6)),IF(I1125="EO",IF(O1125="低",4,IF(O1125="中",5,7)),IF(I1125="EQ",IF(O1125="低",3,IF(O1125="中",4,6)),IF(I1125="ILF",IF(O1125="低",7,IF(O1125="中",10,15)),IF(I1125="EIF",IF(O1125="低",5,IF(O1125="中",7,10)),"不计算")))))*Q1125,"不计算")</f>
        <v/>
      </c>
      <c r="Q1125" s="142" t="n">
        <v>1</v>
      </c>
      <c r="R1125" s="143">
        <f>调整因子!$F$13</f>
        <v/>
      </c>
      <c r="S1125" s="76" t="n">
        <v>1</v>
      </c>
      <c r="T1125" s="144">
        <f>IFERROR(P1125*R1125,0)</f>
        <v/>
      </c>
      <c r="U1125" s="145">
        <f>T1125*S1125</f>
        <v/>
      </c>
      <c r="V1125" s="96" t="inlineStr">
        <is>
          <t>资产扫描覆盖表、扫描盲区记录表、扫描能力缺口表</t>
        </is>
      </c>
      <c r="W1125" s="96" t="inlineStr"/>
      <c r="X1125"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Y1125" s="88" t="n"/>
      <c r="Z1125" s="88" t="n"/>
    </row>
    <row r="1126" hidden="1" ht="108" customHeight="1">
      <c r="A1126" s="69">
        <f>ROW()-1</f>
        <v/>
      </c>
      <c r="B1126" s="53" t="n"/>
      <c r="C1126" s="117" t="n">
        <v>2026</v>
      </c>
      <c r="E1126" s="53" t="n"/>
      <c r="F1126" s="53" t="n"/>
      <c r="G1126" s="53" t="n"/>
      <c r="H1126" s="96" t="inlineStr">
        <is>
          <t>删除扫描器配置</t>
        </is>
      </c>
      <c r="I1126" s="76" t="inlineStr">
        <is>
          <t>EI</t>
        </is>
      </c>
      <c r="J1126" s="95" t="n"/>
      <c r="K1126" s="95" t="n"/>
      <c r="L1126" s="83">
        <f>IF(OR(X1126="估算法",X1126="算法类",X1126="无法识别"),"",IF(V1126="",IF(OR(I1126="EI",I1126="EO",I1126="EQ"),0,""),LEN(V1126)-LEN(SUBSTITUTE(V1126,"、",""))+1))</f>
        <v/>
      </c>
      <c r="M1126" s="83">
        <f>IF(OR(X1126="估算法",X1126="算法类",X1126="无法识别"),"",IF(W1126="",IF(OR(I1126="ILF",I1126="EIF"),0,""),LEN(W1126)-LEN(SUBSTITUTE(W1126,"、",""))+1))</f>
        <v/>
      </c>
      <c r="N1126" s="83">
        <f>IF(OR(X1126="估算法",X1126="算法类",X1126="无法识别"),"",IF(X1126="",IF(OR(I1126="ILF",I1126="EIF",I1126="EI",I1126="EO",I1126="EQ"),0,""),LEN(X1126)-LEN(SUBSTITUTE(SUBSTITUTE(SUBSTITUTE(SUBSTITUTE(SUBSTITUTE(X1126,"|}","--"),"{|","--"),CHAR(10),""),"、",""),"|",""))+IF(AND(OR(I1126="EI",I1126="EO",I1126="EQ"),$AD$1="NESMA"),2,1)))</f>
        <v/>
      </c>
      <c r="O1126" s="84">
        <f>IF(I1126="EI",IF(OR(X1126="估算法",X1126="算法类"),"中",IF(X1126="无法识别","低",IF(L1126&lt;2,IF(N1126&lt;16,"低","中"),IF(L1126&lt;3,IF(N1126&lt;5,"低",IF(N1126&lt;16,"中","高")),IF(N1126&lt;5,"中","高"))))),IF(OR(I1126="EO",I1126="EQ"),IF(OR(X1126="估算法",X1126="算法类"),"中",IF(X1126="无法识别","低",IF(L1126&lt;2,IF(N1126&lt;20,"低","中"),IF(L1126&lt;4,IF(N1126&lt;6,"低",IF(N1126&lt;20,"中","高")),IF(N1126&lt;6,"中","高"))))),IF(OR(I1126="ILF",I1126="EIF"),IF(OR(X1126="估算法",X1126="算法类",X1126="无法识别"),"低",IF(M1126&lt;2,IF(N1126&lt;51,"低","中"),IF(M1126&lt;6,IF(N1126&lt;20,"低",IF(N1126&lt;51,"中","高")),IF(N1126&lt;20,"中","高")))),"不计算")))</f>
        <v/>
      </c>
      <c r="P1126" s="142">
        <f>IFERROR(IF(I1126="EI",IF(O1126="低",3,IF(O1126="中",4,6)),IF(I1126="EO",IF(O1126="低",4,IF(O1126="中",5,7)),IF(I1126="EQ",IF(O1126="低",3,IF(O1126="中",4,6)),IF(I1126="ILF",IF(O1126="低",7,IF(O1126="中",10,15)),IF(I1126="EIF",IF(O1126="低",5,IF(O1126="中",7,10)),"不计算")))))*Q1126,"不计算")</f>
        <v/>
      </c>
      <c r="Q1126" s="142" t="n">
        <v>0.333333333333333</v>
      </c>
      <c r="R1126" s="143">
        <f>调整因子!$F$13</f>
        <v/>
      </c>
      <c r="S1126" s="70" t="n">
        <v>1</v>
      </c>
      <c r="T1126" s="144">
        <f>IFERROR(P1126*R1126,0)</f>
        <v/>
      </c>
      <c r="U1126" s="145">
        <f>T1126*S1126</f>
        <v/>
      </c>
      <c r="V1126" s="96" t="inlineStr">
        <is>
          <t>资产扫描覆盖表、扫描盲区记录表、扫描能力缺口表、离线扫描报告表、任务优先级配置表</t>
        </is>
      </c>
      <c r="W1126" s="96" t="inlineStr"/>
      <c r="X1126"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任务优先级配置表{任务ID、任务名称、任务类型、任务状态、创建时间、执行时间|任务ID、任务名称、任务类型}</t>
        </is>
      </c>
      <c r="Y1126" s="88" t="n"/>
      <c r="Z1126" s="88" t="n"/>
    </row>
    <row r="1127" hidden="1" ht="86.40000000000001" customHeight="1">
      <c r="A1127" s="69">
        <f>ROW()-1</f>
        <v/>
      </c>
      <c r="B1127" s="53" t="n"/>
      <c r="C1127" s="117" t="n">
        <v>2026</v>
      </c>
      <c r="E1127" s="53" t="n"/>
      <c r="F1127" s="53" t="n"/>
      <c r="G1127" s="53" t="n"/>
      <c r="H1127" s="96" t="inlineStr">
        <is>
          <t>启用扫描器适配</t>
        </is>
      </c>
      <c r="I1127" s="76" t="inlineStr">
        <is>
          <t>EI</t>
        </is>
      </c>
      <c r="J1127" s="95" t="n"/>
      <c r="K1127" s="95" t="n"/>
      <c r="L1127" s="83">
        <f>IF(OR(X1127="估算法",X1127="算法类",X1127="无法识别"),"",IF(V1127="",IF(OR(I1127="EI",I1127="EO",I1127="EQ"),0,""),LEN(V1127)-LEN(SUBSTITUTE(V1127,"、",""))+1))</f>
        <v/>
      </c>
      <c r="M1127" s="83">
        <f>IF(OR(X1127="估算法",X1127="算法类",X1127="无法识别"),"",IF(W1127="",IF(OR(I1127="ILF",I1127="EIF"),0,""),LEN(W1127)-LEN(SUBSTITUTE(W1127,"、",""))+1))</f>
        <v/>
      </c>
      <c r="N1127" s="83">
        <f>IF(OR(X1127="估算法",X1127="算法类",X1127="无法识别"),"",IF(X1127="",IF(OR(I1127="ILF",I1127="EIF",I1127="EI",I1127="EO",I1127="EQ"),0,""),LEN(X1127)-LEN(SUBSTITUTE(SUBSTITUTE(SUBSTITUTE(SUBSTITUTE(SUBSTITUTE(X1127,"|}","--"),"{|","--"),CHAR(10),""),"、",""),"|",""))+IF(AND(OR(I1127="EI",I1127="EO",I1127="EQ"),$AD$1="NESMA"),2,1)))</f>
        <v/>
      </c>
      <c r="O1127" s="84">
        <f>IF(I1127="EI",IF(OR(X1127="估算法",X1127="算法类"),"中",IF(X1127="无法识别","低",IF(L1127&lt;2,IF(N1127&lt;16,"低","中"),IF(L1127&lt;3,IF(N1127&lt;5,"低",IF(N1127&lt;16,"中","高")),IF(N1127&lt;5,"中","高"))))),IF(OR(I1127="EO",I1127="EQ"),IF(OR(X1127="估算法",X1127="算法类"),"中",IF(X1127="无法识别","低",IF(L1127&lt;2,IF(N1127&lt;20,"低","中"),IF(L1127&lt;4,IF(N1127&lt;6,"低",IF(N1127&lt;20,"中","高")),IF(N1127&lt;6,"中","高"))))),IF(OR(I1127="ILF",I1127="EIF"),IF(OR(X1127="估算法",X1127="算法类",X1127="无法识别"),"低",IF(M1127&lt;2,IF(N1127&lt;51,"低","中"),IF(M1127&lt;6,IF(N1127&lt;20,"低",IF(N1127&lt;51,"中","高")),IF(N1127&lt;20,"中","高")))),"不计算")))</f>
        <v/>
      </c>
      <c r="P1127" s="142">
        <f>IFERROR(IF(I1127="EI",IF(O1127="低",3,IF(O1127="中",4,6)),IF(I1127="EO",IF(O1127="低",4,IF(O1127="中",5,7)),IF(I1127="EQ",IF(O1127="低",3,IF(O1127="中",4,6)),IF(I1127="ILF",IF(O1127="低",7,IF(O1127="中",10,15)),IF(I1127="EIF",IF(O1127="低",5,IF(O1127="中",7,10)),"不计算")))))*Q1127,"不计算")</f>
        <v/>
      </c>
      <c r="Q1127" s="142" t="n">
        <v>1</v>
      </c>
      <c r="R1127" s="143">
        <f>调整因子!$F$13</f>
        <v/>
      </c>
      <c r="S1127" s="70" t="n">
        <v>1</v>
      </c>
      <c r="T1127" s="144">
        <f>IFERROR(P1127*R1127,0)</f>
        <v/>
      </c>
      <c r="U1127" s="145">
        <f>T1127*S1127</f>
        <v/>
      </c>
      <c r="V1127" s="96" t="inlineStr">
        <is>
          <t>资产扫描覆盖表、扫描盲区记录表、扫描能力缺口表、离线扫描报告表</t>
        </is>
      </c>
      <c r="W1127" s="96" t="inlineStr"/>
      <c r="X1127"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Y1127" s="88" t="n"/>
      <c r="Z1127" s="88" t="n"/>
    </row>
    <row r="1128" hidden="1" ht="108" customHeight="1">
      <c r="A1128" s="69">
        <f>ROW()-1</f>
        <v/>
      </c>
      <c r="B1128" s="53" t="n"/>
      <c r="C1128" s="117" t="n">
        <v>2026</v>
      </c>
      <c r="E1128" s="53" t="n"/>
      <c r="F1128" s="53" t="n"/>
      <c r="G1128" s="53" t="n"/>
      <c r="H1128" s="96" t="inlineStr">
        <is>
          <t>停用扫描器适配</t>
        </is>
      </c>
      <c r="I1128" s="76" t="n"/>
      <c r="J1128" s="95" t="n"/>
      <c r="K1128" s="95" t="inlineStr">
        <is>
          <t>和上行合并，启停为相同功能</t>
        </is>
      </c>
      <c r="L1128" s="83">
        <f>IF(OR(X1128="估算法",X1128="算法类",X1128="无法识别"),"",IF(V1128="",IF(OR(I1128="EI",I1128="EO",I1128="EQ"),0,""),LEN(V1128)-LEN(SUBSTITUTE(V1128,"、",""))+1))</f>
        <v/>
      </c>
      <c r="M1128" s="83">
        <f>IF(OR(X1128="估算法",X1128="算法类",X1128="无法识别"),"",IF(W1128="",IF(OR(I1128="ILF",I1128="EIF"),0,""),LEN(W1128)-LEN(SUBSTITUTE(W1128,"、",""))+1))</f>
        <v/>
      </c>
      <c r="N1128" s="83">
        <f>IF(OR(X1128="估算法",X1128="算法类",X1128="无法识别"),"",IF(X1128="",IF(OR(I1128="ILF",I1128="EIF",I1128="EI",I1128="EO",I1128="EQ"),0,""),LEN(X1128)-LEN(SUBSTITUTE(SUBSTITUTE(SUBSTITUTE(SUBSTITUTE(SUBSTITUTE(X1128,"|}","--"),"{|","--"),CHAR(10),""),"、",""),"|",""))+IF(AND(OR(I1128="EI",I1128="EO",I1128="EQ"),$AD$1="NESMA"),2,1)))</f>
        <v/>
      </c>
      <c r="O1128" s="84">
        <f>IF(I1128="EI",IF(OR(X1128="估算法",X1128="算法类"),"中",IF(X1128="无法识别","低",IF(L1128&lt;2,IF(N1128&lt;16,"低","中"),IF(L1128&lt;3,IF(N1128&lt;5,"低",IF(N1128&lt;16,"中","高")),IF(N1128&lt;5,"中","高"))))),IF(OR(I1128="EO",I1128="EQ"),IF(OR(X1128="估算法",X1128="算法类"),"中",IF(X1128="无法识别","低",IF(L1128&lt;2,IF(N1128&lt;20,"低","中"),IF(L1128&lt;4,IF(N1128&lt;6,"低",IF(N1128&lt;20,"中","高")),IF(N1128&lt;6,"中","高"))))),IF(OR(I1128="ILF",I1128="EIF"),IF(OR(X1128="估算法",X1128="算法类",X1128="无法识别"),"低",IF(M1128&lt;2,IF(N1128&lt;51,"低","中"),IF(M1128&lt;6,IF(N1128&lt;20,"低",IF(N1128&lt;51,"中","高")),IF(N1128&lt;20,"中","高")))),"不计算")))</f>
        <v/>
      </c>
      <c r="P1128" s="142">
        <f>IFERROR(IF(I1128="EI",IF(O1128="低",3,IF(O1128="中",4,6)),IF(I1128="EO",IF(O1128="低",4,IF(O1128="中",5,7)),IF(I1128="EQ",IF(O1128="低",3,IF(O1128="中",4,6)),IF(I1128="ILF",IF(O1128="低",7,IF(O1128="中",10,15)),IF(I1128="EIF",IF(O1128="低",5,IF(O1128="中",7,10)),"不计算")))))*Q1128,"不计算")</f>
        <v/>
      </c>
      <c r="Q1128" s="142" t="n">
        <v>1</v>
      </c>
      <c r="R1128" s="143">
        <f>调整因子!$F$13</f>
        <v/>
      </c>
      <c r="S1128" s="76" t="n">
        <v>1</v>
      </c>
      <c r="T1128" s="144">
        <f>IFERROR(P1128*R1128,0)</f>
        <v/>
      </c>
      <c r="U1128" s="145">
        <f>T1128*S1128</f>
        <v/>
      </c>
      <c r="V1128" s="96" t="inlineStr">
        <is>
          <t>资产扫描覆盖表、扫描盲区记录表、扫描能力缺口表、离线扫描报告表、扫描策略模板表</t>
        </is>
      </c>
      <c r="W1128" s="96" t="inlineStr"/>
      <c r="X1128" s="111"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Y1128" s="88" t="n"/>
      <c r="Z1128" s="88" t="n"/>
    </row>
    <row r="1129" hidden="1" ht="75.59999999999999" customHeight="1">
      <c r="A1129" s="69">
        <f>ROW()-1</f>
        <v/>
      </c>
      <c r="B1129" s="53" t="n"/>
      <c r="C1129" s="117" t="n">
        <v>2026</v>
      </c>
      <c r="E1129" s="53" t="n"/>
      <c r="F1129" s="53" t="n"/>
      <c r="G1129" s="53" t="n"/>
      <c r="H1129" s="96" t="inlineStr">
        <is>
          <t>导出适配配置</t>
        </is>
      </c>
      <c r="I1129" s="76" t="inlineStr">
        <is>
          <t>EO</t>
        </is>
      </c>
      <c r="J1129" s="95" t="n"/>
      <c r="K1129" s="95" t="n"/>
      <c r="L1129" s="83">
        <f>IF(OR(X1129="估算法",X1129="算法类",X1129="无法识别"),"",IF(V1129="",IF(OR(I1129="EI",I1129="EO",I1129="EQ"),0,""),LEN(V1129)-LEN(SUBSTITUTE(V1129,"、",""))+1))</f>
        <v/>
      </c>
      <c r="M1129" s="83">
        <f>IF(OR(X1129="估算法",X1129="算法类",X1129="无法识别"),"",IF(W1129="",IF(OR(I1129="ILF",I1129="EIF"),0,""),LEN(W1129)-LEN(SUBSTITUTE(W1129,"、",""))+1))</f>
        <v/>
      </c>
      <c r="N1129" s="83">
        <f>IF(OR(X1129="估算法",X1129="算法类",X1129="无法识别"),"",IF(X1129="",IF(OR(I1129="ILF",I1129="EIF",I1129="EI",I1129="EO",I1129="EQ"),0,""),LEN(X1129)-LEN(SUBSTITUTE(SUBSTITUTE(SUBSTITUTE(SUBSTITUTE(SUBSTITUTE(X1129,"|}","--"),"{|","--"),CHAR(10),""),"、",""),"|",""))+IF(AND(OR(I1129="EI",I1129="EO",I1129="EQ"),$AD$1="NESMA"),2,1)))</f>
        <v/>
      </c>
      <c r="O1129" s="84">
        <f>IF(I1129="EI",IF(OR(X1129="估算法",X1129="算法类"),"中",IF(X1129="无法识别","低",IF(L1129&lt;2,IF(N1129&lt;16,"低","中"),IF(L1129&lt;3,IF(N1129&lt;5,"低",IF(N1129&lt;16,"中","高")),IF(N1129&lt;5,"中","高"))))),IF(OR(I1129="EO",I1129="EQ"),IF(OR(X1129="估算法",X1129="算法类"),"中",IF(X1129="无法识别","低",IF(L1129&lt;2,IF(N1129&lt;20,"低","中"),IF(L1129&lt;4,IF(N1129&lt;6,"低",IF(N1129&lt;20,"中","高")),IF(N1129&lt;6,"中","高"))))),IF(OR(I1129="ILF",I1129="EIF"),IF(OR(X1129="估算法",X1129="算法类",X1129="无法识别"),"低",IF(M1129&lt;2,IF(N1129&lt;51,"低","中"),IF(M1129&lt;6,IF(N1129&lt;20,"低",IF(N1129&lt;51,"中","高")),IF(N1129&lt;20,"中","高")))),"不计算")))</f>
        <v/>
      </c>
      <c r="P1129" s="142">
        <f>IFERROR(IF(I1129="EI",IF(O1129="低",3,IF(O1129="中",4,6)),IF(I1129="EO",IF(O1129="低",4,IF(O1129="中",5,7)),IF(I1129="EQ",IF(O1129="低",3,IF(O1129="中",4,6)),IF(I1129="ILF",IF(O1129="低",7,IF(O1129="中",10,15)),IF(I1129="EIF",IF(O1129="低",5,IF(O1129="中",7,10)),"不计算")))))*Q1129,"不计算")</f>
        <v/>
      </c>
      <c r="Q1129" s="142" t="n">
        <v>1</v>
      </c>
      <c r="R1129" s="143">
        <f>调整因子!$F$13</f>
        <v/>
      </c>
      <c r="S1129" s="70" t="n">
        <v>1</v>
      </c>
      <c r="T1129" s="144">
        <f>IFERROR(P1129*R1129,0)</f>
        <v/>
      </c>
      <c r="U1129" s="145">
        <f>T1129*S1129</f>
        <v/>
      </c>
      <c r="V1129" s="96" t="inlineStr">
        <is>
          <t>任务优先级配置表、模板参数配置表、处置单配置表、验证配置表、复测配置表</t>
        </is>
      </c>
      <c r="W1129" s="96" t="inlineStr"/>
      <c r="X1129"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Y1129" s="88" t="n"/>
      <c r="Z1129" s="88" t="n"/>
    </row>
    <row r="1130" hidden="1" ht="108" customHeight="1">
      <c r="A1130" s="69">
        <f>ROW()-1</f>
        <v/>
      </c>
      <c r="B1130" s="53" t="n"/>
      <c r="C1130" s="117" t="n">
        <v>2026</v>
      </c>
      <c r="E1130" s="53" t="n"/>
      <c r="F1130" s="53" t="n"/>
      <c r="G1130" s="53" t="n"/>
      <c r="H1130" s="96" t="inlineStr">
        <is>
          <t>查询扫描器列表</t>
        </is>
      </c>
      <c r="I1130" s="76" t="inlineStr">
        <is>
          <t>EO</t>
        </is>
      </c>
      <c r="J1130" s="95" t="n"/>
      <c r="K1130" s="95" t="n"/>
      <c r="L1130" s="83">
        <f>IF(OR(X1130="估算法",X1130="算法类",X1130="无法识别"),"",IF(V1130="",IF(OR(I1130="EI",I1130="EO",I1130="EQ"),0,""),LEN(V1130)-LEN(SUBSTITUTE(V1130,"、",""))+1))</f>
        <v/>
      </c>
      <c r="M1130" s="83">
        <f>IF(OR(X1130="估算法",X1130="算法类",X1130="无法识别"),"",IF(W1130="",IF(OR(I1130="ILF",I1130="EIF"),0,""),LEN(W1130)-LEN(SUBSTITUTE(W1130,"、",""))+1))</f>
        <v/>
      </c>
      <c r="N1130" s="83">
        <f>IF(OR(X1130="估算法",X1130="算法类",X1130="无法识别"),"",IF(X1130="",IF(OR(I1130="ILF",I1130="EIF",I1130="EI",I1130="EO",I1130="EQ"),0,""),LEN(X1130)-LEN(SUBSTITUTE(SUBSTITUTE(SUBSTITUTE(SUBSTITUTE(SUBSTITUTE(X1130,"|}","--"),"{|","--"),CHAR(10),""),"、",""),"|",""))+IF(AND(OR(I1130="EI",I1130="EO",I1130="EQ"),$AD$1="NESMA"),2,1)))</f>
        <v/>
      </c>
      <c r="O1130" s="84">
        <f>IF(I1130="EI",IF(OR(X1130="估算法",X1130="算法类"),"中",IF(X1130="无法识别","低",IF(L1130&lt;2,IF(N1130&lt;16,"低","中"),IF(L1130&lt;3,IF(N1130&lt;5,"低",IF(N1130&lt;16,"中","高")),IF(N1130&lt;5,"中","高"))))),IF(OR(I1130="EO",I1130="EQ"),IF(OR(X1130="估算法",X1130="算法类"),"中",IF(X1130="无法识别","低",IF(L1130&lt;2,IF(N1130&lt;20,"低","中"),IF(L1130&lt;4,IF(N1130&lt;6,"低",IF(N1130&lt;20,"中","高")),IF(N1130&lt;6,"中","高"))))),IF(OR(I1130="ILF",I1130="EIF"),IF(OR(X1130="估算法",X1130="算法类",X1130="无法识别"),"低",IF(M1130&lt;2,IF(N1130&lt;51,"低","中"),IF(M1130&lt;6,IF(N1130&lt;20,"低",IF(N1130&lt;51,"中","高")),IF(N1130&lt;20,"中","高")))),"不计算")))</f>
        <v/>
      </c>
      <c r="P1130" s="142">
        <f>IFERROR(IF(I1130="EI",IF(O1130="低",3,IF(O1130="中",4,6)),IF(I1130="EO",IF(O1130="低",4,IF(O1130="中",5,7)),IF(I1130="EQ",IF(O1130="低",3,IF(O1130="中",4,6)),IF(I1130="ILF",IF(O1130="低",7,IF(O1130="中",10,15)),IF(I1130="EIF",IF(O1130="低",5,IF(O1130="中",7,10)),"不计算")))))*Q1130,"不计算")</f>
        <v/>
      </c>
      <c r="Q1130" s="142" t="n">
        <v>1</v>
      </c>
      <c r="R1130" s="143">
        <f>调整因子!$F$13</f>
        <v/>
      </c>
      <c r="S1130" s="70" t="n">
        <v>1</v>
      </c>
      <c r="T1130" s="144">
        <f>IFERROR(P1130*R1130,0)</f>
        <v/>
      </c>
      <c r="U1130" s="145">
        <f>T1130*S1130</f>
        <v/>
      </c>
      <c r="V1130" s="96" t="inlineStr">
        <is>
          <t>资产扫描覆盖表、扫描盲区记录表、扫描能力缺口表、离线扫描报告表、扫描策略模板表</t>
        </is>
      </c>
      <c r="W1130" s="96" t="inlineStr"/>
      <c r="X1130" s="111"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Y1130" s="88" t="n"/>
      <c r="Z1130" s="88" t="n"/>
    </row>
    <row r="1131" hidden="1" ht="54" customHeight="1">
      <c r="A1131" s="69">
        <f>ROW()-1</f>
        <v/>
      </c>
      <c r="B1131" s="53" t="n"/>
      <c r="C1131" s="117" t="n">
        <v>2026</v>
      </c>
      <c r="E1131" s="53" t="n"/>
      <c r="F1131" s="53" t="n"/>
      <c r="G1131" s="54" t="n"/>
      <c r="H1131" s="96" t="inlineStr">
        <is>
          <t>查看适配详情</t>
        </is>
      </c>
      <c r="I1131" s="76" t="inlineStr">
        <is>
          <t>EQ</t>
        </is>
      </c>
      <c r="J1131" s="95" t="n"/>
      <c r="K1131" s="95" t="n"/>
      <c r="L1131" s="83">
        <f>IF(OR(X1131="估算法",X1131="算法类",X1131="无法识别"),"",IF(V1131="",IF(OR(I1131="EI",I1131="EO",I1131="EQ"),0,""),LEN(V1131)-LEN(SUBSTITUTE(V1131,"、",""))+1))</f>
        <v/>
      </c>
      <c r="M1131" s="83">
        <f>IF(OR(X1131="估算法",X1131="算法类",X1131="无法识别"),"",IF(W1131="",IF(OR(I1131="ILF",I1131="EIF"),0,""),LEN(W1131)-LEN(SUBSTITUTE(W1131,"、",""))+1))</f>
        <v/>
      </c>
      <c r="N1131" s="83">
        <f>IF(OR(X1131="估算法",X1131="算法类",X1131="无法识别"),"",IF(X1131="",IF(OR(I1131="ILF",I1131="EIF",I1131="EI",I1131="EO",I1131="EQ"),0,""),LEN(X1131)-LEN(SUBSTITUTE(SUBSTITUTE(SUBSTITUTE(SUBSTITUTE(SUBSTITUTE(X1131,"|}","--"),"{|","--"),CHAR(10),""),"、",""),"|",""))+IF(AND(OR(I1131="EI",I1131="EO",I1131="EQ"),$AD$1="NESMA"),2,1)))</f>
        <v/>
      </c>
      <c r="O1131" s="84">
        <f>IF(I1131="EI",IF(OR(X1131="估算法",X1131="算法类"),"中",IF(X1131="无法识别","低",IF(L1131&lt;2,IF(N1131&lt;16,"低","中"),IF(L1131&lt;3,IF(N1131&lt;5,"低",IF(N1131&lt;16,"中","高")),IF(N1131&lt;5,"中","高"))))),IF(OR(I1131="EO",I1131="EQ"),IF(OR(X1131="估算法",X1131="算法类"),"中",IF(X1131="无法识别","低",IF(L1131&lt;2,IF(N1131&lt;20,"低","中"),IF(L1131&lt;4,IF(N1131&lt;6,"低",IF(N1131&lt;20,"中","高")),IF(N1131&lt;6,"中","高"))))),IF(OR(I1131="ILF",I1131="EIF"),IF(OR(X1131="估算法",X1131="算法类",X1131="无法识别"),"低",IF(M1131&lt;2,IF(N1131&lt;51,"低","中"),IF(M1131&lt;6,IF(N1131&lt;20,"低",IF(N1131&lt;51,"中","高")),IF(N1131&lt;20,"中","高")))),"不计算")))</f>
        <v/>
      </c>
      <c r="P1131" s="142">
        <f>IFERROR(IF(I1131="EI",IF(O1131="低",3,IF(O1131="中",4,6)),IF(I1131="EO",IF(O1131="低",4,IF(O1131="中",5,7)),IF(I1131="EQ",IF(O1131="低",3,IF(O1131="中",4,6)),IF(I1131="ILF",IF(O1131="低",7,IF(O1131="中",10,15)),IF(I1131="EIF",IF(O1131="低",5,IF(O1131="中",7,10)),"不计算")))))*Q1131,"不计算")</f>
        <v/>
      </c>
      <c r="Q1131" s="142" t="n">
        <v>1</v>
      </c>
      <c r="R1131" s="143">
        <f>调整因子!$F$13</f>
        <v/>
      </c>
      <c r="S1131" s="76" t="n">
        <v>1</v>
      </c>
      <c r="T1131" s="144">
        <f>IFERROR(P1131*R1131,0)</f>
        <v/>
      </c>
      <c r="U1131" s="145">
        <f>T1131*S1131</f>
        <v/>
      </c>
      <c r="V1131" s="96" t="inlineStr">
        <is>
          <t>修复步骤表、推送失败重试表、加密规则表、态势大屏配置表</t>
        </is>
      </c>
      <c r="W1131" s="96" t="inlineStr"/>
      <c r="X1131" s="111" t="inlineStr">
        <is>
          <t>修复步骤表{ID、名称|ID、名称、类型、状态、创建时间、更新时间}
推送失败重试表{ID、名称|ID、名称、类型、状态、创建时间、更新时间}
加密规则表{规则ID、规则名称|规则ID、规则名称、规则类型、规则条件、创建时间}
态势大屏配置表{配置ID、配置名称|配置ID、配置名称、配置类型、配置值、创建时间}</t>
        </is>
      </c>
      <c r="Y1131" s="88" t="n"/>
      <c r="Z1131" s="88" t="n"/>
    </row>
    <row r="1132" hidden="1" ht="32.4" customHeight="1">
      <c r="A1132" s="69">
        <f>ROW()-1</f>
        <v/>
      </c>
      <c r="B1132" s="53" t="n"/>
      <c r="C1132" s="117" t="n">
        <v>2026</v>
      </c>
      <c r="E1132" s="53" t="n"/>
      <c r="F1132" s="53" t="n"/>
      <c r="G1132" s="111" t="inlineStr">
        <is>
          <t>能力抽象管理</t>
        </is>
      </c>
      <c r="H1132" s="96" t="inlineStr">
        <is>
          <t>编辑能力抽象</t>
        </is>
      </c>
      <c r="I1132" s="76" t="inlineStr">
        <is>
          <t>EI</t>
        </is>
      </c>
      <c r="J1132" s="95" t="n"/>
      <c r="K1132" s="95" t="n"/>
      <c r="L1132" s="83">
        <f>IF(OR(X1132="估算法",X1132="算法类",X1132="无法识别"),"",IF(V1132="",IF(OR(I1132="EI",I1132="EO",I1132="EQ"),0,""),LEN(V1132)-LEN(SUBSTITUTE(V1132,"、",""))+1))</f>
        <v/>
      </c>
      <c r="M1132" s="83">
        <f>IF(OR(X1132="估算法",X1132="算法类",X1132="无法识别"),"",IF(W1132="",IF(OR(I1132="ILF",I1132="EIF"),0,""),LEN(W1132)-LEN(SUBSTITUTE(W1132,"、",""))+1))</f>
        <v/>
      </c>
      <c r="N1132" s="83">
        <f>IF(OR(X1132="估算法",X1132="算法类",X1132="无法识别"),"",IF(X1132="",IF(OR(I1132="ILF",I1132="EIF",I1132="EI",I1132="EO",I1132="EQ"),0,""),LEN(X1132)-LEN(SUBSTITUTE(SUBSTITUTE(SUBSTITUTE(SUBSTITUTE(SUBSTITUTE(X1132,"|}","--"),"{|","--"),CHAR(10),""),"、",""),"|",""))+IF(AND(OR(I1132="EI",I1132="EO",I1132="EQ"),$AD$1="NESMA"),2,1)))</f>
        <v/>
      </c>
      <c r="O1132" s="84">
        <f>IF(I1132="EI",IF(OR(X1132="估算法",X1132="算法类"),"中",IF(X1132="无法识别","低",IF(L1132&lt;2,IF(N1132&lt;16,"低","中"),IF(L1132&lt;3,IF(N1132&lt;5,"低",IF(N1132&lt;16,"中","高")),IF(N1132&lt;5,"中","高"))))),IF(OR(I1132="EO",I1132="EQ"),IF(OR(X1132="估算法",X1132="算法类"),"中",IF(X1132="无法识别","低",IF(L1132&lt;2,IF(N1132&lt;20,"低","中"),IF(L1132&lt;4,IF(N1132&lt;6,"低",IF(N1132&lt;20,"中","高")),IF(N1132&lt;6,"中","高"))))),IF(OR(I1132="ILF",I1132="EIF"),IF(OR(X1132="估算法",X1132="算法类",X1132="无法识别"),"低",IF(M1132&lt;2,IF(N1132&lt;51,"低","中"),IF(M1132&lt;6,IF(N1132&lt;20,"低",IF(N1132&lt;51,"中","高")),IF(N1132&lt;20,"中","高")))),"不计算")))</f>
        <v/>
      </c>
      <c r="P1132" s="142">
        <f>IFERROR(IF(I1132="EI",IF(O1132="低",3,IF(O1132="中",4,6)),IF(I1132="EO",IF(O1132="低",4,IF(O1132="中",5,7)),IF(I1132="EQ",IF(O1132="低",3,IF(O1132="中",4,6)),IF(I1132="ILF",IF(O1132="低",7,IF(O1132="中",10,15)),IF(I1132="EIF",IF(O1132="低",5,IF(O1132="中",7,10)),"不计算")))))*Q1132,"不计算")</f>
        <v/>
      </c>
      <c r="Q1132" s="142" t="n">
        <v>0.333333333333333</v>
      </c>
      <c r="R1132" s="143">
        <f>调整因子!$F$13</f>
        <v/>
      </c>
      <c r="S1132" s="76" t="n">
        <v>1</v>
      </c>
      <c r="T1132" s="144">
        <f>IFERROR(P1132*R1132,0)</f>
        <v/>
      </c>
      <c r="U1132" s="145">
        <f>T1132*S1132</f>
        <v/>
      </c>
      <c r="V1132" s="96" t="inlineStr">
        <is>
          <t>态势数据采集表、标签定义表、同步失败重试记录表</t>
        </is>
      </c>
      <c r="W1132" s="96" t="inlineStr"/>
      <c r="X1132" s="111" t="inlineStr">
        <is>
          <t>态势数据采集表{ID、名称、类型、状态、创建时间、更新时间|ID、名称、类型}
标签定义表{ID、名称、类型、状态、创建时间、更新时间|ID、名称、类型}
同步失败重试记录表{ID、名称、类型、状态、创建时间、更新时间|ID、名称、类型}</t>
        </is>
      </c>
      <c r="Y1132" s="88" t="n"/>
      <c r="Z1132" s="88" t="n"/>
    </row>
    <row r="1133" hidden="1" ht="75.59999999999999" customHeight="1">
      <c r="A1133" s="69">
        <f>ROW()-1</f>
        <v/>
      </c>
      <c r="B1133" s="53" t="n"/>
      <c r="C1133" s="117" t="n">
        <v>2026</v>
      </c>
      <c r="E1133" s="53" t="n"/>
      <c r="F1133" s="53" t="n"/>
      <c r="G1133" s="53" t="n"/>
      <c r="H1133" s="96" t="inlineStr">
        <is>
          <t>删除能力抽象</t>
        </is>
      </c>
      <c r="I1133" s="76" t="inlineStr">
        <is>
          <t>EI</t>
        </is>
      </c>
      <c r="J1133" s="95" t="n"/>
      <c r="K1133" s="95" t="n"/>
      <c r="L1133" s="83">
        <f>IF(OR(X1133="估算法",X1133="算法类",X1133="无法识别"),"",IF(V1133="",IF(OR(I1133="EI",I1133="EO",I1133="EQ"),0,""),LEN(V1133)-LEN(SUBSTITUTE(V1133,"、",""))+1))</f>
        <v/>
      </c>
      <c r="M1133" s="83">
        <f>IF(OR(X1133="估算法",X1133="算法类",X1133="无法识别"),"",IF(W1133="",IF(OR(I1133="ILF",I1133="EIF"),0,""),LEN(W1133)-LEN(SUBSTITUTE(W1133,"、",""))+1))</f>
        <v/>
      </c>
      <c r="N1133" s="83">
        <f>IF(OR(X1133="估算法",X1133="算法类",X1133="无法识别"),"",IF(X1133="",IF(OR(I1133="ILF",I1133="EIF",I1133="EI",I1133="EO",I1133="EQ"),0,""),LEN(X1133)-LEN(SUBSTITUTE(SUBSTITUTE(SUBSTITUTE(SUBSTITUTE(SUBSTITUTE(X1133,"|}","--"),"{|","--"),CHAR(10),""),"、",""),"|",""))+IF(AND(OR(I1133="EI",I1133="EO",I1133="EQ"),$AD$1="NESMA"),2,1)))</f>
        <v/>
      </c>
      <c r="O1133" s="84">
        <f>IF(I1133="EI",IF(OR(X1133="估算法",X1133="算法类"),"中",IF(X1133="无法识别","低",IF(L1133&lt;2,IF(N1133&lt;16,"低","中"),IF(L1133&lt;3,IF(N1133&lt;5,"低",IF(N1133&lt;16,"中","高")),IF(N1133&lt;5,"中","高"))))),IF(OR(I1133="EO",I1133="EQ"),IF(OR(X1133="估算法",X1133="算法类"),"中",IF(X1133="无法识别","低",IF(L1133&lt;2,IF(N1133&lt;20,"低","中"),IF(L1133&lt;4,IF(N1133&lt;6,"低",IF(N1133&lt;20,"中","高")),IF(N1133&lt;6,"中","高"))))),IF(OR(I1133="ILF",I1133="EIF"),IF(OR(X1133="估算法",X1133="算法类",X1133="无法识别"),"低",IF(M1133&lt;2,IF(N1133&lt;51,"低","中"),IF(M1133&lt;6,IF(N1133&lt;20,"低",IF(N1133&lt;51,"中","高")),IF(N1133&lt;20,"中","高")))),"不计算")))</f>
        <v/>
      </c>
      <c r="P1133" s="142">
        <f>IFERROR(IF(I1133="EI",IF(O1133="低",3,IF(O1133="中",4,6)),IF(I1133="EO",IF(O1133="低",4,IF(O1133="中",5,7)),IF(I1133="EQ",IF(O1133="低",3,IF(O1133="中",4,6)),IF(I1133="ILF",IF(O1133="低",7,IF(O1133="中",10,15)),IF(I1133="EIF",IF(O1133="低",5,IF(O1133="中",7,10)),"不计算")))))*Q1133,"不计算")</f>
        <v/>
      </c>
      <c r="Q1133" s="142" t="n">
        <v>0.333333333333333</v>
      </c>
      <c r="R1133" s="143">
        <f>调整因子!$F$13</f>
        <v/>
      </c>
      <c r="S1133" s="70" t="n">
        <v>1</v>
      </c>
      <c r="T1133" s="144">
        <f>IFERROR(P1133*R1133,0)</f>
        <v/>
      </c>
      <c r="U1133" s="145">
        <f>T1133*S1133</f>
        <v/>
      </c>
      <c r="V1133" s="96" t="inlineStr">
        <is>
          <t>指标阈值表、任务优先级配置表、验证记录表、分类层级关系表、提醒规则表</t>
        </is>
      </c>
      <c r="W1133" s="96" t="inlineStr"/>
      <c r="X1133" s="111" t="inlineStr">
        <is>
          <t>指标阈值表{ID、名称、类型、状态、创建时间、更新时间|ID、名称、类型}
任务优先级配置表{任务ID、任务名称、任务类型、任务状态、创建时间、执行时间|任务ID、任务名称、任务类型}
验证记录表{ID、名称、类型、状态、创建时间、更新时间|ID、名称、类型}
分类层级关系表{ID、名称、类型、状态、创建时间、更新时间|ID、名称、类型}
提醒规则表{规则ID、规则名称、规则类型、规则条件、创建时间|规则ID、规则名称、规则类型}</t>
        </is>
      </c>
      <c r="Y1133" s="88" t="n"/>
      <c r="Z1133" s="88" t="n"/>
    </row>
    <row r="1134" hidden="1" ht="54" customHeight="1">
      <c r="A1134" s="69">
        <f>ROW()-1</f>
        <v/>
      </c>
      <c r="B1134" s="53" t="n"/>
      <c r="C1134" s="117" t="n">
        <v>2026</v>
      </c>
      <c r="E1134" s="53" t="n"/>
      <c r="F1134" s="53" t="n"/>
      <c r="G1134" s="53" t="n"/>
      <c r="H1134" s="96" t="inlineStr">
        <is>
          <t>启用能力映射</t>
        </is>
      </c>
      <c r="I1134" s="76" t="inlineStr">
        <is>
          <t>EI</t>
        </is>
      </c>
      <c r="J1134" s="95" t="n"/>
      <c r="K1134" s="95" t="n"/>
      <c r="L1134" s="83">
        <f>IF(OR(X1134="估算法",X1134="算法类",X1134="无法识别"),"",IF(V1134="",IF(OR(I1134="EI",I1134="EO",I1134="EQ"),0,""),LEN(V1134)-LEN(SUBSTITUTE(V1134,"、",""))+1))</f>
        <v/>
      </c>
      <c r="M1134" s="83">
        <f>IF(OR(X1134="估算法",X1134="算法类",X1134="无法识别"),"",IF(W1134="",IF(OR(I1134="ILF",I1134="EIF"),0,""),LEN(W1134)-LEN(SUBSTITUTE(W1134,"、",""))+1))</f>
        <v/>
      </c>
      <c r="N1134" s="83">
        <f>IF(OR(X1134="估算法",X1134="算法类",X1134="无法识别"),"",IF(X1134="",IF(OR(I1134="ILF",I1134="EIF",I1134="EI",I1134="EO",I1134="EQ"),0,""),LEN(X1134)-LEN(SUBSTITUTE(SUBSTITUTE(SUBSTITUTE(SUBSTITUTE(SUBSTITUTE(X1134,"|}","--"),"{|","--"),CHAR(10),""),"、",""),"|",""))+IF(AND(OR(I1134="EI",I1134="EO",I1134="EQ"),$AD$1="NESMA"),2,1)))</f>
        <v/>
      </c>
      <c r="O1134" s="84">
        <f>IF(I1134="EI",IF(OR(X1134="估算法",X1134="算法类"),"中",IF(X1134="无法识别","低",IF(L1134&lt;2,IF(N1134&lt;16,"低","中"),IF(L1134&lt;3,IF(N1134&lt;5,"低",IF(N1134&lt;16,"中","高")),IF(N1134&lt;5,"中","高"))))),IF(OR(I1134="EO",I1134="EQ"),IF(OR(X1134="估算法",X1134="算法类"),"中",IF(X1134="无法识别","低",IF(L1134&lt;2,IF(N1134&lt;20,"低","中"),IF(L1134&lt;4,IF(N1134&lt;6,"低",IF(N1134&lt;20,"中","高")),IF(N1134&lt;6,"中","高"))))),IF(OR(I1134="ILF",I1134="EIF"),IF(OR(X1134="估算法",X1134="算法类",X1134="无法识别"),"低",IF(M1134&lt;2,IF(N1134&lt;51,"低","中"),IF(M1134&lt;6,IF(N1134&lt;20,"低",IF(N1134&lt;51,"中","高")),IF(N1134&lt;20,"中","高")))),"不计算")))</f>
        <v/>
      </c>
      <c r="P1134" s="142">
        <f>IFERROR(IF(I1134="EI",IF(O1134="低",3,IF(O1134="中",4,6)),IF(I1134="EO",IF(O1134="低",4,IF(O1134="中",5,7)),IF(I1134="EQ",IF(O1134="低",3,IF(O1134="中",4,6)),IF(I1134="ILF",IF(O1134="低",7,IF(O1134="中",10,15)),IF(I1134="EIF",IF(O1134="低",5,IF(O1134="中",7,10)),"不计算")))))*Q1134,"不计算")</f>
        <v/>
      </c>
      <c r="Q1134" s="142" t="n">
        <v>0.333333333333333</v>
      </c>
      <c r="R1134" s="143">
        <f>调整因子!$F$13</f>
        <v/>
      </c>
      <c r="S1134" s="70" t="n">
        <v>1</v>
      </c>
      <c r="T1134" s="144">
        <f>IFERROR(P1134*R1134,0)</f>
        <v/>
      </c>
      <c r="U1134" s="145">
        <f>T1134*S1134</f>
        <v/>
      </c>
      <c r="V1134" s="96" t="inlineStr">
        <is>
          <t>验证任务表、报告导入记录表、推送配置表</t>
        </is>
      </c>
      <c r="W1134" s="96" t="inlineStr"/>
      <c r="X1134" s="111" t="inlineStr">
        <is>
          <t>验证任务表{任务ID、任务名称、任务类型、任务状态、创建时间、执行时间|任务ID、任务名称、任务类型}
报告导入记录表{ID、名称、类型、状态、创建时间、更新时间|ID、名称、类型}
推送配置表{配置ID、配置名称、配置类型、配置值、创建时间|配置ID、配置名称、配置类型}</t>
        </is>
      </c>
      <c r="Y1134" s="88" t="n"/>
      <c r="Z1134" s="88" t="n"/>
    </row>
    <row r="1135" hidden="1" ht="86.40000000000001" customHeight="1">
      <c r="A1135" s="69">
        <f>ROW()-1</f>
        <v/>
      </c>
      <c r="B1135" s="53" t="n"/>
      <c r="C1135" s="117" t="n">
        <v>2026</v>
      </c>
      <c r="E1135" s="53" t="n"/>
      <c r="F1135" s="53" t="n"/>
      <c r="G1135" s="53" t="n"/>
      <c r="H1135" s="96" t="inlineStr">
        <is>
          <t>停用能力映射</t>
        </is>
      </c>
      <c r="I1135" s="76" t="n"/>
      <c r="J1135" s="95" t="n"/>
      <c r="K1135" s="95" t="inlineStr">
        <is>
          <t>和上行合并，启停为相同功能</t>
        </is>
      </c>
      <c r="L1135" s="83">
        <f>IF(OR(X1135="估算法",X1135="算法类",X1135="无法识别"),"",IF(V1135="",IF(OR(I1135="EI",I1135="EO",I1135="EQ"),0,""),LEN(V1135)-LEN(SUBSTITUTE(V1135,"、",""))+1))</f>
        <v/>
      </c>
      <c r="M1135" s="83">
        <f>IF(OR(X1135="估算法",X1135="算法类",X1135="无法识别"),"",IF(W1135="",IF(OR(I1135="ILF",I1135="EIF"),0,""),LEN(W1135)-LEN(SUBSTITUTE(W1135,"、",""))+1))</f>
        <v/>
      </c>
      <c r="N1135" s="83">
        <f>IF(OR(X1135="估算法",X1135="算法类",X1135="无法识别"),"",IF(X1135="",IF(OR(I1135="ILF",I1135="EIF",I1135="EI",I1135="EO",I1135="EQ"),0,""),LEN(X1135)-LEN(SUBSTITUTE(SUBSTITUTE(SUBSTITUTE(SUBSTITUTE(SUBSTITUTE(X1135,"|}","--"),"{|","--"),CHAR(10),""),"、",""),"|",""))+IF(AND(OR(I1135="EI",I1135="EO",I1135="EQ"),$AD$1="NESMA"),2,1)))</f>
        <v/>
      </c>
      <c r="O1135" s="84">
        <f>IF(I1135="EI",IF(OR(X1135="估算法",X1135="算法类"),"中",IF(X1135="无法识别","低",IF(L1135&lt;2,IF(N1135&lt;16,"低","中"),IF(L1135&lt;3,IF(N1135&lt;5,"低",IF(N1135&lt;16,"中","高")),IF(N1135&lt;5,"中","高"))))),IF(OR(I1135="EO",I1135="EQ"),IF(OR(X1135="估算法",X1135="算法类"),"中",IF(X1135="无法识别","低",IF(L1135&lt;2,IF(N1135&lt;20,"低","中"),IF(L1135&lt;4,IF(N1135&lt;6,"低",IF(N1135&lt;20,"中","高")),IF(N1135&lt;6,"中","高"))))),IF(OR(I1135="ILF",I1135="EIF"),IF(OR(X1135="估算法",X1135="算法类",X1135="无法识别"),"低",IF(M1135&lt;2,IF(N1135&lt;51,"低","中"),IF(M1135&lt;6,IF(N1135&lt;20,"低",IF(N1135&lt;51,"中","高")),IF(N1135&lt;20,"中","高")))),"不计算")))</f>
        <v/>
      </c>
      <c r="P1135" s="142">
        <f>IFERROR(IF(I1135="EI",IF(O1135="低",3,IF(O1135="中",4,6)),IF(I1135="EO",IF(O1135="低",4,IF(O1135="中",5,7)),IF(I1135="EQ",IF(O1135="低",3,IF(O1135="中",4,6)),IF(I1135="ILF",IF(O1135="低",7,IF(O1135="中",10,15)),IF(I1135="EIF",IF(O1135="低",5,IF(O1135="中",7,10)),"不计算")))))*Q1135,"不计算")</f>
        <v/>
      </c>
      <c r="Q1135" s="142" t="n">
        <v>0.333333333333333</v>
      </c>
      <c r="R1135" s="143">
        <f>调整因子!$F$13</f>
        <v/>
      </c>
      <c r="S1135" s="76" t="n">
        <v>1</v>
      </c>
      <c r="T1135" s="144">
        <f>IFERROR(P1135*R1135,0)</f>
        <v/>
      </c>
      <c r="U1135" s="145">
        <f>T1135*S1135</f>
        <v/>
      </c>
      <c r="V1135" s="96" t="inlineStr">
        <is>
          <t>考核指标配置表、复测任务表、模板配置表、扫描任务接口配置表</t>
        </is>
      </c>
      <c r="W1135" s="96" t="inlineStr"/>
      <c r="X1135" s="111" t="inlineStr">
        <is>
          <t>考核指标配置表{配置ID、配置名称、配置类型、配置值、创建时间|配置ID、配置名称、配置类型}
复测任务表{任务ID、任务名称、任务类型、任务状态、创建时间、执行时间|任务ID、任务名称、任务类型}
模板配置表{配置ID、配置名称、配置类型、配置值、创建时间|配置ID、配置名称、配置类型}
扫描任务接口配置表{任务ID、任务名称、任务状态、扫描器类型、开始时间、结束时间、扫描结果|任务ID、任务名称、任务状态}</t>
        </is>
      </c>
      <c r="Y1135" s="88" t="n"/>
      <c r="Z1135" s="88" t="n"/>
    </row>
    <row r="1136" hidden="1" ht="54" customHeight="1">
      <c r="A1136" s="69">
        <f>ROW()-1</f>
        <v/>
      </c>
      <c r="B1136" s="53" t="n"/>
      <c r="C1136" s="117" t="n">
        <v>2026</v>
      </c>
      <c r="E1136" s="53" t="n"/>
      <c r="F1136" s="53" t="n"/>
      <c r="G1136" s="53" t="n"/>
      <c r="H1136" s="96" t="inlineStr">
        <is>
          <t>导出能力配置</t>
        </is>
      </c>
      <c r="I1136" s="76" t="inlineStr">
        <is>
          <t>EO</t>
        </is>
      </c>
      <c r="J1136" s="95" t="n"/>
      <c r="K1136" s="95" t="n"/>
      <c r="L1136" s="83">
        <f>IF(OR(X1136="估算法",X1136="算法类",X1136="无法识别"),"",IF(V1136="",IF(OR(I1136="EI",I1136="EO",I1136="EQ"),0,""),LEN(V1136)-LEN(SUBSTITUTE(V1136,"、",""))+1))</f>
        <v/>
      </c>
      <c r="M1136" s="83">
        <f>IF(OR(X1136="估算法",X1136="算法类",X1136="无法识别"),"",IF(W1136="",IF(OR(I1136="ILF",I1136="EIF"),0,""),LEN(W1136)-LEN(SUBSTITUTE(W1136,"、",""))+1))</f>
        <v/>
      </c>
      <c r="N1136" s="83">
        <f>IF(OR(X1136="估算法",X1136="算法类",X1136="无法识别"),"",IF(X1136="",IF(OR(I1136="ILF",I1136="EIF",I1136="EI",I1136="EO",I1136="EQ"),0,""),LEN(X1136)-LEN(SUBSTITUTE(SUBSTITUTE(SUBSTITUTE(SUBSTITUTE(SUBSTITUTE(X1136,"|}","--"),"{|","--"),CHAR(10),""),"、",""),"|",""))+IF(AND(OR(I1136="EI",I1136="EO",I1136="EQ"),$AD$1="NESMA"),2,1)))</f>
        <v/>
      </c>
      <c r="O1136" s="84">
        <f>IF(I1136="EI",IF(OR(X1136="估算法",X1136="算法类"),"中",IF(X1136="无法识别","低",IF(L1136&lt;2,IF(N1136&lt;16,"低","中"),IF(L1136&lt;3,IF(N1136&lt;5,"低",IF(N1136&lt;16,"中","高")),IF(N1136&lt;5,"中","高"))))),IF(OR(I1136="EO",I1136="EQ"),IF(OR(X1136="估算法",X1136="算法类"),"中",IF(X1136="无法识别","低",IF(L1136&lt;2,IF(N1136&lt;20,"低","中"),IF(L1136&lt;4,IF(N1136&lt;6,"低",IF(N1136&lt;20,"中","高")),IF(N1136&lt;6,"中","高"))))),IF(OR(I1136="ILF",I1136="EIF"),IF(OR(X1136="估算法",X1136="算法类",X1136="无法识别"),"低",IF(M1136&lt;2,IF(N1136&lt;51,"低","中"),IF(M1136&lt;6,IF(N1136&lt;20,"低",IF(N1136&lt;51,"中","高")),IF(N1136&lt;20,"中","高")))),"不计算")))</f>
        <v/>
      </c>
      <c r="P1136" s="142">
        <f>IFERROR(IF(I1136="EI",IF(O1136="低",3,IF(O1136="中",4,6)),IF(I1136="EO",IF(O1136="低",4,IF(O1136="中",5,7)),IF(I1136="EQ",IF(O1136="低",3,IF(O1136="中",4,6)),IF(I1136="ILF",IF(O1136="低",7,IF(O1136="中",10,15)),IF(I1136="EIF",IF(O1136="低",5,IF(O1136="中",7,10)),"不计算")))))*Q1136,"不计算")</f>
        <v/>
      </c>
      <c r="Q1136" s="142" t="n">
        <v>0.333333333333333</v>
      </c>
      <c r="R1136" s="143">
        <f>调整因子!$F$13</f>
        <v/>
      </c>
      <c r="S1136" s="70" t="n">
        <v>1</v>
      </c>
      <c r="T1136" s="144">
        <f>IFERROR(P1136*R1136,0)</f>
        <v/>
      </c>
      <c r="U1136" s="145">
        <f>T1136*S1136</f>
        <v/>
      </c>
      <c r="V1136" s="96" t="inlineStr">
        <is>
          <t>任务优先级配置表、模板参数配置表、处置单配置表</t>
        </is>
      </c>
      <c r="W1136" s="96" t="inlineStr"/>
      <c r="X1136"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Y1136" s="88" t="n"/>
      <c r="Z1136" s="88" t="n"/>
    </row>
    <row r="1137" hidden="1" ht="43.2" customHeight="1">
      <c r="A1137" s="69">
        <f>ROW()-1</f>
        <v/>
      </c>
      <c r="B1137" s="53" t="n"/>
      <c r="C1137" s="117" t="n">
        <v>2026</v>
      </c>
      <c r="E1137" s="53" t="n"/>
      <c r="F1137" s="53" t="n"/>
      <c r="G1137" s="53" t="n"/>
      <c r="H1137" s="96" t="inlineStr">
        <is>
          <t>查询能力列表</t>
        </is>
      </c>
      <c r="I1137" s="76" t="inlineStr">
        <is>
          <t>EO</t>
        </is>
      </c>
      <c r="J1137" s="95" t="n"/>
      <c r="K1137" s="95" t="n"/>
      <c r="L1137" s="83">
        <f>IF(OR(X1137="估算法",X1137="算法类",X1137="无法识别"),"",IF(V1137="",IF(OR(I1137="EI",I1137="EO",I1137="EQ"),0,""),LEN(V1137)-LEN(SUBSTITUTE(V1137,"、",""))+1))</f>
        <v/>
      </c>
      <c r="M1137" s="83">
        <f>IF(OR(X1137="估算法",X1137="算法类",X1137="无法识别"),"",IF(W1137="",IF(OR(I1137="ILF",I1137="EIF"),0,""),LEN(W1137)-LEN(SUBSTITUTE(W1137,"、",""))+1))</f>
        <v/>
      </c>
      <c r="N1137" s="83">
        <f>IF(OR(X1137="估算法",X1137="算法类",X1137="无法识别"),"",IF(X1137="",IF(OR(I1137="ILF",I1137="EIF",I1137="EI",I1137="EO",I1137="EQ"),0,""),LEN(X1137)-LEN(SUBSTITUTE(SUBSTITUTE(SUBSTITUTE(SUBSTITUTE(SUBSTITUTE(X1137,"|}","--"),"{|","--"),CHAR(10),""),"、",""),"|",""))+IF(AND(OR(I1137="EI",I1137="EO",I1137="EQ"),$AD$1="NESMA"),2,1)))</f>
        <v/>
      </c>
      <c r="O1137" s="84">
        <f>IF(I1137="EI",IF(OR(X1137="估算法",X1137="算法类"),"中",IF(X1137="无法识别","低",IF(L1137&lt;2,IF(N1137&lt;16,"低","中"),IF(L1137&lt;3,IF(N1137&lt;5,"低",IF(N1137&lt;16,"中","高")),IF(N1137&lt;5,"中","高"))))),IF(OR(I1137="EO",I1137="EQ"),IF(OR(X1137="估算法",X1137="算法类"),"中",IF(X1137="无法识别","低",IF(L1137&lt;2,IF(N1137&lt;20,"低","中"),IF(L1137&lt;4,IF(N1137&lt;6,"低",IF(N1137&lt;20,"中","高")),IF(N1137&lt;6,"中","高"))))),IF(OR(I1137="ILF",I1137="EIF"),IF(OR(X1137="估算法",X1137="算法类",X1137="无法识别"),"低",IF(M1137&lt;2,IF(N1137&lt;51,"低","中"),IF(M1137&lt;6,IF(N1137&lt;20,"低",IF(N1137&lt;51,"中","高")),IF(N1137&lt;20,"中","高")))),"不计算")))</f>
        <v/>
      </c>
      <c r="P1137" s="142">
        <f>IFERROR(IF(I1137="EI",IF(O1137="低",3,IF(O1137="中",4,6)),IF(I1137="EO",IF(O1137="低",4,IF(O1137="中",5,7)),IF(I1137="EQ",IF(O1137="低",3,IF(O1137="中",4,6)),IF(I1137="ILF",IF(O1137="低",7,IF(O1137="中",10,15)),IF(I1137="EIF",IF(O1137="低",5,IF(O1137="中",7,10)),"不计算")))))*Q1137,"不计算")</f>
        <v/>
      </c>
      <c r="Q1137" s="142" t="n">
        <v>0.333333333333333</v>
      </c>
      <c r="R1137" s="143">
        <f>调整因子!$F$13</f>
        <v/>
      </c>
      <c r="S1137" s="70" t="n">
        <v>1</v>
      </c>
      <c r="T1137" s="144">
        <f>IFERROR(P1137*R1137,0)</f>
        <v/>
      </c>
      <c r="U1137" s="145">
        <f>T1137*S1137</f>
        <v/>
      </c>
      <c r="V1137" s="96" t="inlineStr">
        <is>
          <t>推送结果表、采集记录表、修复步骤表、修复方案表</t>
        </is>
      </c>
      <c r="W1137" s="96" t="inlineStr"/>
      <c r="X1137" s="111" t="inlineStr">
        <is>
          <t>推送结果表{ID、名称|ID、名称、类型、状态、创建时间、更新时间}
采集记录表{ID、名称|ID、名称、类型、状态、创建时间、更新时间}
修复步骤表{ID、名称|ID、名称、类型、状态、创建时间、更新时间}
修复方案表{ID、名称|ID、名称、类型、状态、创建时间、更新时间}</t>
        </is>
      </c>
      <c r="Y1137" s="88" t="n"/>
      <c r="Z1137" s="88" t="n"/>
    </row>
    <row r="1138" hidden="1" ht="64.8" customHeight="1">
      <c r="A1138" s="69">
        <f>ROW()-1</f>
        <v/>
      </c>
      <c r="B1138" s="53" t="n"/>
      <c r="C1138" s="117" t="n">
        <v>2026</v>
      </c>
      <c r="E1138" s="53" t="n"/>
      <c r="F1138" s="53" t="n"/>
      <c r="G1138" s="54" t="n"/>
      <c r="H1138" s="96" t="inlineStr">
        <is>
          <t>查看能力详情</t>
        </is>
      </c>
      <c r="I1138" s="76" t="inlineStr">
        <is>
          <t>EQ</t>
        </is>
      </c>
      <c r="J1138" s="95" t="n"/>
      <c r="K1138" s="95" t="n"/>
      <c r="L1138" s="83">
        <f>IF(OR(X1138="估算法",X1138="算法类",X1138="无法识别"),"",IF(V1138="",IF(OR(I1138="EI",I1138="EO",I1138="EQ"),0,""),LEN(V1138)-LEN(SUBSTITUTE(V1138,"、",""))+1))</f>
        <v/>
      </c>
      <c r="M1138" s="83">
        <f>IF(OR(X1138="估算法",X1138="算法类",X1138="无法识别"),"",IF(W1138="",IF(OR(I1138="ILF",I1138="EIF"),0,""),LEN(W1138)-LEN(SUBSTITUTE(W1138,"、",""))+1))</f>
        <v/>
      </c>
      <c r="N1138" s="83">
        <f>IF(OR(X1138="估算法",X1138="算法类",X1138="无法识别"),"",IF(X1138="",IF(OR(I1138="ILF",I1138="EIF",I1138="EI",I1138="EO",I1138="EQ"),0,""),LEN(X1138)-LEN(SUBSTITUTE(SUBSTITUTE(SUBSTITUTE(SUBSTITUTE(SUBSTITUTE(X1138,"|}","--"),"{|","--"),CHAR(10),""),"、",""),"|",""))+IF(AND(OR(I1138="EI",I1138="EO",I1138="EQ"),$AD$1="NESMA"),2,1)))</f>
        <v/>
      </c>
      <c r="O1138" s="84">
        <f>IF(I1138="EI",IF(OR(X1138="估算法",X1138="算法类"),"中",IF(X1138="无法识别","低",IF(L1138&lt;2,IF(N1138&lt;16,"低","中"),IF(L1138&lt;3,IF(N1138&lt;5,"低",IF(N1138&lt;16,"中","高")),IF(N1138&lt;5,"中","高"))))),IF(OR(I1138="EO",I1138="EQ"),IF(OR(X1138="估算法",X1138="算法类"),"中",IF(X1138="无法识别","低",IF(L1138&lt;2,IF(N1138&lt;20,"低","中"),IF(L1138&lt;4,IF(N1138&lt;6,"低",IF(N1138&lt;20,"中","高")),IF(N1138&lt;6,"中","高"))))),IF(OR(I1138="ILF",I1138="EIF"),IF(OR(X1138="估算法",X1138="算法类",X1138="无法识别"),"低",IF(M1138&lt;2,IF(N1138&lt;51,"低","中"),IF(M1138&lt;6,IF(N1138&lt;20,"低",IF(N1138&lt;51,"中","高")),IF(N1138&lt;20,"中","高")))),"不计算")))</f>
        <v/>
      </c>
      <c r="P1138" s="142">
        <f>IFERROR(IF(I1138="EI",IF(O1138="低",3,IF(O1138="中",4,6)),IF(I1138="EO",IF(O1138="低",4,IF(O1138="中",5,7)),IF(I1138="EQ",IF(O1138="低",3,IF(O1138="中",4,6)),IF(I1138="ILF",IF(O1138="低",7,IF(O1138="中",10,15)),IF(I1138="EIF",IF(O1138="低",5,IF(O1138="中",7,10)),"不计算")))))*Q1138,"不计算")</f>
        <v/>
      </c>
      <c r="Q1138" s="142" t="n">
        <v>0.333333333333333</v>
      </c>
      <c r="R1138" s="143">
        <f>调整因子!$F$13</f>
        <v/>
      </c>
      <c r="S1138" s="76" t="n">
        <v>1</v>
      </c>
      <c r="T1138" s="144">
        <f>IFERROR(P1138*R1138,0)</f>
        <v/>
      </c>
      <c r="U1138" s="145">
        <f>T1138*S1138</f>
        <v/>
      </c>
      <c r="V1138" s="96" t="inlineStr">
        <is>
          <t>扫描策略模板表、验证配置表、标签分类表、处置流程定义表、指标阈值表</t>
        </is>
      </c>
      <c r="W1138" s="96" t="inlineStr"/>
      <c r="X1138" s="111" t="inlineStr">
        <is>
          <t>扫描策略模板表{任务ID、任务名称|任务ID、任务名称、任务状态、扫描器类型、开始时间、结束时间、扫描结果}
验证配置表{配置ID、配置名称|配置ID、配置名称、配置类型、配置值、创建时间}
标签分类表{ID、名称|ID、名称、类型、状态、创建时间、更新时间}
处置流程定义表{ID、名称|ID、名称、类型、状态、创建时间、更新时间}
指标阈值表{ID、名称|ID、名称、类型、状态、创建时间、更新时间}</t>
        </is>
      </c>
      <c r="Y1138" s="88" t="n"/>
      <c r="Z1138" s="88" t="n"/>
    </row>
    <row r="1139" hidden="1" ht="64.8" customHeight="1">
      <c r="A1139" s="69">
        <f>ROW()-1</f>
        <v/>
      </c>
      <c r="B1139" s="53" t="n"/>
      <c r="C1139" s="117" t="n">
        <v>2026</v>
      </c>
      <c r="E1139" s="53" t="n"/>
      <c r="F1139" s="53" t="n"/>
      <c r="G1139" s="111" t="inlineStr">
        <is>
          <t>接口封装管理</t>
        </is>
      </c>
      <c r="H1139" s="96" t="inlineStr">
        <is>
          <t>编辑接口封装</t>
        </is>
      </c>
      <c r="I1139" s="76" t="inlineStr">
        <is>
          <t>EI</t>
        </is>
      </c>
      <c r="J1139" s="95" t="n"/>
      <c r="K1139" s="95" t="n"/>
      <c r="L1139" s="83">
        <f>IF(OR(X1139="估算法",X1139="算法类",X1139="无法识别"),"",IF(V1139="",IF(OR(I1139="EI",I1139="EO",I1139="EQ"),0,""),LEN(V1139)-LEN(SUBSTITUTE(V1139,"、",""))+1))</f>
        <v/>
      </c>
      <c r="M1139" s="83">
        <f>IF(OR(X1139="估算法",X1139="算法类",X1139="无法识别"),"",IF(W1139="",IF(OR(I1139="ILF",I1139="EIF"),0,""),LEN(W1139)-LEN(SUBSTITUTE(W1139,"、",""))+1))</f>
        <v/>
      </c>
      <c r="N1139" s="83">
        <f>IF(OR(X1139="估算法",X1139="算法类",X1139="无法识别"),"",IF(X1139="",IF(OR(I1139="ILF",I1139="EIF",I1139="EI",I1139="EO",I1139="EQ"),0,""),LEN(X1139)-LEN(SUBSTITUTE(SUBSTITUTE(SUBSTITUTE(SUBSTITUTE(SUBSTITUTE(X1139,"|}","--"),"{|","--"),CHAR(10),""),"、",""),"|",""))+IF(AND(OR(I1139="EI",I1139="EO",I1139="EQ"),$AD$1="NESMA"),2,1)))</f>
        <v/>
      </c>
      <c r="O1139" s="84">
        <f>IF(I1139="EI",IF(OR(X1139="估算法",X1139="算法类"),"中",IF(X1139="无法识别","低",IF(L1139&lt;2,IF(N1139&lt;16,"低","中"),IF(L1139&lt;3,IF(N1139&lt;5,"低",IF(N1139&lt;16,"中","高")),IF(N1139&lt;5,"中","高"))))),IF(OR(I1139="EO",I1139="EQ"),IF(OR(X1139="估算法",X1139="算法类"),"中",IF(X1139="无法识别","低",IF(L1139&lt;2,IF(N1139&lt;20,"低","中"),IF(L1139&lt;4,IF(N1139&lt;6,"低",IF(N1139&lt;20,"中","高")),IF(N1139&lt;6,"中","高"))))),IF(OR(I1139="ILF",I1139="EIF"),IF(OR(X1139="估算法",X1139="算法类",X1139="无法识别"),"低",IF(M1139&lt;2,IF(N1139&lt;51,"低","中"),IF(M1139&lt;6,IF(N1139&lt;20,"低",IF(N1139&lt;51,"中","高")),IF(N1139&lt;20,"中","高")))),"不计算")))</f>
        <v/>
      </c>
      <c r="P1139" s="142">
        <f>IFERROR(IF(I1139="EI",IF(O1139="低",3,IF(O1139="中",4,6)),IF(I1139="EO",IF(O1139="低",4,IF(O1139="中",5,7)),IF(I1139="EQ",IF(O1139="低",3,IF(O1139="中",4,6)),IF(I1139="ILF",IF(O1139="低",7,IF(O1139="中",10,15)),IF(I1139="EIF",IF(O1139="低",5,IF(O1139="中",7,10)),"不计算")))))*Q1139,"不计算")</f>
        <v/>
      </c>
      <c r="Q1139" s="142" t="n">
        <v>0.333333333333333</v>
      </c>
      <c r="R1139" s="143">
        <f>调整因子!$F$13</f>
        <v/>
      </c>
      <c r="S1139" s="76" t="n">
        <v>1</v>
      </c>
      <c r="T1139" s="144">
        <f>IFERROR(P1139*R1139,0)</f>
        <v/>
      </c>
      <c r="U1139" s="145">
        <f>T1139*S1139</f>
        <v/>
      </c>
      <c r="V1139" s="96" t="inlineStr">
        <is>
          <t>处置单关联表、接口参数配置表、任务日志表、加密算法表</t>
        </is>
      </c>
      <c r="W1139" s="96" t="inlineStr"/>
      <c r="X1139" s="111" t="inlineStr">
        <is>
          <t>处置单关联表{ID、名称、类型、状态、创建时间、更新时间|ID、名称、类型}
接口参数配置表{配置ID、配置名称、配置类型、配置值、创建时间|配置ID、配置名称、配置类型}
任务日志表{任务ID、任务名称、任务类型、任务状态、创建时间、执行时间|任务ID、任务名称、任务类型}
加密算法表{ID、名称、类型、状态、创建时间、更新时间|ID、名称、类型}</t>
        </is>
      </c>
      <c r="Y1139" s="88" t="n"/>
      <c r="Z1139" s="88" t="n"/>
    </row>
    <row r="1140" hidden="1" ht="54" customHeight="1">
      <c r="A1140" s="69">
        <f>ROW()-1</f>
        <v/>
      </c>
      <c r="B1140" s="53" t="n"/>
      <c r="C1140" s="117" t="n">
        <v>2026</v>
      </c>
      <c r="E1140" s="53" t="n"/>
      <c r="F1140" s="53" t="n"/>
      <c r="G1140" s="53" t="n"/>
      <c r="H1140" s="96" t="inlineStr">
        <is>
          <t>删除接口封装</t>
        </is>
      </c>
      <c r="I1140" s="76" t="inlineStr">
        <is>
          <t>EI</t>
        </is>
      </c>
      <c r="J1140" s="95" t="n"/>
      <c r="K1140" s="95" t="n"/>
      <c r="L1140" s="83">
        <f>IF(OR(X1140="估算法",X1140="算法类",X1140="无法识别"),"",IF(V1140="",IF(OR(I1140="EI",I1140="EO",I1140="EQ"),0,""),LEN(V1140)-LEN(SUBSTITUTE(V1140,"、",""))+1))</f>
        <v/>
      </c>
      <c r="M1140" s="83">
        <f>IF(OR(X1140="估算法",X1140="算法类",X1140="无法识别"),"",IF(W1140="",IF(OR(I1140="ILF",I1140="EIF"),0,""),LEN(W1140)-LEN(SUBSTITUTE(W1140,"、",""))+1))</f>
        <v/>
      </c>
      <c r="N1140" s="83">
        <f>IF(OR(X1140="估算法",X1140="算法类",X1140="无法识别"),"",IF(X1140="",IF(OR(I1140="ILF",I1140="EIF",I1140="EI",I1140="EO",I1140="EQ"),0,""),LEN(X1140)-LEN(SUBSTITUTE(SUBSTITUTE(SUBSTITUTE(SUBSTITUTE(SUBSTITUTE(X1140,"|}","--"),"{|","--"),CHAR(10),""),"、",""),"|",""))+IF(AND(OR(I1140="EI",I1140="EO",I1140="EQ"),$AD$1="NESMA"),2,1)))</f>
        <v/>
      </c>
      <c r="O1140" s="84">
        <f>IF(I1140="EI",IF(OR(X1140="估算法",X1140="算法类"),"中",IF(X1140="无法识别","低",IF(L1140&lt;2,IF(N1140&lt;16,"低","中"),IF(L1140&lt;3,IF(N1140&lt;5,"低",IF(N1140&lt;16,"中","高")),IF(N1140&lt;5,"中","高"))))),IF(OR(I1140="EO",I1140="EQ"),IF(OR(X1140="估算法",X1140="算法类"),"中",IF(X1140="无法识别","低",IF(L1140&lt;2,IF(N1140&lt;20,"低","中"),IF(L1140&lt;4,IF(N1140&lt;6,"低",IF(N1140&lt;20,"中","高")),IF(N1140&lt;6,"中","高"))))),IF(OR(I1140="ILF",I1140="EIF"),IF(OR(X1140="估算法",X1140="算法类",X1140="无法识别"),"低",IF(M1140&lt;2,IF(N1140&lt;51,"低","中"),IF(M1140&lt;6,IF(N1140&lt;20,"低",IF(N1140&lt;51,"中","高")),IF(N1140&lt;20,"中","高")))),"不计算")))</f>
        <v/>
      </c>
      <c r="P1140" s="142">
        <f>IFERROR(IF(I1140="EI",IF(O1140="低",3,IF(O1140="中",4,6)),IF(I1140="EO",IF(O1140="低",4,IF(O1140="中",5,7)),IF(I1140="EQ",IF(O1140="低",3,IF(O1140="中",4,6)),IF(I1140="ILF",IF(O1140="低",7,IF(O1140="中",10,15)),IF(I1140="EIF",IF(O1140="低",5,IF(O1140="中",7,10)),"不计算")))))*Q1140,"不计算")</f>
        <v/>
      </c>
      <c r="Q1140" s="142" t="n">
        <v>0.333333333333333</v>
      </c>
      <c r="R1140" s="143">
        <f>调整因子!$F$13</f>
        <v/>
      </c>
      <c r="S1140" s="70" t="n">
        <v>1</v>
      </c>
      <c r="T1140" s="144">
        <f>IFERROR(P1140*R1140,0)</f>
        <v/>
      </c>
      <c r="U1140" s="145">
        <f>T1140*S1140</f>
        <v/>
      </c>
      <c r="V1140" s="96" t="inlineStr">
        <is>
          <t>日志加密配置表、采集记录表、提醒规则表</t>
        </is>
      </c>
      <c r="W1140" s="96" t="inlineStr"/>
      <c r="X1140" s="111" t="inlineStr">
        <is>
          <t>日志加密配置表{配置ID、配置名称、配置类型、配置值、创建时间|配置ID、配置名称、配置类型}
采集记录表{ID、名称、类型、状态、创建时间、更新时间|ID、名称、类型}
提醒规则表{规则ID、规则名称、规则类型、规则条件、创建时间|规则ID、规则名称、规则类型}</t>
        </is>
      </c>
      <c r="Y1140" s="88" t="n"/>
      <c r="Z1140" s="88" t="n"/>
    </row>
    <row r="1141" hidden="1" ht="64.8" customHeight="1">
      <c r="A1141" s="69">
        <f>ROW()-1</f>
        <v/>
      </c>
      <c r="B1141" s="53" t="n"/>
      <c r="C1141" s="117" t="n">
        <v>2026</v>
      </c>
      <c r="E1141" s="53" t="n"/>
      <c r="F1141" s="53" t="n"/>
      <c r="G1141" s="53" t="n"/>
      <c r="H1141" s="96" t="inlineStr">
        <is>
          <t>启用接口封装</t>
        </is>
      </c>
      <c r="I1141" s="76" t="inlineStr">
        <is>
          <t>EI</t>
        </is>
      </c>
      <c r="J1141" s="95" t="n"/>
      <c r="K1141" s="95" t="n"/>
      <c r="L1141" s="83">
        <f>IF(OR(X1141="估算法",X1141="算法类",X1141="无法识别"),"",IF(V1141="",IF(OR(I1141="EI",I1141="EO",I1141="EQ"),0,""),LEN(V1141)-LEN(SUBSTITUTE(V1141,"、",""))+1))</f>
        <v/>
      </c>
      <c r="M1141" s="83">
        <f>IF(OR(X1141="估算法",X1141="算法类",X1141="无法识别"),"",IF(W1141="",IF(OR(I1141="ILF",I1141="EIF"),0,""),LEN(W1141)-LEN(SUBSTITUTE(W1141,"、",""))+1))</f>
        <v/>
      </c>
      <c r="N1141" s="83">
        <f>IF(OR(X1141="估算法",X1141="算法类",X1141="无法识别"),"",IF(X1141="",IF(OR(I1141="ILF",I1141="EIF",I1141="EI",I1141="EO",I1141="EQ"),0,""),LEN(X1141)-LEN(SUBSTITUTE(SUBSTITUTE(SUBSTITUTE(SUBSTITUTE(SUBSTITUTE(X1141,"|}","--"),"{|","--"),CHAR(10),""),"、",""),"|",""))+IF(AND(OR(I1141="EI",I1141="EO",I1141="EQ"),$AD$1="NESMA"),2,1)))</f>
        <v/>
      </c>
      <c r="O1141" s="84">
        <f>IF(I1141="EI",IF(OR(X1141="估算法",X1141="算法类"),"中",IF(X1141="无法识别","低",IF(L1141&lt;2,IF(N1141&lt;16,"低","中"),IF(L1141&lt;3,IF(N1141&lt;5,"低",IF(N1141&lt;16,"中","高")),IF(N1141&lt;5,"中","高"))))),IF(OR(I1141="EO",I1141="EQ"),IF(OR(X1141="估算法",X1141="算法类"),"中",IF(X1141="无法识别","低",IF(L1141&lt;2,IF(N1141&lt;20,"低","中"),IF(L1141&lt;4,IF(N1141&lt;6,"低",IF(N1141&lt;20,"中","高")),IF(N1141&lt;6,"中","高"))))),IF(OR(I1141="ILF",I1141="EIF"),IF(OR(X1141="估算法",X1141="算法类",X1141="无法识别"),"低",IF(M1141&lt;2,IF(N1141&lt;51,"低","中"),IF(M1141&lt;6,IF(N1141&lt;20,"低",IF(N1141&lt;51,"中","高")),IF(N1141&lt;20,"中","高")))),"不计算")))</f>
        <v/>
      </c>
      <c r="P1141" s="142">
        <f>IFERROR(IF(I1141="EI",IF(O1141="低",3,IF(O1141="中",4,6)),IF(I1141="EO",IF(O1141="低",4,IF(O1141="中",5,7)),IF(I1141="EQ",IF(O1141="低",3,IF(O1141="中",4,6)),IF(I1141="ILF",IF(O1141="低",7,IF(O1141="中",10,15)),IF(I1141="EIF",IF(O1141="低",5,IF(O1141="中",7,10)),"不计算")))))*Q1141,"不计算")</f>
        <v/>
      </c>
      <c r="Q1141" s="142" t="n">
        <v>0.333333333333333</v>
      </c>
      <c r="R1141" s="143">
        <f>调整因子!$F$13</f>
        <v/>
      </c>
      <c r="S1141" s="70" t="n">
        <v>1</v>
      </c>
      <c r="T1141" s="144">
        <f>IFERROR(P1141*R1141,0)</f>
        <v/>
      </c>
      <c r="U1141" s="145">
        <f>T1141*S1141</f>
        <v/>
      </c>
      <c r="V1141" s="96" t="inlineStr">
        <is>
          <t>模板配置表、日志采集配置表、接口参数配置表</t>
        </is>
      </c>
      <c r="W1141" s="96" t="inlineStr"/>
      <c r="X1141" s="111" t="inlineStr">
        <is>
          <t>模板配置表{配置ID、配置名称、配置类型、配置值、创建时间|配置ID、配置名称、配置类型}
日志采集配置表{配置ID、配置名称、配置类型、配置值、创建时间|配置ID、配置名称、配置类型}
接口参数配置表{配置ID、配置名称、配置类型、配置值、创建时间|配置ID、配置名称、配置类型}</t>
        </is>
      </c>
      <c r="Y1141" s="88" t="n"/>
      <c r="Z1141" s="88" t="n"/>
    </row>
    <row r="1142" hidden="1" ht="64.8" customHeight="1">
      <c r="A1142" s="69">
        <f>ROW()-1</f>
        <v/>
      </c>
      <c r="B1142" s="53" t="n"/>
      <c r="C1142" s="117" t="n">
        <v>2026</v>
      </c>
      <c r="E1142" s="53" t="n"/>
      <c r="F1142" s="53" t="n"/>
      <c r="G1142" s="53" t="n"/>
      <c r="H1142" s="96" t="inlineStr">
        <is>
          <t>停用接口封装</t>
        </is>
      </c>
      <c r="I1142" s="76" t="n"/>
      <c r="J1142" s="95" t="n"/>
      <c r="K1142" s="95" t="inlineStr">
        <is>
          <t>和上行合并，启停为相同功能</t>
        </is>
      </c>
      <c r="L1142" s="83">
        <f>IF(OR(X1142="估算法",X1142="算法类",X1142="无法识别"),"",IF(V1142="",IF(OR(I1142="EI",I1142="EO",I1142="EQ"),0,""),LEN(V1142)-LEN(SUBSTITUTE(V1142,"、",""))+1))</f>
        <v/>
      </c>
      <c r="M1142" s="83">
        <f>IF(OR(X1142="估算法",X1142="算法类",X1142="无法识别"),"",IF(W1142="",IF(OR(I1142="ILF",I1142="EIF"),0,""),LEN(W1142)-LEN(SUBSTITUTE(W1142,"、",""))+1))</f>
        <v/>
      </c>
      <c r="N1142" s="83">
        <f>IF(OR(X1142="估算法",X1142="算法类",X1142="无法识别"),"",IF(X1142="",IF(OR(I1142="ILF",I1142="EIF",I1142="EI",I1142="EO",I1142="EQ"),0,""),LEN(X1142)-LEN(SUBSTITUTE(SUBSTITUTE(SUBSTITUTE(SUBSTITUTE(SUBSTITUTE(X1142,"|}","--"),"{|","--"),CHAR(10),""),"、",""),"|",""))+IF(AND(OR(I1142="EI",I1142="EO",I1142="EQ"),$AD$1="NESMA"),2,1)))</f>
        <v/>
      </c>
      <c r="O1142" s="84">
        <f>IF(I1142="EI",IF(OR(X1142="估算法",X1142="算法类"),"中",IF(X1142="无法识别","低",IF(L1142&lt;2,IF(N1142&lt;16,"低","中"),IF(L1142&lt;3,IF(N1142&lt;5,"低",IF(N1142&lt;16,"中","高")),IF(N1142&lt;5,"中","高"))))),IF(OR(I1142="EO",I1142="EQ"),IF(OR(X1142="估算法",X1142="算法类"),"中",IF(X1142="无法识别","低",IF(L1142&lt;2,IF(N1142&lt;20,"低","中"),IF(L1142&lt;4,IF(N1142&lt;6,"低",IF(N1142&lt;20,"中","高")),IF(N1142&lt;6,"中","高"))))),IF(OR(I1142="ILF",I1142="EIF"),IF(OR(X1142="估算法",X1142="算法类",X1142="无法识别"),"低",IF(M1142&lt;2,IF(N1142&lt;51,"低","中"),IF(M1142&lt;6,IF(N1142&lt;20,"低",IF(N1142&lt;51,"中","高")),IF(N1142&lt;20,"中","高")))),"不计算")))</f>
        <v/>
      </c>
      <c r="P1142" s="142">
        <f>IFERROR(IF(I1142="EI",IF(O1142="低",3,IF(O1142="中",4,6)),IF(I1142="EO",IF(O1142="低",4,IF(O1142="中",5,7)),IF(I1142="EQ",IF(O1142="低",3,IF(O1142="中",4,6)),IF(I1142="ILF",IF(O1142="低",7,IF(O1142="中",10,15)),IF(I1142="EIF",IF(O1142="低",5,IF(O1142="中",7,10)),"不计算")))))*Q1142,"不计算")</f>
        <v/>
      </c>
      <c r="Q1142" s="142" t="n">
        <v>0.333333333333333</v>
      </c>
      <c r="R1142" s="143">
        <f>调整因子!$F$13</f>
        <v/>
      </c>
      <c r="S1142" s="76" t="n">
        <v>1</v>
      </c>
      <c r="T1142" s="144">
        <f>IFERROR(P1142*R1142,0)</f>
        <v/>
      </c>
      <c r="U1142" s="145">
        <f>T1142*S1142</f>
        <v/>
      </c>
      <c r="V1142" s="96" t="inlineStr">
        <is>
          <t>提醒规则表、任务日志表、接口参数表</t>
        </is>
      </c>
      <c r="W1142" s="96" t="inlineStr"/>
      <c r="X1142" s="111" t="inlineStr">
        <is>
          <t>提醒规则表{规则ID、规则名称、规则类型、规则条件、创建时间|规则ID、规则名称、规则类型}
任务日志表{任务ID、任务名称、任务类型、任务状态、创建时间、执行时间|任务ID、任务名称、任务类型}
接口参数表{接口ID、接口名称、接口类型、接口地址、调用时间|接口ID、接口名称、接口类型}</t>
        </is>
      </c>
      <c r="Y1142" s="88" t="n"/>
      <c r="Z1142" s="88" t="n"/>
    </row>
    <row r="1143" hidden="1" ht="75.59999999999999" customHeight="1">
      <c r="A1143" s="69">
        <f>ROW()-1</f>
        <v/>
      </c>
      <c r="B1143" s="53" t="n"/>
      <c r="C1143" s="117" t="n">
        <v>2026</v>
      </c>
      <c r="E1143" s="53" t="n"/>
      <c r="F1143" s="53" t="n"/>
      <c r="G1143" s="53" t="n"/>
      <c r="H1143" s="96" t="inlineStr">
        <is>
          <t>导出接口配置</t>
        </is>
      </c>
      <c r="I1143" s="76" t="inlineStr">
        <is>
          <t>EO</t>
        </is>
      </c>
      <c r="J1143" s="95" t="n"/>
      <c r="K1143" s="95" t="n"/>
      <c r="L1143" s="83">
        <f>IF(OR(X1143="估算法",X1143="算法类",X1143="无法识别"),"",IF(V1143="",IF(OR(I1143="EI",I1143="EO",I1143="EQ"),0,""),LEN(V1143)-LEN(SUBSTITUTE(V1143,"、",""))+1))</f>
        <v/>
      </c>
      <c r="M1143" s="83">
        <f>IF(OR(X1143="估算法",X1143="算法类",X1143="无法识别"),"",IF(W1143="",IF(OR(I1143="ILF",I1143="EIF"),0,""),LEN(W1143)-LEN(SUBSTITUTE(W1143,"、",""))+1))</f>
        <v/>
      </c>
      <c r="N1143" s="83">
        <f>IF(OR(X1143="估算法",X1143="算法类",X1143="无法识别"),"",IF(X1143="",IF(OR(I1143="ILF",I1143="EIF",I1143="EI",I1143="EO",I1143="EQ"),0,""),LEN(X1143)-LEN(SUBSTITUTE(SUBSTITUTE(SUBSTITUTE(SUBSTITUTE(SUBSTITUTE(X1143,"|}","--"),"{|","--"),CHAR(10),""),"、",""),"|",""))+IF(AND(OR(I1143="EI",I1143="EO",I1143="EQ"),$AD$1="NESMA"),2,1)))</f>
        <v/>
      </c>
      <c r="O1143" s="84">
        <f>IF(I1143="EI",IF(OR(X1143="估算法",X1143="算法类"),"中",IF(X1143="无法识别","低",IF(L1143&lt;2,IF(N1143&lt;16,"低","中"),IF(L1143&lt;3,IF(N1143&lt;5,"低",IF(N1143&lt;16,"中","高")),IF(N1143&lt;5,"中","高"))))),IF(OR(I1143="EO",I1143="EQ"),IF(OR(X1143="估算法",X1143="算法类"),"中",IF(X1143="无法识别","低",IF(L1143&lt;2,IF(N1143&lt;20,"低","中"),IF(L1143&lt;4,IF(N1143&lt;6,"低",IF(N1143&lt;20,"中","高")),IF(N1143&lt;6,"中","高"))))),IF(OR(I1143="ILF",I1143="EIF"),IF(OR(X1143="估算法",X1143="算法类",X1143="无法识别"),"低",IF(M1143&lt;2,IF(N1143&lt;51,"低","中"),IF(M1143&lt;6,IF(N1143&lt;20,"低",IF(N1143&lt;51,"中","高")),IF(N1143&lt;20,"中","高")))),"不计算")))</f>
        <v/>
      </c>
      <c r="P1143" s="142">
        <f>IFERROR(IF(I1143="EI",IF(O1143="低",3,IF(O1143="中",4,6)),IF(I1143="EO",IF(O1143="低",4,IF(O1143="中",5,7)),IF(I1143="EQ",IF(O1143="低",3,IF(O1143="中",4,6)),IF(I1143="ILF",IF(O1143="低",7,IF(O1143="中",10,15)),IF(I1143="EIF",IF(O1143="低",5,IF(O1143="中",7,10)),"不计算")))))*Q1143,"不计算")</f>
        <v/>
      </c>
      <c r="Q1143" s="142" t="n">
        <v>0.333333333333333</v>
      </c>
      <c r="R1143" s="143">
        <f>调整因子!$F$13</f>
        <v/>
      </c>
      <c r="S1143" s="70" t="n">
        <v>1</v>
      </c>
      <c r="T1143" s="144">
        <f>IFERROR(P1143*R1143,0)</f>
        <v/>
      </c>
      <c r="U1143" s="145">
        <f>T1143*S1143</f>
        <v/>
      </c>
      <c r="V1143" s="96" t="inlineStr">
        <is>
          <t>任务优先级配置表、模板参数配置表、处置单配置表、验证配置表、复测配置表</t>
        </is>
      </c>
      <c r="W1143" s="96" t="inlineStr"/>
      <c r="X1143"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Y1143" s="88" t="n"/>
      <c r="Z1143" s="88" t="n"/>
    </row>
    <row r="1144" hidden="1" ht="86.40000000000001" customHeight="1">
      <c r="A1144" s="69">
        <f>ROW()-1</f>
        <v/>
      </c>
      <c r="B1144" s="53" t="n"/>
      <c r="C1144" s="117" t="n">
        <v>2026</v>
      </c>
      <c r="E1144" s="53" t="n"/>
      <c r="F1144" s="53" t="n"/>
      <c r="G1144" s="53" t="n"/>
      <c r="H1144" s="96" t="inlineStr">
        <is>
          <t>查询接口列表</t>
        </is>
      </c>
      <c r="I1144" s="76" t="inlineStr">
        <is>
          <t>EO</t>
        </is>
      </c>
      <c r="J1144" s="95" t="n"/>
      <c r="K1144" s="95" t="n"/>
      <c r="L1144" s="83">
        <f>IF(OR(X1144="估算法",X1144="算法类",X1144="无法识别"),"",IF(V1144="",IF(OR(I1144="EI",I1144="EO",I1144="EQ"),0,""),LEN(V1144)-LEN(SUBSTITUTE(V1144,"、",""))+1))</f>
        <v/>
      </c>
      <c r="M1144" s="83">
        <f>IF(OR(X1144="估算法",X1144="算法类",X1144="无法识别"),"",IF(W1144="",IF(OR(I1144="ILF",I1144="EIF"),0,""),LEN(W1144)-LEN(SUBSTITUTE(W1144,"、",""))+1))</f>
        <v/>
      </c>
      <c r="N1144" s="83">
        <f>IF(OR(X1144="估算法",X1144="算法类",X1144="无法识别"),"",IF(X1144="",IF(OR(I1144="ILF",I1144="EIF",I1144="EI",I1144="EO",I1144="EQ"),0,""),LEN(X1144)-LEN(SUBSTITUTE(SUBSTITUTE(SUBSTITUTE(SUBSTITUTE(SUBSTITUTE(X1144,"|}","--"),"{|","--"),CHAR(10),""),"、",""),"|",""))+IF(AND(OR(I1144="EI",I1144="EO",I1144="EQ"),$AD$1="NESMA"),2,1)))</f>
        <v/>
      </c>
      <c r="O1144" s="84">
        <f>IF(I1144="EI",IF(OR(X1144="估算法",X1144="算法类"),"中",IF(X1144="无法识别","低",IF(L1144&lt;2,IF(N1144&lt;16,"低","中"),IF(L1144&lt;3,IF(N1144&lt;5,"低",IF(N1144&lt;16,"中","高")),IF(N1144&lt;5,"中","高"))))),IF(OR(I1144="EO",I1144="EQ"),IF(OR(X1144="估算法",X1144="算法类"),"中",IF(X1144="无法识别","低",IF(L1144&lt;2,IF(N1144&lt;20,"低","中"),IF(L1144&lt;4,IF(N1144&lt;6,"低",IF(N1144&lt;20,"中","高")),IF(N1144&lt;6,"中","高"))))),IF(OR(I1144="ILF",I1144="EIF"),IF(OR(X1144="估算法",X1144="算法类",X1144="无法识别"),"低",IF(M1144&lt;2,IF(N1144&lt;51,"低","中"),IF(M1144&lt;6,IF(N1144&lt;20,"低",IF(N1144&lt;51,"中","高")),IF(N1144&lt;20,"中","高")))),"不计算")))</f>
        <v/>
      </c>
      <c r="P1144" s="142">
        <f>IFERROR(IF(I1144="EI",IF(O1144="低",3,IF(O1144="中",4,6)),IF(I1144="EO",IF(O1144="低",4,IF(O1144="中",5,7)),IF(I1144="EQ",IF(O1144="低",3,IF(O1144="中",4,6)),IF(I1144="ILF",IF(O1144="低",7,IF(O1144="中",10,15)),IF(I1144="EIF",IF(O1144="低",5,IF(O1144="中",7,10)),"不计算")))))*Q1144,"不计算")</f>
        <v/>
      </c>
      <c r="Q1144" s="142" t="n">
        <v>0.333333333333333</v>
      </c>
      <c r="R1144" s="143">
        <f>调整因子!$F$13</f>
        <v/>
      </c>
      <c r="S1144" s="70" t="n">
        <v>1</v>
      </c>
      <c r="T1144" s="144">
        <f>IFERROR(P1144*R1144,0)</f>
        <v/>
      </c>
      <c r="U1144" s="145">
        <f>T1144*S1144</f>
        <v/>
      </c>
      <c r="V1144" s="96" t="inlineStr">
        <is>
          <t>资产查询接口配置表、处置单关联表、漏洞处置单表、加密算法表、同步任务调度表</t>
        </is>
      </c>
      <c r="W1144" s="96" t="inlineStr"/>
      <c r="X1144" s="111" t="inlineStr">
        <is>
          <t>资产查询接口配置表{资产ID、资产名称|资产ID、资产名称、IP地址、资产类型、资产状态、创建时间、更新时间}
处置单关联表{ID、名称|ID、名称、类型、状态、创建时间、更新时间}
漏洞处置单表{漏洞ID、漏洞名称|漏洞ID、漏洞名称、漏洞等级、漏洞类型、CVE编号、发现时间、修复状态}
加密算法表{ID、名称|ID、名称、类型、状态、创建时间、更新时间}
同步任务调度表{任务ID、任务名称|任务ID、任务名称、任务类型、任务状态、创建时间、执行时间}</t>
        </is>
      </c>
      <c r="Y1144" s="88" t="n"/>
      <c r="Z1144" s="88" t="n"/>
    </row>
    <row r="1145" hidden="1" ht="32.4" customHeight="1">
      <c r="A1145" s="69">
        <f>ROW()-1</f>
        <v/>
      </c>
      <c r="B1145" s="53" t="n"/>
      <c r="C1145" s="117" t="n">
        <v>2026</v>
      </c>
      <c r="E1145" s="53" t="n"/>
      <c r="F1145" s="54" t="n"/>
      <c r="G1145" s="54" t="n"/>
      <c r="H1145" s="96" t="inlineStr">
        <is>
          <t>查看接口详情</t>
        </is>
      </c>
      <c r="I1145" s="76" t="inlineStr">
        <is>
          <t>EQ</t>
        </is>
      </c>
      <c r="J1145" s="95" t="n"/>
      <c r="K1145" s="95" t="n"/>
      <c r="L1145" s="83">
        <f>IF(OR(X1145="估算法",X1145="算法类",X1145="无法识别"),"",IF(V1145="",IF(OR(I1145="EI",I1145="EO",I1145="EQ"),0,""),LEN(V1145)-LEN(SUBSTITUTE(V1145,"、",""))+1))</f>
        <v/>
      </c>
      <c r="M1145" s="83">
        <f>IF(OR(X1145="估算法",X1145="算法类",X1145="无法识别"),"",IF(W1145="",IF(OR(I1145="ILF",I1145="EIF"),0,""),LEN(W1145)-LEN(SUBSTITUTE(W1145,"、",""))+1))</f>
        <v/>
      </c>
      <c r="N1145" s="83">
        <f>IF(OR(X1145="估算法",X1145="算法类",X1145="无法识别"),"",IF(X1145="",IF(OR(I1145="ILF",I1145="EIF",I1145="EI",I1145="EO",I1145="EQ"),0,""),LEN(X1145)-LEN(SUBSTITUTE(SUBSTITUTE(SUBSTITUTE(SUBSTITUTE(SUBSTITUTE(X1145,"|}","--"),"{|","--"),CHAR(10),""),"、",""),"|",""))+IF(AND(OR(I1145="EI",I1145="EO",I1145="EQ"),$AD$1="NESMA"),2,1)))</f>
        <v/>
      </c>
      <c r="O1145" s="84">
        <f>IF(I1145="EI",IF(OR(X1145="估算法",X1145="算法类"),"中",IF(X1145="无法识别","低",IF(L1145&lt;2,IF(N1145&lt;16,"低","中"),IF(L1145&lt;3,IF(N1145&lt;5,"低",IF(N1145&lt;16,"中","高")),IF(N1145&lt;5,"中","高"))))),IF(OR(I1145="EO",I1145="EQ"),IF(OR(X1145="估算法",X1145="算法类"),"中",IF(X1145="无法识别","低",IF(L1145&lt;2,IF(N1145&lt;20,"低","中"),IF(L1145&lt;4,IF(N1145&lt;6,"低",IF(N1145&lt;20,"中","高")),IF(N1145&lt;6,"中","高"))))),IF(OR(I1145="ILF",I1145="EIF"),IF(OR(X1145="估算法",X1145="算法类",X1145="无法识别"),"低",IF(M1145&lt;2,IF(N1145&lt;51,"低","中"),IF(M1145&lt;6,IF(N1145&lt;20,"低",IF(N1145&lt;51,"中","高")),IF(N1145&lt;20,"中","高")))),"不计算")))</f>
        <v/>
      </c>
      <c r="P1145" s="142">
        <f>IFERROR(IF(I1145="EI",IF(O1145="低",3,IF(O1145="中",4,6)),IF(I1145="EO",IF(O1145="低",4,IF(O1145="中",5,7)),IF(I1145="EQ",IF(O1145="低",3,IF(O1145="中",4,6)),IF(I1145="ILF",IF(O1145="低",7,IF(O1145="中",10,15)),IF(I1145="EIF",IF(O1145="低",5,IF(O1145="中",7,10)),"不计算")))))*Q1145,"不计算")</f>
        <v/>
      </c>
      <c r="Q1145" s="142" t="n">
        <v>0.333333333333333</v>
      </c>
      <c r="R1145" s="143">
        <f>调整因子!$F$13</f>
        <v/>
      </c>
      <c r="S1145" s="76" t="n">
        <v>1</v>
      </c>
      <c r="T1145" s="144">
        <f>IFERROR(P1145*R1145,0)</f>
        <v/>
      </c>
      <c r="U1145" s="145">
        <f>T1145*S1145</f>
        <v/>
      </c>
      <c r="V1145" s="96" t="inlineStr">
        <is>
          <t>模板分类表、加密策略表、修复步骤表</t>
        </is>
      </c>
      <c r="W1145" s="96" t="inlineStr"/>
      <c r="X1145" s="111" t="inlineStr">
        <is>
          <t>模板分类表{ID、名称|ID、名称、类型、状态、创建时间、更新时间}
加密策略表{策略ID、策略名称|策略ID、策略名称、策略类型、策略内容、生效时间}
修复步骤表{ID、名称|ID、名称、类型、状态、创建时间、更新时间}</t>
        </is>
      </c>
      <c r="Y1145" s="88" t="n"/>
      <c r="Z1145" s="88" t="n"/>
    </row>
    <row r="1146" hidden="1" ht="21.6" customHeight="1">
      <c r="A1146" s="69">
        <f>ROW()-1</f>
        <v/>
      </c>
      <c r="B1146" s="53" t="n"/>
      <c r="C1146" s="117" t="n">
        <v>2026</v>
      </c>
      <c r="E1146" s="53" t="n"/>
      <c r="F1146" s="111" t="inlineStr">
        <is>
          <t>扫描任务优先级与排队策略</t>
        </is>
      </c>
      <c r="G1146" s="111" t="inlineStr">
        <is>
          <t>任务优先级管理</t>
        </is>
      </c>
      <c r="H1146" s="96" t="inlineStr">
        <is>
          <t>任务优先级配置表</t>
        </is>
      </c>
      <c r="I1146" s="76" t="inlineStr">
        <is>
          <t>ILF</t>
        </is>
      </c>
      <c r="J1146" s="95" t="n"/>
      <c r="K1146" s="95" t="n"/>
      <c r="L1146" s="83">
        <f>IF(OR(X1146="估算法",X1146="算法类",X1146="无法识别"),"",IF(V1146="",IF(OR(I1146="EI",I1146="EO",I1146="EQ"),0,""),LEN(V1146)-LEN(SUBSTITUTE(V1146,"、",""))+1))</f>
        <v/>
      </c>
      <c r="M1146" s="83">
        <f>IF(OR(X1146="估算法",X1146="算法类",X1146="无法识别"),"",IF(W1146="",IF(OR(I1146="ILF",I1146="EIF"),0,""),LEN(W1146)-LEN(SUBSTITUTE(W1146,"、",""))+1))</f>
        <v/>
      </c>
      <c r="N1146" s="83">
        <f>IF(OR(X1146="估算法",X1146="算法类",X1146="无法识别"),"",IF(X1146="",IF(OR(I1146="ILF",I1146="EIF",I1146="EI",I1146="EO",I1146="EQ"),0,""),LEN(X1146)-LEN(SUBSTITUTE(SUBSTITUTE(SUBSTITUTE(SUBSTITUTE(SUBSTITUTE(X1146,"|}","--"),"{|","--"),CHAR(10),""),"、",""),"|",""))+IF(AND(OR(I1146="EI",I1146="EO",I1146="EQ"),$AD$1="NESMA"),2,1)))</f>
        <v/>
      </c>
      <c r="O1146" s="84">
        <f>IF(I1146="EI",IF(OR(X1146="估算法",X1146="算法类"),"中",IF(X1146="无法识别","低",IF(L1146&lt;2,IF(N1146&lt;16,"低","中"),IF(L1146&lt;3,IF(N1146&lt;5,"低",IF(N1146&lt;16,"中","高")),IF(N1146&lt;5,"中","高"))))),IF(OR(I1146="EO",I1146="EQ"),IF(OR(X1146="估算法",X1146="算法类"),"中",IF(X1146="无法识别","低",IF(L1146&lt;2,IF(N1146&lt;20,"低","中"),IF(L1146&lt;4,IF(N1146&lt;6,"低",IF(N1146&lt;20,"中","高")),IF(N1146&lt;6,"中","高"))))),IF(OR(I1146="ILF",I1146="EIF"),IF(OR(X1146="估算法",X1146="算法类",X1146="无法识别"),"低",IF(M1146&lt;2,IF(N1146&lt;51,"低","中"),IF(M1146&lt;6,IF(N1146&lt;20,"低",IF(N1146&lt;51,"中","高")),IF(N1146&lt;20,"中","高")))),"不计算")))</f>
        <v/>
      </c>
      <c r="P1146" s="142">
        <f>IFERROR(IF(I1146="EI",IF(O1146="低",3,IF(O1146="中",4,6)),IF(I1146="EO",IF(O1146="低",4,IF(O1146="中",5,7)),IF(I1146="EQ",IF(O1146="低",3,IF(O1146="中",4,6)),IF(I1146="ILF",IF(O1146="低",7,IF(O1146="中",10,15)),IF(I1146="EIF",IF(O1146="低",5,IF(O1146="中",7,10)),"不计算")))))*Q1146,"不计算")</f>
        <v/>
      </c>
      <c r="Q1146" s="142" t="n">
        <v>1</v>
      </c>
      <c r="R1146" s="143">
        <f>调整因子!$F$13</f>
        <v/>
      </c>
      <c r="S1146" s="76" t="n">
        <v>1</v>
      </c>
      <c r="T1146" s="144">
        <f>IFERROR(P1146*R1146,0)</f>
        <v/>
      </c>
      <c r="U1146" s="145">
        <f>T1146*S1146</f>
        <v/>
      </c>
      <c r="V1146" s="96" t="inlineStr"/>
      <c r="W1146" s="96" t="inlineStr">
        <is>
          <t>扫描任务、发现任务</t>
        </is>
      </c>
      <c r="X1146" s="111" t="inlineStr">
        <is>
          <t>任务优先级配置表{任务ID、任务名称、任务类型|任务ID、任务名称、任务类型、任务状态、创建时间、执行时间}</t>
        </is>
      </c>
      <c r="Y1146" s="88">
        <f>IF(COUNTIFS(V:V,"*"&amp;H1146&amp;"*")&gt;0,"存在","不存在")</f>
        <v/>
      </c>
      <c r="Z1146" s="88">
        <f>IF(COUNTIFS(AA:AA,"*"&amp;H1146&amp;"*")&gt;0,"存在","不存在")</f>
        <v/>
      </c>
    </row>
    <row r="1147" hidden="1" ht="86.40000000000001" customHeight="1">
      <c r="A1147" s="69">
        <f>ROW()-1</f>
        <v/>
      </c>
      <c r="B1147" s="53" t="n"/>
      <c r="C1147" s="117" t="n">
        <v>2026</v>
      </c>
      <c r="E1147" s="53" t="n"/>
      <c r="F1147" s="53" t="n"/>
      <c r="G1147" s="53" t="n"/>
      <c r="H1147" s="96" t="inlineStr">
        <is>
          <t>编辑任务优先级</t>
        </is>
      </c>
      <c r="I1147" s="76" t="inlineStr">
        <is>
          <t>EI</t>
        </is>
      </c>
      <c r="J1147" s="95" t="n"/>
      <c r="K1147" s="95" t="n"/>
      <c r="L1147" s="83">
        <f>IF(OR(X1147="估算法",X1147="算法类",X1147="无法识别"),"",IF(V1147="",IF(OR(I1147="EI",I1147="EO",I1147="EQ"),0,""),LEN(V1147)-LEN(SUBSTITUTE(V1147,"、",""))+1))</f>
        <v/>
      </c>
      <c r="M1147" s="83">
        <f>IF(OR(X1147="估算法",X1147="算法类",X1147="无法识别"),"",IF(W1147="",IF(OR(I1147="ILF",I1147="EIF"),0,""),LEN(W1147)-LEN(SUBSTITUTE(W1147,"、",""))+1))</f>
        <v/>
      </c>
      <c r="N1147" s="83">
        <f>IF(OR(X1147="估算法",X1147="算法类",X1147="无法识别"),"",IF(X1147="",IF(OR(I1147="ILF",I1147="EIF",I1147="EI",I1147="EO",I1147="EQ"),0,""),LEN(X1147)-LEN(SUBSTITUTE(SUBSTITUTE(SUBSTITUTE(SUBSTITUTE(SUBSTITUTE(X1147,"|}","--"),"{|","--"),CHAR(10),""),"、",""),"|",""))+IF(AND(OR(I1147="EI",I1147="EO",I1147="EQ"),$AD$1="NESMA"),2,1)))</f>
        <v/>
      </c>
      <c r="O1147" s="84">
        <f>IF(I1147="EI",IF(OR(X1147="估算法",X1147="算法类"),"中",IF(X1147="无法识别","低",IF(L1147&lt;2,IF(N1147&lt;16,"低","中"),IF(L1147&lt;3,IF(N1147&lt;5,"低",IF(N1147&lt;16,"中","高")),IF(N1147&lt;5,"中","高"))))),IF(OR(I1147="EO",I1147="EQ"),IF(OR(X1147="估算法",X1147="算法类"),"中",IF(X1147="无法识别","低",IF(L1147&lt;2,IF(N1147&lt;20,"低","中"),IF(L1147&lt;4,IF(N1147&lt;6,"低",IF(N1147&lt;20,"中","高")),IF(N1147&lt;6,"中","高"))))),IF(OR(I1147="ILF",I1147="EIF"),IF(OR(X1147="估算法",X1147="算法类",X1147="无法识别"),"低",IF(M1147&lt;2,IF(N1147&lt;51,"低","中"),IF(M1147&lt;6,IF(N1147&lt;20,"低",IF(N1147&lt;51,"中","高")),IF(N1147&lt;20,"中","高")))),"不计算")))</f>
        <v/>
      </c>
      <c r="P1147" s="142">
        <f>IFERROR(IF(I1147="EI",IF(O1147="低",3,IF(O1147="中",4,6)),IF(I1147="EO",IF(O1147="低",4,IF(O1147="中",5,7)),IF(I1147="EQ",IF(O1147="低",3,IF(O1147="中",4,6)),IF(I1147="ILF",IF(O1147="低",7,IF(O1147="中",10,15)),IF(I1147="EIF",IF(O1147="低",5,IF(O1147="中",7,10)),"不计算")))))*Q1147,"不计算")</f>
        <v/>
      </c>
      <c r="Q1147" s="142" t="n">
        <v>1</v>
      </c>
      <c r="R1147" s="143">
        <f>调整因子!$F$13</f>
        <v/>
      </c>
      <c r="S1147" s="70" t="n">
        <v>1</v>
      </c>
      <c r="T1147" s="144">
        <f>IFERROR(P1147*R1147,0)</f>
        <v/>
      </c>
      <c r="U1147" s="145">
        <f>T1147*S1147</f>
        <v/>
      </c>
      <c r="V1147" s="96" t="inlineStr">
        <is>
          <t>数据清洗任务表、资产同步任务表、同步任务调度表、任务统计数据表</t>
        </is>
      </c>
      <c r="W1147" s="96" t="inlineStr"/>
      <c r="X1147"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Y1147" s="88" t="n"/>
      <c r="Z1147" s="88" t="n"/>
    </row>
    <row r="1148" hidden="1" ht="86.40000000000001" customHeight="1">
      <c r="A1148" s="69">
        <f>ROW()-1</f>
        <v/>
      </c>
      <c r="B1148" s="53" t="n"/>
      <c r="C1148" s="117" t="n">
        <v>2026</v>
      </c>
      <c r="E1148" s="53" t="n"/>
      <c r="F1148" s="53" t="n"/>
      <c r="G1148" s="53" t="n"/>
      <c r="H1148" s="96" t="inlineStr">
        <is>
          <t>删除任务优先级</t>
        </is>
      </c>
      <c r="I1148" s="76" t="inlineStr">
        <is>
          <t>EI</t>
        </is>
      </c>
      <c r="J1148" s="95" t="n"/>
      <c r="K1148" s="95" t="n"/>
      <c r="L1148" s="83">
        <f>IF(OR(X1148="估算法",X1148="算法类",X1148="无法识别"),"",IF(V1148="",IF(OR(I1148="EI",I1148="EO",I1148="EQ"),0,""),LEN(V1148)-LEN(SUBSTITUTE(V1148,"、",""))+1))</f>
        <v/>
      </c>
      <c r="M1148" s="83">
        <f>IF(OR(X1148="估算法",X1148="算法类",X1148="无法识别"),"",IF(W1148="",IF(OR(I1148="ILF",I1148="EIF"),0,""),LEN(W1148)-LEN(SUBSTITUTE(W1148,"、",""))+1))</f>
        <v/>
      </c>
      <c r="N1148" s="83">
        <f>IF(OR(X1148="估算法",X1148="算法类",X1148="无法识别"),"",IF(X1148="",IF(OR(I1148="ILF",I1148="EIF",I1148="EI",I1148="EO",I1148="EQ"),0,""),LEN(X1148)-LEN(SUBSTITUTE(SUBSTITUTE(SUBSTITUTE(SUBSTITUTE(SUBSTITUTE(X1148,"|}","--"),"{|","--"),CHAR(10),""),"、",""),"|",""))+IF(AND(OR(I1148="EI",I1148="EO",I1148="EQ"),$AD$1="NESMA"),2,1)))</f>
        <v/>
      </c>
      <c r="O1148" s="84">
        <f>IF(I1148="EI",IF(OR(X1148="估算法",X1148="算法类"),"中",IF(X1148="无法识别","低",IF(L1148&lt;2,IF(N1148&lt;16,"低","中"),IF(L1148&lt;3,IF(N1148&lt;5,"低",IF(N1148&lt;16,"中","高")),IF(N1148&lt;5,"中","高"))))),IF(OR(I1148="EO",I1148="EQ"),IF(OR(X1148="估算法",X1148="算法类"),"中",IF(X1148="无法识别","低",IF(L1148&lt;2,IF(N1148&lt;20,"低","中"),IF(L1148&lt;4,IF(N1148&lt;6,"低",IF(N1148&lt;20,"中","高")),IF(N1148&lt;6,"中","高"))))),IF(OR(I1148="ILF",I1148="EIF"),IF(OR(X1148="估算法",X1148="算法类",X1148="无法识别"),"低",IF(M1148&lt;2,IF(N1148&lt;51,"低","中"),IF(M1148&lt;6,IF(N1148&lt;20,"低",IF(N1148&lt;51,"中","高")),IF(N1148&lt;20,"中","高")))),"不计算")))</f>
        <v/>
      </c>
      <c r="P1148" s="142">
        <f>IFERROR(IF(I1148="EI",IF(O1148="低",3,IF(O1148="中",4,6)),IF(I1148="EO",IF(O1148="低",4,IF(O1148="中",5,7)),IF(I1148="EQ",IF(O1148="低",3,IF(O1148="中",4,6)),IF(I1148="ILF",IF(O1148="低",7,IF(O1148="中",10,15)),IF(I1148="EIF",IF(O1148="低",5,IF(O1148="中",7,10)),"不计算")))))*Q1148,"不计算")</f>
        <v/>
      </c>
      <c r="Q1148" s="142" t="n">
        <v>0.333333333333333</v>
      </c>
      <c r="R1148" s="143">
        <f>调整因子!$F$13</f>
        <v/>
      </c>
      <c r="S1148" s="70" t="n">
        <v>1</v>
      </c>
      <c r="T1148" s="144">
        <f>IFERROR(P1148*R1148,0)</f>
        <v/>
      </c>
      <c r="U1148" s="145">
        <f>T1148*S1148</f>
        <v/>
      </c>
      <c r="V1148" s="96" t="inlineStr">
        <is>
          <t>数据清洗任务表、资产同步任务表、同步任务调度表、任务统计数据表</t>
        </is>
      </c>
      <c r="W1148" s="96" t="inlineStr"/>
      <c r="X1148" s="111"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Y1148" s="88" t="n"/>
      <c r="Z1148" s="88" t="n"/>
    </row>
    <row r="1149" hidden="1" ht="108" customHeight="1">
      <c r="A1149" s="69">
        <f>ROW()-1</f>
        <v/>
      </c>
      <c r="B1149" s="53" t="n"/>
      <c r="C1149" s="117" t="n">
        <v>2026</v>
      </c>
      <c r="E1149" s="53" t="n"/>
      <c r="F1149" s="53" t="n"/>
      <c r="G1149" s="53" t="n"/>
      <c r="H1149" s="96" t="inlineStr">
        <is>
          <t>启用优先级规则</t>
        </is>
      </c>
      <c r="I1149" s="76" t="inlineStr">
        <is>
          <t>EI</t>
        </is>
      </c>
      <c r="J1149" s="95" t="n"/>
      <c r="K1149" s="95" t="n"/>
      <c r="L1149" s="83">
        <f>IF(OR(X1149="估算法",X1149="算法类",X1149="无法识别"),"",IF(V1149="",IF(OR(I1149="EI",I1149="EO",I1149="EQ"),0,""),LEN(V1149)-LEN(SUBSTITUTE(V1149,"、",""))+1))</f>
        <v/>
      </c>
      <c r="M1149" s="83">
        <f>IF(OR(X1149="估算法",X1149="算法类",X1149="无法识别"),"",IF(W1149="",IF(OR(I1149="ILF",I1149="EIF"),0,""),LEN(W1149)-LEN(SUBSTITUTE(W1149,"、",""))+1))</f>
        <v/>
      </c>
      <c r="N1149" s="83">
        <f>IF(OR(X1149="估算法",X1149="算法类",X1149="无法识别"),"",IF(X1149="",IF(OR(I1149="ILF",I1149="EIF",I1149="EI",I1149="EO",I1149="EQ"),0,""),LEN(X1149)-LEN(SUBSTITUTE(SUBSTITUTE(SUBSTITUTE(SUBSTITUTE(SUBSTITUTE(X1149,"|}","--"),"{|","--"),CHAR(10),""),"、",""),"|",""))+IF(AND(OR(I1149="EI",I1149="EO",I1149="EQ"),$AD$1="NESMA"),2,1)))</f>
        <v/>
      </c>
      <c r="O1149" s="84">
        <f>IF(I1149="EI",IF(OR(X1149="估算法",X1149="算法类"),"中",IF(X1149="无法识别","低",IF(L1149&lt;2,IF(N1149&lt;16,"低","中"),IF(L1149&lt;3,IF(N1149&lt;5,"低",IF(N1149&lt;16,"中","高")),IF(N1149&lt;5,"中","高"))))),IF(OR(I1149="EO",I1149="EQ"),IF(OR(X1149="估算法",X1149="算法类"),"中",IF(X1149="无法识别","低",IF(L1149&lt;2,IF(N1149&lt;20,"低","中"),IF(L1149&lt;4,IF(N1149&lt;6,"低",IF(N1149&lt;20,"中","高")),IF(N1149&lt;6,"中","高"))))),IF(OR(I1149="ILF",I1149="EIF"),IF(OR(X1149="估算法",X1149="算法类",X1149="无法识别"),"低",IF(M1149&lt;2,IF(N1149&lt;51,"低","中"),IF(M1149&lt;6,IF(N1149&lt;20,"低",IF(N1149&lt;51,"中","高")),IF(N1149&lt;20,"中","高")))),"不计算")))</f>
        <v/>
      </c>
      <c r="P1149" s="142">
        <f>IFERROR(IF(I1149="EI",IF(O1149="低",3,IF(O1149="中",4,6)),IF(I1149="EO",IF(O1149="低",4,IF(O1149="中",5,7)),IF(I1149="EQ",IF(O1149="低",3,IF(O1149="中",4,6)),IF(I1149="ILF",IF(O1149="低",7,IF(O1149="中",10,15)),IF(I1149="EIF",IF(O1149="低",5,IF(O1149="中",7,10)),"不计算")))))*Q1149,"不计算")</f>
        <v/>
      </c>
      <c r="Q1149" s="142" t="n">
        <v>1</v>
      </c>
      <c r="R1149" s="143">
        <f>调整因子!$F$13</f>
        <v/>
      </c>
      <c r="S1149" s="76" t="n">
        <v>1</v>
      </c>
      <c r="T1149" s="144">
        <f>IFERROR(P1149*R1149,0)</f>
        <v/>
      </c>
      <c r="U1149" s="145">
        <f>T1149*S1149</f>
        <v/>
      </c>
      <c r="V1149" s="96" t="inlineStr">
        <is>
          <t>推送规则表、提醒规则表、脱敏规则表、加密规则表、同步任务调度表</t>
        </is>
      </c>
      <c r="W1149" s="96" t="inlineStr"/>
      <c r="X1149"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is>
      </c>
      <c r="Y1149" s="88" t="n"/>
      <c r="Z1149" s="88" t="n"/>
    </row>
    <row r="1150" hidden="1" ht="64.8" customHeight="1">
      <c r="A1150" s="69">
        <f>ROW()-1</f>
        <v/>
      </c>
      <c r="B1150" s="53" t="n"/>
      <c r="C1150" s="117" t="n">
        <v>2026</v>
      </c>
      <c r="E1150" s="53" t="n"/>
      <c r="F1150" s="53" t="n"/>
      <c r="G1150" s="53" t="n"/>
      <c r="H1150" s="96" t="inlineStr">
        <is>
          <t>停用优先级规则</t>
        </is>
      </c>
      <c r="I1150" s="76" t="n"/>
      <c r="J1150" s="95" t="n"/>
      <c r="K1150" s="95" t="inlineStr">
        <is>
          <t>和上行合并，启停为相同功能</t>
        </is>
      </c>
      <c r="L1150" s="83">
        <f>IF(OR(X1150="估算法",X1150="算法类",X1150="无法识别"),"",IF(V1150="",IF(OR(I1150="EI",I1150="EO",I1150="EQ"),0,""),LEN(V1150)-LEN(SUBSTITUTE(V1150,"、",""))+1))</f>
        <v/>
      </c>
      <c r="M1150" s="83">
        <f>IF(OR(X1150="估算法",X1150="算法类",X1150="无法识别"),"",IF(W1150="",IF(OR(I1150="ILF",I1150="EIF"),0,""),LEN(W1150)-LEN(SUBSTITUTE(W1150,"、",""))+1))</f>
        <v/>
      </c>
      <c r="N1150" s="83">
        <f>IF(OR(X1150="估算法",X1150="算法类",X1150="无法识别"),"",IF(X1150="",IF(OR(I1150="ILF",I1150="EIF",I1150="EI",I1150="EO",I1150="EQ"),0,""),LEN(X1150)-LEN(SUBSTITUTE(SUBSTITUTE(SUBSTITUTE(SUBSTITUTE(SUBSTITUTE(X1150,"|}","--"),"{|","--"),CHAR(10),""),"、",""),"|",""))+IF(AND(OR(I1150="EI",I1150="EO",I1150="EQ"),$AD$1="NESMA"),2,1)))</f>
        <v/>
      </c>
      <c r="O1150" s="84">
        <f>IF(I1150="EI",IF(OR(X1150="估算法",X1150="算法类"),"中",IF(X1150="无法识别","低",IF(L1150&lt;2,IF(N1150&lt;16,"低","中"),IF(L1150&lt;3,IF(N1150&lt;5,"低",IF(N1150&lt;16,"中","高")),IF(N1150&lt;5,"中","高"))))),IF(OR(I1150="EO",I1150="EQ"),IF(OR(X1150="估算法",X1150="算法类"),"中",IF(X1150="无法识别","低",IF(L1150&lt;2,IF(N1150&lt;20,"低","中"),IF(L1150&lt;4,IF(N1150&lt;6,"低",IF(N1150&lt;20,"中","高")),IF(N1150&lt;6,"中","高"))))),IF(OR(I1150="ILF",I1150="EIF"),IF(OR(X1150="估算法",X1150="算法类",X1150="无法识别"),"低",IF(M1150&lt;2,IF(N1150&lt;51,"低","中"),IF(M1150&lt;6,IF(N1150&lt;20,"低",IF(N1150&lt;51,"中","高")),IF(N1150&lt;20,"中","高")))),"不计算")))</f>
        <v/>
      </c>
      <c r="P1150" s="142">
        <f>IFERROR(IF(I1150="EI",IF(O1150="低",3,IF(O1150="中",4,6)),IF(I1150="EO",IF(O1150="低",4,IF(O1150="中",5,7)),IF(I1150="EQ",IF(O1150="低",3,IF(O1150="中",4,6)),IF(I1150="ILF",IF(O1150="低",7,IF(O1150="中",10,15)),IF(I1150="EIF",IF(O1150="低",5,IF(O1150="中",7,10)),"不计算")))))*Q1150,"不计算")</f>
        <v/>
      </c>
      <c r="Q1150" s="142" t="n">
        <v>1</v>
      </c>
      <c r="R1150" s="143">
        <f>调整因子!$F$13</f>
        <v/>
      </c>
      <c r="S1150" s="70" t="n">
        <v>1</v>
      </c>
      <c r="T1150" s="144">
        <f>IFERROR(P1150*R1150,0)</f>
        <v/>
      </c>
      <c r="U1150" s="145">
        <f>T1150*S1150</f>
        <v/>
      </c>
      <c r="V1150" s="96" t="inlineStr">
        <is>
          <t>推送规则表、提醒规则表、脱敏规则表</t>
        </is>
      </c>
      <c r="W1150" s="96" t="inlineStr"/>
      <c r="X1150" s="111"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Y1150" s="88" t="n"/>
      <c r="Z1150" s="88" t="n"/>
    </row>
    <row r="1151" hidden="1" ht="64.8" customHeight="1">
      <c r="A1151" s="69">
        <f>ROW()-1</f>
        <v/>
      </c>
      <c r="B1151" s="53" t="n"/>
      <c r="C1151" s="117" t="n">
        <v>2026</v>
      </c>
      <c r="E1151" s="53" t="n"/>
      <c r="F1151" s="53" t="n"/>
      <c r="G1151" s="53" t="n"/>
      <c r="H1151" s="96" t="inlineStr">
        <is>
          <t>导出优先级配置</t>
        </is>
      </c>
      <c r="I1151" s="76" t="inlineStr">
        <is>
          <t>EO</t>
        </is>
      </c>
      <c r="J1151" s="95" t="n"/>
      <c r="K1151" s="95" t="n"/>
      <c r="L1151" s="83">
        <f>IF(OR(X1151="估算法",X1151="算法类",X1151="无法识别"),"",IF(V1151="",IF(OR(I1151="EI",I1151="EO",I1151="EQ"),0,""),LEN(V1151)-LEN(SUBSTITUTE(V1151,"、",""))+1))</f>
        <v/>
      </c>
      <c r="M1151" s="83">
        <f>IF(OR(X1151="估算法",X1151="算法类",X1151="无法识别"),"",IF(W1151="",IF(OR(I1151="ILF",I1151="EIF"),0,""),LEN(W1151)-LEN(SUBSTITUTE(W1151,"、",""))+1))</f>
        <v/>
      </c>
      <c r="N1151" s="83">
        <f>IF(OR(X1151="估算法",X1151="算法类",X1151="无法识别"),"",IF(X1151="",IF(OR(I1151="ILF",I1151="EIF",I1151="EI",I1151="EO",I1151="EQ"),0,""),LEN(X1151)-LEN(SUBSTITUTE(SUBSTITUTE(SUBSTITUTE(SUBSTITUTE(SUBSTITUTE(X1151,"|}","--"),"{|","--"),CHAR(10),""),"、",""),"|",""))+IF(AND(OR(I1151="EI",I1151="EO",I1151="EQ"),$AD$1="NESMA"),2,1)))</f>
        <v/>
      </c>
      <c r="O1151" s="84">
        <f>IF(I1151="EI",IF(OR(X1151="估算法",X1151="算法类"),"中",IF(X1151="无法识别","低",IF(L1151&lt;2,IF(N1151&lt;16,"低","中"),IF(L1151&lt;3,IF(N1151&lt;5,"低",IF(N1151&lt;16,"中","高")),IF(N1151&lt;5,"中","高"))))),IF(OR(I1151="EO",I1151="EQ"),IF(OR(X1151="估算法",X1151="算法类"),"中",IF(X1151="无法识别","低",IF(L1151&lt;2,IF(N1151&lt;20,"低","中"),IF(L1151&lt;4,IF(N1151&lt;6,"低",IF(N1151&lt;20,"中","高")),IF(N1151&lt;6,"中","高"))))),IF(OR(I1151="ILF",I1151="EIF"),IF(OR(X1151="估算法",X1151="算法类",X1151="无法识别"),"低",IF(M1151&lt;2,IF(N1151&lt;51,"低","中"),IF(M1151&lt;6,IF(N1151&lt;20,"低",IF(N1151&lt;51,"中","高")),IF(N1151&lt;20,"中","高")))),"不计算")))</f>
        <v/>
      </c>
      <c r="P1151" s="142">
        <f>IFERROR(IF(I1151="EI",IF(O1151="低",3,IF(O1151="中",4,6)),IF(I1151="EO",IF(O1151="低",4,IF(O1151="中",5,7)),IF(I1151="EQ",IF(O1151="低",3,IF(O1151="中",4,6)),IF(I1151="ILF",IF(O1151="低",7,IF(O1151="中",10,15)),IF(I1151="EIF",IF(O1151="低",5,IF(O1151="中",7,10)),"不计算")))))*Q1151,"不计算")</f>
        <v/>
      </c>
      <c r="Q1151" s="142" t="n">
        <v>1</v>
      </c>
      <c r="R1151" s="143">
        <f>调整因子!$F$13</f>
        <v/>
      </c>
      <c r="S1151" s="70" t="n">
        <v>1</v>
      </c>
      <c r="T1151" s="144">
        <f>IFERROR(P1151*R1151,0)</f>
        <v/>
      </c>
      <c r="U1151" s="145">
        <f>T1151*S1151</f>
        <v/>
      </c>
      <c r="V1151" s="96" t="inlineStr">
        <is>
          <t>任务优先级配置表、模板参数配置表、处置单配置表、验证配置表</t>
        </is>
      </c>
      <c r="W1151" s="96" t="inlineStr"/>
      <c r="X1151" s="111"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Y1151" s="88" t="n"/>
      <c r="Z1151" s="88" t="n"/>
    </row>
    <row r="1152" hidden="1" ht="64.8" customHeight="1">
      <c r="A1152" s="69">
        <f>ROW()-1</f>
        <v/>
      </c>
      <c r="B1152" s="53" t="n"/>
      <c r="C1152" s="117" t="n">
        <v>2026</v>
      </c>
      <c r="E1152" s="53" t="n"/>
      <c r="F1152" s="53" t="n"/>
      <c r="G1152" s="53" t="n"/>
      <c r="H1152" s="96" t="inlineStr">
        <is>
          <t>查询优先级列表</t>
        </is>
      </c>
      <c r="I1152" s="76" t="inlineStr">
        <is>
          <t>EO</t>
        </is>
      </c>
      <c r="J1152" s="95" t="n"/>
      <c r="K1152" s="95" t="n"/>
      <c r="L1152" s="83">
        <f>IF(OR(X1152="估算法",X1152="算法类",X1152="无法识别"),"",IF(V1152="",IF(OR(I1152="EI",I1152="EO",I1152="EQ"),0,""),LEN(V1152)-LEN(SUBSTITUTE(V1152,"、",""))+1))</f>
        <v/>
      </c>
      <c r="M1152" s="83">
        <f>IF(OR(X1152="估算法",X1152="算法类",X1152="无法识别"),"",IF(W1152="",IF(OR(I1152="ILF",I1152="EIF"),0,""),LEN(W1152)-LEN(SUBSTITUTE(W1152,"、",""))+1))</f>
        <v/>
      </c>
      <c r="N1152" s="83">
        <f>IF(OR(X1152="估算法",X1152="算法类",X1152="无法识别"),"",IF(X1152="",IF(OR(I1152="ILF",I1152="EIF",I1152="EI",I1152="EO",I1152="EQ"),0,""),LEN(X1152)-LEN(SUBSTITUTE(SUBSTITUTE(SUBSTITUTE(SUBSTITUTE(SUBSTITUTE(X1152,"|}","--"),"{|","--"),CHAR(10),""),"、",""),"|",""))+IF(AND(OR(I1152="EI",I1152="EO",I1152="EQ"),$AD$1="NESMA"),2,1)))</f>
        <v/>
      </c>
      <c r="O1152" s="84">
        <f>IF(I1152="EI",IF(OR(X1152="估算法",X1152="算法类"),"中",IF(X1152="无法识别","低",IF(L1152&lt;2,IF(N1152&lt;16,"低","中"),IF(L1152&lt;3,IF(N1152&lt;5,"低",IF(N1152&lt;16,"中","高")),IF(N1152&lt;5,"中","高"))))),IF(OR(I1152="EO",I1152="EQ"),IF(OR(X1152="估算法",X1152="算法类"),"中",IF(X1152="无法识别","低",IF(L1152&lt;2,IF(N1152&lt;20,"低","中"),IF(L1152&lt;4,IF(N1152&lt;6,"低",IF(N1152&lt;20,"中","高")),IF(N1152&lt;6,"中","高"))))),IF(OR(I1152="ILF",I1152="EIF"),IF(OR(X1152="估算法",X1152="算法类",X1152="无法识别"),"低",IF(M1152&lt;2,IF(N1152&lt;51,"低","中"),IF(M1152&lt;6,IF(N1152&lt;20,"低",IF(N1152&lt;51,"中","高")),IF(N1152&lt;20,"中","高")))),"不计算")))</f>
        <v/>
      </c>
      <c r="P1152" s="142">
        <f>IFERROR(IF(I1152="EI",IF(O1152="低",3,IF(O1152="中",4,6)),IF(I1152="EO",IF(O1152="低",4,IF(O1152="中",5,7)),IF(I1152="EQ",IF(O1152="低",3,IF(O1152="中",4,6)),IF(I1152="ILF",IF(O1152="低",7,IF(O1152="中",10,15)),IF(I1152="EIF",IF(O1152="低",5,IF(O1152="中",7,10)),"不计算")))))*Q1152,"不计算")</f>
        <v/>
      </c>
      <c r="Q1152" s="142" t="n">
        <v>1</v>
      </c>
      <c r="R1152" s="143">
        <f>调整因子!$F$13</f>
        <v/>
      </c>
      <c r="S1152" s="76" t="n">
        <v>1</v>
      </c>
      <c r="T1152" s="144">
        <f>IFERROR(P1152*R1152,0)</f>
        <v/>
      </c>
      <c r="U1152" s="145">
        <f>T1152*S1152</f>
        <v/>
      </c>
      <c r="V1152" s="96" t="inlineStr">
        <is>
          <t>模板配置表、推送失败重试表、扫描能力缺口表、扫描策略模板表</t>
        </is>
      </c>
      <c r="W1152" s="96" t="inlineStr"/>
      <c r="X1152" s="111" t="inlineStr">
        <is>
          <t>模板配置表{配置ID、配置名称|配置ID、配置名称、配置类型、配置值、创建时间}
推送失败重试表{ID、名称|ID、名称、类型、状态、创建时间、更新时间}
扫描能力缺口表{任务ID、任务名称|任务ID、任务名称、任务状态、扫描器类型、开始时间、结束时间、扫描结果}
扫描策略模板表{任务ID、任务名称|任务ID、任务名称、任务状态、扫描器类型、开始时间、结束时间、扫描结果}</t>
        </is>
      </c>
      <c r="Y1152" s="88" t="n"/>
      <c r="Z1152" s="88" t="n"/>
    </row>
    <row r="1153" hidden="1" ht="54" customHeight="1">
      <c r="A1153" s="69">
        <f>ROW()-1</f>
        <v/>
      </c>
      <c r="B1153" s="53" t="n"/>
      <c r="C1153" s="117" t="n">
        <v>2026</v>
      </c>
      <c r="E1153" s="53" t="n"/>
      <c r="F1153" s="53" t="n"/>
      <c r="G1153" s="54" t="n"/>
      <c r="H1153" s="96" t="inlineStr">
        <is>
          <t>查看优先级详情</t>
        </is>
      </c>
      <c r="I1153" s="76" t="inlineStr">
        <is>
          <t>EQ</t>
        </is>
      </c>
      <c r="J1153" s="95" t="n"/>
      <c r="K1153" s="95" t="n"/>
      <c r="L1153" s="83">
        <f>IF(OR(X1153="估算法",X1153="算法类",X1153="无法识别"),"",IF(V1153="",IF(OR(I1153="EI",I1153="EO",I1153="EQ"),0,""),LEN(V1153)-LEN(SUBSTITUTE(V1153,"、",""))+1))</f>
        <v/>
      </c>
      <c r="M1153" s="83">
        <f>IF(OR(X1153="估算法",X1153="算法类",X1153="无法识别"),"",IF(W1153="",IF(OR(I1153="ILF",I1153="EIF"),0,""),LEN(W1153)-LEN(SUBSTITUTE(W1153,"、",""))+1))</f>
        <v/>
      </c>
      <c r="N1153" s="83">
        <f>IF(OR(X1153="估算法",X1153="算法类",X1153="无法识别"),"",IF(X1153="",IF(OR(I1153="ILF",I1153="EIF",I1153="EI",I1153="EO",I1153="EQ"),0,""),LEN(X1153)-LEN(SUBSTITUTE(SUBSTITUTE(SUBSTITUTE(SUBSTITUTE(SUBSTITUTE(X1153,"|}","--"),"{|","--"),CHAR(10),""),"、",""),"|",""))+IF(AND(OR(I1153="EI",I1153="EO",I1153="EQ"),$AD$1="NESMA"),2,1)))</f>
        <v/>
      </c>
      <c r="O1153" s="84">
        <f>IF(I1153="EI",IF(OR(X1153="估算法",X1153="算法类"),"中",IF(X1153="无法识别","低",IF(L1153&lt;2,IF(N1153&lt;16,"低","中"),IF(L1153&lt;3,IF(N1153&lt;5,"低",IF(N1153&lt;16,"中","高")),IF(N1153&lt;5,"中","高"))))),IF(OR(I1153="EO",I1153="EQ"),IF(OR(X1153="估算法",X1153="算法类"),"中",IF(X1153="无法识别","低",IF(L1153&lt;2,IF(N1153&lt;20,"低","中"),IF(L1153&lt;4,IF(N1153&lt;6,"低",IF(N1153&lt;20,"中","高")),IF(N1153&lt;6,"中","高"))))),IF(OR(I1153="ILF",I1153="EIF"),IF(OR(X1153="估算法",X1153="算法类",X1153="无法识别"),"低",IF(M1153&lt;2,IF(N1153&lt;51,"低","中"),IF(M1153&lt;6,IF(N1153&lt;20,"低",IF(N1153&lt;51,"中","高")),IF(N1153&lt;20,"中","高")))),"不计算")))</f>
        <v/>
      </c>
      <c r="P1153" s="142">
        <f>IFERROR(IF(I1153="EI",IF(O1153="低",3,IF(O1153="中",4,6)),IF(I1153="EO",IF(O1153="低",4,IF(O1153="中",5,7)),IF(I1153="EQ",IF(O1153="低",3,IF(O1153="中",4,6)),IF(I1153="ILF",IF(O1153="低",7,IF(O1153="中",10,15)),IF(I1153="EIF",IF(O1153="低",5,IF(O1153="中",7,10)),"不计算")))))*Q1153,"不计算")</f>
        <v/>
      </c>
      <c r="Q1153" s="142" t="n">
        <v>1</v>
      </c>
      <c r="R1153" s="143">
        <f>调整因子!$F$13</f>
        <v/>
      </c>
      <c r="S1153" s="76" t="n">
        <v>1</v>
      </c>
      <c r="T1153" s="144">
        <f>IFERROR(P1153*R1153,0)</f>
        <v/>
      </c>
      <c r="U1153" s="145">
        <f>T1153*S1153</f>
        <v/>
      </c>
      <c r="V1153" s="96" t="inlineStr">
        <is>
          <t>考核指标配置表、模板配置表、资产扫描覆盖表</t>
        </is>
      </c>
      <c r="W1153" s="96" t="inlineStr"/>
      <c r="X1153" s="111" t="inlineStr">
        <is>
          <t>考核指标配置表{配置ID、配置名称|配置ID、配置名称、配置类型、配置值、创建时间}
模板配置表{配置ID、配置名称|配置ID、配置名称、配置类型、配置值、创建时间}
资产扫描覆盖表{资产ID、资产名称|资产ID、资产名称、IP地址、资产类型、资产状态、创建时间、更新时间}</t>
        </is>
      </c>
      <c r="Y1153" s="88" t="n"/>
      <c r="Z1153" s="88" t="n"/>
    </row>
    <row r="1154" hidden="1" ht="21.6" customHeight="1">
      <c r="A1154" s="69">
        <f>ROW()-1</f>
        <v/>
      </c>
      <c r="B1154" s="53" t="n"/>
      <c r="C1154" s="117" t="n">
        <v>2026</v>
      </c>
      <c r="E1154" s="53" t="n"/>
      <c r="F1154" s="53" t="n"/>
      <c r="G1154" s="111" t="inlineStr">
        <is>
          <t>任务排队管理</t>
        </is>
      </c>
      <c r="H1154" s="96" t="inlineStr">
        <is>
          <t>任务队列表</t>
        </is>
      </c>
      <c r="I1154" s="76" t="inlineStr">
        <is>
          <t>ILF</t>
        </is>
      </c>
      <c r="J1154" s="95" t="n"/>
      <c r="K1154" s="95" t="n"/>
      <c r="L1154" s="83">
        <f>IF(OR(X1154="估算法",X1154="算法类",X1154="无法识别"),"",IF(V1154="",IF(OR(I1154="EI",I1154="EO",I1154="EQ"),0,""),LEN(V1154)-LEN(SUBSTITUTE(V1154,"、",""))+1))</f>
        <v/>
      </c>
      <c r="M1154" s="83">
        <f>IF(OR(X1154="估算法",X1154="算法类",X1154="无法识别"),"",IF(W1154="",IF(OR(I1154="ILF",I1154="EIF"),0,""),LEN(W1154)-LEN(SUBSTITUTE(W1154,"、",""))+1))</f>
        <v/>
      </c>
      <c r="N1154" s="83">
        <f>IF(OR(X1154="估算法",X1154="算法类",X1154="无法识别"),"",IF(X1154="",IF(OR(I1154="ILF",I1154="EIF",I1154="EI",I1154="EO",I1154="EQ"),0,""),LEN(X1154)-LEN(SUBSTITUTE(SUBSTITUTE(SUBSTITUTE(SUBSTITUTE(SUBSTITUTE(X1154,"|}","--"),"{|","--"),CHAR(10),""),"、",""),"|",""))+IF(AND(OR(I1154="EI",I1154="EO",I1154="EQ"),$AD$1="NESMA"),2,1)))</f>
        <v/>
      </c>
      <c r="O1154" s="84">
        <f>IF(I1154="EI",IF(OR(X1154="估算法",X1154="算法类"),"中",IF(X1154="无法识别","低",IF(L1154&lt;2,IF(N1154&lt;16,"低","中"),IF(L1154&lt;3,IF(N1154&lt;5,"低",IF(N1154&lt;16,"中","高")),IF(N1154&lt;5,"中","高"))))),IF(OR(I1154="EO",I1154="EQ"),IF(OR(X1154="估算法",X1154="算法类"),"中",IF(X1154="无法识别","低",IF(L1154&lt;2,IF(N1154&lt;20,"低","中"),IF(L1154&lt;4,IF(N1154&lt;6,"低",IF(N1154&lt;20,"中","高")),IF(N1154&lt;6,"中","高"))))),IF(OR(I1154="ILF",I1154="EIF"),IF(OR(X1154="估算法",X1154="算法类",X1154="无法识别"),"低",IF(M1154&lt;2,IF(N1154&lt;51,"低","中"),IF(M1154&lt;6,IF(N1154&lt;20,"低",IF(N1154&lt;51,"中","高")),IF(N1154&lt;20,"中","高")))),"不计算")))</f>
        <v/>
      </c>
      <c r="P1154" s="142">
        <f>IFERROR(IF(I1154="EI",IF(O1154="低",3,IF(O1154="中",4,6)),IF(I1154="EO",IF(O1154="低",4,IF(O1154="中",5,7)),IF(I1154="EQ",IF(O1154="低",3,IF(O1154="中",4,6)),IF(I1154="ILF",IF(O1154="低",7,IF(O1154="中",10,15)),IF(I1154="EIF",IF(O1154="低",5,IF(O1154="中",7,10)),"不计算")))))*Q1154,"不计算")</f>
        <v/>
      </c>
      <c r="Q1154" s="142" t="n">
        <v>0.333333333333333</v>
      </c>
      <c r="R1154" s="143">
        <f>调整因子!$F$13</f>
        <v/>
      </c>
      <c r="S1154" s="70" t="n">
        <v>1</v>
      </c>
      <c r="T1154" s="144">
        <f>IFERROR(P1154*R1154,0)</f>
        <v/>
      </c>
      <c r="U1154" s="145">
        <f>T1154*S1154</f>
        <v/>
      </c>
      <c r="V1154" s="96" t="inlineStr"/>
      <c r="W1154" s="96" t="inlineStr">
        <is>
          <t>扫描任务、发现任务、口令猜测任务</t>
        </is>
      </c>
      <c r="X1154" s="111" t="inlineStr">
        <is>
          <t>任务队列表{任务ID、任务名称、任务类型|任务ID、任务名称、任务类型、任务状态、创建时间、执行时间}</t>
        </is>
      </c>
      <c r="Y1154" s="88">
        <f>IF(COUNTIFS(V:V,"*"&amp;H1154&amp;"*")&gt;0,"存在","不存在")</f>
        <v/>
      </c>
      <c r="Z1154" s="88">
        <f>IF(COUNTIFS(AA:AA,"*"&amp;H1154&amp;"*")&gt;0,"存在","不存在")</f>
        <v/>
      </c>
    </row>
    <row r="1155" hidden="1" ht="97.2" customHeight="1">
      <c r="A1155" s="69">
        <f>ROW()-1</f>
        <v/>
      </c>
      <c r="B1155" s="53" t="n"/>
      <c r="C1155" s="117" t="n">
        <v>2026</v>
      </c>
      <c r="E1155" s="53" t="n"/>
      <c r="F1155" s="53" t="n"/>
      <c r="G1155" s="53" t="n"/>
      <c r="H1155" s="96" t="inlineStr">
        <is>
          <t>编辑排队策略</t>
        </is>
      </c>
      <c r="I1155" s="76" t="inlineStr">
        <is>
          <t>EI</t>
        </is>
      </c>
      <c r="J1155" s="95" t="n"/>
      <c r="K1155" s="95" t="n"/>
      <c r="L1155" s="83">
        <f>IF(OR(X1155="估算法",X1155="算法类",X1155="无法识别"),"",IF(V1155="",IF(OR(I1155="EI",I1155="EO",I1155="EQ"),0,""),LEN(V1155)-LEN(SUBSTITUTE(V1155,"、",""))+1))</f>
        <v/>
      </c>
      <c r="M1155" s="83">
        <f>IF(OR(X1155="估算法",X1155="算法类",X1155="无法识别"),"",IF(W1155="",IF(OR(I1155="ILF",I1155="EIF"),0,""),LEN(W1155)-LEN(SUBSTITUTE(W1155,"、",""))+1))</f>
        <v/>
      </c>
      <c r="N1155" s="83">
        <f>IF(OR(X1155="估算法",X1155="算法类",X1155="无法识别"),"",IF(X1155="",IF(OR(I1155="ILF",I1155="EIF",I1155="EI",I1155="EO",I1155="EQ"),0,""),LEN(X1155)-LEN(SUBSTITUTE(SUBSTITUTE(SUBSTITUTE(SUBSTITUTE(SUBSTITUTE(X1155,"|}","--"),"{|","--"),CHAR(10),""),"、",""),"|",""))+IF(AND(OR(I1155="EI",I1155="EO",I1155="EQ"),$AD$1="NESMA"),2,1)))</f>
        <v/>
      </c>
      <c r="O1155" s="84">
        <f>IF(I1155="EI",IF(OR(X1155="估算法",X1155="算法类"),"中",IF(X1155="无法识别","低",IF(L1155&lt;2,IF(N1155&lt;16,"低","中"),IF(L1155&lt;3,IF(N1155&lt;5,"低",IF(N1155&lt;16,"中","高")),IF(N1155&lt;5,"中","高"))))),IF(OR(I1155="EO",I1155="EQ"),IF(OR(X1155="估算法",X1155="算法类"),"中",IF(X1155="无法识别","低",IF(L1155&lt;2,IF(N1155&lt;20,"低","中"),IF(L1155&lt;4,IF(N1155&lt;6,"低",IF(N1155&lt;20,"中","高")),IF(N1155&lt;6,"中","高"))))),IF(OR(I1155="ILF",I1155="EIF"),IF(OR(X1155="估算法",X1155="算法类",X1155="无法识别"),"低",IF(M1155&lt;2,IF(N1155&lt;51,"低","中"),IF(M1155&lt;6,IF(N1155&lt;20,"低",IF(N1155&lt;51,"中","高")),IF(N1155&lt;20,"中","高")))),"不计算")))</f>
        <v/>
      </c>
      <c r="P1155" s="142">
        <f>IFERROR(IF(I1155="EI",IF(O1155="低",3,IF(O1155="中",4,6)),IF(I1155="EO",IF(O1155="低",4,IF(O1155="中",5,7)),IF(I1155="EQ",IF(O1155="低",3,IF(O1155="中",4,6)),IF(I1155="ILF",IF(O1155="低",7,IF(O1155="中",10,15)),IF(I1155="EIF",IF(O1155="低",5,IF(O1155="中",7,10)),"不计算")))))*Q1155,"不计算")</f>
        <v/>
      </c>
      <c r="Q1155" s="142" t="n">
        <v>0.333333333333333</v>
      </c>
      <c r="R1155" s="143">
        <f>调整因子!$F$13</f>
        <v/>
      </c>
      <c r="S1155" s="70" t="n">
        <v>1</v>
      </c>
      <c r="T1155" s="144">
        <f>IFERROR(P1155*R1155,0)</f>
        <v/>
      </c>
      <c r="U1155" s="145">
        <f>T1155*S1155</f>
        <v/>
      </c>
      <c r="V1155" s="96" t="inlineStr">
        <is>
          <t>扫描策略模板表、提醒策略配置表、加密策略表、提醒策略配置表、模板分类表</t>
        </is>
      </c>
      <c r="W1155" s="96" t="inlineStr"/>
      <c r="X1155" s="111"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提醒策略配置表{配置ID、配置名称、配置类型、配置值、创建时间|配置ID、配置名称、配置类型}
模板分类表{ID、名称、类型、状态、创建时间、更新时间|ID、名称、类型}</t>
        </is>
      </c>
      <c r="Y1155" s="88" t="n"/>
      <c r="Z1155" s="88" t="n"/>
    </row>
    <row r="1156" hidden="1" ht="43.2" customHeight="1">
      <c r="A1156" s="69">
        <f>ROW()-1</f>
        <v/>
      </c>
      <c r="B1156" s="53" t="n"/>
      <c r="C1156" s="117" t="n">
        <v>2026</v>
      </c>
      <c r="E1156" s="53" t="n"/>
      <c r="F1156" s="53" t="n"/>
      <c r="G1156" s="53" t="n"/>
      <c r="H1156" s="96" t="inlineStr">
        <is>
          <t>删除排队策略</t>
        </is>
      </c>
      <c r="I1156" s="76" t="inlineStr">
        <is>
          <t>EI</t>
        </is>
      </c>
      <c r="J1156" s="95" t="n"/>
      <c r="K1156" s="95" t="n"/>
      <c r="L1156" s="83">
        <f>IF(OR(X1156="估算法",X1156="算法类",X1156="无法识别"),"",IF(V1156="",IF(OR(I1156="EI",I1156="EO",I1156="EQ"),0,""),LEN(V1156)-LEN(SUBSTITUTE(V1156,"、",""))+1))</f>
        <v/>
      </c>
      <c r="M1156" s="83">
        <f>IF(OR(X1156="估算法",X1156="算法类",X1156="无法识别"),"",IF(W1156="",IF(OR(I1156="ILF",I1156="EIF"),0,""),LEN(W1156)-LEN(SUBSTITUTE(W1156,"、",""))+1))</f>
        <v/>
      </c>
      <c r="N1156" s="83">
        <f>IF(OR(X1156="估算法",X1156="算法类",X1156="无法识别"),"",IF(X1156="",IF(OR(I1156="ILF",I1156="EIF",I1156="EI",I1156="EO",I1156="EQ"),0,""),LEN(X1156)-LEN(SUBSTITUTE(SUBSTITUTE(SUBSTITUTE(SUBSTITUTE(SUBSTITUTE(X1156,"|}","--"),"{|","--"),CHAR(10),""),"、",""),"|",""))+IF(AND(OR(I1156="EI",I1156="EO",I1156="EQ"),$AD$1="NESMA"),2,1)))</f>
        <v/>
      </c>
      <c r="O1156" s="84">
        <f>IF(I1156="EI",IF(OR(X1156="估算法",X1156="算法类"),"中",IF(X1156="无法识别","低",IF(L1156&lt;2,IF(N1156&lt;16,"低","中"),IF(L1156&lt;3,IF(N1156&lt;5,"低",IF(N1156&lt;16,"中","高")),IF(N1156&lt;5,"中","高"))))),IF(OR(I1156="EO",I1156="EQ"),IF(OR(X1156="估算法",X1156="算法类"),"中",IF(X1156="无法识别","低",IF(L1156&lt;2,IF(N1156&lt;20,"低","中"),IF(L1156&lt;4,IF(N1156&lt;6,"低",IF(N1156&lt;20,"中","高")),IF(N1156&lt;6,"中","高"))))),IF(OR(I1156="ILF",I1156="EIF"),IF(OR(X1156="估算法",X1156="算法类",X1156="无法识别"),"低",IF(M1156&lt;2,IF(N1156&lt;51,"低","中"),IF(M1156&lt;6,IF(N1156&lt;20,"低",IF(N1156&lt;51,"中","高")),IF(N1156&lt;20,"中","高")))),"不计算")))</f>
        <v/>
      </c>
      <c r="P1156" s="142">
        <f>IFERROR(IF(I1156="EI",IF(O1156="低",3,IF(O1156="中",4,6)),IF(I1156="EO",IF(O1156="低",4,IF(O1156="中",5,7)),IF(I1156="EQ",IF(O1156="低",3,IF(O1156="中",4,6)),IF(I1156="ILF",IF(O1156="低",7,IF(O1156="中",10,15)),IF(I1156="EIF",IF(O1156="低",5,IF(O1156="中",7,10)),"不计算")))))*Q1156,"不计算")</f>
        <v/>
      </c>
      <c r="Q1156" s="142" t="n">
        <v>0.333333333333333</v>
      </c>
      <c r="R1156" s="143">
        <f>调整因子!$F$13</f>
        <v/>
      </c>
      <c r="S1156" s="76" t="n">
        <v>1</v>
      </c>
      <c r="T1156" s="144">
        <f>IFERROR(P1156*R1156,0)</f>
        <v/>
      </c>
      <c r="U1156" s="145">
        <f>T1156*S1156</f>
        <v/>
      </c>
      <c r="V1156" s="96" t="inlineStr">
        <is>
          <t>扫描策略模板表、提醒策略配置表</t>
        </is>
      </c>
      <c r="W1156" s="96" t="inlineStr"/>
      <c r="X1156" s="111" t="inlineStr">
        <is>
          <t>扫描策略模板表{任务ID、任务名称、任务状态、扫描器类型、开始时间、结束时间、扫描结果|任务ID、任务名称、任务状态}
提醒策略配置表{配置ID、配置名称、配置类型、配置值、创建时间|配置ID、配置名称、配置类型}</t>
        </is>
      </c>
      <c r="Y1156" s="88" t="n"/>
      <c r="Z1156" s="88" t="n"/>
    </row>
    <row r="1157" hidden="1" ht="21.6" customHeight="1">
      <c r="A1157" s="69">
        <f>ROW()-1</f>
        <v/>
      </c>
      <c r="B1157" s="53" t="n"/>
      <c r="C1157" s="117" t="n">
        <v>2026</v>
      </c>
      <c r="E1157" s="53" t="n"/>
      <c r="F1157" s="53" t="n"/>
      <c r="G1157" s="53" t="n"/>
      <c r="H1157" s="96" t="inlineStr">
        <is>
          <t>启用排队策略</t>
        </is>
      </c>
      <c r="I1157" s="76" t="inlineStr">
        <is>
          <t>EI</t>
        </is>
      </c>
      <c r="J1157" s="95" t="n"/>
      <c r="K1157" s="95" t="n"/>
      <c r="L1157" s="83">
        <f>IF(OR(X1157="估算法",X1157="算法类",X1157="无法识别"),"",IF(V1157="",IF(OR(I1157="EI",I1157="EO",I1157="EQ"),0,""),LEN(V1157)-LEN(SUBSTITUTE(V1157,"、",""))+1))</f>
        <v/>
      </c>
      <c r="M1157" s="83">
        <f>IF(OR(X1157="估算法",X1157="算法类",X1157="无法识别"),"",IF(W1157="",IF(OR(I1157="ILF",I1157="EIF"),0,""),LEN(W1157)-LEN(SUBSTITUTE(W1157,"、",""))+1))</f>
        <v/>
      </c>
      <c r="N1157" s="83">
        <f>IF(OR(X1157="估算法",X1157="算法类",X1157="无法识别"),"",IF(X1157="",IF(OR(I1157="ILF",I1157="EIF",I1157="EI",I1157="EO",I1157="EQ"),0,""),LEN(X1157)-LEN(SUBSTITUTE(SUBSTITUTE(SUBSTITUTE(SUBSTITUTE(SUBSTITUTE(X1157,"|}","--"),"{|","--"),CHAR(10),""),"、",""),"|",""))+IF(AND(OR(I1157="EI",I1157="EO",I1157="EQ"),$AD$1="NESMA"),2,1)))</f>
        <v/>
      </c>
      <c r="O1157" s="84">
        <f>IF(I1157="EI",IF(OR(X1157="估算法",X1157="算法类"),"中",IF(X1157="无法识别","低",IF(L1157&lt;2,IF(N1157&lt;16,"低","中"),IF(L1157&lt;3,IF(N1157&lt;5,"低",IF(N1157&lt;16,"中","高")),IF(N1157&lt;5,"中","高"))))),IF(OR(I1157="EO",I1157="EQ"),IF(OR(X1157="估算法",X1157="算法类"),"中",IF(X1157="无法识别","低",IF(L1157&lt;2,IF(N1157&lt;20,"低","中"),IF(L1157&lt;4,IF(N1157&lt;6,"低",IF(N1157&lt;20,"中","高")),IF(N1157&lt;6,"中","高"))))),IF(OR(I1157="ILF",I1157="EIF"),IF(OR(X1157="估算法",X1157="算法类",X1157="无法识别"),"低",IF(M1157&lt;2,IF(N1157&lt;51,"低","中"),IF(M1157&lt;6,IF(N1157&lt;20,"低",IF(N1157&lt;51,"中","高")),IF(N1157&lt;20,"中","高")))),"不计算")))</f>
        <v/>
      </c>
      <c r="P1157" s="142">
        <f>IFERROR(IF(I1157="EI",IF(O1157="低",3,IF(O1157="中",4,6)),IF(I1157="EO",IF(O1157="低",4,IF(O1157="中",5,7)),IF(I1157="EQ",IF(O1157="低",3,IF(O1157="中",4,6)),IF(I1157="ILF",IF(O1157="低",7,IF(O1157="中",10,15)),IF(I1157="EIF",IF(O1157="低",5,IF(O1157="中",7,10)),"不计算")))))*Q1157,"不计算")</f>
        <v/>
      </c>
      <c r="Q1157" s="142" t="n">
        <v>0.333333333333333</v>
      </c>
      <c r="R1157" s="143">
        <f>调整因子!$F$13</f>
        <v/>
      </c>
      <c r="S1157" s="70" t="n">
        <v>1</v>
      </c>
      <c r="T1157" s="144">
        <f>IFERROR(P1157*R1157,0)</f>
        <v/>
      </c>
      <c r="U1157" s="145">
        <f>T1157*S1157</f>
        <v/>
      </c>
      <c r="V1157" s="96" t="inlineStr">
        <is>
          <t>扫描策略模板表</t>
        </is>
      </c>
      <c r="W1157" s="96" t="inlineStr"/>
      <c r="X1157" s="111" t="inlineStr">
        <is>
          <t>扫描策略模板表{任务ID、任务名称、任务状态、扫描器类型、开始时间、结束时间、扫描结果|任务ID、任务名称、任务状态}</t>
        </is>
      </c>
      <c r="Y1157" s="88" t="n"/>
      <c r="Z1157" s="88" t="n"/>
    </row>
    <row r="1158" hidden="1" ht="43.2" customHeight="1">
      <c r="A1158" s="69">
        <f>ROW()-1</f>
        <v/>
      </c>
      <c r="B1158" s="53" t="n"/>
      <c r="C1158" s="117" t="n">
        <v>2026</v>
      </c>
      <c r="E1158" s="53" t="n"/>
      <c r="F1158" s="53" t="n"/>
      <c r="G1158" s="53" t="n"/>
      <c r="H1158" s="96" t="inlineStr">
        <is>
          <t>停用排队策略</t>
        </is>
      </c>
      <c r="I1158" s="76" t="n"/>
      <c r="J1158" s="95" t="n"/>
      <c r="K1158" s="95" t="inlineStr">
        <is>
          <t>和上行合并，启停为相同功能</t>
        </is>
      </c>
      <c r="L1158" s="83">
        <f>IF(OR(X1158="估算法",X1158="算法类",X1158="无法识别"),"",IF(V1158="",IF(OR(I1158="EI",I1158="EO",I1158="EQ"),0,""),LEN(V1158)-LEN(SUBSTITUTE(V1158,"、",""))+1))</f>
        <v/>
      </c>
      <c r="M1158" s="83">
        <f>IF(OR(X1158="估算法",X1158="算法类",X1158="无法识别"),"",IF(W1158="",IF(OR(I1158="ILF",I1158="EIF"),0,""),LEN(W1158)-LEN(SUBSTITUTE(W1158,"、",""))+1))</f>
        <v/>
      </c>
      <c r="N1158" s="83">
        <f>IF(OR(X1158="估算法",X1158="算法类",X1158="无法识别"),"",IF(X1158="",IF(OR(I1158="ILF",I1158="EIF",I1158="EI",I1158="EO",I1158="EQ"),0,""),LEN(X1158)-LEN(SUBSTITUTE(SUBSTITUTE(SUBSTITUTE(SUBSTITUTE(SUBSTITUTE(X1158,"|}","--"),"{|","--"),CHAR(10),""),"、",""),"|",""))+IF(AND(OR(I1158="EI",I1158="EO",I1158="EQ"),$AD$1="NESMA"),2,1)))</f>
        <v/>
      </c>
      <c r="O1158" s="84">
        <f>IF(I1158="EI",IF(OR(X1158="估算法",X1158="算法类"),"中",IF(X1158="无法识别","低",IF(L1158&lt;2,IF(N1158&lt;16,"低","中"),IF(L1158&lt;3,IF(N1158&lt;5,"低",IF(N1158&lt;16,"中","高")),IF(N1158&lt;5,"中","高"))))),IF(OR(I1158="EO",I1158="EQ"),IF(OR(X1158="估算法",X1158="算法类"),"中",IF(X1158="无法识别","低",IF(L1158&lt;2,IF(N1158&lt;20,"低","中"),IF(L1158&lt;4,IF(N1158&lt;6,"低",IF(N1158&lt;20,"中","高")),IF(N1158&lt;6,"中","高"))))),IF(OR(I1158="ILF",I1158="EIF"),IF(OR(X1158="估算法",X1158="算法类",X1158="无法识别"),"低",IF(M1158&lt;2,IF(N1158&lt;51,"低","中"),IF(M1158&lt;6,IF(N1158&lt;20,"低",IF(N1158&lt;51,"中","高")),IF(N1158&lt;20,"中","高")))),"不计算")))</f>
        <v/>
      </c>
      <c r="P1158" s="142">
        <f>IFERROR(IF(I1158="EI",IF(O1158="低",3,IF(O1158="中",4,6)),IF(I1158="EO",IF(O1158="低",4,IF(O1158="中",5,7)),IF(I1158="EQ",IF(O1158="低",3,IF(O1158="中",4,6)),IF(I1158="ILF",IF(O1158="低",7,IF(O1158="中",10,15)),IF(I1158="EIF",IF(O1158="低",5,IF(O1158="中",7,10)),"不计算")))))*Q1158,"不计算")</f>
        <v/>
      </c>
      <c r="Q1158" s="142" t="n">
        <v>0.333333333333333</v>
      </c>
      <c r="R1158" s="143">
        <f>调整因子!$F$13</f>
        <v/>
      </c>
      <c r="S1158" s="70" t="n">
        <v>1</v>
      </c>
      <c r="T1158" s="144">
        <f>IFERROR(P1158*R1158,0)</f>
        <v/>
      </c>
      <c r="U1158" s="145">
        <f>T1158*S1158</f>
        <v/>
      </c>
      <c r="V1158" s="96" t="inlineStr">
        <is>
          <t>扫描策略模板表、提醒策略配置表</t>
        </is>
      </c>
      <c r="W1158" s="96" t="inlineStr"/>
      <c r="X1158" s="111" t="inlineStr">
        <is>
          <t>扫描策略模板表{任务ID、任务名称、任务状态、扫描器类型、开始时间、结束时间、扫描结果|任务ID、任务名称、任务状态}
提醒策略配置表{配置ID、配置名称、配置类型、配置值、创建时间|配置ID、配置名称、配置类型}</t>
        </is>
      </c>
      <c r="Y1158" s="88" t="n"/>
      <c r="Z1158" s="88" t="n"/>
    </row>
    <row r="1159" hidden="1" ht="21.6" customHeight="1">
      <c r="A1159" s="69">
        <f>ROW()-1</f>
        <v/>
      </c>
      <c r="B1159" s="53" t="n"/>
      <c r="C1159" s="117" t="n">
        <v>2026</v>
      </c>
      <c r="E1159" s="53" t="n"/>
      <c r="F1159" s="53" t="n"/>
      <c r="G1159" s="53" t="n"/>
      <c r="H1159" s="96" t="inlineStr">
        <is>
          <t>导出队列状态</t>
        </is>
      </c>
      <c r="I1159" s="76" t="inlineStr">
        <is>
          <t>EO</t>
        </is>
      </c>
      <c r="J1159" s="95" t="n"/>
      <c r="K1159" s="95" t="n"/>
      <c r="L1159" s="83">
        <f>IF(OR(X1159="估算法",X1159="算法类",X1159="无法识别"),"",IF(V1159="",IF(OR(I1159="EI",I1159="EO",I1159="EQ"),0,""),LEN(V1159)-LEN(SUBSTITUTE(V1159,"、",""))+1))</f>
        <v/>
      </c>
      <c r="M1159" s="83">
        <f>IF(OR(X1159="估算法",X1159="算法类",X1159="无法识别"),"",IF(W1159="",IF(OR(I1159="ILF",I1159="EIF"),0,""),LEN(W1159)-LEN(SUBSTITUTE(W1159,"、",""))+1))</f>
        <v/>
      </c>
      <c r="N1159" s="83">
        <f>IF(OR(X1159="估算法",X1159="算法类",X1159="无法识别"),"",IF(X1159="",IF(OR(I1159="ILF",I1159="EIF",I1159="EI",I1159="EO",I1159="EQ"),0,""),LEN(X1159)-LEN(SUBSTITUTE(SUBSTITUTE(SUBSTITUTE(SUBSTITUTE(SUBSTITUTE(X1159,"|}","--"),"{|","--"),CHAR(10),""),"、",""),"|",""))+IF(AND(OR(I1159="EI",I1159="EO",I1159="EQ"),$AD$1="NESMA"),2,1)))</f>
        <v/>
      </c>
      <c r="O1159" s="84">
        <f>IF(I1159="EI",IF(OR(X1159="估算法",X1159="算法类"),"中",IF(X1159="无法识别","低",IF(L1159&lt;2,IF(N1159&lt;16,"低","中"),IF(L1159&lt;3,IF(N1159&lt;5,"低",IF(N1159&lt;16,"中","高")),IF(N1159&lt;5,"中","高"))))),IF(OR(I1159="EO",I1159="EQ"),IF(OR(X1159="估算法",X1159="算法类"),"中",IF(X1159="无法识别","低",IF(L1159&lt;2,IF(N1159&lt;20,"低","中"),IF(L1159&lt;4,IF(N1159&lt;6,"低",IF(N1159&lt;20,"中","高")),IF(N1159&lt;6,"中","高"))))),IF(OR(I1159="ILF",I1159="EIF"),IF(OR(X1159="估算法",X1159="算法类",X1159="无法识别"),"低",IF(M1159&lt;2,IF(N1159&lt;51,"低","中"),IF(M1159&lt;6,IF(N1159&lt;20,"低",IF(N1159&lt;51,"中","高")),IF(N1159&lt;20,"中","高")))),"不计算")))</f>
        <v/>
      </c>
      <c r="P1159" s="142">
        <f>IFERROR(IF(I1159="EI",IF(O1159="低",3,IF(O1159="中",4,6)),IF(I1159="EO",IF(O1159="低",4,IF(O1159="中",5,7)),IF(I1159="EQ",IF(O1159="低",3,IF(O1159="中",4,6)),IF(I1159="ILF",IF(O1159="低",7,IF(O1159="中",10,15)),IF(I1159="EIF",IF(O1159="低",5,IF(O1159="中",7,10)),"不计算")))))*Q1159,"不计算")</f>
        <v/>
      </c>
      <c r="Q1159" s="142" t="n">
        <v>0.333333333333333</v>
      </c>
      <c r="R1159" s="143">
        <f>调整因子!$F$13</f>
        <v/>
      </c>
      <c r="S1159" s="76" t="n">
        <v>1</v>
      </c>
      <c r="T1159" s="144">
        <f>IFERROR(P1159*R1159,0)</f>
        <v/>
      </c>
      <c r="U1159" s="145">
        <f>T1159*S1159</f>
        <v/>
      </c>
      <c r="V1159" s="96" t="inlineStr">
        <is>
          <t>同步任务调度表</t>
        </is>
      </c>
      <c r="W1159" s="96" t="inlineStr"/>
      <c r="X1159" s="111" t="inlineStr">
        <is>
          <t>同步任务调度表{任务ID、任务名称|任务ID、任务名称、任务类型、任务状态、创建时间、执行时间}</t>
        </is>
      </c>
      <c r="Y1159" s="88" t="n"/>
      <c r="Z1159" s="88" t="n"/>
    </row>
    <row r="1160" hidden="1" ht="86.40000000000001" customHeight="1">
      <c r="A1160" s="69">
        <f>ROW()-1</f>
        <v/>
      </c>
      <c r="B1160" s="53" t="n"/>
      <c r="C1160" s="117" t="n">
        <v>2026</v>
      </c>
      <c r="E1160" s="53" t="n"/>
      <c r="F1160" s="53" t="n"/>
      <c r="G1160" s="53" t="n"/>
      <c r="H1160" s="96" t="inlineStr">
        <is>
          <t>查询队列列表</t>
        </is>
      </c>
      <c r="I1160" s="76" t="inlineStr">
        <is>
          <t>EO</t>
        </is>
      </c>
      <c r="J1160" s="95" t="n"/>
      <c r="K1160" s="95" t="n"/>
      <c r="L1160" s="83">
        <f>IF(OR(X1160="估算法",X1160="算法类",X1160="无法识别"),"",IF(V1160="",IF(OR(I1160="EI",I1160="EO",I1160="EQ"),0,""),LEN(V1160)-LEN(SUBSTITUTE(V1160,"、",""))+1))</f>
        <v/>
      </c>
      <c r="M1160" s="83">
        <f>IF(OR(X1160="估算法",X1160="算法类",X1160="无法识别"),"",IF(W1160="",IF(OR(I1160="ILF",I1160="EIF"),0,""),LEN(W1160)-LEN(SUBSTITUTE(W1160,"、",""))+1))</f>
        <v/>
      </c>
      <c r="N1160" s="83">
        <f>IF(OR(X1160="估算法",X1160="算法类",X1160="无法识别"),"",IF(X1160="",IF(OR(I1160="ILF",I1160="EIF",I1160="EI",I1160="EO",I1160="EQ"),0,""),LEN(X1160)-LEN(SUBSTITUTE(SUBSTITUTE(SUBSTITUTE(SUBSTITUTE(SUBSTITUTE(X1160,"|}","--"),"{|","--"),CHAR(10),""),"、",""),"|",""))+IF(AND(OR(I1160="EI",I1160="EO",I1160="EQ"),$AD$1="NESMA"),2,1)))</f>
        <v/>
      </c>
      <c r="O1160" s="84">
        <f>IF(I1160="EI",IF(OR(X1160="估算法",X1160="算法类"),"中",IF(X1160="无法识别","低",IF(L1160&lt;2,IF(N1160&lt;16,"低","中"),IF(L1160&lt;3,IF(N1160&lt;5,"低",IF(N1160&lt;16,"中","高")),IF(N1160&lt;5,"中","高"))))),IF(OR(I1160="EO",I1160="EQ"),IF(OR(X1160="估算法",X1160="算法类"),"中",IF(X1160="无法识别","低",IF(L1160&lt;2,IF(N1160&lt;20,"低","中"),IF(L1160&lt;4,IF(N1160&lt;6,"低",IF(N1160&lt;20,"中","高")),IF(N1160&lt;6,"中","高"))))),IF(OR(I1160="ILF",I1160="EIF"),IF(OR(X1160="估算法",X1160="算法类",X1160="无法识别"),"低",IF(M1160&lt;2,IF(N1160&lt;51,"低","中"),IF(M1160&lt;6,IF(N1160&lt;20,"低",IF(N1160&lt;51,"中","高")),IF(N1160&lt;20,"中","高")))),"不计算")))</f>
        <v/>
      </c>
      <c r="P1160" s="142">
        <f>IFERROR(IF(I1160="EI",IF(O1160="低",3,IF(O1160="中",4,6)),IF(I1160="EO",IF(O1160="低",4,IF(O1160="中",5,7)),IF(I1160="EQ",IF(O1160="低",3,IF(O1160="中",4,6)),IF(I1160="ILF",IF(O1160="低",7,IF(O1160="中",10,15)),IF(I1160="EIF",IF(O1160="低",5,IF(O1160="中",7,10)),"不计算")))))*Q1160,"不计算")</f>
        <v/>
      </c>
      <c r="Q1160" s="142" t="n">
        <v>0.333333333333333</v>
      </c>
      <c r="R1160" s="143">
        <f>调整因子!$F$13</f>
        <v/>
      </c>
      <c r="S1160" s="76" t="n">
        <v>1</v>
      </c>
      <c r="T1160" s="144">
        <f>IFERROR(P1160*R1160,0)</f>
        <v/>
      </c>
      <c r="U1160" s="145">
        <f>T1160*S1160</f>
        <v/>
      </c>
      <c r="V1160" s="96" t="inlineStr">
        <is>
          <t>漏洞趋势数据表、复测配置表、资产查询接口配置表、修复步骤表、任务优先级配置表</t>
        </is>
      </c>
      <c r="W1160" s="96" t="inlineStr"/>
      <c r="X1160" s="111" t="inlineStr">
        <is>
          <t>漏洞趋势数据表{漏洞ID、漏洞名称|漏洞ID、漏洞名称、漏洞等级、漏洞类型、CVE编号、发现时间、修复状态}
复测配置表{配置ID、配置名称|配置ID、配置名称、配置类型、配置值、创建时间}
资产查询接口配置表{资产ID、资产名称|资产ID、资产名称、IP地址、资产类型、资产状态、创建时间、更新时间}
修复步骤表{ID、名称|ID、名称、类型、状态、创建时间、更新时间}
任务优先级配置表{任务ID、任务名称|任务ID、任务名称、任务类型、任务状态、创建时间、执行时间}</t>
        </is>
      </c>
      <c r="Y1160" s="88" t="n"/>
      <c r="Z1160" s="88" t="n"/>
    </row>
    <row r="1161" hidden="1" ht="64.8" customHeight="1">
      <c r="A1161" s="69">
        <f>ROW()-1</f>
        <v/>
      </c>
      <c r="B1161" s="53" t="n"/>
      <c r="C1161" s="117" t="n">
        <v>2026</v>
      </c>
      <c r="E1161" s="53" t="n"/>
      <c r="F1161" s="54" t="n"/>
      <c r="G1161" s="54" t="n"/>
      <c r="H1161" s="96" t="inlineStr">
        <is>
          <t>查看队列详情</t>
        </is>
      </c>
      <c r="I1161" s="76" t="inlineStr">
        <is>
          <t>EQ</t>
        </is>
      </c>
      <c r="J1161" s="95" t="n"/>
      <c r="K1161" s="95" t="n"/>
      <c r="L1161" s="83">
        <f>IF(OR(X1161="估算法",X1161="算法类",X1161="无法识别"),"",IF(V1161="",IF(OR(I1161="EI",I1161="EO",I1161="EQ"),0,""),LEN(V1161)-LEN(SUBSTITUTE(V1161,"、",""))+1))</f>
        <v/>
      </c>
      <c r="M1161" s="83">
        <f>IF(OR(X1161="估算法",X1161="算法类",X1161="无法识别"),"",IF(W1161="",IF(OR(I1161="ILF",I1161="EIF"),0,""),LEN(W1161)-LEN(SUBSTITUTE(W1161,"、",""))+1))</f>
        <v/>
      </c>
      <c r="N1161" s="83">
        <f>IF(OR(X1161="估算法",X1161="算法类",X1161="无法识别"),"",IF(X1161="",IF(OR(I1161="ILF",I1161="EIF",I1161="EI",I1161="EO",I1161="EQ"),0,""),LEN(X1161)-LEN(SUBSTITUTE(SUBSTITUTE(SUBSTITUTE(SUBSTITUTE(SUBSTITUTE(X1161,"|}","--"),"{|","--"),CHAR(10),""),"、",""),"|",""))+IF(AND(OR(I1161="EI",I1161="EO",I1161="EQ"),$AD$1="NESMA"),2,1)))</f>
        <v/>
      </c>
      <c r="O1161" s="84">
        <f>IF(I1161="EI",IF(OR(X1161="估算法",X1161="算法类"),"中",IF(X1161="无法识别","低",IF(L1161&lt;2,IF(N1161&lt;16,"低","中"),IF(L1161&lt;3,IF(N1161&lt;5,"低",IF(N1161&lt;16,"中","高")),IF(N1161&lt;5,"中","高"))))),IF(OR(I1161="EO",I1161="EQ"),IF(OR(X1161="估算法",X1161="算法类"),"中",IF(X1161="无法识别","低",IF(L1161&lt;2,IF(N1161&lt;20,"低","中"),IF(L1161&lt;4,IF(N1161&lt;6,"低",IF(N1161&lt;20,"中","高")),IF(N1161&lt;6,"中","高"))))),IF(OR(I1161="ILF",I1161="EIF"),IF(OR(X1161="估算法",X1161="算法类",X1161="无法识别"),"低",IF(M1161&lt;2,IF(N1161&lt;51,"低","中"),IF(M1161&lt;6,IF(N1161&lt;20,"低",IF(N1161&lt;51,"中","高")),IF(N1161&lt;20,"中","高")))),"不计算")))</f>
        <v/>
      </c>
      <c r="P1161" s="142">
        <f>IFERROR(IF(I1161="EI",IF(O1161="低",3,IF(O1161="中",4,6)),IF(I1161="EO",IF(O1161="低",4,IF(O1161="中",5,7)),IF(I1161="EQ",IF(O1161="低",3,IF(O1161="中",4,6)),IF(I1161="ILF",IF(O1161="低",7,IF(O1161="中",10,15)),IF(I1161="EIF",IF(O1161="低",5,IF(O1161="中",7,10)),"不计算")))))*Q1161,"不计算")</f>
        <v/>
      </c>
      <c r="Q1161" s="142" t="n">
        <v>0.333333333333333</v>
      </c>
      <c r="R1161" s="143">
        <f>调整因子!$F$13</f>
        <v/>
      </c>
      <c r="S1161" s="70" t="n">
        <v>1</v>
      </c>
      <c r="T1161" s="144">
        <f>IFERROR(P1161*R1161,0)</f>
        <v/>
      </c>
      <c r="U1161" s="145">
        <f>T1161*S1161</f>
        <v/>
      </c>
      <c r="V1161" s="96" t="inlineStr">
        <is>
          <t>日志查询记录表、方案审批表、态势大屏配置表、考核指标配置表</t>
        </is>
      </c>
      <c r="W1161" s="96" t="inlineStr"/>
      <c r="X1161" s="111" t="inlineStr">
        <is>
          <t>日志查询记录表{日志ID、操作人|日志ID、操作人、操作类型、操作时间、操作内容}
方案审批表{ID、名称|ID、名称、类型、状态、创建时间、更新时间}
态势大屏配置表{配置ID、配置名称|配置ID、配置名称、配置类型、配置值、创建时间}
考核指标配置表{配置ID、配置名称|配置ID、配置名称、配置类型、配置值、创建时间}</t>
        </is>
      </c>
      <c r="Y1161" s="88" t="n"/>
      <c r="Z1161" s="88" t="n"/>
    </row>
    <row r="1162" hidden="1" ht="43.2" customHeight="1">
      <c r="A1162" s="69">
        <f>ROW()-1</f>
        <v/>
      </c>
      <c r="B1162" s="53" t="n"/>
      <c r="C1162" s="117" t="n">
        <v>2026</v>
      </c>
      <c r="E1162" s="53" t="n"/>
      <c r="F1162" s="111" t="inlineStr">
        <is>
          <t>扫描任务失败自动重试与转移</t>
        </is>
      </c>
      <c r="G1162" s="111" t="inlineStr">
        <is>
          <t>失败重试管理</t>
        </is>
      </c>
      <c r="H1162" s="96" t="inlineStr">
        <is>
          <t>编辑重试策略</t>
        </is>
      </c>
      <c r="I1162" s="76" t="inlineStr">
        <is>
          <t>EI</t>
        </is>
      </c>
      <c r="J1162" s="95" t="n"/>
      <c r="K1162" s="95" t="n"/>
      <c r="L1162" s="83">
        <f>IF(OR(X1162="估算法",X1162="算法类",X1162="无法识别"),"",IF(V1162="",IF(OR(I1162="EI",I1162="EO",I1162="EQ"),0,""),LEN(V1162)-LEN(SUBSTITUTE(V1162,"、",""))+1))</f>
        <v/>
      </c>
      <c r="M1162" s="83">
        <f>IF(OR(X1162="估算法",X1162="算法类",X1162="无法识别"),"",IF(W1162="",IF(OR(I1162="ILF",I1162="EIF"),0,""),LEN(W1162)-LEN(SUBSTITUTE(W1162,"、",""))+1))</f>
        <v/>
      </c>
      <c r="N1162" s="83">
        <f>IF(OR(X1162="估算法",X1162="算法类",X1162="无法识别"),"",IF(X1162="",IF(OR(I1162="ILF",I1162="EIF",I1162="EI",I1162="EO",I1162="EQ"),0,""),LEN(X1162)-LEN(SUBSTITUTE(SUBSTITUTE(SUBSTITUTE(SUBSTITUTE(SUBSTITUTE(X1162,"|}","--"),"{|","--"),CHAR(10),""),"、",""),"|",""))+IF(AND(OR(I1162="EI",I1162="EO",I1162="EQ"),$AD$1="NESMA"),2,1)))</f>
        <v/>
      </c>
      <c r="O1162" s="84">
        <f>IF(I1162="EI",IF(OR(X1162="估算法",X1162="算法类"),"中",IF(X1162="无法识别","低",IF(L1162&lt;2,IF(N1162&lt;16,"低","中"),IF(L1162&lt;3,IF(N1162&lt;5,"低",IF(N1162&lt;16,"中","高")),IF(N1162&lt;5,"中","高"))))),IF(OR(I1162="EO",I1162="EQ"),IF(OR(X1162="估算法",X1162="算法类"),"中",IF(X1162="无法识别","低",IF(L1162&lt;2,IF(N1162&lt;20,"低","中"),IF(L1162&lt;4,IF(N1162&lt;6,"低",IF(N1162&lt;20,"中","高")),IF(N1162&lt;6,"中","高"))))),IF(OR(I1162="ILF",I1162="EIF"),IF(OR(X1162="估算法",X1162="算法类",X1162="无法识别"),"低",IF(M1162&lt;2,IF(N1162&lt;51,"低","中"),IF(M1162&lt;6,IF(N1162&lt;20,"低",IF(N1162&lt;51,"中","高")),IF(N1162&lt;20,"中","高")))),"不计算")))</f>
        <v/>
      </c>
      <c r="P1162" s="142">
        <f>IFERROR(IF(I1162="EI",IF(O1162="低",3,IF(O1162="中",4,6)),IF(I1162="EO",IF(O1162="低",4,IF(O1162="中",5,7)),IF(I1162="EQ",IF(O1162="低",3,IF(O1162="中",4,6)),IF(I1162="ILF",IF(O1162="低",7,IF(O1162="中",10,15)),IF(I1162="EIF",IF(O1162="低",5,IF(O1162="中",7,10)),"不计算")))))*Q1162,"不计算")</f>
        <v/>
      </c>
      <c r="Q1162" s="142" t="n">
        <v>1</v>
      </c>
      <c r="R1162" s="143">
        <f>调整因子!$F$13</f>
        <v/>
      </c>
      <c r="S1162" s="70" t="n">
        <v>1</v>
      </c>
      <c r="T1162" s="144">
        <f>IFERROR(P1162*R1162,0)</f>
        <v/>
      </c>
      <c r="U1162" s="145">
        <f>T1162*S1162</f>
        <v/>
      </c>
      <c r="V1162" s="96" t="inlineStr">
        <is>
          <t>扫描策略模板表、提醒策略配置表</t>
        </is>
      </c>
      <c r="W1162" s="96" t="inlineStr"/>
      <c r="X1162" s="111" t="inlineStr">
        <is>
          <t>扫描策略模板表{任务ID、任务名称、任务状态、扫描器类型、开始时间、结束时间、扫描结果|任务ID、任务名称、任务状态}
提醒策略配置表{配置ID、配置名称、配置类型、配置值、创建时间|配置ID、配置名称、配置类型}</t>
        </is>
      </c>
      <c r="Y1162" s="88" t="n"/>
      <c r="Z1162" s="88" t="n"/>
    </row>
    <row r="1163" hidden="1" ht="21.6" customHeight="1">
      <c r="A1163" s="69">
        <f>ROW()-1</f>
        <v/>
      </c>
      <c r="B1163" s="53" t="n"/>
      <c r="C1163" s="117" t="n">
        <v>2026</v>
      </c>
      <c r="E1163" s="53" t="n"/>
      <c r="F1163" s="53" t="n"/>
      <c r="G1163" s="53" t="n"/>
      <c r="H1163" s="96" t="inlineStr">
        <is>
          <t>删除重试策略</t>
        </is>
      </c>
      <c r="I1163" s="76" t="inlineStr">
        <is>
          <t>EI</t>
        </is>
      </c>
      <c r="J1163" s="95" t="n"/>
      <c r="K1163" s="95" t="n"/>
      <c r="L1163" s="83">
        <f>IF(OR(X1163="估算法",X1163="算法类",X1163="无法识别"),"",IF(V1163="",IF(OR(I1163="EI",I1163="EO",I1163="EQ"),0,""),LEN(V1163)-LEN(SUBSTITUTE(V1163,"、",""))+1))</f>
        <v/>
      </c>
      <c r="M1163" s="83">
        <f>IF(OR(X1163="估算法",X1163="算法类",X1163="无法识别"),"",IF(W1163="",IF(OR(I1163="ILF",I1163="EIF"),0,""),LEN(W1163)-LEN(SUBSTITUTE(W1163,"、",""))+1))</f>
        <v/>
      </c>
      <c r="N1163" s="83">
        <f>IF(OR(X1163="估算法",X1163="算法类",X1163="无法识别"),"",IF(X1163="",IF(OR(I1163="ILF",I1163="EIF",I1163="EI",I1163="EO",I1163="EQ"),0,""),LEN(X1163)-LEN(SUBSTITUTE(SUBSTITUTE(SUBSTITUTE(SUBSTITUTE(SUBSTITUTE(X1163,"|}","--"),"{|","--"),CHAR(10),""),"、",""),"|",""))+IF(AND(OR(I1163="EI",I1163="EO",I1163="EQ"),$AD$1="NESMA"),2,1)))</f>
        <v/>
      </c>
      <c r="O1163" s="84">
        <f>IF(I1163="EI",IF(OR(X1163="估算法",X1163="算法类"),"中",IF(X1163="无法识别","低",IF(L1163&lt;2,IF(N1163&lt;16,"低","中"),IF(L1163&lt;3,IF(N1163&lt;5,"低",IF(N1163&lt;16,"中","高")),IF(N1163&lt;5,"中","高"))))),IF(OR(I1163="EO",I1163="EQ"),IF(OR(X1163="估算法",X1163="算法类"),"中",IF(X1163="无法识别","低",IF(L1163&lt;2,IF(N1163&lt;20,"低","中"),IF(L1163&lt;4,IF(N1163&lt;6,"低",IF(N1163&lt;20,"中","高")),IF(N1163&lt;6,"中","高"))))),IF(OR(I1163="ILF",I1163="EIF"),IF(OR(X1163="估算法",X1163="算法类",X1163="无法识别"),"低",IF(M1163&lt;2,IF(N1163&lt;51,"低","中"),IF(M1163&lt;6,IF(N1163&lt;20,"低",IF(N1163&lt;51,"中","高")),IF(N1163&lt;20,"中","高")))),"不计算")))</f>
        <v/>
      </c>
      <c r="P1163" s="142">
        <f>IFERROR(IF(I1163="EI",IF(O1163="低",3,IF(O1163="中",4,6)),IF(I1163="EO",IF(O1163="低",4,IF(O1163="中",5,7)),IF(I1163="EQ",IF(O1163="低",3,IF(O1163="中",4,6)),IF(I1163="ILF",IF(O1163="低",7,IF(O1163="中",10,15)),IF(I1163="EIF",IF(O1163="低",5,IF(O1163="中",7,10)),"不计算")))))*Q1163,"不计算")</f>
        <v/>
      </c>
      <c r="Q1163" s="142" t="n">
        <v>0.333333333333333</v>
      </c>
      <c r="R1163" s="143">
        <f>调整因子!$F$13</f>
        <v/>
      </c>
      <c r="S1163" s="76" t="n">
        <v>1</v>
      </c>
      <c r="T1163" s="144">
        <f>IFERROR(P1163*R1163,0)</f>
        <v/>
      </c>
      <c r="U1163" s="145">
        <f>T1163*S1163</f>
        <v/>
      </c>
      <c r="V1163" s="96" t="inlineStr">
        <is>
          <t>扫描策略模板表</t>
        </is>
      </c>
      <c r="W1163" s="96" t="inlineStr"/>
      <c r="X1163" s="111" t="inlineStr">
        <is>
          <t>扫描策略模板表{任务ID、任务名称、任务状态、扫描器类型、开始时间、结束时间、扫描结果|任务ID、任务名称、任务状态}</t>
        </is>
      </c>
      <c r="Y1163" s="88" t="n"/>
      <c r="Z1163" s="88" t="n"/>
    </row>
    <row r="1164" hidden="1" ht="21.6" customHeight="1">
      <c r="A1164" s="69">
        <f>ROW()-1</f>
        <v/>
      </c>
      <c r="B1164" s="53" t="n"/>
      <c r="C1164" s="117" t="n">
        <v>2026</v>
      </c>
      <c r="E1164" s="53" t="n"/>
      <c r="F1164" s="53" t="n"/>
      <c r="G1164" s="53" t="n"/>
      <c r="H1164" s="96" t="inlineStr">
        <is>
          <t>启用自动重试</t>
        </is>
      </c>
      <c r="I1164" s="76" t="inlineStr">
        <is>
          <t>EI</t>
        </is>
      </c>
      <c r="J1164" s="95" t="n"/>
      <c r="K1164" s="95" t="n"/>
      <c r="L1164" s="83">
        <f>IF(OR(X1164="估算法",X1164="算法类",X1164="无法识别"),"",IF(V1164="",IF(OR(I1164="EI",I1164="EO",I1164="EQ"),0,""),LEN(V1164)-LEN(SUBSTITUTE(V1164,"、",""))+1))</f>
        <v/>
      </c>
      <c r="M1164" s="83">
        <f>IF(OR(X1164="估算法",X1164="算法类",X1164="无法识别"),"",IF(W1164="",IF(OR(I1164="ILF",I1164="EIF"),0,""),LEN(W1164)-LEN(SUBSTITUTE(W1164,"、",""))+1))</f>
        <v/>
      </c>
      <c r="N1164" s="83">
        <f>IF(OR(X1164="估算法",X1164="算法类",X1164="无法识别"),"",IF(X1164="",IF(OR(I1164="ILF",I1164="EIF",I1164="EI",I1164="EO",I1164="EQ"),0,""),LEN(X1164)-LEN(SUBSTITUTE(SUBSTITUTE(SUBSTITUTE(SUBSTITUTE(SUBSTITUTE(X1164,"|}","--"),"{|","--"),CHAR(10),""),"、",""),"|",""))+IF(AND(OR(I1164="EI",I1164="EO",I1164="EQ"),$AD$1="NESMA"),2,1)))</f>
        <v/>
      </c>
      <c r="O1164" s="84">
        <f>IF(I1164="EI",IF(OR(X1164="估算法",X1164="算法类"),"中",IF(X1164="无法识别","低",IF(L1164&lt;2,IF(N1164&lt;16,"低","中"),IF(L1164&lt;3,IF(N1164&lt;5,"低",IF(N1164&lt;16,"中","高")),IF(N1164&lt;5,"中","高"))))),IF(OR(I1164="EO",I1164="EQ"),IF(OR(X1164="估算法",X1164="算法类"),"中",IF(X1164="无法识别","低",IF(L1164&lt;2,IF(N1164&lt;20,"低","中"),IF(L1164&lt;4,IF(N1164&lt;6,"低",IF(N1164&lt;20,"中","高")),IF(N1164&lt;6,"中","高"))))),IF(OR(I1164="ILF",I1164="EIF"),IF(OR(X1164="估算法",X1164="算法类",X1164="无法识别"),"低",IF(M1164&lt;2,IF(N1164&lt;51,"低","中"),IF(M1164&lt;6,IF(N1164&lt;20,"低",IF(N1164&lt;51,"中","高")),IF(N1164&lt;20,"中","高")))),"不计算")))</f>
        <v/>
      </c>
      <c r="P1164" s="142">
        <f>IFERROR(IF(I1164="EI",IF(O1164="低",3,IF(O1164="中",4,6)),IF(I1164="EO",IF(O1164="低",4,IF(O1164="中",5,7)),IF(I1164="EQ",IF(O1164="低",3,IF(O1164="中",4,6)),IF(I1164="ILF",IF(O1164="低",7,IF(O1164="中",10,15)),IF(I1164="EIF",IF(O1164="低",5,IF(O1164="中",7,10)),"不计算")))))*Q1164,"不计算")</f>
        <v/>
      </c>
      <c r="Q1164" s="142" t="n">
        <v>1</v>
      </c>
      <c r="R1164" s="143">
        <f>调整因子!$F$13</f>
        <v/>
      </c>
      <c r="S1164" s="70" t="n">
        <v>1</v>
      </c>
      <c r="T1164" s="144">
        <f>IFERROR(P1164*R1164,0)</f>
        <v/>
      </c>
      <c r="U1164" s="145">
        <f>T1164*S1164</f>
        <v/>
      </c>
      <c r="V1164" s="96" t="inlineStr">
        <is>
          <t>验证任务表</t>
        </is>
      </c>
      <c r="W1164" s="96" t="inlineStr"/>
      <c r="X1164" s="111" t="inlineStr">
        <is>
          <t>验证任务表{任务ID、任务名称、任务类型、任务状态、创建时间、执行时间|任务ID、任务名称、任务类型}</t>
        </is>
      </c>
      <c r="Y1164" s="88" t="n"/>
      <c r="Z1164" s="88" t="n"/>
    </row>
    <row r="1165" hidden="1" ht="32.4" customHeight="1">
      <c r="A1165" s="69">
        <f>ROW()-1</f>
        <v/>
      </c>
      <c r="B1165" s="53" t="n"/>
      <c r="C1165" s="117" t="n">
        <v>2026</v>
      </c>
      <c r="E1165" s="53" t="n"/>
      <c r="F1165" s="53" t="n"/>
      <c r="G1165" s="53" t="n"/>
      <c r="H1165" s="96" t="inlineStr">
        <is>
          <t>停用自动重试</t>
        </is>
      </c>
      <c r="I1165" s="76" t="n"/>
      <c r="J1165" s="95" t="n"/>
      <c r="K1165" s="95" t="inlineStr">
        <is>
          <t>和上行合并，启停为相同功能</t>
        </is>
      </c>
      <c r="L1165" s="83">
        <f>IF(OR(X1165="估算法",X1165="算法类",X1165="无法识别"),"",IF(V1165="",IF(OR(I1165="EI",I1165="EO",I1165="EQ"),0,""),LEN(V1165)-LEN(SUBSTITUTE(V1165,"、",""))+1))</f>
        <v/>
      </c>
      <c r="M1165" s="83">
        <f>IF(OR(X1165="估算法",X1165="算法类",X1165="无法识别"),"",IF(W1165="",IF(OR(I1165="ILF",I1165="EIF"),0,""),LEN(W1165)-LEN(SUBSTITUTE(W1165,"、",""))+1))</f>
        <v/>
      </c>
      <c r="N1165" s="83">
        <f>IF(OR(X1165="估算法",X1165="算法类",X1165="无法识别"),"",IF(X1165="",IF(OR(I1165="ILF",I1165="EIF",I1165="EI",I1165="EO",I1165="EQ"),0,""),LEN(X1165)-LEN(SUBSTITUTE(SUBSTITUTE(SUBSTITUTE(SUBSTITUTE(SUBSTITUTE(X1165,"|}","--"),"{|","--"),CHAR(10),""),"、",""),"|",""))+IF(AND(OR(I1165="EI",I1165="EO",I1165="EQ"),$AD$1="NESMA"),2,1)))</f>
        <v/>
      </c>
      <c r="O1165" s="84">
        <f>IF(I1165="EI",IF(OR(X1165="估算法",X1165="算法类"),"中",IF(X1165="无法识别","低",IF(L1165&lt;2,IF(N1165&lt;16,"低","中"),IF(L1165&lt;3,IF(N1165&lt;5,"低",IF(N1165&lt;16,"中","高")),IF(N1165&lt;5,"中","高"))))),IF(OR(I1165="EO",I1165="EQ"),IF(OR(X1165="估算法",X1165="算法类"),"中",IF(X1165="无法识别","低",IF(L1165&lt;2,IF(N1165&lt;20,"低","中"),IF(L1165&lt;4,IF(N1165&lt;6,"低",IF(N1165&lt;20,"中","高")),IF(N1165&lt;6,"中","高"))))),IF(OR(I1165="ILF",I1165="EIF"),IF(OR(X1165="估算法",X1165="算法类",X1165="无法识别"),"低",IF(M1165&lt;2,IF(N1165&lt;51,"低","中"),IF(M1165&lt;6,IF(N1165&lt;20,"低",IF(N1165&lt;51,"中","高")),IF(N1165&lt;20,"中","高")))),"不计算")))</f>
        <v/>
      </c>
      <c r="P1165" s="142">
        <f>IFERROR(IF(I1165="EI",IF(O1165="低",3,IF(O1165="中",4,6)),IF(I1165="EO",IF(O1165="低",4,IF(O1165="中",5,7)),IF(I1165="EQ",IF(O1165="低",3,IF(O1165="中",4,6)),IF(I1165="ILF",IF(O1165="低",7,IF(O1165="中",10,15)),IF(I1165="EIF",IF(O1165="低",5,IF(O1165="中",7,10)),"不计算")))))*Q1165,"不计算")</f>
        <v/>
      </c>
      <c r="Q1165" s="142" t="n">
        <v>1</v>
      </c>
      <c r="R1165" s="143">
        <f>调整因子!$F$13</f>
        <v/>
      </c>
      <c r="S1165" s="70" t="n">
        <v>1</v>
      </c>
      <c r="T1165" s="144">
        <f>IFERROR(P1165*R1165,0)</f>
        <v/>
      </c>
      <c r="U1165" s="145">
        <f>T1165*S1165</f>
        <v/>
      </c>
      <c r="V1165" s="96" t="inlineStr">
        <is>
          <t>同步失败重试记录表、提醒规则表</t>
        </is>
      </c>
      <c r="W1165" s="96" t="inlineStr"/>
      <c r="X1165" s="111" t="inlineStr">
        <is>
          <t>同步失败重试记录表{ID、名称、类型、状态、创建时间、更新时间|ID、名称、类型}
提醒规则表{规则ID、规则名称、规则类型、规则条件、创建时间|规则ID、规则名称、规则类型}</t>
        </is>
      </c>
      <c r="Y1165" s="88" t="n"/>
      <c r="Z1165" s="88" t="n"/>
    </row>
    <row r="1166" hidden="1" ht="21.6" customHeight="1">
      <c r="A1166" s="69">
        <f>ROW()-1</f>
        <v/>
      </c>
      <c r="B1166" s="53" t="n"/>
      <c r="C1166" s="117" t="n">
        <v>2026</v>
      </c>
      <c r="E1166" s="53" t="n"/>
      <c r="F1166" s="53" t="n"/>
      <c r="G1166" s="53" t="n"/>
      <c r="H1166" s="96" t="inlineStr">
        <is>
          <t>导出重试记录</t>
        </is>
      </c>
      <c r="I1166" s="76" t="inlineStr">
        <is>
          <t>EO</t>
        </is>
      </c>
      <c r="J1166" s="95" t="n"/>
      <c r="K1166" s="95" t="n"/>
      <c r="L1166" s="83">
        <f>IF(OR(X1166="估算法",X1166="算法类",X1166="无法识别"),"",IF(V1166="",IF(OR(I1166="EI",I1166="EO",I1166="EQ"),0,""),LEN(V1166)-LEN(SUBSTITUTE(V1166,"、",""))+1))</f>
        <v/>
      </c>
      <c r="M1166" s="83">
        <f>IF(OR(X1166="估算法",X1166="算法类",X1166="无法识别"),"",IF(W1166="",IF(OR(I1166="ILF",I1166="EIF"),0,""),LEN(W1166)-LEN(SUBSTITUTE(W1166,"、",""))+1))</f>
        <v/>
      </c>
      <c r="N1166" s="83">
        <f>IF(OR(X1166="估算法",X1166="算法类",X1166="无法识别"),"",IF(X1166="",IF(OR(I1166="ILF",I1166="EIF",I1166="EI",I1166="EO",I1166="EQ"),0,""),LEN(X1166)-LEN(SUBSTITUTE(SUBSTITUTE(SUBSTITUTE(SUBSTITUTE(SUBSTITUTE(X1166,"|}","--"),"{|","--"),CHAR(10),""),"、",""),"|",""))+IF(AND(OR(I1166="EI",I1166="EO",I1166="EQ"),$AD$1="NESMA"),2,1)))</f>
        <v/>
      </c>
      <c r="O1166" s="84">
        <f>IF(I1166="EI",IF(OR(X1166="估算法",X1166="算法类"),"中",IF(X1166="无法识别","低",IF(L1166&lt;2,IF(N1166&lt;16,"低","中"),IF(L1166&lt;3,IF(N1166&lt;5,"低",IF(N1166&lt;16,"中","高")),IF(N1166&lt;5,"中","高"))))),IF(OR(I1166="EO",I1166="EQ"),IF(OR(X1166="估算法",X1166="算法类"),"中",IF(X1166="无法识别","低",IF(L1166&lt;2,IF(N1166&lt;20,"低","中"),IF(L1166&lt;4,IF(N1166&lt;6,"低",IF(N1166&lt;20,"中","高")),IF(N1166&lt;6,"中","高"))))),IF(OR(I1166="ILF",I1166="EIF"),IF(OR(X1166="估算法",X1166="算法类",X1166="无法识别"),"低",IF(M1166&lt;2,IF(N1166&lt;51,"低","中"),IF(M1166&lt;6,IF(N1166&lt;20,"低",IF(N1166&lt;51,"中","高")),IF(N1166&lt;20,"中","高")))),"不计算")))</f>
        <v/>
      </c>
      <c r="P1166" s="142">
        <f>IFERROR(IF(I1166="EI",IF(O1166="低",3,IF(O1166="中",4,6)),IF(I1166="EO",IF(O1166="低",4,IF(O1166="中",5,7)),IF(I1166="EQ",IF(O1166="低",3,IF(O1166="中",4,6)),IF(I1166="ILF",IF(O1166="低",7,IF(O1166="中",10,15)),IF(I1166="EIF",IF(O1166="低",5,IF(O1166="中",7,10)),"不计算")))))*Q1166,"不计算")</f>
        <v/>
      </c>
      <c r="Q1166" s="142" t="n">
        <v>1</v>
      </c>
      <c r="R1166" s="143">
        <f>调整因子!$F$13</f>
        <v/>
      </c>
      <c r="S1166" s="76" t="n">
        <v>1</v>
      </c>
      <c r="T1166" s="144">
        <f>IFERROR(P1166*R1166,0)</f>
        <v/>
      </c>
      <c r="U1166" s="145">
        <f>T1166*S1166</f>
        <v/>
      </c>
      <c r="V1166" s="96" t="inlineStr">
        <is>
          <t>标签定义表、修复方案表</t>
        </is>
      </c>
      <c r="W1166" s="96" t="inlineStr"/>
      <c r="X1166" s="111" t="inlineStr">
        <is>
          <t>标签定义表{ID、名称|ID、名称、类型、状态、创建时间、更新时间}
修复方案表{ID、名称|ID、名称、类型、状态、创建时间、更新时间}</t>
        </is>
      </c>
      <c r="Y1166" s="88" t="n"/>
      <c r="Z1166" s="88" t="n"/>
    </row>
    <row r="1167" hidden="1" ht="64.8" customHeight="1">
      <c r="A1167" s="69">
        <f>ROW()-1</f>
        <v/>
      </c>
      <c r="B1167" s="53" t="n"/>
      <c r="C1167" s="117" t="n">
        <v>2026</v>
      </c>
      <c r="E1167" s="53" t="n"/>
      <c r="F1167" s="53" t="n"/>
      <c r="G1167" s="53" t="n"/>
      <c r="H1167" s="96" t="inlineStr">
        <is>
          <t>查询重试记录</t>
        </is>
      </c>
      <c r="I1167" s="76" t="inlineStr">
        <is>
          <t>EO</t>
        </is>
      </c>
      <c r="J1167" s="95" t="n"/>
      <c r="K1167" s="95" t="n"/>
      <c r="L1167" s="83">
        <f>IF(OR(X1167="估算法",X1167="算法类",X1167="无法识别"),"",IF(V1167="",IF(OR(I1167="EI",I1167="EO",I1167="EQ"),0,""),LEN(V1167)-LEN(SUBSTITUTE(V1167,"、",""))+1))</f>
        <v/>
      </c>
      <c r="M1167" s="83">
        <f>IF(OR(X1167="估算法",X1167="算法类",X1167="无法识别"),"",IF(W1167="",IF(OR(I1167="ILF",I1167="EIF"),0,""),LEN(W1167)-LEN(SUBSTITUTE(W1167,"、",""))+1))</f>
        <v/>
      </c>
      <c r="N1167" s="83">
        <f>IF(OR(X1167="估算法",X1167="算法类",X1167="无法识别"),"",IF(X1167="",IF(OR(I1167="ILF",I1167="EIF",I1167="EI",I1167="EO",I1167="EQ"),0,""),LEN(X1167)-LEN(SUBSTITUTE(SUBSTITUTE(SUBSTITUTE(SUBSTITUTE(SUBSTITUTE(X1167,"|}","--"),"{|","--"),CHAR(10),""),"、",""),"|",""))+IF(AND(OR(I1167="EI",I1167="EO",I1167="EQ"),$AD$1="NESMA"),2,1)))</f>
        <v/>
      </c>
      <c r="O1167" s="84">
        <f>IF(I1167="EI",IF(OR(X1167="估算法",X1167="算法类"),"中",IF(X1167="无法识别","低",IF(L1167&lt;2,IF(N1167&lt;16,"低","中"),IF(L1167&lt;3,IF(N1167&lt;5,"低",IF(N1167&lt;16,"中","高")),IF(N1167&lt;5,"中","高"))))),IF(OR(I1167="EO",I1167="EQ"),IF(OR(X1167="估算法",X1167="算法类"),"中",IF(X1167="无法识别","低",IF(L1167&lt;2,IF(N1167&lt;20,"低","中"),IF(L1167&lt;4,IF(N1167&lt;6,"低",IF(N1167&lt;20,"中","高")),IF(N1167&lt;6,"中","高"))))),IF(OR(I1167="ILF",I1167="EIF"),IF(OR(X1167="估算法",X1167="算法类",X1167="无法识别"),"低",IF(M1167&lt;2,IF(N1167&lt;51,"低","中"),IF(M1167&lt;6,IF(N1167&lt;20,"低",IF(N1167&lt;51,"中","高")),IF(N1167&lt;20,"中","高")))),"不计算")))</f>
        <v/>
      </c>
      <c r="P1167" s="142">
        <f>IFERROR(IF(I1167="EI",IF(O1167="低",3,IF(O1167="中",4,6)),IF(I1167="EO",IF(O1167="低",4,IF(O1167="中",5,7)),IF(I1167="EQ",IF(O1167="低",3,IF(O1167="中",4,6)),IF(I1167="ILF",IF(O1167="低",7,IF(O1167="中",10,15)),IF(I1167="EIF",IF(O1167="低",5,IF(O1167="中",7,10)),"不计算")))))*Q1167,"不计算")</f>
        <v/>
      </c>
      <c r="Q1167" s="142" t="n">
        <v>1</v>
      </c>
      <c r="R1167" s="143">
        <f>调整因子!$F$13</f>
        <v/>
      </c>
      <c r="S1167" s="76" t="n">
        <v>1</v>
      </c>
      <c r="T1167" s="144">
        <f>IFERROR(P1167*R1167,0)</f>
        <v/>
      </c>
      <c r="U1167" s="145">
        <f>T1167*S1167</f>
        <v/>
      </c>
      <c r="V1167" s="96" t="inlineStr">
        <is>
          <t>资产同步任务表、模板配置表、报告模板表、任务队列表</t>
        </is>
      </c>
      <c r="W1167" s="96" t="inlineStr"/>
      <c r="X1167" s="111" t="inlineStr">
        <is>
          <t>资产同步任务表{资产ID、资产名称|资产ID、资产名称、IP地址、资产类型、资产状态、创建时间、更新时间}
模板配置表{配置ID、配置名称|配置ID、配置名称、配置类型、配置值、创建时间}
报告模板表{ID、名称|ID、名称、类型、状态、创建时间、更新时间}
任务队列表{任务ID、任务名称|任务ID、任务名称、任务类型、任务状态、创建时间、执行时间}</t>
        </is>
      </c>
      <c r="Y1167" s="88" t="n"/>
      <c r="Z1167" s="88" t="n"/>
    </row>
    <row r="1168" hidden="1" ht="21.6" customHeight="1">
      <c r="A1168" s="69">
        <f>ROW()-1</f>
        <v/>
      </c>
      <c r="B1168" s="53" t="n"/>
      <c r="C1168" s="117" t="n">
        <v>2026</v>
      </c>
      <c r="E1168" s="53" t="n"/>
      <c r="F1168" s="53" t="n"/>
      <c r="G1168" s="54" t="n"/>
      <c r="H1168" s="96" t="inlineStr">
        <is>
          <t>查看重试详情</t>
        </is>
      </c>
      <c r="I1168" s="76" t="inlineStr">
        <is>
          <t>EQ</t>
        </is>
      </c>
      <c r="J1168" s="95" t="n"/>
      <c r="K1168" s="95" t="n"/>
      <c r="L1168" s="83">
        <f>IF(OR(X1168="估算法",X1168="算法类",X1168="无法识别"),"",IF(V1168="",IF(OR(I1168="EI",I1168="EO",I1168="EQ"),0,""),LEN(V1168)-LEN(SUBSTITUTE(V1168,"、",""))+1))</f>
        <v/>
      </c>
      <c r="M1168" s="83">
        <f>IF(OR(X1168="估算法",X1168="算法类",X1168="无法识别"),"",IF(W1168="",IF(OR(I1168="ILF",I1168="EIF"),0,""),LEN(W1168)-LEN(SUBSTITUTE(W1168,"、",""))+1))</f>
        <v/>
      </c>
      <c r="N1168" s="83">
        <f>IF(OR(X1168="估算法",X1168="算法类",X1168="无法识别"),"",IF(X1168="",IF(OR(I1168="ILF",I1168="EIF",I1168="EI",I1168="EO",I1168="EQ"),0,""),LEN(X1168)-LEN(SUBSTITUTE(SUBSTITUTE(SUBSTITUTE(SUBSTITUTE(SUBSTITUTE(X1168,"|}","--"),"{|","--"),CHAR(10),""),"、",""),"|",""))+IF(AND(OR(I1168="EI",I1168="EO",I1168="EQ"),$AD$1="NESMA"),2,1)))</f>
        <v/>
      </c>
      <c r="O1168" s="84">
        <f>IF(I1168="EI",IF(OR(X1168="估算法",X1168="算法类"),"中",IF(X1168="无法识别","低",IF(L1168&lt;2,IF(N1168&lt;16,"低","中"),IF(L1168&lt;3,IF(N1168&lt;5,"低",IF(N1168&lt;16,"中","高")),IF(N1168&lt;5,"中","高"))))),IF(OR(I1168="EO",I1168="EQ"),IF(OR(X1168="估算法",X1168="算法类"),"中",IF(X1168="无法识别","低",IF(L1168&lt;2,IF(N1168&lt;20,"低","中"),IF(L1168&lt;4,IF(N1168&lt;6,"低",IF(N1168&lt;20,"中","高")),IF(N1168&lt;6,"中","高"))))),IF(OR(I1168="ILF",I1168="EIF"),IF(OR(X1168="估算法",X1168="算法类",X1168="无法识别"),"低",IF(M1168&lt;2,IF(N1168&lt;51,"低","中"),IF(M1168&lt;6,IF(N1168&lt;20,"低",IF(N1168&lt;51,"中","高")),IF(N1168&lt;20,"中","高")))),"不计算")))</f>
        <v/>
      </c>
      <c r="P1168" s="142">
        <f>IFERROR(IF(I1168="EI",IF(O1168="低",3,IF(O1168="中",4,6)),IF(I1168="EO",IF(O1168="低",4,IF(O1168="中",5,7)),IF(I1168="EQ",IF(O1168="低",3,IF(O1168="中",4,6)),IF(I1168="ILF",IF(O1168="低",7,IF(O1168="中",10,15)),IF(I1168="EIF",IF(O1168="低",5,IF(O1168="中",7,10)),"不计算")))))*Q1168,"不计算")</f>
        <v/>
      </c>
      <c r="Q1168" s="142" t="n">
        <v>1</v>
      </c>
      <c r="R1168" s="143">
        <f>调整因子!$F$13</f>
        <v/>
      </c>
      <c r="S1168" s="70" t="n">
        <v>1</v>
      </c>
      <c r="T1168" s="144">
        <f>IFERROR(P1168*R1168,0)</f>
        <v/>
      </c>
      <c r="U1168" s="145">
        <f>T1168*S1168</f>
        <v/>
      </c>
      <c r="V1168" s="96" t="inlineStr">
        <is>
          <t>日志加密配置表</t>
        </is>
      </c>
      <c r="W1168" s="96" t="inlineStr"/>
      <c r="X1168" s="111" t="inlineStr">
        <is>
          <t>日志加密配置表{配置ID、配置名称|配置ID、配置名称、配置类型、配置值、创建时间}</t>
        </is>
      </c>
      <c r="Y1168" s="88" t="n"/>
      <c r="Z1168" s="88" t="n"/>
    </row>
    <row r="1169" hidden="1" ht="43.2" customHeight="1">
      <c r="A1169" s="69">
        <f>ROW()-1</f>
        <v/>
      </c>
      <c r="B1169" s="53" t="n"/>
      <c r="C1169" s="117" t="n">
        <v>2026</v>
      </c>
      <c r="E1169" s="53" t="n"/>
      <c r="F1169" s="53" t="n"/>
      <c r="G1169" s="111" t="inlineStr">
        <is>
          <t>任务转移管理</t>
        </is>
      </c>
      <c r="H1169" s="96" t="inlineStr">
        <is>
          <t>编辑任务转移</t>
        </is>
      </c>
      <c r="I1169" s="76" t="inlineStr">
        <is>
          <t>EI</t>
        </is>
      </c>
      <c r="J1169" s="95" t="n"/>
      <c r="K1169" s="95" t="n"/>
      <c r="L1169" s="83">
        <f>IF(OR(X1169="估算法",X1169="算法类",X1169="无法识别"),"",IF(V1169="",IF(OR(I1169="EI",I1169="EO",I1169="EQ"),0,""),LEN(V1169)-LEN(SUBSTITUTE(V1169,"、",""))+1))</f>
        <v/>
      </c>
      <c r="M1169" s="83">
        <f>IF(OR(X1169="估算法",X1169="算法类",X1169="无法识别"),"",IF(W1169="",IF(OR(I1169="ILF",I1169="EIF"),0,""),LEN(W1169)-LEN(SUBSTITUTE(W1169,"、",""))+1))</f>
        <v/>
      </c>
      <c r="N1169" s="83">
        <f>IF(OR(X1169="估算法",X1169="算法类",X1169="无法识别"),"",IF(X1169="",IF(OR(I1169="ILF",I1169="EIF",I1169="EI",I1169="EO",I1169="EQ"),0,""),LEN(X1169)-LEN(SUBSTITUTE(SUBSTITUTE(SUBSTITUTE(SUBSTITUTE(SUBSTITUTE(X1169,"|}","--"),"{|","--"),CHAR(10),""),"、",""),"|",""))+IF(AND(OR(I1169="EI",I1169="EO",I1169="EQ"),$AD$1="NESMA"),2,1)))</f>
        <v/>
      </c>
      <c r="O1169" s="84">
        <f>IF(I1169="EI",IF(OR(X1169="估算法",X1169="算法类"),"中",IF(X1169="无法识别","低",IF(L1169&lt;2,IF(N1169&lt;16,"低","中"),IF(L1169&lt;3,IF(N1169&lt;5,"低",IF(N1169&lt;16,"中","高")),IF(N1169&lt;5,"中","高"))))),IF(OR(I1169="EO",I1169="EQ"),IF(OR(X1169="估算法",X1169="算法类"),"中",IF(X1169="无法识别","低",IF(L1169&lt;2,IF(N1169&lt;20,"低","中"),IF(L1169&lt;4,IF(N1169&lt;6,"低",IF(N1169&lt;20,"中","高")),IF(N1169&lt;6,"中","高"))))),IF(OR(I1169="ILF",I1169="EIF"),IF(OR(X1169="估算法",X1169="算法类",X1169="无法识别"),"低",IF(M1169&lt;2,IF(N1169&lt;51,"低","中"),IF(M1169&lt;6,IF(N1169&lt;20,"低",IF(N1169&lt;51,"中","高")),IF(N1169&lt;20,"中","高")))),"不计算")))</f>
        <v/>
      </c>
      <c r="P1169" s="142">
        <f>IFERROR(IF(I1169="EI",IF(O1169="低",3,IF(O1169="中",4,6)),IF(I1169="EO",IF(O1169="低",4,IF(O1169="中",5,7)),IF(I1169="EQ",IF(O1169="低",3,IF(O1169="中",4,6)),IF(I1169="ILF",IF(O1169="低",7,IF(O1169="中",10,15)),IF(I1169="EIF",IF(O1169="低",5,IF(O1169="中",7,10)),"不计算")))))*Q1169,"不计算")</f>
        <v/>
      </c>
      <c r="Q1169" s="142" t="n">
        <v>0.333333333333333</v>
      </c>
      <c r="R1169" s="143">
        <f>调整因子!$F$13</f>
        <v/>
      </c>
      <c r="S1169" s="70" t="n">
        <v>1</v>
      </c>
      <c r="T1169" s="144">
        <f>IFERROR(P1169*R1169,0)</f>
        <v/>
      </c>
      <c r="U1169" s="145">
        <f>T1169*S1169</f>
        <v/>
      </c>
      <c r="V1169" s="96" t="inlineStr">
        <is>
          <t>数据清洗任务表、资产同步任务表</t>
        </is>
      </c>
      <c r="W1169" s="96" t="inlineStr"/>
      <c r="X1169"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169" s="88" t="n"/>
      <c r="Z1169" s="88" t="n"/>
    </row>
    <row r="1170" hidden="1" ht="43.2" customHeight="1">
      <c r="A1170" s="69">
        <f>ROW()-1</f>
        <v/>
      </c>
      <c r="B1170" s="53" t="n"/>
      <c r="C1170" s="117" t="n">
        <v>2026</v>
      </c>
      <c r="E1170" s="53" t="n"/>
      <c r="F1170" s="53" t="n"/>
      <c r="G1170" s="53" t="n"/>
      <c r="H1170" s="96" t="inlineStr">
        <is>
          <t>删除任务转移</t>
        </is>
      </c>
      <c r="I1170" s="76" t="inlineStr">
        <is>
          <t>EI</t>
        </is>
      </c>
      <c r="J1170" s="95" t="n"/>
      <c r="K1170" s="95" t="n"/>
      <c r="L1170" s="83">
        <f>IF(OR(X1170="估算法",X1170="算法类",X1170="无法识别"),"",IF(V1170="",IF(OR(I1170="EI",I1170="EO",I1170="EQ"),0,""),LEN(V1170)-LEN(SUBSTITUTE(V1170,"、",""))+1))</f>
        <v/>
      </c>
      <c r="M1170" s="83">
        <f>IF(OR(X1170="估算法",X1170="算法类",X1170="无法识别"),"",IF(W1170="",IF(OR(I1170="ILF",I1170="EIF"),0,""),LEN(W1170)-LEN(SUBSTITUTE(W1170,"、",""))+1))</f>
        <v/>
      </c>
      <c r="N1170" s="83">
        <f>IF(OR(X1170="估算法",X1170="算法类",X1170="无法识别"),"",IF(X1170="",IF(OR(I1170="ILF",I1170="EIF",I1170="EI",I1170="EO",I1170="EQ"),0,""),LEN(X1170)-LEN(SUBSTITUTE(SUBSTITUTE(SUBSTITUTE(SUBSTITUTE(SUBSTITUTE(X1170,"|}","--"),"{|","--"),CHAR(10),""),"、",""),"|",""))+IF(AND(OR(I1170="EI",I1170="EO",I1170="EQ"),$AD$1="NESMA"),2,1)))</f>
        <v/>
      </c>
      <c r="O1170" s="84">
        <f>IF(I1170="EI",IF(OR(X1170="估算法",X1170="算法类"),"中",IF(X1170="无法识别","低",IF(L1170&lt;2,IF(N1170&lt;16,"低","中"),IF(L1170&lt;3,IF(N1170&lt;5,"低",IF(N1170&lt;16,"中","高")),IF(N1170&lt;5,"中","高"))))),IF(OR(I1170="EO",I1170="EQ"),IF(OR(X1170="估算法",X1170="算法类"),"中",IF(X1170="无法识别","低",IF(L1170&lt;2,IF(N1170&lt;20,"低","中"),IF(L1170&lt;4,IF(N1170&lt;6,"低",IF(N1170&lt;20,"中","高")),IF(N1170&lt;6,"中","高"))))),IF(OR(I1170="ILF",I1170="EIF"),IF(OR(X1170="估算法",X1170="算法类",X1170="无法识别"),"低",IF(M1170&lt;2,IF(N1170&lt;51,"低","中"),IF(M1170&lt;6,IF(N1170&lt;20,"低",IF(N1170&lt;51,"中","高")),IF(N1170&lt;20,"中","高")))),"不计算")))</f>
        <v/>
      </c>
      <c r="P1170" s="142">
        <f>IFERROR(IF(I1170="EI",IF(O1170="低",3,IF(O1170="中",4,6)),IF(I1170="EO",IF(O1170="低",4,IF(O1170="中",5,7)),IF(I1170="EQ",IF(O1170="低",3,IF(O1170="中",4,6)),IF(I1170="ILF",IF(O1170="低",7,IF(O1170="中",10,15)),IF(I1170="EIF",IF(O1170="低",5,IF(O1170="中",7,10)),"不计算")))))*Q1170,"不计算")</f>
        <v/>
      </c>
      <c r="Q1170" s="142" t="n">
        <v>0.333333333333333</v>
      </c>
      <c r="R1170" s="143">
        <f>调整因子!$F$13</f>
        <v/>
      </c>
      <c r="S1170" s="76" t="n">
        <v>1</v>
      </c>
      <c r="T1170" s="144">
        <f>IFERROR(P1170*R1170,0)</f>
        <v/>
      </c>
      <c r="U1170" s="145">
        <f>T1170*S1170</f>
        <v/>
      </c>
      <c r="V1170" s="96" t="inlineStr">
        <is>
          <t>数据清洗任务表、资产同步任务表</t>
        </is>
      </c>
      <c r="W1170" s="96" t="inlineStr"/>
      <c r="X1170"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170" s="88" t="n"/>
      <c r="Z1170" s="88" t="n"/>
    </row>
    <row r="1171" hidden="1" ht="21.6" customHeight="1">
      <c r="A1171" s="69">
        <f>ROW()-1</f>
        <v/>
      </c>
      <c r="B1171" s="53" t="n"/>
      <c r="C1171" s="117" t="n">
        <v>2026</v>
      </c>
      <c r="E1171" s="53" t="n"/>
      <c r="F1171" s="53" t="n"/>
      <c r="G1171" s="53" t="n"/>
      <c r="H1171" s="96" t="inlineStr">
        <is>
          <t>启用任务转移</t>
        </is>
      </c>
      <c r="I1171" s="76" t="inlineStr">
        <is>
          <t>EI</t>
        </is>
      </c>
      <c r="J1171" s="95" t="n"/>
      <c r="K1171" s="95" t="n"/>
      <c r="L1171" s="83">
        <f>IF(OR(X1171="估算法",X1171="算法类",X1171="无法识别"),"",IF(V1171="",IF(OR(I1171="EI",I1171="EO",I1171="EQ"),0,""),LEN(V1171)-LEN(SUBSTITUTE(V1171,"、",""))+1))</f>
        <v/>
      </c>
      <c r="M1171" s="83">
        <f>IF(OR(X1171="估算法",X1171="算法类",X1171="无法识别"),"",IF(W1171="",IF(OR(I1171="ILF",I1171="EIF"),0,""),LEN(W1171)-LEN(SUBSTITUTE(W1171,"、",""))+1))</f>
        <v/>
      </c>
      <c r="N1171" s="83">
        <f>IF(OR(X1171="估算法",X1171="算法类",X1171="无法识别"),"",IF(X1171="",IF(OR(I1171="ILF",I1171="EIF",I1171="EI",I1171="EO",I1171="EQ"),0,""),LEN(X1171)-LEN(SUBSTITUTE(SUBSTITUTE(SUBSTITUTE(SUBSTITUTE(SUBSTITUTE(X1171,"|}","--"),"{|","--"),CHAR(10),""),"、",""),"|",""))+IF(AND(OR(I1171="EI",I1171="EO",I1171="EQ"),$AD$1="NESMA"),2,1)))</f>
        <v/>
      </c>
      <c r="O1171" s="84">
        <f>IF(I1171="EI",IF(OR(X1171="估算法",X1171="算法类"),"中",IF(X1171="无法识别","低",IF(L1171&lt;2,IF(N1171&lt;16,"低","中"),IF(L1171&lt;3,IF(N1171&lt;5,"低",IF(N1171&lt;16,"中","高")),IF(N1171&lt;5,"中","高"))))),IF(OR(I1171="EO",I1171="EQ"),IF(OR(X1171="估算法",X1171="算法类"),"中",IF(X1171="无法识别","低",IF(L1171&lt;2,IF(N1171&lt;20,"低","中"),IF(L1171&lt;4,IF(N1171&lt;6,"低",IF(N1171&lt;20,"中","高")),IF(N1171&lt;6,"中","高"))))),IF(OR(I1171="ILF",I1171="EIF"),IF(OR(X1171="估算法",X1171="算法类",X1171="无法识别"),"低",IF(M1171&lt;2,IF(N1171&lt;51,"低","中"),IF(M1171&lt;6,IF(N1171&lt;20,"低",IF(N1171&lt;51,"中","高")),IF(N1171&lt;20,"中","高")))),"不计算")))</f>
        <v/>
      </c>
      <c r="P1171" s="142">
        <f>IFERROR(IF(I1171="EI",IF(O1171="低",3,IF(O1171="中",4,6)),IF(I1171="EO",IF(O1171="低",4,IF(O1171="中",5,7)),IF(I1171="EQ",IF(O1171="低",3,IF(O1171="中",4,6)),IF(I1171="ILF",IF(O1171="低",7,IF(O1171="中",10,15)),IF(I1171="EIF",IF(O1171="低",5,IF(O1171="中",7,10)),"不计算")))))*Q1171,"不计算")</f>
        <v/>
      </c>
      <c r="Q1171" s="142" t="n">
        <v>0.333333333333333</v>
      </c>
      <c r="R1171" s="143">
        <f>调整因子!$F$13</f>
        <v/>
      </c>
      <c r="S1171" s="70" t="n">
        <v>1</v>
      </c>
      <c r="T1171" s="144">
        <f>IFERROR(P1171*R1171,0)</f>
        <v/>
      </c>
      <c r="U1171" s="145">
        <f>T1171*S1171</f>
        <v/>
      </c>
      <c r="V1171" s="96" t="inlineStr">
        <is>
          <t>数据清洗任务表</t>
        </is>
      </c>
      <c r="W1171" s="96" t="inlineStr"/>
      <c r="X1171" s="111" t="inlineStr">
        <is>
          <t>数据清洗任务表{任务ID、任务名称、任务类型、任务状态、创建时间、执行时间|任务ID、任务名称、任务类型}</t>
        </is>
      </c>
      <c r="Y1171" s="88" t="n"/>
      <c r="Z1171" s="88" t="n"/>
    </row>
    <row r="1172" hidden="1" ht="43.2" customHeight="1">
      <c r="A1172" s="69">
        <f>ROW()-1</f>
        <v/>
      </c>
      <c r="B1172" s="53" t="n"/>
      <c r="C1172" s="117" t="n">
        <v>2026</v>
      </c>
      <c r="E1172" s="53" t="n"/>
      <c r="F1172" s="53" t="n"/>
      <c r="G1172" s="53" t="n"/>
      <c r="H1172" s="96" t="inlineStr">
        <is>
          <t>停用任务转移</t>
        </is>
      </c>
      <c r="I1172" s="76" t="n"/>
      <c r="J1172" s="95" t="n"/>
      <c r="K1172" s="95" t="inlineStr">
        <is>
          <t>和上行合并，启停为相同功能</t>
        </is>
      </c>
      <c r="L1172" s="83">
        <f>IF(OR(X1172="估算法",X1172="算法类",X1172="无法识别"),"",IF(V1172="",IF(OR(I1172="EI",I1172="EO",I1172="EQ"),0,""),LEN(V1172)-LEN(SUBSTITUTE(V1172,"、",""))+1))</f>
        <v/>
      </c>
      <c r="M1172" s="83">
        <f>IF(OR(X1172="估算法",X1172="算法类",X1172="无法识别"),"",IF(W1172="",IF(OR(I1172="ILF",I1172="EIF"),0,""),LEN(W1172)-LEN(SUBSTITUTE(W1172,"、",""))+1))</f>
        <v/>
      </c>
      <c r="N1172" s="83">
        <f>IF(OR(X1172="估算法",X1172="算法类",X1172="无法识别"),"",IF(X1172="",IF(OR(I1172="ILF",I1172="EIF",I1172="EI",I1172="EO",I1172="EQ"),0,""),LEN(X1172)-LEN(SUBSTITUTE(SUBSTITUTE(SUBSTITUTE(SUBSTITUTE(SUBSTITUTE(X1172,"|}","--"),"{|","--"),CHAR(10),""),"、",""),"|",""))+IF(AND(OR(I1172="EI",I1172="EO",I1172="EQ"),$AD$1="NESMA"),2,1)))</f>
        <v/>
      </c>
      <c r="O1172" s="84">
        <f>IF(I1172="EI",IF(OR(X1172="估算法",X1172="算法类"),"中",IF(X1172="无法识别","低",IF(L1172&lt;2,IF(N1172&lt;16,"低","中"),IF(L1172&lt;3,IF(N1172&lt;5,"低",IF(N1172&lt;16,"中","高")),IF(N1172&lt;5,"中","高"))))),IF(OR(I1172="EO",I1172="EQ"),IF(OR(X1172="估算法",X1172="算法类"),"中",IF(X1172="无法识别","低",IF(L1172&lt;2,IF(N1172&lt;20,"低","中"),IF(L1172&lt;4,IF(N1172&lt;6,"低",IF(N1172&lt;20,"中","高")),IF(N1172&lt;6,"中","高"))))),IF(OR(I1172="ILF",I1172="EIF"),IF(OR(X1172="估算法",X1172="算法类",X1172="无法识别"),"低",IF(M1172&lt;2,IF(N1172&lt;51,"低","中"),IF(M1172&lt;6,IF(N1172&lt;20,"低",IF(N1172&lt;51,"中","高")),IF(N1172&lt;20,"中","高")))),"不计算")))</f>
        <v/>
      </c>
      <c r="P1172" s="142">
        <f>IFERROR(IF(I1172="EI",IF(O1172="低",3,IF(O1172="中",4,6)),IF(I1172="EO",IF(O1172="低",4,IF(O1172="中",5,7)),IF(I1172="EQ",IF(O1172="低",3,IF(O1172="中",4,6)),IF(I1172="ILF",IF(O1172="低",7,IF(O1172="中",10,15)),IF(I1172="EIF",IF(O1172="低",5,IF(O1172="中",7,10)),"不计算")))))*Q1172,"不计算")</f>
        <v/>
      </c>
      <c r="Q1172" s="142" t="n">
        <v>0.333333333333333</v>
      </c>
      <c r="R1172" s="143">
        <f>调整因子!$F$13</f>
        <v/>
      </c>
      <c r="S1172" s="70" t="n">
        <v>1</v>
      </c>
      <c r="T1172" s="144">
        <f>IFERROR(P1172*R1172,0)</f>
        <v/>
      </c>
      <c r="U1172" s="145">
        <f>T1172*S1172</f>
        <v/>
      </c>
      <c r="V1172" s="96" t="inlineStr">
        <is>
          <t>数据清洗任务表、资产同步任务表</t>
        </is>
      </c>
      <c r="W1172" s="96" t="inlineStr"/>
      <c r="X1172"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172" s="88" t="n"/>
      <c r="Z1172" s="88" t="n"/>
    </row>
    <row r="1173" hidden="1" ht="32.4" customHeight="1">
      <c r="A1173" s="69">
        <f>ROW()-1</f>
        <v/>
      </c>
      <c r="B1173" s="53" t="n"/>
      <c r="C1173" s="117" t="n">
        <v>2026</v>
      </c>
      <c r="E1173" s="53" t="n"/>
      <c r="F1173" s="53" t="n"/>
      <c r="G1173" s="53" t="n"/>
      <c r="H1173" s="96" t="inlineStr">
        <is>
          <t>导出转移记录</t>
        </is>
      </c>
      <c r="I1173" s="76" t="inlineStr">
        <is>
          <t>EO</t>
        </is>
      </c>
      <c r="J1173" s="95" t="n"/>
      <c r="K1173" s="95" t="n"/>
      <c r="L1173" s="83">
        <f>IF(OR(X1173="估算法",X1173="算法类",X1173="无法识别"),"",IF(V1173="",IF(OR(I1173="EI",I1173="EO",I1173="EQ"),0,""),LEN(V1173)-LEN(SUBSTITUTE(V1173,"、",""))+1))</f>
        <v/>
      </c>
      <c r="M1173" s="83">
        <f>IF(OR(X1173="估算法",X1173="算法类",X1173="无法识别"),"",IF(W1173="",IF(OR(I1173="ILF",I1173="EIF"),0,""),LEN(W1173)-LEN(SUBSTITUTE(W1173,"、",""))+1))</f>
        <v/>
      </c>
      <c r="N1173" s="83">
        <f>IF(OR(X1173="估算法",X1173="算法类",X1173="无法识别"),"",IF(X1173="",IF(OR(I1173="ILF",I1173="EIF",I1173="EI",I1173="EO",I1173="EQ"),0,""),LEN(X1173)-LEN(SUBSTITUTE(SUBSTITUTE(SUBSTITUTE(SUBSTITUTE(SUBSTITUTE(X1173,"|}","--"),"{|","--"),CHAR(10),""),"、",""),"|",""))+IF(AND(OR(I1173="EI",I1173="EO",I1173="EQ"),$AD$1="NESMA"),2,1)))</f>
        <v/>
      </c>
      <c r="O1173" s="84">
        <f>IF(I1173="EI",IF(OR(X1173="估算法",X1173="算法类"),"中",IF(X1173="无法识别","低",IF(L1173&lt;2,IF(N1173&lt;16,"低","中"),IF(L1173&lt;3,IF(N1173&lt;5,"低",IF(N1173&lt;16,"中","高")),IF(N1173&lt;5,"中","高"))))),IF(OR(I1173="EO",I1173="EQ"),IF(OR(X1173="估算法",X1173="算法类"),"中",IF(X1173="无法识别","低",IF(L1173&lt;2,IF(N1173&lt;20,"低","中"),IF(L1173&lt;4,IF(N1173&lt;6,"低",IF(N1173&lt;20,"中","高")),IF(N1173&lt;6,"中","高"))))),IF(OR(I1173="ILF",I1173="EIF"),IF(OR(X1173="估算法",X1173="算法类",X1173="无法识别"),"低",IF(M1173&lt;2,IF(N1173&lt;51,"低","中"),IF(M1173&lt;6,IF(N1173&lt;20,"低",IF(N1173&lt;51,"中","高")),IF(N1173&lt;20,"中","高")))),"不计算")))</f>
        <v/>
      </c>
      <c r="P1173" s="142">
        <f>IFERROR(IF(I1173="EI",IF(O1173="低",3,IF(O1173="中",4,6)),IF(I1173="EO",IF(O1173="低",4,IF(O1173="中",5,7)),IF(I1173="EQ",IF(O1173="低",3,IF(O1173="中",4,6)),IF(I1173="ILF",IF(O1173="低",7,IF(O1173="中",10,15)),IF(I1173="EIF",IF(O1173="低",5,IF(O1173="中",7,10)),"不计算")))))*Q1173,"不计算")</f>
        <v/>
      </c>
      <c r="Q1173" s="142" t="n">
        <v>0.333333333333333</v>
      </c>
      <c r="R1173" s="143">
        <f>调整因子!$F$13</f>
        <v/>
      </c>
      <c r="S1173" s="76" t="n">
        <v>1</v>
      </c>
      <c r="T1173" s="144">
        <f>IFERROR(P1173*R1173,0)</f>
        <v/>
      </c>
      <c r="U1173" s="145">
        <f>T1173*S1173</f>
        <v/>
      </c>
      <c r="V1173" s="96" t="inlineStr">
        <is>
          <t>报告解析结果表、漏洞处置单表</t>
        </is>
      </c>
      <c r="W1173" s="96" t="inlineStr"/>
      <c r="X1173" s="111" t="inlineStr">
        <is>
          <t>报告解析结果表{ID、名称|ID、名称、类型、状态、创建时间、更新时间}
漏洞处置单表{漏洞ID、漏洞名称|漏洞ID、漏洞名称、漏洞等级、漏洞类型、CVE编号、发现时间、修复状态}</t>
        </is>
      </c>
      <c r="Y1173" s="88" t="n"/>
      <c r="Z1173" s="88" t="n"/>
    </row>
    <row r="1174" hidden="1" ht="32.4" customHeight="1">
      <c r="A1174" s="69">
        <f>ROW()-1</f>
        <v/>
      </c>
      <c r="B1174" s="53" t="n"/>
      <c r="C1174" s="117" t="n">
        <v>2026</v>
      </c>
      <c r="E1174" s="53" t="n"/>
      <c r="F1174" s="53" t="n"/>
      <c r="G1174" s="53" t="n"/>
      <c r="H1174" s="96" t="inlineStr">
        <is>
          <t>查询转移记录</t>
        </is>
      </c>
      <c r="I1174" s="76" t="inlineStr">
        <is>
          <t>EO</t>
        </is>
      </c>
      <c r="J1174" s="95" t="n"/>
      <c r="K1174" s="95" t="n"/>
      <c r="L1174" s="83">
        <f>IF(OR(X1174="估算法",X1174="算法类",X1174="无法识别"),"",IF(V1174="",IF(OR(I1174="EI",I1174="EO",I1174="EQ"),0,""),LEN(V1174)-LEN(SUBSTITUTE(V1174,"、",""))+1))</f>
        <v/>
      </c>
      <c r="M1174" s="83">
        <f>IF(OR(X1174="估算法",X1174="算法类",X1174="无法识别"),"",IF(W1174="",IF(OR(I1174="ILF",I1174="EIF"),0,""),LEN(W1174)-LEN(SUBSTITUTE(W1174,"、",""))+1))</f>
        <v/>
      </c>
      <c r="N1174" s="83">
        <f>IF(OR(X1174="估算法",X1174="算法类",X1174="无法识别"),"",IF(X1174="",IF(OR(I1174="ILF",I1174="EIF",I1174="EI",I1174="EO",I1174="EQ"),0,""),LEN(X1174)-LEN(SUBSTITUTE(SUBSTITUTE(SUBSTITUTE(SUBSTITUTE(SUBSTITUTE(X1174,"|}","--"),"{|","--"),CHAR(10),""),"、",""),"|",""))+IF(AND(OR(I1174="EI",I1174="EO",I1174="EQ"),$AD$1="NESMA"),2,1)))</f>
        <v/>
      </c>
      <c r="O1174" s="84">
        <f>IF(I1174="EI",IF(OR(X1174="估算法",X1174="算法类"),"中",IF(X1174="无法识别","低",IF(L1174&lt;2,IF(N1174&lt;16,"低","中"),IF(L1174&lt;3,IF(N1174&lt;5,"低",IF(N1174&lt;16,"中","高")),IF(N1174&lt;5,"中","高"))))),IF(OR(I1174="EO",I1174="EQ"),IF(OR(X1174="估算法",X1174="算法类"),"中",IF(X1174="无法识别","低",IF(L1174&lt;2,IF(N1174&lt;20,"低","中"),IF(L1174&lt;4,IF(N1174&lt;6,"低",IF(N1174&lt;20,"中","高")),IF(N1174&lt;6,"中","高"))))),IF(OR(I1174="ILF",I1174="EIF"),IF(OR(X1174="估算法",X1174="算法类",X1174="无法识别"),"低",IF(M1174&lt;2,IF(N1174&lt;51,"低","中"),IF(M1174&lt;6,IF(N1174&lt;20,"低",IF(N1174&lt;51,"中","高")),IF(N1174&lt;20,"中","高")))),"不计算")))</f>
        <v/>
      </c>
      <c r="P1174" s="142">
        <f>IFERROR(IF(I1174="EI",IF(O1174="低",3,IF(O1174="中",4,6)),IF(I1174="EO",IF(O1174="低",4,IF(O1174="中",5,7)),IF(I1174="EQ",IF(O1174="低",3,IF(O1174="中",4,6)),IF(I1174="ILF",IF(O1174="低",7,IF(O1174="中",10,15)),IF(I1174="EIF",IF(O1174="低",5,IF(O1174="中",7,10)),"不计算")))))*Q1174,"不计算")</f>
        <v/>
      </c>
      <c r="Q1174" s="142" t="n">
        <v>0.333333333333333</v>
      </c>
      <c r="R1174" s="143">
        <f>调整因子!$F$13</f>
        <v/>
      </c>
      <c r="S1174" s="76" t="n">
        <v>1</v>
      </c>
      <c r="T1174" s="144">
        <f>IFERROR(P1174*R1174,0)</f>
        <v/>
      </c>
      <c r="U1174" s="145">
        <f>T1174*S1174</f>
        <v/>
      </c>
      <c r="V1174" s="96" t="inlineStr">
        <is>
          <t>资产扫描覆盖表、指标阈值表</t>
        </is>
      </c>
      <c r="W1174" s="96" t="inlineStr"/>
      <c r="X1174" s="111" t="inlineStr">
        <is>
          <t>资产扫描覆盖表{资产ID、资产名称|资产ID、资产名称、IP地址、资产类型、资产状态、创建时间}
指标阈值表{ID、名称|ID、名称、类型、状态、创建时间、更新时间}</t>
        </is>
      </c>
      <c r="Y1174" s="88" t="n"/>
      <c r="Z1174" s="88" t="n"/>
    </row>
    <row r="1175" hidden="1" ht="21.6" customHeight="1">
      <c r="A1175" s="69">
        <f>ROW()-1</f>
        <v/>
      </c>
      <c r="B1175" s="53" t="n"/>
      <c r="C1175" s="117" t="n">
        <v>2026</v>
      </c>
      <c r="E1175" s="53" t="n"/>
      <c r="F1175" s="53" t="n"/>
      <c r="G1175" s="54" t="n"/>
      <c r="H1175" s="96" t="inlineStr">
        <is>
          <t>查看转移详情</t>
        </is>
      </c>
      <c r="I1175" s="76" t="inlineStr">
        <is>
          <t>EQ</t>
        </is>
      </c>
      <c r="J1175" s="95" t="n"/>
      <c r="K1175" s="95" t="n"/>
      <c r="L1175" s="83">
        <f>IF(OR(X1175="估算法",X1175="算法类",X1175="无法识别"),"",IF(V1175="",IF(OR(I1175="EI",I1175="EO",I1175="EQ"),0,""),LEN(V1175)-LEN(SUBSTITUTE(V1175,"、",""))+1))</f>
        <v/>
      </c>
      <c r="M1175" s="83">
        <f>IF(OR(X1175="估算法",X1175="算法类",X1175="无法识别"),"",IF(W1175="",IF(OR(I1175="ILF",I1175="EIF"),0,""),LEN(W1175)-LEN(SUBSTITUTE(W1175,"、",""))+1))</f>
        <v/>
      </c>
      <c r="N1175" s="83">
        <f>IF(OR(X1175="估算法",X1175="算法类",X1175="无法识别"),"",IF(X1175="",IF(OR(I1175="ILF",I1175="EIF",I1175="EI",I1175="EO",I1175="EQ"),0,""),LEN(X1175)-LEN(SUBSTITUTE(SUBSTITUTE(SUBSTITUTE(SUBSTITUTE(SUBSTITUTE(X1175,"|}","--"),"{|","--"),CHAR(10),""),"、",""),"|",""))+IF(AND(OR(I1175="EI",I1175="EO",I1175="EQ"),$AD$1="NESMA"),2,1)))</f>
        <v/>
      </c>
      <c r="O1175" s="84">
        <f>IF(I1175="EI",IF(OR(X1175="估算法",X1175="算法类"),"中",IF(X1175="无法识别","低",IF(L1175&lt;2,IF(N1175&lt;16,"低","中"),IF(L1175&lt;3,IF(N1175&lt;5,"低",IF(N1175&lt;16,"中","高")),IF(N1175&lt;5,"中","高"))))),IF(OR(I1175="EO",I1175="EQ"),IF(OR(X1175="估算法",X1175="算法类"),"中",IF(X1175="无法识别","低",IF(L1175&lt;2,IF(N1175&lt;20,"低","中"),IF(L1175&lt;4,IF(N1175&lt;6,"低",IF(N1175&lt;20,"中","高")),IF(N1175&lt;6,"中","高"))))),IF(OR(I1175="ILF",I1175="EIF"),IF(OR(X1175="估算法",X1175="算法类",X1175="无法识别"),"低",IF(M1175&lt;2,IF(N1175&lt;51,"低","中"),IF(M1175&lt;6,IF(N1175&lt;20,"低",IF(N1175&lt;51,"中","高")),IF(N1175&lt;20,"中","高")))),"不计算")))</f>
        <v/>
      </c>
      <c r="P1175" s="142">
        <f>IFERROR(IF(I1175="EI",IF(O1175="低",3,IF(O1175="中",4,6)),IF(I1175="EO",IF(O1175="低",4,IF(O1175="中",5,7)),IF(I1175="EQ",IF(O1175="低",3,IF(O1175="中",4,6)),IF(I1175="ILF",IF(O1175="低",7,IF(O1175="中",10,15)),IF(I1175="EIF",IF(O1175="低",5,IF(O1175="中",7,10)),"不计算")))))*Q1175,"不计算")</f>
        <v/>
      </c>
      <c r="Q1175" s="142" t="n">
        <v>0.333333333333333</v>
      </c>
      <c r="R1175" s="143">
        <f>调整因子!$F$13</f>
        <v/>
      </c>
      <c r="S1175" s="70" t="n">
        <v>1</v>
      </c>
      <c r="T1175" s="144">
        <f>IFERROR(P1175*R1175,0)</f>
        <v/>
      </c>
      <c r="U1175" s="145">
        <f>T1175*S1175</f>
        <v/>
      </c>
      <c r="V1175" s="96" t="inlineStr">
        <is>
          <t>扫描策略模板表</t>
        </is>
      </c>
      <c r="W1175" s="96" t="inlineStr"/>
      <c r="X1175" s="111" t="inlineStr">
        <is>
          <t>扫描策略模板表{任务ID、任务名称|任务ID、任务名称、任务状态、扫描器类型、开始时间、结束时间、扫描结果}</t>
        </is>
      </c>
      <c r="Y1175" s="88" t="n"/>
      <c r="Z1175" s="88" t="n"/>
    </row>
    <row r="1176" hidden="1" ht="21.6" customHeight="1">
      <c r="A1176" s="69">
        <f>ROW()-1</f>
        <v/>
      </c>
      <c r="B1176" s="53" t="n"/>
      <c r="C1176" s="117" t="n">
        <v>2026</v>
      </c>
      <c r="E1176" s="53" t="n"/>
      <c r="F1176" s="53" t="n"/>
      <c r="G1176" s="111" t="inlineStr">
        <is>
          <t>失败分析管理</t>
        </is>
      </c>
      <c r="H1176" s="96" t="inlineStr">
        <is>
          <t>导出失败分析</t>
        </is>
      </c>
      <c r="I1176" s="76" t="inlineStr">
        <is>
          <t>EO</t>
        </is>
      </c>
      <c r="J1176" s="95" t="n"/>
      <c r="K1176" s="95" t="n"/>
      <c r="L1176" s="83">
        <f>IF(OR(X1176="估算法",X1176="算法类",X1176="无法识别"),"",IF(V1176="",IF(OR(I1176="EI",I1176="EO",I1176="EQ"),0,""),LEN(V1176)-LEN(SUBSTITUTE(V1176,"、",""))+1))</f>
        <v/>
      </c>
      <c r="M1176" s="83">
        <f>IF(OR(X1176="估算法",X1176="算法类",X1176="无法识别"),"",IF(W1176="",IF(OR(I1176="ILF",I1176="EIF"),0,""),LEN(W1176)-LEN(SUBSTITUTE(W1176,"、",""))+1))</f>
        <v/>
      </c>
      <c r="N1176" s="83">
        <f>IF(OR(X1176="估算法",X1176="算法类",X1176="无法识别"),"",IF(X1176="",IF(OR(I1176="ILF",I1176="EIF",I1176="EI",I1176="EO",I1176="EQ"),0,""),LEN(X1176)-LEN(SUBSTITUTE(SUBSTITUTE(SUBSTITUTE(SUBSTITUTE(SUBSTITUTE(X1176,"|}","--"),"{|","--"),CHAR(10),""),"、",""),"|",""))+IF(AND(OR(I1176="EI",I1176="EO",I1176="EQ"),$AD$1="NESMA"),2,1)))</f>
        <v/>
      </c>
      <c r="O1176" s="84">
        <f>IF(I1176="EI",IF(OR(X1176="估算法",X1176="算法类"),"中",IF(X1176="无法识别","低",IF(L1176&lt;2,IF(N1176&lt;16,"低","中"),IF(L1176&lt;3,IF(N1176&lt;5,"低",IF(N1176&lt;16,"中","高")),IF(N1176&lt;5,"中","高"))))),IF(OR(I1176="EO",I1176="EQ"),IF(OR(X1176="估算法",X1176="算法类"),"中",IF(X1176="无法识别","低",IF(L1176&lt;2,IF(N1176&lt;20,"低","中"),IF(L1176&lt;4,IF(N1176&lt;6,"低",IF(N1176&lt;20,"中","高")),IF(N1176&lt;6,"中","高"))))),IF(OR(I1176="ILF",I1176="EIF"),IF(OR(X1176="估算法",X1176="算法类",X1176="无法识别"),"低",IF(M1176&lt;2,IF(N1176&lt;51,"低","中"),IF(M1176&lt;6,IF(N1176&lt;20,"低",IF(N1176&lt;51,"中","高")),IF(N1176&lt;20,"中","高")))),"不计算")))</f>
        <v/>
      </c>
      <c r="P1176" s="142">
        <f>IFERROR(IF(I1176="EI",IF(O1176="低",3,IF(O1176="中",4,6)),IF(I1176="EO",IF(O1176="低",4,IF(O1176="中",5,7)),IF(I1176="EQ",IF(O1176="低",3,IF(O1176="中",4,6)),IF(I1176="ILF",IF(O1176="低",7,IF(O1176="中",10,15)),IF(I1176="EIF",IF(O1176="低",5,IF(O1176="中",7,10)),"不计算")))))*Q1176,"不计算")</f>
        <v/>
      </c>
      <c r="Q1176" s="142" t="n">
        <v>1</v>
      </c>
      <c r="R1176" s="143">
        <f>调整因子!$F$13</f>
        <v/>
      </c>
      <c r="S1176" s="70" t="n">
        <v>1</v>
      </c>
      <c r="T1176" s="144">
        <f>IFERROR(P1176*R1176,0)</f>
        <v/>
      </c>
      <c r="U1176" s="145">
        <f>T1176*S1176</f>
        <v/>
      </c>
      <c r="V1176" s="96" t="inlineStr">
        <is>
          <t>任务趋势分析表</t>
        </is>
      </c>
      <c r="W1176" s="96" t="inlineStr"/>
      <c r="X1176" s="111" t="inlineStr">
        <is>
          <t>任务趋势分析表{任务ID、任务名称|任务ID、任务名称、任务类型、任务状态、创建时间、执行时间}</t>
        </is>
      </c>
      <c r="Y1176" s="88" t="n"/>
      <c r="Z1176" s="88" t="n"/>
    </row>
    <row r="1177" hidden="1">
      <c r="A1177" s="69">
        <f>ROW()-1</f>
        <v/>
      </c>
      <c r="B1177" s="53" t="n"/>
      <c r="C1177" s="117" t="n">
        <v>2026</v>
      </c>
      <c r="E1177" s="53" t="n"/>
      <c r="F1177" s="53" t="n"/>
      <c r="G1177" s="53" t="n"/>
      <c r="H1177" s="96" t="inlineStr">
        <is>
          <t>下载失败报告</t>
        </is>
      </c>
      <c r="I1177" s="76" t="inlineStr">
        <is>
          <t>EO</t>
        </is>
      </c>
      <c r="J1177" s="95" t="n"/>
      <c r="K1177" s="95" t="n"/>
      <c r="L1177" s="83">
        <f>IF(OR(X1177="估算法",X1177="算法类",X1177="无法识别"),"",IF(V1177="",IF(OR(I1177="EI",I1177="EO",I1177="EQ"),0,""),LEN(V1177)-LEN(SUBSTITUTE(V1177,"、",""))+1))</f>
        <v/>
      </c>
      <c r="M1177" s="83">
        <f>IF(OR(X1177="估算法",X1177="算法类",X1177="无法识别"),"",IF(W1177="",IF(OR(I1177="ILF",I1177="EIF"),0,""),LEN(W1177)-LEN(SUBSTITUTE(W1177,"、",""))+1))</f>
        <v/>
      </c>
      <c r="N1177" s="83">
        <f>IF(OR(X1177="估算法",X1177="算法类",X1177="无法识别"),"",IF(X1177="",IF(OR(I1177="ILF",I1177="EIF",I1177="EI",I1177="EO",I1177="EQ"),0,""),LEN(X1177)-LEN(SUBSTITUTE(SUBSTITUTE(SUBSTITUTE(SUBSTITUTE(SUBSTITUTE(X1177,"|}","--"),"{|","--"),CHAR(10),""),"、",""),"|",""))+IF(AND(OR(I1177="EI",I1177="EO",I1177="EQ"),$AD$1="NESMA"),2,1)))</f>
        <v/>
      </c>
      <c r="O1177" s="84">
        <f>IF(I1177="EI",IF(OR(X1177="估算法",X1177="算法类"),"中",IF(X1177="无法识别","低",IF(L1177&lt;2,IF(N1177&lt;16,"低","中"),IF(L1177&lt;3,IF(N1177&lt;5,"低",IF(N1177&lt;16,"中","高")),IF(N1177&lt;5,"中","高"))))),IF(OR(I1177="EO",I1177="EQ"),IF(OR(X1177="估算法",X1177="算法类"),"中",IF(X1177="无法识别","低",IF(L1177&lt;2,IF(N1177&lt;20,"低","中"),IF(L1177&lt;4,IF(N1177&lt;6,"低",IF(N1177&lt;20,"中","高")),IF(N1177&lt;6,"中","高"))))),IF(OR(I1177="ILF",I1177="EIF"),IF(OR(X1177="估算法",X1177="算法类",X1177="无法识别"),"低",IF(M1177&lt;2,IF(N1177&lt;51,"低","中"),IF(M1177&lt;6,IF(N1177&lt;20,"低",IF(N1177&lt;51,"中","高")),IF(N1177&lt;20,"中","高")))),"不计算")))</f>
        <v/>
      </c>
      <c r="P1177" s="142">
        <f>IFERROR(IF(I1177="EI",IF(O1177="低",3,IF(O1177="中",4,6)),IF(I1177="EO",IF(O1177="低",4,IF(O1177="中",5,7)),IF(I1177="EQ",IF(O1177="低",3,IF(O1177="中",4,6)),IF(I1177="ILF",IF(O1177="低",7,IF(O1177="中",10,15)),IF(I1177="EIF",IF(O1177="低",5,IF(O1177="中",7,10)),"不计算")))))*Q1177,"不计算")</f>
        <v/>
      </c>
      <c r="Q1177" s="142" t="n">
        <v>1</v>
      </c>
      <c r="R1177" s="143">
        <f>调整因子!$F$13</f>
        <v/>
      </c>
      <c r="S1177" s="76" t="n">
        <v>1</v>
      </c>
      <c r="T1177" s="144">
        <f>IFERROR(P1177*R1177,0)</f>
        <v/>
      </c>
      <c r="U1177" s="145">
        <f>T1177*S1177</f>
        <v/>
      </c>
      <c r="V1177" s="96" t="inlineStr">
        <is>
          <t>推送失败重试表</t>
        </is>
      </c>
      <c r="W1177" s="96" t="inlineStr"/>
      <c r="X1177" s="111" t="inlineStr">
        <is>
          <t>推送失败重试表{ID、名称|ID、名称、类型、状态、创建时间、更新时间}</t>
        </is>
      </c>
      <c r="Y1177" s="88" t="n"/>
      <c r="Z1177" s="88" t="n"/>
    </row>
    <row r="1178" hidden="1">
      <c r="A1178" s="69">
        <f>ROW()-1</f>
        <v/>
      </c>
      <c r="B1178" s="53" t="n"/>
      <c r="C1178" s="117" t="n">
        <v>2026</v>
      </c>
      <c r="E1178" s="53" t="n"/>
      <c r="F1178" s="53" t="n"/>
      <c r="G1178" s="53" t="n"/>
      <c r="H1178" s="96" t="inlineStr">
        <is>
          <t>查询失败原因</t>
        </is>
      </c>
      <c r="I1178" s="76" t="inlineStr">
        <is>
          <t>EO</t>
        </is>
      </c>
      <c r="J1178" s="95" t="n"/>
      <c r="K1178" s="95" t="n"/>
      <c r="L1178" s="83">
        <f>IF(OR(X1178="估算法",X1178="算法类",X1178="无法识别"),"",IF(V1178="",IF(OR(I1178="EI",I1178="EO",I1178="EQ"),0,""),LEN(V1178)-LEN(SUBSTITUTE(V1178,"、",""))+1))</f>
        <v/>
      </c>
      <c r="M1178" s="83">
        <f>IF(OR(X1178="估算法",X1178="算法类",X1178="无法识别"),"",IF(W1178="",IF(OR(I1178="ILF",I1178="EIF"),0,""),LEN(W1178)-LEN(SUBSTITUTE(W1178,"、",""))+1))</f>
        <v/>
      </c>
      <c r="N1178" s="83">
        <f>IF(OR(X1178="估算法",X1178="算法类",X1178="无法识别"),"",IF(X1178="",IF(OR(I1178="ILF",I1178="EIF",I1178="EI",I1178="EO",I1178="EQ"),0,""),LEN(X1178)-LEN(SUBSTITUTE(SUBSTITUTE(SUBSTITUTE(SUBSTITUTE(SUBSTITUTE(X1178,"|}","--"),"{|","--"),CHAR(10),""),"、",""),"|",""))+IF(AND(OR(I1178="EI",I1178="EO",I1178="EQ"),$AD$1="NESMA"),2,1)))</f>
        <v/>
      </c>
      <c r="O1178" s="84">
        <f>IF(I1178="EI",IF(OR(X1178="估算法",X1178="算法类"),"中",IF(X1178="无法识别","低",IF(L1178&lt;2,IF(N1178&lt;16,"低","中"),IF(L1178&lt;3,IF(N1178&lt;5,"低",IF(N1178&lt;16,"中","高")),IF(N1178&lt;5,"中","高"))))),IF(OR(I1178="EO",I1178="EQ"),IF(OR(X1178="估算法",X1178="算法类"),"中",IF(X1178="无法识别","低",IF(L1178&lt;2,IF(N1178&lt;20,"低","中"),IF(L1178&lt;4,IF(N1178&lt;6,"低",IF(N1178&lt;20,"中","高")),IF(N1178&lt;6,"中","高"))))),IF(OR(I1178="ILF",I1178="EIF"),IF(OR(X1178="估算法",X1178="算法类",X1178="无法识别"),"低",IF(M1178&lt;2,IF(N1178&lt;51,"低","中"),IF(M1178&lt;6,IF(N1178&lt;20,"低",IF(N1178&lt;51,"中","高")),IF(N1178&lt;20,"中","高")))),"不计算")))</f>
        <v/>
      </c>
      <c r="P1178" s="142">
        <f>IFERROR(IF(I1178="EI",IF(O1178="低",3,IF(O1178="中",4,6)),IF(I1178="EO",IF(O1178="低",4,IF(O1178="中",5,7)),IF(I1178="EQ",IF(O1178="低",3,IF(O1178="中",4,6)),IF(I1178="ILF",IF(O1178="低",7,IF(O1178="中",10,15)),IF(I1178="EIF",IF(O1178="低",5,IF(O1178="中",7,10)),"不计算")))))*Q1178,"不计算")</f>
        <v/>
      </c>
      <c r="Q1178" s="142" t="n">
        <v>1</v>
      </c>
      <c r="R1178" s="143">
        <f>调整因子!$F$13</f>
        <v/>
      </c>
      <c r="S1178" s="70" t="n">
        <v>1</v>
      </c>
      <c r="T1178" s="144">
        <f>IFERROR(P1178*R1178,0)</f>
        <v/>
      </c>
      <c r="U1178" s="145">
        <f>T1178*S1178</f>
        <v/>
      </c>
      <c r="V1178" s="96" t="inlineStr">
        <is>
          <t>修复方案表</t>
        </is>
      </c>
      <c r="W1178" s="96" t="inlineStr"/>
      <c r="X1178" s="111" t="inlineStr">
        <is>
          <t>修复方案表{ID、名称|ID、名称、类型、状态、创建时间、更新时间}</t>
        </is>
      </c>
      <c r="Y1178" s="88" t="n"/>
      <c r="Z1178" s="88" t="n"/>
    </row>
    <row r="1179" hidden="1">
      <c r="A1179" s="69">
        <f>ROW()-1</f>
        <v/>
      </c>
      <c r="B1179" s="53" t="n"/>
      <c r="C1179" s="117" t="n">
        <v>2026</v>
      </c>
      <c r="E1179" s="53" t="n"/>
      <c r="F1179" s="54" t="n"/>
      <c r="G1179" s="54" t="n"/>
      <c r="H1179" s="96" t="inlineStr">
        <is>
          <t>查看失败详情</t>
        </is>
      </c>
      <c r="I1179" s="76" t="inlineStr">
        <is>
          <t>EQ</t>
        </is>
      </c>
      <c r="J1179" s="95" t="n"/>
      <c r="K1179" s="95" t="n"/>
      <c r="L1179" s="83">
        <f>IF(OR(X1179="估算法",X1179="算法类",X1179="无法识别"),"",IF(V1179="",IF(OR(I1179="EI",I1179="EO",I1179="EQ"),0,""),LEN(V1179)-LEN(SUBSTITUTE(V1179,"、",""))+1))</f>
        <v/>
      </c>
      <c r="M1179" s="83">
        <f>IF(OR(X1179="估算法",X1179="算法类",X1179="无法识别"),"",IF(W1179="",IF(OR(I1179="ILF",I1179="EIF"),0,""),LEN(W1179)-LEN(SUBSTITUTE(W1179,"、",""))+1))</f>
        <v/>
      </c>
      <c r="N1179" s="83">
        <f>IF(OR(X1179="估算法",X1179="算法类",X1179="无法识别"),"",IF(X1179="",IF(OR(I1179="ILF",I1179="EIF",I1179="EI",I1179="EO",I1179="EQ"),0,""),LEN(X1179)-LEN(SUBSTITUTE(SUBSTITUTE(SUBSTITUTE(SUBSTITUTE(SUBSTITUTE(X1179,"|}","--"),"{|","--"),CHAR(10),""),"、",""),"|",""))+IF(AND(OR(I1179="EI",I1179="EO",I1179="EQ"),$AD$1="NESMA"),2,1)))</f>
        <v/>
      </c>
      <c r="O1179" s="84">
        <f>IF(I1179="EI",IF(OR(X1179="估算法",X1179="算法类"),"中",IF(X1179="无法识别","低",IF(L1179&lt;2,IF(N1179&lt;16,"低","中"),IF(L1179&lt;3,IF(N1179&lt;5,"低",IF(N1179&lt;16,"中","高")),IF(N1179&lt;5,"中","高"))))),IF(OR(I1179="EO",I1179="EQ"),IF(OR(X1179="估算法",X1179="算法类"),"中",IF(X1179="无法识别","低",IF(L1179&lt;2,IF(N1179&lt;20,"低","中"),IF(L1179&lt;4,IF(N1179&lt;6,"低",IF(N1179&lt;20,"中","高")),IF(N1179&lt;6,"中","高"))))),IF(OR(I1179="ILF",I1179="EIF"),IF(OR(X1179="估算法",X1179="算法类",X1179="无法识别"),"低",IF(M1179&lt;2,IF(N1179&lt;51,"低","中"),IF(M1179&lt;6,IF(N1179&lt;20,"低",IF(N1179&lt;51,"中","高")),IF(N1179&lt;20,"中","高")))),"不计算")))</f>
        <v/>
      </c>
      <c r="P1179" s="142">
        <f>IFERROR(IF(I1179="EI",IF(O1179="低",3,IF(O1179="中",4,6)),IF(I1179="EO",IF(O1179="低",4,IF(O1179="中",5,7)),IF(I1179="EQ",IF(O1179="低",3,IF(O1179="中",4,6)),IF(I1179="ILF",IF(O1179="低",7,IF(O1179="中",10,15)),IF(I1179="EIF",IF(O1179="低",5,IF(O1179="中",7,10)),"不计算")))))*Q1179,"不计算")</f>
        <v/>
      </c>
      <c r="Q1179" s="142" t="n">
        <v>1</v>
      </c>
      <c r="R1179" s="143">
        <f>调整因子!$F$13</f>
        <v/>
      </c>
      <c r="S1179" s="70" t="n">
        <v>1</v>
      </c>
      <c r="T1179" s="144">
        <f>IFERROR(P1179*R1179,0)</f>
        <v/>
      </c>
      <c r="U1179" s="145">
        <f>T1179*S1179</f>
        <v/>
      </c>
      <c r="V1179" s="96" t="inlineStr">
        <is>
          <t>复测配置表</t>
        </is>
      </c>
      <c r="W1179" s="96" t="inlineStr"/>
      <c r="X1179" s="111" t="inlineStr">
        <is>
          <t>复测配置表{配置ID、配置名称|配置ID、配置名称、配置类型、配置值、创建时间}</t>
        </is>
      </c>
      <c r="Y1179" s="88" t="n"/>
      <c r="Z1179" s="88" t="n"/>
    </row>
    <row r="1180" hidden="1" ht="21.6" customHeight="1">
      <c r="A1180" s="69">
        <f>ROW()-1</f>
        <v/>
      </c>
      <c r="B1180" s="53" t="n"/>
      <c r="C1180" s="117" t="n">
        <v>2026</v>
      </c>
      <c r="E1180" s="53" t="n"/>
      <c r="F1180" s="111" t="inlineStr">
        <is>
          <t>扫描策略模板库</t>
        </is>
      </c>
      <c r="G1180" s="111" t="inlineStr">
        <is>
          <t>策略模板管理</t>
        </is>
      </c>
      <c r="H1180" s="96" t="inlineStr">
        <is>
          <t>扫描策略模板表</t>
        </is>
      </c>
      <c r="I1180" s="76" t="inlineStr">
        <is>
          <t>ILF</t>
        </is>
      </c>
      <c r="J1180" s="95" t="n"/>
      <c r="K1180" s="95" t="n"/>
      <c r="L1180" s="83">
        <f>IF(OR(X1180="估算法",X1180="算法类",X1180="无法识别"),"",IF(V1180="",IF(OR(I1180="EI",I1180="EO",I1180="EQ"),0,""),LEN(V1180)-LEN(SUBSTITUTE(V1180,"、",""))+1))</f>
        <v/>
      </c>
      <c r="M1180" s="83">
        <f>IF(OR(X1180="估算法",X1180="算法类",X1180="无法识别"),"",IF(W1180="",IF(OR(I1180="ILF",I1180="EIF"),0,""),LEN(W1180)-LEN(SUBSTITUTE(W1180,"、",""))+1))</f>
        <v/>
      </c>
      <c r="N1180" s="83">
        <f>IF(OR(X1180="估算法",X1180="算法类",X1180="无法识别"),"",IF(X1180="",IF(OR(I1180="ILF",I1180="EIF",I1180="EI",I1180="EO",I1180="EQ"),0,""),LEN(X1180)-LEN(SUBSTITUTE(SUBSTITUTE(SUBSTITUTE(SUBSTITUTE(SUBSTITUTE(X1180,"|}","--"),"{|","--"),CHAR(10),""),"、",""),"|",""))+IF(AND(OR(I1180="EI",I1180="EO",I1180="EQ"),$AD$1="NESMA"),2,1)))</f>
        <v/>
      </c>
      <c r="O1180" s="84">
        <f>IF(I1180="EI",IF(OR(X1180="估算法",X1180="算法类"),"中",IF(X1180="无法识别","低",IF(L1180&lt;2,IF(N1180&lt;16,"低","中"),IF(L1180&lt;3,IF(N1180&lt;5,"低",IF(N1180&lt;16,"中","高")),IF(N1180&lt;5,"中","高"))))),IF(OR(I1180="EO",I1180="EQ"),IF(OR(X1180="估算法",X1180="算法类"),"中",IF(X1180="无法识别","低",IF(L1180&lt;2,IF(N1180&lt;20,"低","中"),IF(L1180&lt;4,IF(N1180&lt;6,"低",IF(N1180&lt;20,"中","高")),IF(N1180&lt;6,"中","高"))))),IF(OR(I1180="ILF",I1180="EIF"),IF(OR(X1180="估算法",X1180="算法类",X1180="无法识别"),"低",IF(M1180&lt;2,IF(N1180&lt;51,"低","中"),IF(M1180&lt;6,IF(N1180&lt;20,"低",IF(N1180&lt;51,"中","高")),IF(N1180&lt;20,"中","高")))),"不计算")))</f>
        <v/>
      </c>
      <c r="P1180" s="142">
        <f>IFERROR(IF(I1180="EI",IF(O1180="低",3,IF(O1180="中",4,6)),IF(I1180="EO",IF(O1180="低",4,IF(O1180="中",5,7)),IF(I1180="EQ",IF(O1180="低",3,IF(O1180="中",4,6)),IF(I1180="ILF",IF(O1180="低",7,IF(O1180="中",10,15)),IF(I1180="EIF",IF(O1180="低",5,IF(O1180="中",7,10)),"不计算")))))*Q1180,"不计算")</f>
        <v/>
      </c>
      <c r="Q1180" s="142" t="n">
        <v>1</v>
      </c>
      <c r="R1180" s="143">
        <f>调整因子!$F$13</f>
        <v/>
      </c>
      <c r="S1180" s="76" t="n">
        <v>1</v>
      </c>
      <c r="T1180" s="144">
        <f>IFERROR(P1180*R1180,0)</f>
        <v/>
      </c>
      <c r="U1180" s="145">
        <f>T1180*S1180</f>
        <v/>
      </c>
      <c r="V1180" s="96" t="inlineStr"/>
      <c r="W1180" s="96" t="inlineStr">
        <is>
          <t>扫描任务、发现任务、口令猜测任务</t>
        </is>
      </c>
      <c r="X1180" s="111" t="inlineStr">
        <is>
          <t>扫描策略模板表{任务ID、任务名称、任务状态|任务ID、任务名称、任务状态、扫描器类型、开始时间、结束时间、扫描结果}</t>
        </is>
      </c>
      <c r="Y1180" s="88">
        <f>IF(COUNTIFS(V:V,"*"&amp;H1180&amp;"*")&gt;0,"存在","不存在")</f>
        <v/>
      </c>
      <c r="Z1180" s="88">
        <f>IF(COUNTIFS(AA:AA,"*"&amp;H1180&amp;"*")&gt;0,"存在","不存在")</f>
        <v/>
      </c>
    </row>
    <row r="1181" hidden="1">
      <c r="A1181" s="69">
        <f>ROW()-1</f>
        <v/>
      </c>
      <c r="B1181" s="53" t="n"/>
      <c r="C1181" s="117" t="n">
        <v>2026</v>
      </c>
      <c r="E1181" s="53" t="n"/>
      <c r="F1181" s="53" t="n"/>
      <c r="G1181" s="53" t="n"/>
      <c r="H1181" s="96" t="inlineStr">
        <is>
          <t>模板分类表</t>
        </is>
      </c>
      <c r="I1181" s="76" t="inlineStr">
        <is>
          <t>ILF</t>
        </is>
      </c>
      <c r="J1181" s="95" t="n"/>
      <c r="K1181" s="95" t="n"/>
      <c r="L1181" s="83">
        <f>IF(OR(X1181="估算法",X1181="算法类",X1181="无法识别"),"",IF(V1181="",IF(OR(I1181="EI",I1181="EO",I1181="EQ"),0,""),LEN(V1181)-LEN(SUBSTITUTE(V1181,"、",""))+1))</f>
        <v/>
      </c>
      <c r="M1181" s="83">
        <f>IF(OR(X1181="估算法",X1181="算法类",X1181="无法识别"),"",IF(W1181="",IF(OR(I1181="ILF",I1181="EIF"),0,""),LEN(W1181)-LEN(SUBSTITUTE(W1181,"、",""))+1))</f>
        <v/>
      </c>
      <c r="N1181" s="83">
        <f>IF(OR(X1181="估算法",X1181="算法类",X1181="无法识别"),"",IF(X1181="",IF(OR(I1181="ILF",I1181="EIF",I1181="EI",I1181="EO",I1181="EQ"),0,""),LEN(X1181)-LEN(SUBSTITUTE(SUBSTITUTE(SUBSTITUTE(SUBSTITUTE(SUBSTITUTE(X1181,"|}","--"),"{|","--"),CHAR(10),""),"、",""),"|",""))+IF(AND(OR(I1181="EI",I1181="EO",I1181="EQ"),$AD$1="NESMA"),2,1)))</f>
        <v/>
      </c>
      <c r="O1181" s="84">
        <f>IF(I1181="EI",IF(OR(X1181="估算法",X1181="算法类"),"中",IF(X1181="无法识别","低",IF(L1181&lt;2,IF(N1181&lt;16,"低","中"),IF(L1181&lt;3,IF(N1181&lt;5,"低",IF(N1181&lt;16,"中","高")),IF(N1181&lt;5,"中","高"))))),IF(OR(I1181="EO",I1181="EQ"),IF(OR(X1181="估算法",X1181="算法类"),"中",IF(X1181="无法识别","低",IF(L1181&lt;2,IF(N1181&lt;20,"低","中"),IF(L1181&lt;4,IF(N1181&lt;6,"低",IF(N1181&lt;20,"中","高")),IF(N1181&lt;6,"中","高"))))),IF(OR(I1181="ILF",I1181="EIF"),IF(OR(X1181="估算法",X1181="算法类",X1181="无法识别"),"低",IF(M1181&lt;2,IF(N1181&lt;51,"低","中"),IF(M1181&lt;6,IF(N1181&lt;20,"低",IF(N1181&lt;51,"中","高")),IF(N1181&lt;20,"中","高")))),"不计算")))</f>
        <v/>
      </c>
      <c r="P1181" s="142">
        <f>IFERROR(IF(I1181="EI",IF(O1181="低",3,IF(O1181="中",4,6)),IF(I1181="EO",IF(O1181="低",4,IF(O1181="中",5,7)),IF(I1181="EQ",IF(O1181="低",3,IF(O1181="中",4,6)),IF(I1181="ILF",IF(O1181="低",7,IF(O1181="中",10,15)),IF(I1181="EIF",IF(O1181="低",5,IF(O1181="中",7,10)),"不计算")))))*Q1181,"不计算")</f>
        <v/>
      </c>
      <c r="Q1181" s="142" t="n">
        <v>1</v>
      </c>
      <c r="R1181" s="143">
        <f>调整因子!$F$13</f>
        <v/>
      </c>
      <c r="S1181" s="76" t="n">
        <v>1</v>
      </c>
      <c r="T1181" s="144">
        <f>IFERROR(P1181*R1181,0)</f>
        <v/>
      </c>
      <c r="U1181" s="145">
        <f>T1181*S1181</f>
        <v/>
      </c>
      <c r="V1181" s="96" t="inlineStr"/>
      <c r="W1181" s="96" t="inlineStr">
        <is>
          <t>数据记录</t>
        </is>
      </c>
      <c r="X1181" s="111" t="inlineStr">
        <is>
          <t>模板分类表{ID、名称、类型|ID、名称、类型、状态、创建时间、更新时间}</t>
        </is>
      </c>
      <c r="Y1181" s="88">
        <f>IF(COUNTIFS(V:V,"*"&amp;H1181&amp;"*")&gt;0,"存在","不存在")</f>
        <v/>
      </c>
      <c r="Z1181" s="88">
        <f>IF(COUNTIFS(AA:AA,"*"&amp;H1181&amp;"*")&gt;0,"存在","不存在")</f>
        <v/>
      </c>
    </row>
    <row r="1182" hidden="1" ht="21.6" customHeight="1">
      <c r="A1182" s="69">
        <f>ROW()-1</f>
        <v/>
      </c>
      <c r="B1182" s="53" t="n"/>
      <c r="C1182" s="117" t="n">
        <v>2026</v>
      </c>
      <c r="E1182" s="53" t="n"/>
      <c r="F1182" s="53" t="n"/>
      <c r="G1182" s="53" t="n"/>
      <c r="H1182" s="96" t="inlineStr">
        <is>
          <t>模板参数配置表</t>
        </is>
      </c>
      <c r="I1182" s="76" t="inlineStr">
        <is>
          <t>ILF</t>
        </is>
      </c>
      <c r="J1182" s="95" t="n"/>
      <c r="K1182" s="95" t="n"/>
      <c r="L1182" s="83">
        <f>IF(OR(X1182="估算法",X1182="算法类",X1182="无法识别"),"",IF(V1182="",IF(OR(I1182="EI",I1182="EO",I1182="EQ"),0,""),LEN(V1182)-LEN(SUBSTITUTE(V1182,"、",""))+1))</f>
        <v/>
      </c>
      <c r="M1182" s="83">
        <f>IF(OR(X1182="估算法",X1182="算法类",X1182="无法识别"),"",IF(W1182="",IF(OR(I1182="ILF",I1182="EIF"),0,""),LEN(W1182)-LEN(SUBSTITUTE(W1182,"、",""))+1))</f>
        <v/>
      </c>
      <c r="N1182" s="83">
        <f>IF(OR(X1182="估算法",X1182="算法类",X1182="无法识别"),"",IF(X1182="",IF(OR(I1182="ILF",I1182="EIF",I1182="EI",I1182="EO",I1182="EQ"),0,""),LEN(X1182)-LEN(SUBSTITUTE(SUBSTITUTE(SUBSTITUTE(SUBSTITUTE(SUBSTITUTE(X1182,"|}","--"),"{|","--"),CHAR(10),""),"、",""),"|",""))+IF(AND(OR(I1182="EI",I1182="EO",I1182="EQ"),$AD$1="NESMA"),2,1)))</f>
        <v/>
      </c>
      <c r="O1182" s="84">
        <f>IF(I1182="EI",IF(OR(X1182="估算法",X1182="算法类"),"中",IF(X1182="无法识别","低",IF(L1182&lt;2,IF(N1182&lt;16,"低","中"),IF(L1182&lt;3,IF(N1182&lt;5,"低",IF(N1182&lt;16,"中","高")),IF(N1182&lt;5,"中","高"))))),IF(OR(I1182="EO",I1182="EQ"),IF(OR(X1182="估算法",X1182="算法类"),"中",IF(X1182="无法识别","低",IF(L1182&lt;2,IF(N1182&lt;20,"低","中"),IF(L1182&lt;4,IF(N1182&lt;6,"低",IF(N1182&lt;20,"中","高")),IF(N1182&lt;6,"中","高"))))),IF(OR(I1182="ILF",I1182="EIF"),IF(OR(X1182="估算法",X1182="算法类",X1182="无法识别"),"低",IF(M1182&lt;2,IF(N1182&lt;51,"低","中"),IF(M1182&lt;6,IF(N1182&lt;20,"低",IF(N1182&lt;51,"中","高")),IF(N1182&lt;20,"中","高")))),"不计算")))</f>
        <v/>
      </c>
      <c r="P1182" s="142">
        <f>IFERROR(IF(I1182="EI",IF(O1182="低",3,IF(O1182="中",4,6)),IF(I1182="EO",IF(O1182="低",4,IF(O1182="中",5,7)),IF(I1182="EQ",IF(O1182="低",3,IF(O1182="中",4,6)),IF(I1182="ILF",IF(O1182="低",7,IF(O1182="中",10,15)),IF(I1182="EIF",IF(O1182="低",5,IF(O1182="中",7,10)),"不计算")))))*Q1182,"不计算")</f>
        <v/>
      </c>
      <c r="Q1182" s="142" t="n">
        <v>1</v>
      </c>
      <c r="R1182" s="143">
        <f>调整因子!$F$13</f>
        <v/>
      </c>
      <c r="S1182" s="70" t="n">
        <v>1</v>
      </c>
      <c r="T1182" s="144">
        <f>IFERROR(P1182*R1182,0)</f>
        <v/>
      </c>
      <c r="U1182" s="145">
        <f>T1182*S1182</f>
        <v/>
      </c>
      <c r="V1182" s="96" t="inlineStr"/>
      <c r="W1182" s="96" t="inlineStr">
        <is>
          <t>配置项</t>
        </is>
      </c>
      <c r="X1182" s="111" t="inlineStr">
        <is>
          <t>模板参数配置表{配置ID、配置名称、配置类型|配置ID、配置名称、配置类型、配置值、创建时间}</t>
        </is>
      </c>
      <c r="Y1182" s="88">
        <f>IF(COUNTIFS(V:V,"*"&amp;H1182&amp;"*")&gt;0,"存在","不存在")</f>
        <v/>
      </c>
      <c r="Z1182" s="88">
        <f>IF(COUNTIFS(AA:AA,"*"&amp;H1182&amp;"*")&gt;0,"存在","不存在")</f>
        <v/>
      </c>
    </row>
    <row r="1183" hidden="1" ht="43.2" customHeight="1">
      <c r="A1183" s="69">
        <f>ROW()-1</f>
        <v/>
      </c>
      <c r="B1183" s="53" t="n"/>
      <c r="C1183" s="117" t="n">
        <v>2026</v>
      </c>
      <c r="E1183" s="53" t="n"/>
      <c r="F1183" s="53" t="n"/>
      <c r="G1183" s="53" t="n"/>
      <c r="H1183" s="96" t="inlineStr">
        <is>
          <t>编辑策略模板</t>
        </is>
      </c>
      <c r="I1183" s="76" t="inlineStr">
        <is>
          <t>EI</t>
        </is>
      </c>
      <c r="J1183" s="95" t="n"/>
      <c r="K1183" s="95" t="n"/>
      <c r="L1183" s="83">
        <f>IF(OR(X1183="估算法",X1183="算法类",X1183="无法识别"),"",IF(V1183="",IF(OR(I1183="EI",I1183="EO",I1183="EQ"),0,""),LEN(V1183)-LEN(SUBSTITUTE(V1183,"、",""))+1))</f>
        <v/>
      </c>
      <c r="M1183" s="83">
        <f>IF(OR(X1183="估算法",X1183="算法类",X1183="无法识别"),"",IF(W1183="",IF(OR(I1183="ILF",I1183="EIF"),0,""),LEN(W1183)-LEN(SUBSTITUTE(W1183,"、",""))+1))</f>
        <v/>
      </c>
      <c r="N1183" s="83">
        <f>IF(OR(X1183="估算法",X1183="算法类",X1183="无法识别"),"",IF(X1183="",IF(OR(I1183="ILF",I1183="EIF",I1183="EI",I1183="EO",I1183="EQ"),0,""),LEN(X1183)-LEN(SUBSTITUTE(SUBSTITUTE(SUBSTITUTE(SUBSTITUTE(SUBSTITUTE(X1183,"|}","--"),"{|","--"),CHAR(10),""),"、",""),"|",""))+IF(AND(OR(I1183="EI",I1183="EO",I1183="EQ"),$AD$1="NESMA"),2,1)))</f>
        <v/>
      </c>
      <c r="O1183" s="84">
        <f>IF(I1183="EI",IF(OR(X1183="估算法",X1183="算法类"),"中",IF(X1183="无法识别","低",IF(L1183&lt;2,IF(N1183&lt;16,"低","中"),IF(L1183&lt;3,IF(N1183&lt;5,"低",IF(N1183&lt;16,"中","高")),IF(N1183&lt;5,"中","高"))))),IF(OR(I1183="EO",I1183="EQ"),IF(OR(X1183="估算法",X1183="算法类"),"中",IF(X1183="无法识别","低",IF(L1183&lt;2,IF(N1183&lt;20,"低","中"),IF(L1183&lt;4,IF(N1183&lt;6,"低",IF(N1183&lt;20,"中","高")),IF(N1183&lt;6,"中","高"))))),IF(OR(I1183="ILF",I1183="EIF"),IF(OR(X1183="估算法",X1183="算法类",X1183="无法识别"),"低",IF(M1183&lt;2,IF(N1183&lt;51,"低","中"),IF(M1183&lt;6,IF(N1183&lt;20,"低",IF(N1183&lt;51,"中","高")),IF(N1183&lt;20,"中","高")))),"不计算")))</f>
        <v/>
      </c>
      <c r="P1183" s="142">
        <f>IFERROR(IF(I1183="EI",IF(O1183="低",3,IF(O1183="中",4,6)),IF(I1183="EO",IF(O1183="低",4,IF(O1183="中",5,7)),IF(I1183="EQ",IF(O1183="低",3,IF(O1183="中",4,6)),IF(I1183="ILF",IF(O1183="低",7,IF(O1183="中",10,15)),IF(I1183="EIF",IF(O1183="低",5,IF(O1183="中",7,10)),"不计算")))))*Q1183,"不计算")</f>
        <v/>
      </c>
      <c r="Q1183" s="142" t="n">
        <v>1</v>
      </c>
      <c r="R1183" s="143">
        <f>调整因子!$F$13</f>
        <v/>
      </c>
      <c r="S1183" s="70" t="n">
        <v>1</v>
      </c>
      <c r="T1183" s="144">
        <f>IFERROR(P1183*R1183,0)</f>
        <v/>
      </c>
      <c r="U1183" s="145">
        <f>T1183*S1183</f>
        <v/>
      </c>
      <c r="V1183" s="96" t="inlineStr">
        <is>
          <t>扫描策略模板表、提醒策略配置表</t>
        </is>
      </c>
      <c r="W1183" s="96" t="inlineStr"/>
      <c r="X1183" s="111" t="inlineStr">
        <is>
          <t>扫描策略模板表{任务ID、任务名称、任务状态、扫描器类型、开始时间、结束时间、扫描结果|任务ID、任务名称、任务状态}
提醒策略配置表{配置ID、配置名称、配置类型、配置值、创建时间|配置ID、配置名称、配置类型}</t>
        </is>
      </c>
      <c r="Y1183" s="88" t="n"/>
      <c r="Z1183" s="88" t="n"/>
    </row>
    <row r="1184" hidden="1" ht="21.6" customHeight="1">
      <c r="A1184" s="69">
        <f>ROW()-1</f>
        <v/>
      </c>
      <c r="B1184" s="53" t="n"/>
      <c r="C1184" s="117" t="n">
        <v>2026</v>
      </c>
      <c r="E1184" s="53" t="n"/>
      <c r="F1184" s="53" t="n"/>
      <c r="G1184" s="53" t="n"/>
      <c r="H1184" s="96" t="inlineStr">
        <is>
          <t>删除策略模板</t>
        </is>
      </c>
      <c r="I1184" s="76" t="inlineStr">
        <is>
          <t>EI</t>
        </is>
      </c>
      <c r="J1184" s="95" t="n"/>
      <c r="K1184" s="95" t="n"/>
      <c r="L1184" s="83">
        <f>IF(OR(X1184="估算法",X1184="算法类",X1184="无法识别"),"",IF(V1184="",IF(OR(I1184="EI",I1184="EO",I1184="EQ"),0,""),LEN(V1184)-LEN(SUBSTITUTE(V1184,"、",""))+1))</f>
        <v/>
      </c>
      <c r="M1184" s="83">
        <f>IF(OR(X1184="估算法",X1184="算法类",X1184="无法识别"),"",IF(W1184="",IF(OR(I1184="ILF",I1184="EIF"),0,""),LEN(W1184)-LEN(SUBSTITUTE(W1184,"、",""))+1))</f>
        <v/>
      </c>
      <c r="N1184" s="83">
        <f>IF(OR(X1184="估算法",X1184="算法类",X1184="无法识别"),"",IF(X1184="",IF(OR(I1184="ILF",I1184="EIF",I1184="EI",I1184="EO",I1184="EQ"),0,""),LEN(X1184)-LEN(SUBSTITUTE(SUBSTITUTE(SUBSTITUTE(SUBSTITUTE(SUBSTITUTE(X1184,"|}","--"),"{|","--"),CHAR(10),""),"、",""),"|",""))+IF(AND(OR(I1184="EI",I1184="EO",I1184="EQ"),$AD$1="NESMA"),2,1)))</f>
        <v/>
      </c>
      <c r="O1184" s="84">
        <f>IF(I1184="EI",IF(OR(X1184="估算法",X1184="算法类"),"中",IF(X1184="无法识别","低",IF(L1184&lt;2,IF(N1184&lt;16,"低","中"),IF(L1184&lt;3,IF(N1184&lt;5,"低",IF(N1184&lt;16,"中","高")),IF(N1184&lt;5,"中","高"))))),IF(OR(I1184="EO",I1184="EQ"),IF(OR(X1184="估算法",X1184="算法类"),"中",IF(X1184="无法识别","低",IF(L1184&lt;2,IF(N1184&lt;20,"低","中"),IF(L1184&lt;4,IF(N1184&lt;6,"低",IF(N1184&lt;20,"中","高")),IF(N1184&lt;6,"中","高"))))),IF(OR(I1184="ILF",I1184="EIF"),IF(OR(X1184="估算法",X1184="算法类",X1184="无法识别"),"低",IF(M1184&lt;2,IF(N1184&lt;51,"低","中"),IF(M1184&lt;6,IF(N1184&lt;20,"低",IF(N1184&lt;51,"中","高")),IF(N1184&lt;20,"中","高")))),"不计算")))</f>
        <v/>
      </c>
      <c r="P1184" s="142">
        <f>IFERROR(IF(I1184="EI",IF(O1184="低",3,IF(O1184="中",4,6)),IF(I1184="EO",IF(O1184="低",4,IF(O1184="中",5,7)),IF(I1184="EQ",IF(O1184="低",3,IF(O1184="中",4,6)),IF(I1184="ILF",IF(O1184="低",7,IF(O1184="中",10,15)),IF(I1184="EIF",IF(O1184="低",5,IF(O1184="中",7,10)),"不计算")))))*Q1184,"不计算")</f>
        <v/>
      </c>
      <c r="Q1184" s="142" t="n">
        <v>0.333333333333333</v>
      </c>
      <c r="R1184" s="143">
        <f>调整因子!$F$13</f>
        <v/>
      </c>
      <c r="S1184" s="76" t="n">
        <v>1</v>
      </c>
      <c r="T1184" s="144">
        <f>IFERROR(P1184*R1184,0)</f>
        <v/>
      </c>
      <c r="U1184" s="145">
        <f>T1184*S1184</f>
        <v/>
      </c>
      <c r="V1184" s="96" t="inlineStr">
        <is>
          <t>扫描策略模板表</t>
        </is>
      </c>
      <c r="W1184" s="96" t="inlineStr"/>
      <c r="X1184" s="111" t="inlineStr">
        <is>
          <t>扫描策略模板表{任务ID、任务名称、任务状态、扫描器类型、开始时间、结束时间、扫描结果|任务ID、任务名称、任务状态}</t>
        </is>
      </c>
      <c r="Y1184" s="88" t="n"/>
      <c r="Z1184" s="88" t="n"/>
    </row>
    <row r="1185" hidden="1" ht="21.6" customHeight="1">
      <c r="A1185" s="69">
        <f>ROW()-1</f>
        <v/>
      </c>
      <c r="B1185" s="53" t="n"/>
      <c r="C1185" s="117" t="n">
        <v>2026</v>
      </c>
      <c r="E1185" s="53" t="n"/>
      <c r="F1185" s="53" t="n"/>
      <c r="G1185" s="53" t="n"/>
      <c r="H1185" s="96" t="inlineStr">
        <is>
          <t>启用策略模板</t>
        </is>
      </c>
      <c r="I1185" s="76" t="inlineStr">
        <is>
          <t>EI</t>
        </is>
      </c>
      <c r="J1185" s="95" t="n"/>
      <c r="K1185" s="95" t="n"/>
      <c r="L1185" s="83">
        <f>IF(OR(X1185="估算法",X1185="算法类",X1185="无法识别"),"",IF(V1185="",IF(OR(I1185="EI",I1185="EO",I1185="EQ"),0,""),LEN(V1185)-LEN(SUBSTITUTE(V1185,"、",""))+1))</f>
        <v/>
      </c>
      <c r="M1185" s="83">
        <f>IF(OR(X1185="估算法",X1185="算法类",X1185="无法识别"),"",IF(W1185="",IF(OR(I1185="ILF",I1185="EIF"),0,""),LEN(W1185)-LEN(SUBSTITUTE(W1185,"、",""))+1))</f>
        <v/>
      </c>
      <c r="N1185" s="83">
        <f>IF(OR(X1185="估算法",X1185="算法类",X1185="无法识别"),"",IF(X1185="",IF(OR(I1185="ILF",I1185="EIF",I1185="EI",I1185="EO",I1185="EQ"),0,""),LEN(X1185)-LEN(SUBSTITUTE(SUBSTITUTE(SUBSTITUTE(SUBSTITUTE(SUBSTITUTE(X1185,"|}","--"),"{|","--"),CHAR(10),""),"、",""),"|",""))+IF(AND(OR(I1185="EI",I1185="EO",I1185="EQ"),$AD$1="NESMA"),2,1)))</f>
        <v/>
      </c>
      <c r="O1185" s="84">
        <f>IF(I1185="EI",IF(OR(X1185="估算法",X1185="算法类"),"中",IF(X1185="无法识别","低",IF(L1185&lt;2,IF(N1185&lt;16,"低","中"),IF(L1185&lt;3,IF(N1185&lt;5,"低",IF(N1185&lt;16,"中","高")),IF(N1185&lt;5,"中","高"))))),IF(OR(I1185="EO",I1185="EQ"),IF(OR(X1185="估算法",X1185="算法类"),"中",IF(X1185="无法识别","低",IF(L1185&lt;2,IF(N1185&lt;20,"低","中"),IF(L1185&lt;4,IF(N1185&lt;6,"低",IF(N1185&lt;20,"中","高")),IF(N1185&lt;6,"中","高"))))),IF(OR(I1185="ILF",I1185="EIF"),IF(OR(X1185="估算法",X1185="算法类",X1185="无法识别"),"低",IF(M1185&lt;2,IF(N1185&lt;51,"低","中"),IF(M1185&lt;6,IF(N1185&lt;20,"低",IF(N1185&lt;51,"中","高")),IF(N1185&lt;20,"中","高")))),"不计算")))</f>
        <v/>
      </c>
      <c r="P1185" s="142">
        <f>IFERROR(IF(I1185="EI",IF(O1185="低",3,IF(O1185="中",4,6)),IF(I1185="EO",IF(O1185="低",4,IF(O1185="中",5,7)),IF(I1185="EQ",IF(O1185="低",3,IF(O1185="中",4,6)),IF(I1185="ILF",IF(O1185="低",7,IF(O1185="中",10,15)),IF(I1185="EIF",IF(O1185="低",5,IF(O1185="中",7,10)),"不计算")))))*Q1185,"不计算")</f>
        <v/>
      </c>
      <c r="Q1185" s="142" t="n">
        <v>1</v>
      </c>
      <c r="R1185" s="143">
        <f>调整因子!$F$13</f>
        <v/>
      </c>
      <c r="S1185" s="70" t="n">
        <v>1</v>
      </c>
      <c r="T1185" s="144">
        <f>IFERROR(P1185*R1185,0)</f>
        <v/>
      </c>
      <c r="U1185" s="145">
        <f>T1185*S1185</f>
        <v/>
      </c>
      <c r="V1185" s="96" t="inlineStr">
        <is>
          <t>扫描策略模板表</t>
        </is>
      </c>
      <c r="W1185" s="96" t="inlineStr"/>
      <c r="X1185" s="111" t="inlineStr">
        <is>
          <t>扫描策略模板表{任务ID、任务名称、任务状态、扫描器类型、开始时间、结束时间、扫描结果|任务ID、任务名称、任务状态}</t>
        </is>
      </c>
      <c r="Y1185" s="88" t="n"/>
      <c r="Z1185" s="88" t="n"/>
    </row>
    <row r="1186" hidden="1" ht="43.2" customHeight="1">
      <c r="A1186" s="69">
        <f>ROW()-1</f>
        <v/>
      </c>
      <c r="B1186" s="53" t="n"/>
      <c r="C1186" s="117" t="n">
        <v>2026</v>
      </c>
      <c r="E1186" s="53" t="n"/>
      <c r="F1186" s="53" t="n"/>
      <c r="G1186" s="53" t="n"/>
      <c r="H1186" s="96" t="inlineStr">
        <is>
          <t>停用策略模板</t>
        </is>
      </c>
      <c r="I1186" s="76" t="n"/>
      <c r="J1186" s="95" t="n"/>
      <c r="K1186" s="95" t="inlineStr">
        <is>
          <t>和上行合并，启停为相同功能</t>
        </is>
      </c>
      <c r="L1186" s="83">
        <f>IF(OR(X1186="估算法",X1186="算法类",X1186="无法识别"),"",IF(V1186="",IF(OR(I1186="EI",I1186="EO",I1186="EQ"),0,""),LEN(V1186)-LEN(SUBSTITUTE(V1186,"、",""))+1))</f>
        <v/>
      </c>
      <c r="M1186" s="83">
        <f>IF(OR(X1186="估算法",X1186="算法类",X1186="无法识别"),"",IF(W1186="",IF(OR(I1186="ILF",I1186="EIF"),0,""),LEN(W1186)-LEN(SUBSTITUTE(W1186,"、",""))+1))</f>
        <v/>
      </c>
      <c r="N1186" s="83">
        <f>IF(OR(X1186="估算法",X1186="算法类",X1186="无法识别"),"",IF(X1186="",IF(OR(I1186="ILF",I1186="EIF",I1186="EI",I1186="EO",I1186="EQ"),0,""),LEN(X1186)-LEN(SUBSTITUTE(SUBSTITUTE(SUBSTITUTE(SUBSTITUTE(SUBSTITUTE(X1186,"|}","--"),"{|","--"),CHAR(10),""),"、",""),"|",""))+IF(AND(OR(I1186="EI",I1186="EO",I1186="EQ"),$AD$1="NESMA"),2,1)))</f>
        <v/>
      </c>
      <c r="O1186" s="84">
        <f>IF(I1186="EI",IF(OR(X1186="估算法",X1186="算法类"),"中",IF(X1186="无法识别","低",IF(L1186&lt;2,IF(N1186&lt;16,"低","中"),IF(L1186&lt;3,IF(N1186&lt;5,"低",IF(N1186&lt;16,"中","高")),IF(N1186&lt;5,"中","高"))))),IF(OR(I1186="EO",I1186="EQ"),IF(OR(X1186="估算法",X1186="算法类"),"中",IF(X1186="无法识别","低",IF(L1186&lt;2,IF(N1186&lt;20,"低","中"),IF(L1186&lt;4,IF(N1186&lt;6,"低",IF(N1186&lt;20,"中","高")),IF(N1186&lt;6,"中","高"))))),IF(OR(I1186="ILF",I1186="EIF"),IF(OR(X1186="估算法",X1186="算法类",X1186="无法识别"),"低",IF(M1186&lt;2,IF(N1186&lt;51,"低","中"),IF(M1186&lt;6,IF(N1186&lt;20,"低",IF(N1186&lt;51,"中","高")),IF(N1186&lt;20,"中","高")))),"不计算")))</f>
        <v/>
      </c>
      <c r="P1186" s="142">
        <f>IFERROR(IF(I1186="EI",IF(O1186="低",3,IF(O1186="中",4,6)),IF(I1186="EO",IF(O1186="低",4,IF(O1186="中",5,7)),IF(I1186="EQ",IF(O1186="低",3,IF(O1186="中",4,6)),IF(I1186="ILF",IF(O1186="低",7,IF(O1186="中",10,15)),IF(I1186="EIF",IF(O1186="低",5,IF(O1186="中",7,10)),"不计算")))))*Q1186,"不计算")</f>
        <v/>
      </c>
      <c r="Q1186" s="142" t="n">
        <v>1</v>
      </c>
      <c r="R1186" s="143">
        <f>调整因子!$F$13</f>
        <v/>
      </c>
      <c r="S1186" s="70" t="n">
        <v>1</v>
      </c>
      <c r="T1186" s="144">
        <f>IFERROR(P1186*R1186,0)</f>
        <v/>
      </c>
      <c r="U1186" s="145">
        <f>T1186*S1186</f>
        <v/>
      </c>
      <c r="V1186" s="96" t="inlineStr">
        <is>
          <t>扫描策略模板表、提醒策略配置表</t>
        </is>
      </c>
      <c r="W1186" s="96" t="inlineStr"/>
      <c r="X1186" s="111" t="inlineStr">
        <is>
          <t>扫描策略模板表{任务ID、任务名称、任务状态、扫描器类型、开始时间、结束时间、扫描结果|任务ID、任务名称、任务状态}
提醒策略配置表{配置ID、配置名称、配置类型、配置值、创建时间|配置ID、配置名称、配置类型}</t>
        </is>
      </c>
      <c r="Y1186" s="88" t="n"/>
      <c r="Z1186" s="88" t="n"/>
    </row>
    <row r="1187" hidden="1" ht="43.2" customHeight="1">
      <c r="A1187" s="69">
        <f>ROW()-1</f>
        <v/>
      </c>
      <c r="B1187" s="53" t="n"/>
      <c r="C1187" s="117" t="n">
        <v>2026</v>
      </c>
      <c r="E1187" s="53" t="n"/>
      <c r="F1187" s="53" t="n"/>
      <c r="G1187" s="53" t="n"/>
      <c r="H1187" s="96" t="inlineStr">
        <is>
          <t>导出策略模板</t>
        </is>
      </c>
      <c r="I1187" s="76" t="inlineStr">
        <is>
          <t>EO</t>
        </is>
      </c>
      <c r="J1187" s="95" t="n"/>
      <c r="K1187" s="95" t="n"/>
      <c r="L1187" s="83">
        <f>IF(OR(X1187="估算法",X1187="算法类",X1187="无法识别"),"",IF(V1187="",IF(OR(I1187="EI",I1187="EO",I1187="EQ"),0,""),LEN(V1187)-LEN(SUBSTITUTE(V1187,"、",""))+1))</f>
        <v/>
      </c>
      <c r="M1187" s="83">
        <f>IF(OR(X1187="估算法",X1187="算法类",X1187="无法识别"),"",IF(W1187="",IF(OR(I1187="ILF",I1187="EIF"),0,""),LEN(W1187)-LEN(SUBSTITUTE(W1187,"、",""))+1))</f>
        <v/>
      </c>
      <c r="N1187" s="83">
        <f>IF(OR(X1187="估算法",X1187="算法类",X1187="无法识别"),"",IF(X1187="",IF(OR(I1187="ILF",I1187="EIF",I1187="EI",I1187="EO",I1187="EQ"),0,""),LEN(X1187)-LEN(SUBSTITUTE(SUBSTITUTE(SUBSTITUTE(SUBSTITUTE(SUBSTITUTE(X1187,"|}","--"),"{|","--"),CHAR(10),""),"、",""),"|",""))+IF(AND(OR(I1187="EI",I1187="EO",I1187="EQ"),$AD$1="NESMA"),2,1)))</f>
        <v/>
      </c>
      <c r="O1187" s="84">
        <f>IF(I1187="EI",IF(OR(X1187="估算法",X1187="算法类"),"中",IF(X1187="无法识别","低",IF(L1187&lt;2,IF(N1187&lt;16,"低","中"),IF(L1187&lt;3,IF(N1187&lt;5,"低",IF(N1187&lt;16,"中","高")),IF(N1187&lt;5,"中","高"))))),IF(OR(I1187="EO",I1187="EQ"),IF(OR(X1187="估算法",X1187="算法类"),"中",IF(X1187="无法识别","低",IF(L1187&lt;2,IF(N1187&lt;20,"低","中"),IF(L1187&lt;4,IF(N1187&lt;6,"低",IF(N1187&lt;20,"中","高")),IF(N1187&lt;6,"中","高"))))),IF(OR(I1187="ILF",I1187="EIF"),IF(OR(X1187="估算法",X1187="算法类",X1187="无法识别"),"低",IF(M1187&lt;2,IF(N1187&lt;51,"低","中"),IF(M1187&lt;6,IF(N1187&lt;20,"低",IF(N1187&lt;51,"中","高")),IF(N1187&lt;20,"中","高")))),"不计算")))</f>
        <v/>
      </c>
      <c r="P1187" s="142">
        <f>IFERROR(IF(I1187="EI",IF(O1187="低",3,IF(O1187="中",4,6)),IF(I1187="EO",IF(O1187="低",4,IF(O1187="中",5,7)),IF(I1187="EQ",IF(O1187="低",3,IF(O1187="中",4,6)),IF(I1187="ILF",IF(O1187="低",7,IF(O1187="中",10,15)),IF(I1187="EIF",IF(O1187="低",5,IF(O1187="中",7,10)),"不计算")))))*Q1187,"不计算")</f>
        <v/>
      </c>
      <c r="Q1187" s="142" t="n">
        <v>1</v>
      </c>
      <c r="R1187" s="143">
        <f>调整因子!$F$13</f>
        <v/>
      </c>
      <c r="S1187" s="76" t="n">
        <v>1</v>
      </c>
      <c r="T1187" s="144">
        <f>IFERROR(P1187*R1187,0)</f>
        <v/>
      </c>
      <c r="U1187" s="145">
        <f>T1187*S1187</f>
        <v/>
      </c>
      <c r="V1187" s="96" t="inlineStr">
        <is>
          <t>扫描策略模板表、提醒策略配置表</t>
        </is>
      </c>
      <c r="W1187" s="96" t="inlineStr"/>
      <c r="X1187" s="111" t="inlineStr">
        <is>
          <t>扫描策略模板表{任务ID、任务名称|任务ID、任务名称、任务状态、扫描器类型、开始时间、结束时间、扫描结果}
提醒策略配置表{配置ID、配置名称|配置ID、配置名称、配置类型、配置值、创建时间}</t>
        </is>
      </c>
      <c r="Y1187" s="88" t="n"/>
      <c r="Z1187" s="88" t="n"/>
    </row>
    <row r="1188" hidden="1" ht="21.6" customHeight="1">
      <c r="A1188" s="69">
        <f>ROW()-1</f>
        <v/>
      </c>
      <c r="B1188" s="53" t="n"/>
      <c r="C1188" s="117" t="n">
        <v>2026</v>
      </c>
      <c r="E1188" s="53" t="n"/>
      <c r="F1188" s="53" t="n"/>
      <c r="G1188" s="53" t="n"/>
      <c r="H1188" s="96" t="inlineStr">
        <is>
          <t>下载模板配置</t>
        </is>
      </c>
      <c r="I1188" s="76" t="inlineStr">
        <is>
          <t>EO</t>
        </is>
      </c>
      <c r="J1188" s="95" t="n"/>
      <c r="K1188" s="95" t="n"/>
      <c r="L1188" s="83">
        <f>IF(OR(X1188="估算法",X1188="算法类",X1188="无法识别"),"",IF(V1188="",IF(OR(I1188="EI",I1188="EO",I1188="EQ"),0,""),LEN(V1188)-LEN(SUBSTITUTE(V1188,"、",""))+1))</f>
        <v/>
      </c>
      <c r="M1188" s="83">
        <f>IF(OR(X1188="估算法",X1188="算法类",X1188="无法识别"),"",IF(W1188="",IF(OR(I1188="ILF",I1188="EIF"),0,""),LEN(W1188)-LEN(SUBSTITUTE(W1188,"、",""))+1))</f>
        <v/>
      </c>
      <c r="N1188" s="83">
        <f>IF(OR(X1188="估算法",X1188="算法类",X1188="无法识别"),"",IF(X1188="",IF(OR(I1188="ILF",I1188="EIF",I1188="EI",I1188="EO",I1188="EQ"),0,""),LEN(X1188)-LEN(SUBSTITUTE(SUBSTITUTE(SUBSTITUTE(SUBSTITUTE(SUBSTITUTE(X1188,"|}","--"),"{|","--"),CHAR(10),""),"、",""),"|",""))+IF(AND(OR(I1188="EI",I1188="EO",I1188="EQ"),$AD$1="NESMA"),2,1)))</f>
        <v/>
      </c>
      <c r="O1188" s="84">
        <f>IF(I1188="EI",IF(OR(X1188="估算法",X1188="算法类"),"中",IF(X1188="无法识别","低",IF(L1188&lt;2,IF(N1188&lt;16,"低","中"),IF(L1188&lt;3,IF(N1188&lt;5,"低",IF(N1188&lt;16,"中","高")),IF(N1188&lt;5,"中","高"))))),IF(OR(I1188="EO",I1188="EQ"),IF(OR(X1188="估算法",X1188="算法类"),"中",IF(X1188="无法识别","低",IF(L1188&lt;2,IF(N1188&lt;20,"低","中"),IF(L1188&lt;4,IF(N1188&lt;6,"低",IF(N1188&lt;20,"中","高")),IF(N1188&lt;6,"中","高"))))),IF(OR(I1188="ILF",I1188="EIF"),IF(OR(X1188="估算法",X1188="算法类",X1188="无法识别"),"低",IF(M1188&lt;2,IF(N1188&lt;51,"低","中"),IF(M1188&lt;6,IF(N1188&lt;20,"低",IF(N1188&lt;51,"中","高")),IF(N1188&lt;20,"中","高")))),"不计算")))</f>
        <v/>
      </c>
      <c r="P1188" s="142">
        <f>IFERROR(IF(I1188="EI",IF(O1188="低",3,IF(O1188="中",4,6)),IF(I1188="EO",IF(O1188="低",4,IF(O1188="中",5,7)),IF(I1188="EQ",IF(O1188="低",3,IF(O1188="中",4,6)),IF(I1188="ILF",IF(O1188="低",7,IF(O1188="中",10,15)),IF(I1188="EIF",IF(O1188="低",5,IF(O1188="中",7,10)),"不计算")))))*Q1188,"不计算")</f>
        <v/>
      </c>
      <c r="Q1188" s="142" t="n">
        <v>1</v>
      </c>
      <c r="R1188" s="143">
        <f>调整因子!$F$13</f>
        <v/>
      </c>
      <c r="S1188" s="76" t="n">
        <v>1</v>
      </c>
      <c r="T1188" s="144">
        <f>IFERROR(P1188*R1188,0)</f>
        <v/>
      </c>
      <c r="U1188" s="145">
        <f>T1188*S1188</f>
        <v/>
      </c>
      <c r="V1188" s="96" t="inlineStr">
        <is>
          <t>任务优先级配置表</t>
        </is>
      </c>
      <c r="W1188" s="96" t="inlineStr"/>
      <c r="X1188" s="111" t="inlineStr">
        <is>
          <t>任务优先级配置表{任务ID、任务名称|任务ID、任务名称、任务类型、任务状态、创建时间、执行时间}</t>
        </is>
      </c>
      <c r="Y1188" s="88" t="n"/>
      <c r="Z1188" s="88" t="n"/>
    </row>
    <row r="1189" hidden="1">
      <c r="A1189" s="69">
        <f>ROW()-1</f>
        <v/>
      </c>
      <c r="B1189" s="53" t="n"/>
      <c r="C1189" s="117" t="n">
        <v>2026</v>
      </c>
      <c r="E1189" s="53" t="n"/>
      <c r="F1189" s="53" t="n"/>
      <c r="G1189" s="53" t="n"/>
      <c r="H1189" s="96" t="inlineStr">
        <is>
          <t>查询模板列表</t>
        </is>
      </c>
      <c r="I1189" s="76" t="inlineStr">
        <is>
          <t>EO</t>
        </is>
      </c>
      <c r="J1189" s="95" t="n"/>
      <c r="K1189" s="95" t="n"/>
      <c r="L1189" s="83">
        <f>IF(OR(X1189="估算法",X1189="算法类",X1189="无法识别"),"",IF(V1189="",IF(OR(I1189="EI",I1189="EO",I1189="EQ"),0,""),LEN(V1189)-LEN(SUBSTITUTE(V1189,"、",""))+1))</f>
        <v/>
      </c>
      <c r="M1189" s="83">
        <f>IF(OR(X1189="估算法",X1189="算法类",X1189="无法识别"),"",IF(W1189="",IF(OR(I1189="ILF",I1189="EIF"),0,""),LEN(W1189)-LEN(SUBSTITUTE(W1189,"、",""))+1))</f>
        <v/>
      </c>
      <c r="N1189" s="83">
        <f>IF(OR(X1189="估算法",X1189="算法类",X1189="无法识别"),"",IF(X1189="",IF(OR(I1189="ILF",I1189="EIF",I1189="EI",I1189="EO",I1189="EQ"),0,""),LEN(X1189)-LEN(SUBSTITUTE(SUBSTITUTE(SUBSTITUTE(SUBSTITUTE(SUBSTITUTE(X1189,"|}","--"),"{|","--"),CHAR(10),""),"、",""),"|",""))+IF(AND(OR(I1189="EI",I1189="EO",I1189="EQ"),$AD$1="NESMA"),2,1)))</f>
        <v/>
      </c>
      <c r="O1189" s="84">
        <f>IF(I1189="EI",IF(OR(X1189="估算法",X1189="算法类"),"中",IF(X1189="无法识别","低",IF(L1189&lt;2,IF(N1189&lt;16,"低","中"),IF(L1189&lt;3,IF(N1189&lt;5,"低",IF(N1189&lt;16,"中","高")),IF(N1189&lt;5,"中","高"))))),IF(OR(I1189="EO",I1189="EQ"),IF(OR(X1189="估算法",X1189="算法类"),"中",IF(X1189="无法识别","低",IF(L1189&lt;2,IF(N1189&lt;20,"低","中"),IF(L1189&lt;4,IF(N1189&lt;6,"低",IF(N1189&lt;20,"中","高")),IF(N1189&lt;6,"中","高"))))),IF(OR(I1189="ILF",I1189="EIF"),IF(OR(X1189="估算法",X1189="算法类",X1189="无法识别"),"低",IF(M1189&lt;2,IF(N1189&lt;51,"低","中"),IF(M1189&lt;6,IF(N1189&lt;20,"低",IF(N1189&lt;51,"中","高")),IF(N1189&lt;20,"中","高")))),"不计算")))</f>
        <v/>
      </c>
      <c r="P1189" s="142">
        <f>IFERROR(IF(I1189="EI",IF(O1189="低",3,IF(O1189="中",4,6)),IF(I1189="EO",IF(O1189="低",4,IF(O1189="中",5,7)),IF(I1189="EQ",IF(O1189="低",3,IF(O1189="中",4,6)),IF(I1189="ILF",IF(O1189="低",7,IF(O1189="中",10,15)),IF(I1189="EIF",IF(O1189="低",5,IF(O1189="中",7,10)),"不计算")))))*Q1189,"不计算")</f>
        <v/>
      </c>
      <c r="Q1189" s="142" t="n">
        <v>1</v>
      </c>
      <c r="R1189" s="143">
        <f>调整因子!$F$13</f>
        <v/>
      </c>
      <c r="S1189" s="70" t="n">
        <v>1</v>
      </c>
      <c r="T1189" s="144">
        <f>IFERROR(P1189*R1189,0)</f>
        <v/>
      </c>
      <c r="U1189" s="145">
        <f>T1189*S1189</f>
        <v/>
      </c>
      <c r="V1189" s="96" t="inlineStr">
        <is>
          <t>报告解析结果表</t>
        </is>
      </c>
      <c r="W1189" s="96" t="inlineStr"/>
      <c r="X1189" s="111" t="inlineStr">
        <is>
          <t>报告解析结果表{ID、名称|ID、名称、类型、状态、创建时间、更新时间}</t>
        </is>
      </c>
      <c r="Y1189" s="88" t="n"/>
      <c r="Z1189" s="88" t="n"/>
    </row>
    <row r="1190" hidden="1">
      <c r="A1190" s="69">
        <f>ROW()-1</f>
        <v/>
      </c>
      <c r="B1190" s="53" t="n"/>
      <c r="C1190" s="117" t="n">
        <v>2026</v>
      </c>
      <c r="E1190" s="53" t="n"/>
      <c r="F1190" s="53" t="n"/>
      <c r="G1190" s="54" t="n"/>
      <c r="H1190" s="96" t="inlineStr">
        <is>
          <t>查看模板详情</t>
        </is>
      </c>
      <c r="I1190" s="76" t="inlineStr">
        <is>
          <t>EQ</t>
        </is>
      </c>
      <c r="J1190" s="95" t="n"/>
      <c r="K1190" s="95" t="n"/>
      <c r="L1190" s="83">
        <f>IF(OR(X1190="估算法",X1190="算法类",X1190="无法识别"),"",IF(V1190="",IF(OR(I1190="EI",I1190="EO",I1190="EQ"),0,""),LEN(V1190)-LEN(SUBSTITUTE(V1190,"、",""))+1))</f>
        <v/>
      </c>
      <c r="M1190" s="83">
        <f>IF(OR(X1190="估算法",X1190="算法类",X1190="无法识别"),"",IF(W1190="",IF(OR(I1190="ILF",I1190="EIF"),0,""),LEN(W1190)-LEN(SUBSTITUTE(W1190,"、",""))+1))</f>
        <v/>
      </c>
      <c r="N1190" s="83">
        <f>IF(OR(X1190="估算法",X1190="算法类",X1190="无法识别"),"",IF(X1190="",IF(OR(I1190="ILF",I1190="EIF",I1190="EI",I1190="EO",I1190="EQ"),0,""),LEN(X1190)-LEN(SUBSTITUTE(SUBSTITUTE(SUBSTITUTE(SUBSTITUTE(SUBSTITUTE(X1190,"|}","--"),"{|","--"),CHAR(10),""),"、",""),"|",""))+IF(AND(OR(I1190="EI",I1190="EO",I1190="EQ"),$AD$1="NESMA"),2,1)))</f>
        <v/>
      </c>
      <c r="O1190" s="84">
        <f>IF(I1190="EI",IF(OR(X1190="估算法",X1190="算法类"),"中",IF(X1190="无法识别","低",IF(L1190&lt;2,IF(N1190&lt;16,"低","中"),IF(L1190&lt;3,IF(N1190&lt;5,"低",IF(N1190&lt;16,"中","高")),IF(N1190&lt;5,"中","高"))))),IF(OR(I1190="EO",I1190="EQ"),IF(OR(X1190="估算法",X1190="算法类"),"中",IF(X1190="无法识别","低",IF(L1190&lt;2,IF(N1190&lt;20,"低","中"),IF(L1190&lt;4,IF(N1190&lt;6,"低",IF(N1190&lt;20,"中","高")),IF(N1190&lt;6,"中","高"))))),IF(OR(I1190="ILF",I1190="EIF"),IF(OR(X1190="估算法",X1190="算法类",X1190="无法识别"),"低",IF(M1190&lt;2,IF(N1190&lt;51,"低","中"),IF(M1190&lt;6,IF(N1190&lt;20,"低",IF(N1190&lt;51,"中","高")),IF(N1190&lt;20,"中","高")))),"不计算")))</f>
        <v/>
      </c>
      <c r="P1190" s="142">
        <f>IFERROR(IF(I1190="EI",IF(O1190="低",3,IF(O1190="中",4,6)),IF(I1190="EO",IF(O1190="低",4,IF(O1190="中",5,7)),IF(I1190="EQ",IF(O1190="低",3,IF(O1190="中",4,6)),IF(I1190="ILF",IF(O1190="低",7,IF(O1190="中",10,15)),IF(I1190="EIF",IF(O1190="低",5,IF(O1190="中",7,10)),"不计算")))))*Q1190,"不计算")</f>
        <v/>
      </c>
      <c r="Q1190" s="142" t="n">
        <v>1</v>
      </c>
      <c r="R1190" s="143">
        <f>调整因子!$F$13</f>
        <v/>
      </c>
      <c r="S1190" s="70" t="n">
        <v>1</v>
      </c>
      <c r="T1190" s="144">
        <f>IFERROR(P1190*R1190,0)</f>
        <v/>
      </c>
      <c r="U1190" s="145">
        <f>T1190*S1190</f>
        <v/>
      </c>
      <c r="V1190" s="96" t="inlineStr">
        <is>
          <t>分布分析表</t>
        </is>
      </c>
      <c r="W1190" s="96" t="inlineStr"/>
      <c r="X1190" s="111" t="inlineStr">
        <is>
          <t>分布分析表{ID、名称|ID、名称、类型、状态、创建时间、更新时间}</t>
        </is>
      </c>
      <c r="Y1190" s="88" t="n"/>
      <c r="Z1190" s="88" t="n"/>
    </row>
    <row r="1191" hidden="1" ht="21.6" customHeight="1">
      <c r="A1191" s="69">
        <f>ROW()-1</f>
        <v/>
      </c>
      <c r="B1191" s="53" t="n"/>
      <c r="C1191" s="117" t="n">
        <v>2026</v>
      </c>
      <c r="E1191" s="53" t="n"/>
      <c r="F1191" s="53" t="n"/>
      <c r="G1191" s="111" t="inlineStr">
        <is>
          <t>模板共享管理</t>
        </is>
      </c>
      <c r="H1191" s="96" t="inlineStr">
        <is>
          <t>编辑共享权限</t>
        </is>
      </c>
      <c r="I1191" s="76" t="inlineStr">
        <is>
          <t>EI</t>
        </is>
      </c>
      <c r="J1191" s="95" t="n"/>
      <c r="K1191" s="95" t="n"/>
      <c r="L1191" s="83">
        <f>IF(OR(X1191="估算法",X1191="算法类",X1191="无法识别"),"",IF(V1191="",IF(OR(I1191="EI",I1191="EO",I1191="EQ"),0,""),LEN(V1191)-LEN(SUBSTITUTE(V1191,"、",""))+1))</f>
        <v/>
      </c>
      <c r="M1191" s="83">
        <f>IF(OR(X1191="估算法",X1191="算法类",X1191="无法识别"),"",IF(W1191="",IF(OR(I1191="ILF",I1191="EIF"),0,""),LEN(W1191)-LEN(SUBSTITUTE(W1191,"、",""))+1))</f>
        <v/>
      </c>
      <c r="N1191" s="83">
        <f>IF(OR(X1191="估算法",X1191="算法类",X1191="无法识别"),"",IF(X1191="",IF(OR(I1191="ILF",I1191="EIF",I1191="EI",I1191="EO",I1191="EQ"),0,""),LEN(X1191)-LEN(SUBSTITUTE(SUBSTITUTE(SUBSTITUTE(SUBSTITUTE(SUBSTITUTE(X1191,"|}","--"),"{|","--"),CHAR(10),""),"、",""),"|",""))+IF(AND(OR(I1191="EI",I1191="EO",I1191="EQ"),$AD$1="NESMA"),2,1)))</f>
        <v/>
      </c>
      <c r="O1191" s="84">
        <f>IF(I1191="EI",IF(OR(X1191="估算法",X1191="算法类"),"中",IF(X1191="无法识别","低",IF(L1191&lt;2,IF(N1191&lt;16,"低","中"),IF(L1191&lt;3,IF(N1191&lt;5,"低",IF(N1191&lt;16,"中","高")),IF(N1191&lt;5,"中","高"))))),IF(OR(I1191="EO",I1191="EQ"),IF(OR(X1191="估算法",X1191="算法类"),"中",IF(X1191="无法识别","低",IF(L1191&lt;2,IF(N1191&lt;20,"低","中"),IF(L1191&lt;4,IF(N1191&lt;6,"低",IF(N1191&lt;20,"中","高")),IF(N1191&lt;6,"中","高"))))),IF(OR(I1191="ILF",I1191="EIF"),IF(OR(X1191="估算法",X1191="算法类",X1191="无法识别"),"低",IF(M1191&lt;2,IF(N1191&lt;51,"低","中"),IF(M1191&lt;6,IF(N1191&lt;20,"低",IF(N1191&lt;51,"中","高")),IF(N1191&lt;20,"中","高")))),"不计算")))</f>
        <v/>
      </c>
      <c r="P1191" s="142">
        <f>IFERROR(IF(I1191="EI",IF(O1191="低",3,IF(O1191="中",4,6)),IF(I1191="EO",IF(O1191="低",4,IF(O1191="中",5,7)),IF(I1191="EQ",IF(O1191="低",3,IF(O1191="中",4,6)),IF(I1191="ILF",IF(O1191="低",7,IF(O1191="中",10,15)),IF(I1191="EIF",IF(O1191="低",5,IF(O1191="中",7,10)),"不计算")))))*Q1191,"不计算")</f>
        <v/>
      </c>
      <c r="Q1191" s="142" t="n">
        <v>1</v>
      </c>
      <c r="R1191" s="143">
        <f>调整因子!$F$13</f>
        <v/>
      </c>
      <c r="S1191" s="76" t="n">
        <v>1</v>
      </c>
      <c r="T1191" s="144">
        <f>IFERROR(P1191*R1191,0)</f>
        <v/>
      </c>
      <c r="U1191" s="145">
        <f>T1191*S1191</f>
        <v/>
      </c>
      <c r="V1191" s="96" t="inlineStr">
        <is>
          <t>任务日志表</t>
        </is>
      </c>
      <c r="W1191" s="96" t="inlineStr"/>
      <c r="X1191" s="111" t="inlineStr">
        <is>
          <t>任务日志表{任务ID、任务名称、任务类型、任务状态、创建时间、执行时间|任务ID、任务名称、任务类型}</t>
        </is>
      </c>
      <c r="Y1191" s="88" t="n"/>
      <c r="Z1191" s="88" t="n"/>
    </row>
    <row r="1192" hidden="1">
      <c r="A1192" s="69">
        <f>ROW()-1</f>
        <v/>
      </c>
      <c r="B1192" s="53" t="n"/>
      <c r="C1192" s="117" t="n">
        <v>2026</v>
      </c>
      <c r="E1192" s="53" t="n"/>
      <c r="F1192" s="53" t="n"/>
      <c r="G1192" s="53" t="n"/>
      <c r="H1192" s="96" t="inlineStr">
        <is>
          <t>删除共享权限</t>
        </is>
      </c>
      <c r="I1192" s="76" t="inlineStr">
        <is>
          <t>EI</t>
        </is>
      </c>
      <c r="J1192" s="95" t="n"/>
      <c r="K1192" s="95" t="n"/>
      <c r="L1192" s="83">
        <f>IF(OR(X1192="估算法",X1192="算法类",X1192="无法识别"),"",IF(V1192="",IF(OR(I1192="EI",I1192="EO",I1192="EQ"),0,""),LEN(V1192)-LEN(SUBSTITUTE(V1192,"、",""))+1))</f>
        <v/>
      </c>
      <c r="M1192" s="83">
        <f>IF(OR(X1192="估算法",X1192="算法类",X1192="无法识别"),"",IF(W1192="",IF(OR(I1192="ILF",I1192="EIF"),0,""),LEN(W1192)-LEN(SUBSTITUTE(W1192,"、",""))+1))</f>
        <v/>
      </c>
      <c r="N1192" s="83">
        <f>IF(OR(X1192="估算法",X1192="算法类",X1192="无法识别"),"",IF(X1192="",IF(OR(I1192="ILF",I1192="EIF",I1192="EI",I1192="EO",I1192="EQ"),0,""),LEN(X1192)-LEN(SUBSTITUTE(SUBSTITUTE(SUBSTITUTE(SUBSTITUTE(SUBSTITUTE(X1192,"|}","--"),"{|","--"),CHAR(10),""),"、",""),"|",""))+IF(AND(OR(I1192="EI",I1192="EO",I1192="EQ"),$AD$1="NESMA"),2,1)))</f>
        <v/>
      </c>
      <c r="O1192" s="84">
        <f>IF(I1192="EI",IF(OR(X1192="估算法",X1192="算法类"),"中",IF(X1192="无法识别","低",IF(L1192&lt;2,IF(N1192&lt;16,"低","中"),IF(L1192&lt;3,IF(N1192&lt;5,"低",IF(N1192&lt;16,"中","高")),IF(N1192&lt;5,"中","高"))))),IF(OR(I1192="EO",I1192="EQ"),IF(OR(X1192="估算法",X1192="算法类"),"中",IF(X1192="无法识别","低",IF(L1192&lt;2,IF(N1192&lt;20,"低","中"),IF(L1192&lt;4,IF(N1192&lt;6,"低",IF(N1192&lt;20,"中","高")),IF(N1192&lt;6,"中","高"))))),IF(OR(I1192="ILF",I1192="EIF"),IF(OR(X1192="估算法",X1192="算法类",X1192="无法识别"),"低",IF(M1192&lt;2,IF(N1192&lt;51,"低","中"),IF(M1192&lt;6,IF(N1192&lt;20,"低",IF(N1192&lt;51,"中","高")),IF(N1192&lt;20,"中","高")))),"不计算")))</f>
        <v/>
      </c>
      <c r="P1192" s="142">
        <f>IFERROR(IF(I1192="EI",IF(O1192="低",3,IF(O1192="中",4,6)),IF(I1192="EO",IF(O1192="低",4,IF(O1192="中",5,7)),IF(I1192="EQ",IF(O1192="低",3,IF(O1192="中",4,6)),IF(I1192="ILF",IF(O1192="低",7,IF(O1192="中",10,15)),IF(I1192="EIF",IF(O1192="低",5,IF(O1192="中",7,10)),"不计算")))))*Q1192,"不计算")</f>
        <v/>
      </c>
      <c r="Q1192" s="142" t="n">
        <v>0.333333333333333</v>
      </c>
      <c r="R1192" s="143">
        <f>调整因子!$F$13</f>
        <v/>
      </c>
      <c r="S1192" s="70" t="n">
        <v>1</v>
      </c>
      <c r="T1192" s="144">
        <f>IFERROR(P1192*R1192,0)</f>
        <v/>
      </c>
      <c r="U1192" s="145">
        <f>T1192*S1192</f>
        <v/>
      </c>
      <c r="V1192" s="96" t="inlineStr">
        <is>
          <t>验证记录表</t>
        </is>
      </c>
      <c r="W1192" s="96" t="inlineStr"/>
      <c r="X1192" s="111" t="inlineStr">
        <is>
          <t>验证记录表{ID、名称、类型、状态、创建时间、更新时间|ID、名称、类型}</t>
        </is>
      </c>
      <c r="Y1192" s="88" t="n"/>
      <c r="Z1192" s="88" t="n"/>
    </row>
    <row r="1193" hidden="1" ht="21.6" customHeight="1">
      <c r="A1193" s="69">
        <f>ROW()-1</f>
        <v/>
      </c>
      <c r="B1193" s="53" t="n"/>
      <c r="C1193" s="117" t="n">
        <v>2026</v>
      </c>
      <c r="E1193" s="53" t="n"/>
      <c r="F1193" s="53" t="n"/>
      <c r="G1193" s="53" t="n"/>
      <c r="H1193" s="96" t="inlineStr">
        <is>
          <t>导出共享模板</t>
        </is>
      </c>
      <c r="I1193" s="76" t="inlineStr">
        <is>
          <t>EO</t>
        </is>
      </c>
      <c r="J1193" s="95" t="n"/>
      <c r="K1193" s="95" t="n"/>
      <c r="L1193" s="83">
        <f>IF(OR(X1193="估算法",X1193="算法类",X1193="无法识别"),"",IF(V1193="",IF(OR(I1193="EI",I1193="EO",I1193="EQ"),0,""),LEN(V1193)-LEN(SUBSTITUTE(V1193,"、",""))+1))</f>
        <v/>
      </c>
      <c r="M1193" s="83">
        <f>IF(OR(X1193="估算法",X1193="算法类",X1193="无法识别"),"",IF(W1193="",IF(OR(I1193="ILF",I1193="EIF"),0,""),LEN(W1193)-LEN(SUBSTITUTE(W1193,"、",""))+1))</f>
        <v/>
      </c>
      <c r="N1193" s="83">
        <f>IF(OR(X1193="估算法",X1193="算法类",X1193="无法识别"),"",IF(X1193="",IF(OR(I1193="ILF",I1193="EIF",I1193="EI",I1193="EO",I1193="EQ"),0,""),LEN(X1193)-LEN(SUBSTITUTE(SUBSTITUTE(SUBSTITUTE(SUBSTITUTE(SUBSTITUTE(X1193,"|}","--"),"{|","--"),CHAR(10),""),"、",""),"|",""))+IF(AND(OR(I1193="EI",I1193="EO",I1193="EQ"),$AD$1="NESMA"),2,1)))</f>
        <v/>
      </c>
      <c r="O1193" s="84">
        <f>IF(I1193="EI",IF(OR(X1193="估算法",X1193="算法类"),"中",IF(X1193="无法识别","低",IF(L1193&lt;2,IF(N1193&lt;16,"低","中"),IF(L1193&lt;3,IF(N1193&lt;5,"低",IF(N1193&lt;16,"中","高")),IF(N1193&lt;5,"中","高"))))),IF(OR(I1193="EO",I1193="EQ"),IF(OR(X1193="估算法",X1193="算法类"),"中",IF(X1193="无法识别","低",IF(L1193&lt;2,IF(N1193&lt;20,"低","中"),IF(L1193&lt;4,IF(N1193&lt;6,"低",IF(N1193&lt;20,"中","高")),IF(N1193&lt;6,"中","高"))))),IF(OR(I1193="ILF",I1193="EIF"),IF(OR(X1193="估算法",X1193="算法类",X1193="无法识别"),"低",IF(M1193&lt;2,IF(N1193&lt;51,"低","中"),IF(M1193&lt;6,IF(N1193&lt;20,"低",IF(N1193&lt;51,"中","高")),IF(N1193&lt;20,"中","高")))),"不计算")))</f>
        <v/>
      </c>
      <c r="P1193" s="142">
        <f>IFERROR(IF(I1193="EI",IF(O1193="低",3,IF(O1193="中",4,6)),IF(I1193="EO",IF(O1193="低",4,IF(O1193="中",5,7)),IF(I1193="EQ",IF(O1193="低",3,IF(O1193="中",4,6)),IF(I1193="ILF",IF(O1193="低",7,IF(O1193="中",10,15)),IF(I1193="EIF",IF(O1193="低",5,IF(O1193="中",7,10)),"不计算")))))*Q1193,"不计算")</f>
        <v/>
      </c>
      <c r="Q1193" s="142" t="n">
        <v>1</v>
      </c>
      <c r="R1193" s="143">
        <f>调整因子!$F$13</f>
        <v/>
      </c>
      <c r="S1193" s="70" t="n">
        <v>1</v>
      </c>
      <c r="T1193" s="144">
        <f>IFERROR(P1193*R1193,0)</f>
        <v/>
      </c>
      <c r="U1193" s="145">
        <f>T1193*S1193</f>
        <v/>
      </c>
      <c r="V1193" s="96" t="inlineStr">
        <is>
          <t>漏洞统计数据表</t>
        </is>
      </c>
      <c r="W1193" s="96" t="inlineStr"/>
      <c r="X1193" s="111" t="inlineStr">
        <is>
          <t>漏洞统计数据表{漏洞ID、漏洞名称|漏洞ID、漏洞名称、漏洞等级、漏洞类型、CVE编号、发现时间}</t>
        </is>
      </c>
      <c r="Y1193" s="88" t="n"/>
      <c r="Z1193" s="88" t="n"/>
    </row>
    <row r="1194" hidden="1" ht="21.6" customHeight="1">
      <c r="A1194" s="69">
        <f>ROW()-1</f>
        <v/>
      </c>
      <c r="B1194" s="53" t="n"/>
      <c r="C1194" s="117" t="n">
        <v>2026</v>
      </c>
      <c r="E1194" s="53" t="n"/>
      <c r="F1194" s="53" t="n"/>
      <c r="G1194" s="53" t="n"/>
      <c r="H1194" s="96" t="inlineStr">
        <is>
          <t>查询共享模板</t>
        </is>
      </c>
      <c r="I1194" s="76" t="inlineStr">
        <is>
          <t>EQ</t>
        </is>
      </c>
      <c r="J1194" s="95" t="n"/>
      <c r="K1194" s="95" t="n"/>
      <c r="L1194" s="83">
        <f>IF(OR(X1194="估算法",X1194="算法类",X1194="无法识别"),"",IF(V1194="",IF(OR(I1194="EI",I1194="EO",I1194="EQ"),0,""),LEN(V1194)-LEN(SUBSTITUTE(V1194,"、",""))+1))</f>
        <v/>
      </c>
      <c r="M1194" s="83">
        <f>IF(OR(X1194="估算法",X1194="算法类",X1194="无法识别"),"",IF(W1194="",IF(OR(I1194="ILF",I1194="EIF"),0,""),LEN(W1194)-LEN(SUBSTITUTE(W1194,"、",""))+1))</f>
        <v/>
      </c>
      <c r="N1194" s="83">
        <f>IF(OR(X1194="估算法",X1194="算法类",X1194="无法识别"),"",IF(X1194="",IF(OR(I1194="ILF",I1194="EIF",I1194="EI",I1194="EO",I1194="EQ"),0,""),LEN(X1194)-LEN(SUBSTITUTE(SUBSTITUTE(SUBSTITUTE(SUBSTITUTE(SUBSTITUTE(X1194,"|}","--"),"{|","--"),CHAR(10),""),"、",""),"|",""))+IF(AND(OR(I1194="EI",I1194="EO",I1194="EQ"),$AD$1="NESMA"),2,1)))</f>
        <v/>
      </c>
      <c r="O1194" s="84">
        <f>IF(I1194="EI",IF(OR(X1194="估算法",X1194="算法类"),"中",IF(X1194="无法识别","低",IF(L1194&lt;2,IF(N1194&lt;16,"低","中"),IF(L1194&lt;3,IF(N1194&lt;5,"低",IF(N1194&lt;16,"中","高")),IF(N1194&lt;5,"中","高"))))),IF(OR(I1194="EO",I1194="EQ"),IF(OR(X1194="估算法",X1194="算法类"),"中",IF(X1194="无法识别","低",IF(L1194&lt;2,IF(N1194&lt;20,"低","中"),IF(L1194&lt;4,IF(N1194&lt;6,"低",IF(N1194&lt;20,"中","高")),IF(N1194&lt;6,"中","高"))))),IF(OR(I1194="ILF",I1194="EIF"),IF(OR(X1194="估算法",X1194="算法类",X1194="无法识别"),"低",IF(M1194&lt;2,IF(N1194&lt;51,"低","中"),IF(M1194&lt;6,IF(N1194&lt;20,"低",IF(N1194&lt;51,"中","高")),IF(N1194&lt;20,"中","高")))),"不计算")))</f>
        <v/>
      </c>
      <c r="P1194" s="142">
        <f>IFERROR(IF(I1194="EI",IF(O1194="低",3,IF(O1194="中",4,6)),IF(I1194="EO",IF(O1194="低",4,IF(O1194="中",5,7)),IF(I1194="EQ",IF(O1194="低",3,IF(O1194="中",4,6)),IF(I1194="ILF",IF(O1194="低",7,IF(O1194="中",10,15)),IF(I1194="EIF",IF(O1194="低",5,IF(O1194="中",7,10)),"不计算")))))*Q1194,"不计算")</f>
        <v/>
      </c>
      <c r="Q1194" s="142" t="n">
        <v>1</v>
      </c>
      <c r="R1194" s="143">
        <f>调整因子!$F$13</f>
        <v/>
      </c>
      <c r="S1194" s="76" t="n">
        <v>1</v>
      </c>
      <c r="T1194" s="144">
        <f>IFERROR(P1194*R1194,0)</f>
        <v/>
      </c>
      <c r="U1194" s="145">
        <f>T1194*S1194</f>
        <v/>
      </c>
      <c r="V1194" s="96" t="inlineStr">
        <is>
          <t>分布分析表、故障诊断结果表</t>
        </is>
      </c>
      <c r="W1194" s="96" t="inlineStr"/>
      <c r="X1194" s="111" t="inlineStr">
        <is>
          <t>分布分析表{ID、名称|ID、名称、类型、状态、创建时间、更新时间}
故障诊断结果表{ID、名称|ID、名称、类型、状态、创建时间、更新时间}</t>
        </is>
      </c>
      <c r="Y1194" s="88" t="n"/>
      <c r="Z1194" s="88" t="n"/>
    </row>
    <row r="1195" hidden="1" ht="21.6" customHeight="1">
      <c r="A1195" s="69">
        <f>ROW()-1</f>
        <v/>
      </c>
      <c r="B1195" s="53" t="n"/>
      <c r="C1195" s="117" t="n">
        <v>2026</v>
      </c>
      <c r="E1195" s="53" t="n"/>
      <c r="F1195" s="54" t="n"/>
      <c r="G1195" s="54" t="n"/>
      <c r="H1195" s="96" t="inlineStr">
        <is>
          <t>查看共享详情</t>
        </is>
      </c>
      <c r="I1195" s="76" t="inlineStr">
        <is>
          <t>EQ</t>
        </is>
      </c>
      <c r="J1195" s="95" t="n"/>
      <c r="K1195" s="95" t="n"/>
      <c r="L1195" s="83">
        <f>IF(OR(X1195="估算法",X1195="算法类",X1195="无法识别"),"",IF(V1195="",IF(OR(I1195="EI",I1195="EO",I1195="EQ"),0,""),LEN(V1195)-LEN(SUBSTITUTE(V1195,"、",""))+1))</f>
        <v/>
      </c>
      <c r="M1195" s="83">
        <f>IF(OR(X1195="估算法",X1195="算法类",X1195="无法识别"),"",IF(W1195="",IF(OR(I1195="ILF",I1195="EIF"),0,""),LEN(W1195)-LEN(SUBSTITUTE(W1195,"、",""))+1))</f>
        <v/>
      </c>
      <c r="N1195" s="83">
        <f>IF(OR(X1195="估算法",X1195="算法类",X1195="无法识别"),"",IF(X1195="",IF(OR(I1195="ILF",I1195="EIF",I1195="EI",I1195="EO",I1195="EQ"),0,""),LEN(X1195)-LEN(SUBSTITUTE(SUBSTITUTE(SUBSTITUTE(SUBSTITUTE(SUBSTITUTE(X1195,"|}","--"),"{|","--"),CHAR(10),""),"、",""),"|",""))+IF(AND(OR(I1195="EI",I1195="EO",I1195="EQ"),$AD$1="NESMA"),2,1)))</f>
        <v/>
      </c>
      <c r="O1195" s="84">
        <f>IF(I1195="EI",IF(OR(X1195="估算法",X1195="算法类"),"中",IF(X1195="无法识别","低",IF(L1195&lt;2,IF(N1195&lt;16,"低","中"),IF(L1195&lt;3,IF(N1195&lt;5,"低",IF(N1195&lt;16,"中","高")),IF(N1195&lt;5,"中","高"))))),IF(OR(I1195="EO",I1195="EQ"),IF(OR(X1195="估算法",X1195="算法类"),"中",IF(X1195="无法识别","低",IF(L1195&lt;2,IF(N1195&lt;20,"低","中"),IF(L1195&lt;4,IF(N1195&lt;6,"低",IF(N1195&lt;20,"中","高")),IF(N1195&lt;6,"中","高"))))),IF(OR(I1195="ILF",I1195="EIF"),IF(OR(X1195="估算法",X1195="算法类",X1195="无法识别"),"低",IF(M1195&lt;2,IF(N1195&lt;51,"低","中"),IF(M1195&lt;6,IF(N1195&lt;20,"低",IF(N1195&lt;51,"中","高")),IF(N1195&lt;20,"中","高")))),"不计算")))</f>
        <v/>
      </c>
      <c r="P1195" s="142">
        <f>IFERROR(IF(I1195="EI",IF(O1195="低",3,IF(O1195="中",4,6)),IF(I1195="EO",IF(O1195="低",4,IF(O1195="中",5,7)),IF(I1195="EQ",IF(O1195="低",3,IF(O1195="中",4,6)),IF(I1195="ILF",IF(O1195="低",7,IF(O1195="中",10,15)),IF(I1195="EIF",IF(O1195="低",5,IF(O1195="中",7,10)),"不计算")))))*Q1195,"不计算")</f>
        <v/>
      </c>
      <c r="Q1195" s="142" t="n">
        <v>1</v>
      </c>
      <c r="R1195" s="143">
        <f>调整因子!$F$13</f>
        <v/>
      </c>
      <c r="S1195" s="76" t="n">
        <v>1</v>
      </c>
      <c r="T1195" s="144">
        <f>IFERROR(P1195*R1195,0)</f>
        <v/>
      </c>
      <c r="U1195" s="145">
        <f>T1195*S1195</f>
        <v/>
      </c>
      <c r="V1195" s="96" t="inlineStr">
        <is>
          <t>报告解析结果表、审计日志表</t>
        </is>
      </c>
      <c r="W1195" s="96" t="inlineStr"/>
      <c r="X1195" s="111" t="inlineStr">
        <is>
          <t>报告解析结果表{ID、名称|ID、名称、类型、状态、创建时间、更新时间}
审计日志表{日志ID、操作人|日志ID、操作人、操作类型、操作时间、操作内容}</t>
        </is>
      </c>
      <c r="Y1195" s="88" t="n"/>
      <c r="Z1195" s="88" t="n"/>
    </row>
    <row r="1196" hidden="1" ht="43.2" customHeight="1">
      <c r="A1196" s="69">
        <f>ROW()-1</f>
        <v/>
      </c>
      <c r="B1196" s="53" t="n"/>
      <c r="C1196" s="117" t="n">
        <v>2026</v>
      </c>
      <c r="E1196" s="53" t="n"/>
      <c r="F1196" s="111" t="inlineStr">
        <is>
          <t>扫描成功率监控与告警</t>
        </is>
      </c>
      <c r="G1196" s="111" t="inlineStr">
        <is>
          <t>任务依赖配置</t>
        </is>
      </c>
      <c r="H1196" s="96" t="inlineStr">
        <is>
          <t>编辑任务依赖</t>
        </is>
      </c>
      <c r="I1196" s="76" t="inlineStr">
        <is>
          <t>EI</t>
        </is>
      </c>
      <c r="J1196" s="95" t="n"/>
      <c r="K1196" s="95" t="n"/>
      <c r="L1196" s="83">
        <f>IF(OR(X1196="估算法",X1196="算法类",X1196="无法识别"),"",IF(V1196="",IF(OR(I1196="EI",I1196="EO",I1196="EQ"),0,""),LEN(V1196)-LEN(SUBSTITUTE(V1196,"、",""))+1))</f>
        <v/>
      </c>
      <c r="M1196" s="83">
        <f>IF(OR(X1196="估算法",X1196="算法类",X1196="无法识别"),"",IF(W1196="",IF(OR(I1196="ILF",I1196="EIF"),0,""),LEN(W1196)-LEN(SUBSTITUTE(W1196,"、",""))+1))</f>
        <v/>
      </c>
      <c r="N1196" s="83">
        <f>IF(OR(X1196="估算法",X1196="算法类",X1196="无法识别"),"",IF(X1196="",IF(OR(I1196="ILF",I1196="EIF",I1196="EI",I1196="EO",I1196="EQ"),0,""),LEN(X1196)-LEN(SUBSTITUTE(SUBSTITUTE(SUBSTITUTE(SUBSTITUTE(SUBSTITUTE(X1196,"|}","--"),"{|","--"),CHAR(10),""),"、",""),"|",""))+IF(AND(OR(I1196="EI",I1196="EO",I1196="EQ"),$AD$1="NESMA"),2,1)))</f>
        <v/>
      </c>
      <c r="O1196" s="84">
        <f>IF(I1196="EI",IF(OR(X1196="估算法",X1196="算法类"),"中",IF(X1196="无法识别","低",IF(L1196&lt;2,IF(N1196&lt;16,"低","中"),IF(L1196&lt;3,IF(N1196&lt;5,"低",IF(N1196&lt;16,"中","高")),IF(N1196&lt;5,"中","高"))))),IF(OR(I1196="EO",I1196="EQ"),IF(OR(X1196="估算法",X1196="算法类"),"中",IF(X1196="无法识别","低",IF(L1196&lt;2,IF(N1196&lt;20,"低","中"),IF(L1196&lt;4,IF(N1196&lt;6,"低",IF(N1196&lt;20,"中","高")),IF(N1196&lt;6,"中","高"))))),IF(OR(I1196="ILF",I1196="EIF"),IF(OR(X1196="估算法",X1196="算法类",X1196="无法识别"),"低",IF(M1196&lt;2,IF(N1196&lt;51,"低","中"),IF(M1196&lt;6,IF(N1196&lt;20,"低",IF(N1196&lt;51,"中","高")),IF(N1196&lt;20,"中","高")))),"不计算")))</f>
        <v/>
      </c>
      <c r="P1196" s="142">
        <f>IFERROR(IF(I1196="EI",IF(O1196="低",3,IF(O1196="中",4,6)),IF(I1196="EO",IF(O1196="低",4,IF(O1196="中",5,7)),IF(I1196="EQ",IF(O1196="低",3,IF(O1196="中",4,6)),IF(I1196="ILF",IF(O1196="低",7,IF(O1196="中",10,15)),IF(I1196="EIF",IF(O1196="低",5,IF(O1196="中",7,10)),"不计算")))))*Q1196,"不计算")</f>
        <v/>
      </c>
      <c r="Q1196" s="142" t="n">
        <v>1</v>
      </c>
      <c r="R1196" s="143">
        <f>调整因子!$F$13</f>
        <v/>
      </c>
      <c r="S1196" s="70" t="n">
        <v>1</v>
      </c>
      <c r="T1196" s="144">
        <f>IFERROR(P1196*R1196,0)</f>
        <v/>
      </c>
      <c r="U1196" s="145">
        <f>T1196*S1196</f>
        <v/>
      </c>
      <c r="V1196" s="96" t="inlineStr">
        <is>
          <t>数据清洗任务表、资产同步任务表</t>
        </is>
      </c>
      <c r="W1196" s="96" t="inlineStr"/>
      <c r="X1196"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196" s="88" t="n"/>
      <c r="Z1196" s="88" t="n"/>
    </row>
    <row r="1197" hidden="1" ht="21.6" customHeight="1">
      <c r="A1197" s="69">
        <f>ROW()-1</f>
        <v/>
      </c>
      <c r="B1197" s="53" t="n"/>
      <c r="C1197" s="117" t="n">
        <v>2026</v>
      </c>
      <c r="E1197" s="53" t="n"/>
      <c r="F1197" s="53" t="n"/>
      <c r="G1197" s="53" t="n"/>
      <c r="H1197" s="96" t="inlineStr">
        <is>
          <t>删除任务依赖</t>
        </is>
      </c>
      <c r="I1197" s="76" t="inlineStr">
        <is>
          <t>EI</t>
        </is>
      </c>
      <c r="J1197" s="95" t="n"/>
      <c r="K1197" s="95" t="n"/>
      <c r="L1197" s="83">
        <f>IF(OR(X1197="估算法",X1197="算法类",X1197="无法识别"),"",IF(V1197="",IF(OR(I1197="EI",I1197="EO",I1197="EQ"),0,""),LEN(V1197)-LEN(SUBSTITUTE(V1197,"、",""))+1))</f>
        <v/>
      </c>
      <c r="M1197" s="83">
        <f>IF(OR(X1197="估算法",X1197="算法类",X1197="无法识别"),"",IF(W1197="",IF(OR(I1197="ILF",I1197="EIF"),0,""),LEN(W1197)-LEN(SUBSTITUTE(W1197,"、",""))+1))</f>
        <v/>
      </c>
      <c r="N1197" s="83">
        <f>IF(OR(X1197="估算法",X1197="算法类",X1197="无法识别"),"",IF(X1197="",IF(OR(I1197="ILF",I1197="EIF",I1197="EI",I1197="EO",I1197="EQ"),0,""),LEN(X1197)-LEN(SUBSTITUTE(SUBSTITUTE(SUBSTITUTE(SUBSTITUTE(SUBSTITUTE(X1197,"|}","--"),"{|","--"),CHAR(10),""),"、",""),"|",""))+IF(AND(OR(I1197="EI",I1197="EO",I1197="EQ"),$AD$1="NESMA"),2,1)))</f>
        <v/>
      </c>
      <c r="O1197" s="84">
        <f>IF(I1197="EI",IF(OR(X1197="估算法",X1197="算法类"),"中",IF(X1197="无法识别","低",IF(L1197&lt;2,IF(N1197&lt;16,"低","中"),IF(L1197&lt;3,IF(N1197&lt;5,"低",IF(N1197&lt;16,"中","高")),IF(N1197&lt;5,"中","高"))))),IF(OR(I1197="EO",I1197="EQ"),IF(OR(X1197="估算法",X1197="算法类"),"中",IF(X1197="无法识别","低",IF(L1197&lt;2,IF(N1197&lt;20,"低","中"),IF(L1197&lt;4,IF(N1197&lt;6,"低",IF(N1197&lt;20,"中","高")),IF(N1197&lt;6,"中","高"))))),IF(OR(I1197="ILF",I1197="EIF"),IF(OR(X1197="估算法",X1197="算法类",X1197="无法识别"),"低",IF(M1197&lt;2,IF(N1197&lt;51,"低","中"),IF(M1197&lt;6,IF(N1197&lt;20,"低",IF(N1197&lt;51,"中","高")),IF(N1197&lt;20,"中","高")))),"不计算")))</f>
        <v/>
      </c>
      <c r="P1197" s="142">
        <f>IFERROR(IF(I1197="EI",IF(O1197="低",3,IF(O1197="中",4,6)),IF(I1197="EO",IF(O1197="低",4,IF(O1197="中",5,7)),IF(I1197="EQ",IF(O1197="低",3,IF(O1197="中",4,6)),IF(I1197="ILF",IF(O1197="低",7,IF(O1197="中",10,15)),IF(I1197="EIF",IF(O1197="低",5,IF(O1197="中",7,10)),"不计算")))))*Q1197,"不计算")</f>
        <v/>
      </c>
      <c r="Q1197" s="142" t="n">
        <v>0.333333333333333</v>
      </c>
      <c r="R1197" s="143">
        <f>调整因子!$F$13</f>
        <v/>
      </c>
      <c r="S1197" s="70" t="n">
        <v>1</v>
      </c>
      <c r="T1197" s="144">
        <f>IFERROR(P1197*R1197,0)</f>
        <v/>
      </c>
      <c r="U1197" s="145">
        <f>T1197*S1197</f>
        <v/>
      </c>
      <c r="V1197" s="96" t="inlineStr">
        <is>
          <t>数据清洗任务表</t>
        </is>
      </c>
      <c r="W1197" s="96" t="inlineStr"/>
      <c r="X1197" s="111" t="inlineStr">
        <is>
          <t>数据清洗任务表{任务ID、任务名称、任务类型、任务状态、创建时间、执行时间|任务ID、任务名称、任务类型}</t>
        </is>
      </c>
      <c r="Y1197" s="88" t="n"/>
      <c r="Z1197" s="88" t="n"/>
    </row>
    <row r="1198" hidden="1" ht="43.2" customHeight="1">
      <c r="A1198" s="69">
        <f>ROW()-1</f>
        <v/>
      </c>
      <c r="B1198" s="53" t="n"/>
      <c r="C1198" s="117" t="n">
        <v>2026</v>
      </c>
      <c r="E1198" s="53" t="n"/>
      <c r="F1198" s="53" t="n"/>
      <c r="G1198" s="53" t="n"/>
      <c r="H1198" s="96" t="inlineStr">
        <is>
          <t>启用任务依赖</t>
        </is>
      </c>
      <c r="I1198" s="76" t="inlineStr">
        <is>
          <t>EI</t>
        </is>
      </c>
      <c r="J1198" s="95" t="n"/>
      <c r="K1198" s="95" t="n"/>
      <c r="L1198" s="83">
        <f>IF(OR(X1198="估算法",X1198="算法类",X1198="无法识别"),"",IF(V1198="",IF(OR(I1198="EI",I1198="EO",I1198="EQ"),0,""),LEN(V1198)-LEN(SUBSTITUTE(V1198,"、",""))+1))</f>
        <v/>
      </c>
      <c r="M1198" s="83">
        <f>IF(OR(X1198="估算法",X1198="算法类",X1198="无法识别"),"",IF(W1198="",IF(OR(I1198="ILF",I1198="EIF"),0,""),LEN(W1198)-LEN(SUBSTITUTE(W1198,"、",""))+1))</f>
        <v/>
      </c>
      <c r="N1198" s="83">
        <f>IF(OR(X1198="估算法",X1198="算法类",X1198="无法识别"),"",IF(X1198="",IF(OR(I1198="ILF",I1198="EIF",I1198="EI",I1198="EO",I1198="EQ"),0,""),LEN(X1198)-LEN(SUBSTITUTE(SUBSTITUTE(SUBSTITUTE(SUBSTITUTE(SUBSTITUTE(X1198,"|}","--"),"{|","--"),CHAR(10),""),"、",""),"|",""))+IF(AND(OR(I1198="EI",I1198="EO",I1198="EQ"),$AD$1="NESMA"),2,1)))</f>
        <v/>
      </c>
      <c r="O1198" s="84">
        <f>IF(I1198="EI",IF(OR(X1198="估算法",X1198="算法类"),"中",IF(X1198="无法识别","低",IF(L1198&lt;2,IF(N1198&lt;16,"低","中"),IF(L1198&lt;3,IF(N1198&lt;5,"低",IF(N1198&lt;16,"中","高")),IF(N1198&lt;5,"中","高"))))),IF(OR(I1198="EO",I1198="EQ"),IF(OR(X1198="估算法",X1198="算法类"),"中",IF(X1198="无法识别","低",IF(L1198&lt;2,IF(N1198&lt;20,"低","中"),IF(L1198&lt;4,IF(N1198&lt;6,"低",IF(N1198&lt;20,"中","高")),IF(N1198&lt;6,"中","高"))))),IF(OR(I1198="ILF",I1198="EIF"),IF(OR(X1198="估算法",X1198="算法类",X1198="无法识别"),"低",IF(M1198&lt;2,IF(N1198&lt;51,"低","中"),IF(M1198&lt;6,IF(N1198&lt;20,"低",IF(N1198&lt;51,"中","高")),IF(N1198&lt;20,"中","高")))),"不计算")))</f>
        <v/>
      </c>
      <c r="P1198" s="142">
        <f>IFERROR(IF(I1198="EI",IF(O1198="低",3,IF(O1198="中",4,6)),IF(I1198="EO",IF(O1198="低",4,IF(O1198="中",5,7)),IF(I1198="EQ",IF(O1198="低",3,IF(O1198="中",4,6)),IF(I1198="ILF",IF(O1198="低",7,IF(O1198="中",10,15)),IF(I1198="EIF",IF(O1198="低",5,IF(O1198="中",7,10)),"不计算")))))*Q1198,"不计算")</f>
        <v/>
      </c>
      <c r="Q1198" s="142" t="n">
        <v>1</v>
      </c>
      <c r="R1198" s="143">
        <f>调整因子!$F$13</f>
        <v/>
      </c>
      <c r="S1198" s="76" t="n">
        <v>1</v>
      </c>
      <c r="T1198" s="144">
        <f>IFERROR(P1198*R1198,0)</f>
        <v/>
      </c>
      <c r="U1198" s="145">
        <f>T1198*S1198</f>
        <v/>
      </c>
      <c r="V1198" s="96" t="inlineStr">
        <is>
          <t>数据清洗任务表、资产同步任务表</t>
        </is>
      </c>
      <c r="W1198" s="96" t="inlineStr"/>
      <c r="X1198"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198" s="88" t="n"/>
      <c r="Z1198" s="88" t="n"/>
    </row>
    <row r="1199" hidden="1" ht="21.6" customHeight="1">
      <c r="A1199" s="69">
        <f>ROW()-1</f>
        <v/>
      </c>
      <c r="B1199" s="53" t="n"/>
      <c r="C1199" s="117" t="n">
        <v>2026</v>
      </c>
      <c r="E1199" s="53" t="n"/>
      <c r="F1199" s="53" t="n"/>
      <c r="G1199" s="53" t="n"/>
      <c r="H1199" s="96" t="inlineStr">
        <is>
          <t>停用任务依赖</t>
        </is>
      </c>
      <c r="I1199" s="76" t="n"/>
      <c r="J1199" s="95" t="n"/>
      <c r="K1199" s="95" t="inlineStr">
        <is>
          <t>和上行合并，启停为相同功能</t>
        </is>
      </c>
      <c r="L1199" s="83">
        <f>IF(OR(X1199="估算法",X1199="算法类",X1199="无法识别"),"",IF(V1199="",IF(OR(I1199="EI",I1199="EO",I1199="EQ"),0,""),LEN(V1199)-LEN(SUBSTITUTE(V1199,"、",""))+1))</f>
        <v/>
      </c>
      <c r="M1199" s="83">
        <f>IF(OR(X1199="估算法",X1199="算法类",X1199="无法识别"),"",IF(W1199="",IF(OR(I1199="ILF",I1199="EIF"),0,""),LEN(W1199)-LEN(SUBSTITUTE(W1199,"、",""))+1))</f>
        <v/>
      </c>
      <c r="N1199" s="83">
        <f>IF(OR(X1199="估算法",X1199="算法类",X1199="无法识别"),"",IF(X1199="",IF(OR(I1199="ILF",I1199="EIF",I1199="EI",I1199="EO",I1199="EQ"),0,""),LEN(X1199)-LEN(SUBSTITUTE(SUBSTITUTE(SUBSTITUTE(SUBSTITUTE(SUBSTITUTE(X1199,"|}","--"),"{|","--"),CHAR(10),""),"、",""),"|",""))+IF(AND(OR(I1199="EI",I1199="EO",I1199="EQ"),$AD$1="NESMA"),2,1)))</f>
        <v/>
      </c>
      <c r="O1199" s="84">
        <f>IF(I1199="EI",IF(OR(X1199="估算法",X1199="算法类"),"中",IF(X1199="无法识别","低",IF(L1199&lt;2,IF(N1199&lt;16,"低","中"),IF(L1199&lt;3,IF(N1199&lt;5,"低",IF(N1199&lt;16,"中","高")),IF(N1199&lt;5,"中","高"))))),IF(OR(I1199="EO",I1199="EQ"),IF(OR(X1199="估算法",X1199="算法类"),"中",IF(X1199="无法识别","低",IF(L1199&lt;2,IF(N1199&lt;20,"低","中"),IF(L1199&lt;4,IF(N1199&lt;6,"低",IF(N1199&lt;20,"中","高")),IF(N1199&lt;6,"中","高"))))),IF(OR(I1199="ILF",I1199="EIF"),IF(OR(X1199="估算法",X1199="算法类",X1199="无法识别"),"低",IF(M1199&lt;2,IF(N1199&lt;51,"低","中"),IF(M1199&lt;6,IF(N1199&lt;20,"低",IF(N1199&lt;51,"中","高")),IF(N1199&lt;20,"中","高")))),"不计算")))</f>
        <v/>
      </c>
      <c r="P1199" s="142">
        <f>IFERROR(IF(I1199="EI",IF(O1199="低",3,IF(O1199="中",4,6)),IF(I1199="EO",IF(O1199="低",4,IF(O1199="中",5,7)),IF(I1199="EQ",IF(O1199="低",3,IF(O1199="中",4,6)),IF(I1199="ILF",IF(O1199="低",7,IF(O1199="中",10,15)),IF(I1199="EIF",IF(O1199="低",5,IF(O1199="中",7,10)),"不计算")))))*Q1199,"不计算")</f>
        <v/>
      </c>
      <c r="Q1199" s="142" t="n">
        <v>1</v>
      </c>
      <c r="R1199" s="143">
        <f>调整因子!$F$13</f>
        <v/>
      </c>
      <c r="S1199" s="70" t="n">
        <v>1</v>
      </c>
      <c r="T1199" s="144">
        <f>IFERROR(P1199*R1199,0)</f>
        <v/>
      </c>
      <c r="U1199" s="145">
        <f>T1199*S1199</f>
        <v/>
      </c>
      <c r="V1199" s="96" t="inlineStr">
        <is>
          <t>数据清洗任务表</t>
        </is>
      </c>
      <c r="W1199" s="96" t="inlineStr"/>
      <c r="X1199" s="111" t="inlineStr">
        <is>
          <t>数据清洗任务表{任务ID、任务名称、任务类型、任务状态、创建时间、执行时间|任务ID、任务名称、任务类型}</t>
        </is>
      </c>
      <c r="Y1199" s="88" t="n"/>
      <c r="Z1199" s="88" t="n"/>
    </row>
    <row r="1200" hidden="1" ht="21.6" customHeight="1">
      <c r="A1200" s="69">
        <f>ROW()-1</f>
        <v/>
      </c>
      <c r="B1200" s="53" t="n"/>
      <c r="C1200" s="117" t="n">
        <v>2026</v>
      </c>
      <c r="E1200" s="53" t="n"/>
      <c r="F1200" s="53" t="n"/>
      <c r="G1200" s="53" t="n"/>
      <c r="H1200" s="96" t="inlineStr">
        <is>
          <t>导出依赖配置</t>
        </is>
      </c>
      <c r="I1200" s="76" t="inlineStr">
        <is>
          <t>EO</t>
        </is>
      </c>
      <c r="J1200" s="95" t="n"/>
      <c r="K1200" s="95" t="n"/>
      <c r="L1200" s="83">
        <f>IF(OR(X1200="估算法",X1200="算法类",X1200="无法识别"),"",IF(V1200="",IF(OR(I1200="EI",I1200="EO",I1200="EQ"),0,""),LEN(V1200)-LEN(SUBSTITUTE(V1200,"、",""))+1))</f>
        <v/>
      </c>
      <c r="M1200" s="83">
        <f>IF(OR(X1200="估算法",X1200="算法类",X1200="无法识别"),"",IF(W1200="",IF(OR(I1200="ILF",I1200="EIF"),0,""),LEN(W1200)-LEN(SUBSTITUTE(W1200,"、",""))+1))</f>
        <v/>
      </c>
      <c r="N1200" s="83">
        <f>IF(OR(X1200="估算法",X1200="算法类",X1200="无法识别"),"",IF(X1200="",IF(OR(I1200="ILF",I1200="EIF",I1200="EI",I1200="EO",I1200="EQ"),0,""),LEN(X1200)-LEN(SUBSTITUTE(SUBSTITUTE(SUBSTITUTE(SUBSTITUTE(SUBSTITUTE(X1200,"|}","--"),"{|","--"),CHAR(10),""),"、",""),"|",""))+IF(AND(OR(I1200="EI",I1200="EO",I1200="EQ"),$AD$1="NESMA"),2,1)))</f>
        <v/>
      </c>
      <c r="O1200" s="84">
        <f>IF(I1200="EI",IF(OR(X1200="估算法",X1200="算法类"),"中",IF(X1200="无法识别","低",IF(L1200&lt;2,IF(N1200&lt;16,"低","中"),IF(L1200&lt;3,IF(N1200&lt;5,"低",IF(N1200&lt;16,"中","高")),IF(N1200&lt;5,"中","高"))))),IF(OR(I1200="EO",I1200="EQ"),IF(OR(X1200="估算法",X1200="算法类"),"中",IF(X1200="无法识别","低",IF(L1200&lt;2,IF(N1200&lt;20,"低","中"),IF(L1200&lt;4,IF(N1200&lt;6,"低",IF(N1200&lt;20,"中","高")),IF(N1200&lt;6,"中","高"))))),IF(OR(I1200="ILF",I1200="EIF"),IF(OR(X1200="估算法",X1200="算法类",X1200="无法识别"),"低",IF(M1200&lt;2,IF(N1200&lt;51,"低","中"),IF(M1200&lt;6,IF(N1200&lt;20,"低",IF(N1200&lt;51,"中","高")),IF(N1200&lt;20,"中","高")))),"不计算")))</f>
        <v/>
      </c>
      <c r="P1200" s="142">
        <f>IFERROR(IF(I1200="EI",IF(O1200="低",3,IF(O1200="中",4,6)),IF(I1200="EO",IF(O1200="低",4,IF(O1200="中",5,7)),IF(I1200="EQ",IF(O1200="低",3,IF(O1200="中",4,6)),IF(I1200="ILF",IF(O1200="低",7,IF(O1200="中",10,15)),IF(I1200="EIF",IF(O1200="低",5,IF(O1200="中",7,10)),"不计算")))))*Q1200,"不计算")</f>
        <v/>
      </c>
      <c r="Q1200" s="142" t="n">
        <v>1</v>
      </c>
      <c r="R1200" s="143">
        <f>调整因子!$F$13</f>
        <v/>
      </c>
      <c r="S1200" s="70" t="n">
        <v>1</v>
      </c>
      <c r="T1200" s="144">
        <f>IFERROR(P1200*R1200,0)</f>
        <v/>
      </c>
      <c r="U1200" s="145">
        <f>T1200*S1200</f>
        <v/>
      </c>
      <c r="V1200" s="96" t="inlineStr">
        <is>
          <t>任务优先级配置表</t>
        </is>
      </c>
      <c r="W1200" s="96" t="inlineStr"/>
      <c r="X1200" s="111" t="inlineStr">
        <is>
          <t>任务优先级配置表{任务ID、任务名称|任务ID、任务名称、任务类型、任务状态、创建时间、执行时间}</t>
        </is>
      </c>
      <c r="Y1200" s="88" t="n"/>
      <c r="Z1200" s="88" t="n"/>
    </row>
    <row r="1201" hidden="1" ht="32.4" customHeight="1">
      <c r="A1201" s="69">
        <f>ROW()-1</f>
        <v/>
      </c>
      <c r="B1201" s="53" t="n"/>
      <c r="C1201" s="117" t="n">
        <v>2026</v>
      </c>
      <c r="E1201" s="53" t="n"/>
      <c r="F1201" s="53" t="n"/>
      <c r="G1201" s="53" t="n"/>
      <c r="H1201" s="96" t="inlineStr">
        <is>
          <t>查询依赖关系</t>
        </is>
      </c>
      <c r="I1201" s="76" t="inlineStr">
        <is>
          <t>EO</t>
        </is>
      </c>
      <c r="J1201" s="95" t="n"/>
      <c r="K1201" s="95" t="n"/>
      <c r="L1201" s="83">
        <f>IF(OR(X1201="估算法",X1201="算法类",X1201="无法识别"),"",IF(V1201="",IF(OR(I1201="EI",I1201="EO",I1201="EQ"),0,""),LEN(V1201)-LEN(SUBSTITUTE(V1201,"、",""))+1))</f>
        <v/>
      </c>
      <c r="M1201" s="83">
        <f>IF(OR(X1201="估算法",X1201="算法类",X1201="无法识别"),"",IF(W1201="",IF(OR(I1201="ILF",I1201="EIF"),0,""),LEN(W1201)-LEN(SUBSTITUTE(W1201,"、",""))+1))</f>
        <v/>
      </c>
      <c r="N1201" s="83">
        <f>IF(OR(X1201="估算法",X1201="算法类",X1201="无法识别"),"",IF(X1201="",IF(OR(I1201="ILF",I1201="EIF",I1201="EI",I1201="EO",I1201="EQ"),0,""),LEN(X1201)-LEN(SUBSTITUTE(SUBSTITUTE(SUBSTITUTE(SUBSTITUTE(SUBSTITUTE(X1201,"|}","--"),"{|","--"),CHAR(10),""),"、",""),"|",""))+IF(AND(OR(I1201="EI",I1201="EO",I1201="EQ"),$AD$1="NESMA"),2,1)))</f>
        <v/>
      </c>
      <c r="O1201" s="84">
        <f>IF(I1201="EI",IF(OR(X1201="估算法",X1201="算法类"),"中",IF(X1201="无法识别","低",IF(L1201&lt;2,IF(N1201&lt;16,"低","中"),IF(L1201&lt;3,IF(N1201&lt;5,"低",IF(N1201&lt;16,"中","高")),IF(N1201&lt;5,"中","高"))))),IF(OR(I1201="EO",I1201="EQ"),IF(OR(X1201="估算法",X1201="算法类"),"中",IF(X1201="无法识别","低",IF(L1201&lt;2,IF(N1201&lt;20,"低","中"),IF(L1201&lt;4,IF(N1201&lt;6,"低",IF(N1201&lt;20,"中","高")),IF(N1201&lt;6,"中","高"))))),IF(OR(I1201="ILF",I1201="EIF"),IF(OR(X1201="估算法",X1201="算法类",X1201="无法识别"),"低",IF(M1201&lt;2,IF(N1201&lt;51,"低","中"),IF(M1201&lt;6,IF(N1201&lt;20,"低",IF(N1201&lt;51,"中","高")),IF(N1201&lt;20,"中","高")))),"不计算")))</f>
        <v/>
      </c>
      <c r="P1201" s="142">
        <f>IFERROR(IF(I1201="EI",IF(O1201="低",3,IF(O1201="中",4,6)),IF(I1201="EO",IF(O1201="低",4,IF(O1201="中",5,7)),IF(I1201="EQ",IF(O1201="低",3,IF(O1201="中",4,6)),IF(I1201="ILF",IF(O1201="低",7,IF(O1201="中",10,15)),IF(I1201="EIF",IF(O1201="低",5,IF(O1201="中",7,10)),"不计算")))))*Q1201,"不计算")</f>
        <v/>
      </c>
      <c r="Q1201" s="142" t="n">
        <v>1</v>
      </c>
      <c r="R1201" s="143">
        <f>调整因子!$F$13</f>
        <v/>
      </c>
      <c r="S1201" s="76" t="n">
        <v>1</v>
      </c>
      <c r="T1201" s="144">
        <f>IFERROR(P1201*R1201,0)</f>
        <v/>
      </c>
      <c r="U1201" s="145">
        <f>T1201*S1201</f>
        <v/>
      </c>
      <c r="V1201" s="96" t="inlineStr">
        <is>
          <t>接口参数配置表、处置单关联表</t>
        </is>
      </c>
      <c r="W1201" s="96" t="inlineStr"/>
      <c r="X1201" s="111" t="inlineStr">
        <is>
          <t>接口参数配置表{配置ID、配置名称|配置ID、配置名称、配置类型、配置值、创建时间}
处置单关联表{ID、名称|ID、名称、类型、状态、创建时间、更新时间}</t>
        </is>
      </c>
      <c r="Y1201" s="88" t="n"/>
      <c r="Z1201" s="88" t="n"/>
    </row>
    <row r="1202" hidden="1" ht="43.2" customHeight="1">
      <c r="A1202" s="69">
        <f>ROW()-1</f>
        <v/>
      </c>
      <c r="B1202" s="53" t="n"/>
      <c r="C1202" s="117" t="n">
        <v>2026</v>
      </c>
      <c r="E1202" s="53" t="n"/>
      <c r="F1202" s="53" t="n"/>
      <c r="G1202" s="54" t="n"/>
      <c r="H1202" s="96" t="inlineStr">
        <is>
          <t>查看依赖详情</t>
        </is>
      </c>
      <c r="I1202" s="76" t="inlineStr">
        <is>
          <t>EQ</t>
        </is>
      </c>
      <c r="J1202" s="95" t="n"/>
      <c r="K1202" s="95" t="n"/>
      <c r="L1202" s="83">
        <f>IF(OR(X1202="估算法",X1202="算法类",X1202="无法识别"),"",IF(V1202="",IF(OR(I1202="EI",I1202="EO",I1202="EQ"),0,""),LEN(V1202)-LEN(SUBSTITUTE(V1202,"、",""))+1))</f>
        <v/>
      </c>
      <c r="M1202" s="83">
        <f>IF(OR(X1202="估算法",X1202="算法类",X1202="无法识别"),"",IF(W1202="",IF(OR(I1202="ILF",I1202="EIF"),0,""),LEN(W1202)-LEN(SUBSTITUTE(W1202,"、",""))+1))</f>
        <v/>
      </c>
      <c r="N1202" s="83">
        <f>IF(OR(X1202="估算法",X1202="算法类",X1202="无法识别"),"",IF(X1202="",IF(OR(I1202="ILF",I1202="EIF",I1202="EI",I1202="EO",I1202="EQ"),0,""),LEN(X1202)-LEN(SUBSTITUTE(SUBSTITUTE(SUBSTITUTE(SUBSTITUTE(SUBSTITUTE(X1202,"|}","--"),"{|","--"),CHAR(10),""),"、",""),"|",""))+IF(AND(OR(I1202="EI",I1202="EO",I1202="EQ"),$AD$1="NESMA"),2,1)))</f>
        <v/>
      </c>
      <c r="O1202" s="84">
        <f>IF(I1202="EI",IF(OR(X1202="估算法",X1202="算法类"),"中",IF(X1202="无法识别","低",IF(L1202&lt;2,IF(N1202&lt;16,"低","中"),IF(L1202&lt;3,IF(N1202&lt;5,"低",IF(N1202&lt;16,"中","高")),IF(N1202&lt;5,"中","高"))))),IF(OR(I1202="EO",I1202="EQ"),IF(OR(X1202="估算法",X1202="算法类"),"中",IF(X1202="无法识别","低",IF(L1202&lt;2,IF(N1202&lt;20,"低","中"),IF(L1202&lt;4,IF(N1202&lt;6,"低",IF(N1202&lt;20,"中","高")),IF(N1202&lt;6,"中","高"))))),IF(OR(I1202="ILF",I1202="EIF"),IF(OR(X1202="估算法",X1202="算法类",X1202="无法识别"),"低",IF(M1202&lt;2,IF(N1202&lt;51,"低","中"),IF(M1202&lt;6,IF(N1202&lt;20,"低",IF(N1202&lt;51,"中","高")),IF(N1202&lt;20,"中","高")))),"不计算")))</f>
        <v/>
      </c>
      <c r="P1202" s="142">
        <f>IFERROR(IF(I1202="EI",IF(O1202="低",3,IF(O1202="中",4,6)),IF(I1202="EO",IF(O1202="低",4,IF(O1202="中",5,7)),IF(I1202="EQ",IF(O1202="低",3,IF(O1202="中",4,6)),IF(I1202="ILF",IF(O1202="低",7,IF(O1202="中",10,15)),IF(I1202="EIF",IF(O1202="低",5,IF(O1202="中",7,10)),"不计算")))))*Q1202,"不计算")</f>
        <v/>
      </c>
      <c r="Q1202" s="142" t="n">
        <v>1</v>
      </c>
      <c r="R1202" s="143">
        <f>调整因子!$F$13</f>
        <v/>
      </c>
      <c r="S1202" s="76" t="n">
        <v>1</v>
      </c>
      <c r="T1202" s="144">
        <f>IFERROR(P1202*R1202,0)</f>
        <v/>
      </c>
      <c r="U1202" s="145">
        <f>T1202*S1202</f>
        <v/>
      </c>
      <c r="V1202" s="96" t="inlineStr">
        <is>
          <t>接口监控配置表、扫描盲区记录表</t>
        </is>
      </c>
      <c r="W1202" s="96" t="inlineStr"/>
      <c r="X1202" s="111" t="inlineStr">
        <is>
          <t>接口监控配置表{配置ID、配置名称|配置ID、配置名称、配置类型、配置值、创建时间}
扫描盲区记录表{任务ID、任务名称|任务ID、任务名称、任务状态、扫描器类型、开始时间、结束时间、扫描结果}</t>
        </is>
      </c>
      <c r="Y1202" s="88" t="n"/>
      <c r="Z1202" s="88" t="n"/>
    </row>
    <row r="1203" hidden="1" ht="32.4" customHeight="1">
      <c r="A1203" s="69">
        <f>ROW()-1</f>
        <v/>
      </c>
      <c r="B1203" s="53" t="n"/>
      <c r="C1203" s="117" t="n">
        <v>2026</v>
      </c>
      <c r="E1203" s="53" t="n"/>
      <c r="F1203" s="53" t="n"/>
      <c r="G1203" s="111" t="inlineStr">
        <is>
          <t>并行执行管理</t>
        </is>
      </c>
      <c r="H1203" s="96" t="inlineStr">
        <is>
          <t>编辑并行执行</t>
        </is>
      </c>
      <c r="I1203" s="76" t="inlineStr">
        <is>
          <t>EI</t>
        </is>
      </c>
      <c r="J1203" s="95" t="n"/>
      <c r="K1203" s="95" t="n"/>
      <c r="L1203" s="83">
        <f>IF(OR(X1203="估算法",X1203="算法类",X1203="无法识别"),"",IF(V1203="",IF(OR(I1203="EI",I1203="EO",I1203="EQ"),0,""),LEN(V1203)-LEN(SUBSTITUTE(V1203,"、",""))+1))</f>
        <v/>
      </c>
      <c r="M1203" s="83">
        <f>IF(OR(X1203="估算法",X1203="算法类",X1203="无法识别"),"",IF(W1203="",IF(OR(I1203="ILF",I1203="EIF"),0,""),LEN(W1203)-LEN(SUBSTITUTE(W1203,"、",""))+1))</f>
        <v/>
      </c>
      <c r="N1203" s="83">
        <f>IF(OR(X1203="估算法",X1203="算法类",X1203="无法识别"),"",IF(X1203="",IF(OR(I1203="ILF",I1203="EIF",I1203="EI",I1203="EO",I1203="EQ"),0,""),LEN(X1203)-LEN(SUBSTITUTE(SUBSTITUTE(SUBSTITUTE(SUBSTITUTE(SUBSTITUTE(X1203,"|}","--"),"{|","--"),CHAR(10),""),"、",""),"|",""))+IF(AND(OR(I1203="EI",I1203="EO",I1203="EQ"),$AD$1="NESMA"),2,1)))</f>
        <v/>
      </c>
      <c r="O1203" s="84">
        <f>IF(I1203="EI",IF(OR(X1203="估算法",X1203="算法类"),"中",IF(X1203="无法识别","低",IF(L1203&lt;2,IF(N1203&lt;16,"低","中"),IF(L1203&lt;3,IF(N1203&lt;5,"低",IF(N1203&lt;16,"中","高")),IF(N1203&lt;5,"中","高"))))),IF(OR(I1203="EO",I1203="EQ"),IF(OR(X1203="估算法",X1203="算法类"),"中",IF(X1203="无法识别","低",IF(L1203&lt;2,IF(N1203&lt;20,"低","中"),IF(L1203&lt;4,IF(N1203&lt;6,"低",IF(N1203&lt;20,"中","高")),IF(N1203&lt;6,"中","高"))))),IF(OR(I1203="ILF",I1203="EIF"),IF(OR(X1203="估算法",X1203="算法类",X1203="无法识别"),"低",IF(M1203&lt;2,IF(N1203&lt;51,"低","中"),IF(M1203&lt;6,IF(N1203&lt;20,"低",IF(N1203&lt;51,"中","高")),IF(N1203&lt;20,"中","高")))),"不计算")))</f>
        <v/>
      </c>
      <c r="P1203" s="142">
        <f>IFERROR(IF(I1203="EI",IF(O1203="低",3,IF(O1203="中",4,6)),IF(I1203="EO",IF(O1203="低",4,IF(O1203="中",5,7)),IF(I1203="EQ",IF(O1203="低",3,IF(O1203="中",4,6)),IF(I1203="ILF",IF(O1203="低",7,IF(O1203="中",10,15)),IF(I1203="EIF",IF(O1203="低",5,IF(O1203="中",7,10)),"不计算")))))*Q1203,"不计算")</f>
        <v/>
      </c>
      <c r="Q1203" s="142" t="n">
        <v>0.333333333333333</v>
      </c>
      <c r="R1203" s="143">
        <f>调整因子!$F$13</f>
        <v/>
      </c>
      <c r="S1203" s="70" t="n">
        <v>1</v>
      </c>
      <c r="T1203" s="144">
        <f>IFERROR(P1203*R1203,0)</f>
        <v/>
      </c>
      <c r="U1203" s="145">
        <f>T1203*S1203</f>
        <v/>
      </c>
      <c r="V1203" s="96" t="inlineStr">
        <is>
          <t>验证记录表、验证配置表</t>
        </is>
      </c>
      <c r="W1203" s="96" t="inlineStr"/>
      <c r="X1203" s="111" t="inlineStr">
        <is>
          <t>验证记录表{ID、名称、类型、状态、创建时间、更新时间|ID、名称、类型}
验证配置表{配置ID、配置名称、配置类型、配置值、创建时间|配置ID、配置名称、配置类型}</t>
        </is>
      </c>
      <c r="Y1203" s="88" t="n"/>
      <c r="Z1203" s="88" t="n"/>
    </row>
    <row r="1204" hidden="1">
      <c r="A1204" s="69">
        <f>ROW()-1</f>
        <v/>
      </c>
      <c r="B1204" s="53" t="n"/>
      <c r="C1204" s="117" t="n">
        <v>2026</v>
      </c>
      <c r="E1204" s="53" t="n"/>
      <c r="F1204" s="53" t="n"/>
      <c r="G1204" s="53" t="n"/>
      <c r="H1204" s="96" t="inlineStr">
        <is>
          <t>删除并行执行</t>
        </is>
      </c>
      <c r="I1204" s="76" t="inlineStr">
        <is>
          <t>EI</t>
        </is>
      </c>
      <c r="J1204" s="95" t="n"/>
      <c r="K1204" s="95" t="n"/>
      <c r="L1204" s="83">
        <f>IF(OR(X1204="估算法",X1204="算法类",X1204="无法识别"),"",IF(V1204="",IF(OR(I1204="EI",I1204="EO",I1204="EQ"),0,""),LEN(V1204)-LEN(SUBSTITUTE(V1204,"、",""))+1))</f>
        <v/>
      </c>
      <c r="M1204" s="83">
        <f>IF(OR(X1204="估算法",X1204="算法类",X1204="无法识别"),"",IF(W1204="",IF(OR(I1204="ILF",I1204="EIF"),0,""),LEN(W1204)-LEN(SUBSTITUTE(W1204,"、",""))+1))</f>
        <v/>
      </c>
      <c r="N1204" s="83">
        <f>IF(OR(X1204="估算法",X1204="算法类",X1204="无法识别"),"",IF(X1204="",IF(OR(I1204="ILF",I1204="EIF",I1204="EI",I1204="EO",I1204="EQ"),0,""),LEN(X1204)-LEN(SUBSTITUTE(SUBSTITUTE(SUBSTITUTE(SUBSTITUTE(SUBSTITUTE(X1204,"|}","--"),"{|","--"),CHAR(10),""),"、",""),"|",""))+IF(AND(OR(I1204="EI",I1204="EO",I1204="EQ"),$AD$1="NESMA"),2,1)))</f>
        <v/>
      </c>
      <c r="O1204" s="84">
        <f>IF(I1204="EI",IF(OR(X1204="估算法",X1204="算法类"),"中",IF(X1204="无法识别","低",IF(L1204&lt;2,IF(N1204&lt;16,"低","中"),IF(L1204&lt;3,IF(N1204&lt;5,"低",IF(N1204&lt;16,"中","高")),IF(N1204&lt;5,"中","高"))))),IF(OR(I1204="EO",I1204="EQ"),IF(OR(X1204="估算法",X1204="算法类"),"中",IF(X1204="无法识别","低",IF(L1204&lt;2,IF(N1204&lt;20,"低","中"),IF(L1204&lt;4,IF(N1204&lt;6,"低",IF(N1204&lt;20,"中","高")),IF(N1204&lt;6,"中","高"))))),IF(OR(I1204="ILF",I1204="EIF"),IF(OR(X1204="估算法",X1204="算法类",X1204="无法识别"),"低",IF(M1204&lt;2,IF(N1204&lt;51,"低","中"),IF(M1204&lt;6,IF(N1204&lt;20,"低",IF(N1204&lt;51,"中","高")),IF(N1204&lt;20,"中","高")))),"不计算")))</f>
        <v/>
      </c>
      <c r="P1204" s="142">
        <f>IFERROR(IF(I1204="EI",IF(O1204="低",3,IF(O1204="中",4,6)),IF(I1204="EO",IF(O1204="低",4,IF(O1204="中",5,7)),IF(I1204="EQ",IF(O1204="低",3,IF(O1204="中",4,6)),IF(I1204="ILF",IF(O1204="低",7,IF(O1204="中",10,15)),IF(I1204="EIF",IF(O1204="低",5,IF(O1204="中",7,10)),"不计算")))))*Q1204,"不计算")</f>
        <v/>
      </c>
      <c r="Q1204" s="142" t="n">
        <v>0.333333333333333</v>
      </c>
      <c r="R1204" s="143">
        <f>调整因子!$F$13</f>
        <v/>
      </c>
      <c r="S1204" s="70" t="n">
        <v>1</v>
      </c>
      <c r="T1204" s="144">
        <f>IFERROR(P1204*R1204,0)</f>
        <v/>
      </c>
      <c r="U1204" s="145">
        <f>T1204*S1204</f>
        <v/>
      </c>
      <c r="V1204" s="96" t="inlineStr">
        <is>
          <t>调用统计表</t>
        </is>
      </c>
      <c r="W1204" s="96" t="inlineStr"/>
      <c r="X1204" s="111" t="inlineStr">
        <is>
          <t>调用统计表{ID、名称、类型、状态、创建时间、更新时间|ID、名称、类型}</t>
        </is>
      </c>
      <c r="Y1204" s="88" t="n"/>
      <c r="Z1204" s="88" t="n"/>
    </row>
    <row r="1205" hidden="1" ht="32.4" customHeight="1">
      <c r="A1205" s="69">
        <f>ROW()-1</f>
        <v/>
      </c>
      <c r="B1205" s="53" t="n"/>
      <c r="C1205" s="117" t="n">
        <v>2026</v>
      </c>
      <c r="E1205" s="53" t="n"/>
      <c r="F1205" s="53" t="n"/>
      <c r="G1205" s="53" t="n"/>
      <c r="H1205" s="96" t="inlineStr">
        <is>
          <t>启用并行执行</t>
        </is>
      </c>
      <c r="I1205" s="76" t="inlineStr">
        <is>
          <t>EI</t>
        </is>
      </c>
      <c r="J1205" s="95" t="n"/>
      <c r="K1205" s="95" t="n"/>
      <c r="L1205" s="83">
        <f>IF(OR(X1205="估算法",X1205="算法类",X1205="无法识别"),"",IF(V1205="",IF(OR(I1205="EI",I1205="EO",I1205="EQ"),0,""),LEN(V1205)-LEN(SUBSTITUTE(V1205,"、",""))+1))</f>
        <v/>
      </c>
      <c r="M1205" s="83">
        <f>IF(OR(X1205="估算法",X1205="算法类",X1205="无法识别"),"",IF(W1205="",IF(OR(I1205="ILF",I1205="EIF"),0,""),LEN(W1205)-LEN(SUBSTITUTE(W1205,"、",""))+1))</f>
        <v/>
      </c>
      <c r="N1205" s="83">
        <f>IF(OR(X1205="估算法",X1205="算法类",X1205="无法识别"),"",IF(X1205="",IF(OR(I1205="ILF",I1205="EIF",I1205="EI",I1205="EO",I1205="EQ"),0,""),LEN(X1205)-LEN(SUBSTITUTE(SUBSTITUTE(SUBSTITUTE(SUBSTITUTE(SUBSTITUTE(X1205,"|}","--"),"{|","--"),CHAR(10),""),"、",""),"|",""))+IF(AND(OR(I1205="EI",I1205="EO",I1205="EQ"),$AD$1="NESMA"),2,1)))</f>
        <v/>
      </c>
      <c r="O1205" s="84">
        <f>IF(I1205="EI",IF(OR(X1205="估算法",X1205="算法类"),"中",IF(X1205="无法识别","低",IF(L1205&lt;2,IF(N1205&lt;16,"低","中"),IF(L1205&lt;3,IF(N1205&lt;5,"低",IF(N1205&lt;16,"中","高")),IF(N1205&lt;5,"中","高"))))),IF(OR(I1205="EO",I1205="EQ"),IF(OR(X1205="估算法",X1205="算法类"),"中",IF(X1205="无法识别","低",IF(L1205&lt;2,IF(N1205&lt;20,"低","中"),IF(L1205&lt;4,IF(N1205&lt;6,"低",IF(N1205&lt;20,"中","高")),IF(N1205&lt;6,"中","高"))))),IF(OR(I1205="ILF",I1205="EIF"),IF(OR(X1205="估算法",X1205="算法类",X1205="无法识别"),"低",IF(M1205&lt;2,IF(N1205&lt;51,"低","中"),IF(M1205&lt;6,IF(N1205&lt;20,"低",IF(N1205&lt;51,"中","高")),IF(N1205&lt;20,"中","高")))),"不计算")))</f>
        <v/>
      </c>
      <c r="P1205" s="142">
        <f>IFERROR(IF(I1205="EI",IF(O1205="低",3,IF(O1205="中",4,6)),IF(I1205="EO",IF(O1205="低",4,IF(O1205="中",5,7)),IF(I1205="EQ",IF(O1205="低",3,IF(O1205="中",4,6)),IF(I1205="ILF",IF(O1205="低",7,IF(O1205="中",10,15)),IF(I1205="EIF",IF(O1205="低",5,IF(O1205="中",7,10)),"不计算")))))*Q1205,"不计算")</f>
        <v/>
      </c>
      <c r="Q1205" s="142" t="n">
        <v>0.333333333333333</v>
      </c>
      <c r="R1205" s="143">
        <f>调整因子!$F$13</f>
        <v/>
      </c>
      <c r="S1205" s="76" t="n">
        <v>1</v>
      </c>
      <c r="T1205" s="144">
        <f>IFERROR(P1205*R1205,0)</f>
        <v/>
      </c>
      <c r="U1205" s="145">
        <f>T1205*S1205</f>
        <v/>
      </c>
      <c r="V1205" s="96" t="inlineStr">
        <is>
          <t>日志采集配置表、处置单关联表</t>
        </is>
      </c>
      <c r="W1205" s="96" t="inlineStr"/>
      <c r="X1205" s="111" t="inlineStr">
        <is>
          <t>日志采集配置表{配置ID、配置名称、配置类型、配置值、创建时间|配置ID、配置名称、配置类型}
处置单关联表{ID、名称、类型、状态、创建时间、更新时间|ID、名称、类型}</t>
        </is>
      </c>
      <c r="Y1205" s="88" t="n"/>
      <c r="Z1205" s="88" t="n"/>
    </row>
    <row r="1206" hidden="1" ht="32.4" customHeight="1">
      <c r="A1206" s="69">
        <f>ROW()-1</f>
        <v/>
      </c>
      <c r="B1206" s="53" t="n"/>
      <c r="C1206" s="117" t="n">
        <v>2026</v>
      </c>
      <c r="E1206" s="53" t="n"/>
      <c r="F1206" s="53" t="n"/>
      <c r="G1206" s="53" t="n"/>
      <c r="H1206" s="96" t="inlineStr">
        <is>
          <t>停用并行执行</t>
        </is>
      </c>
      <c r="I1206" s="76" t="n"/>
      <c r="J1206" s="95" t="n"/>
      <c r="K1206" s="95" t="inlineStr">
        <is>
          <t>和上行合并，启停为相同功能</t>
        </is>
      </c>
      <c r="L1206" s="83">
        <f>IF(OR(X1206="估算法",X1206="算法类",X1206="无法识别"),"",IF(V1206="",IF(OR(I1206="EI",I1206="EO",I1206="EQ"),0,""),LEN(V1206)-LEN(SUBSTITUTE(V1206,"、",""))+1))</f>
        <v/>
      </c>
      <c r="M1206" s="83">
        <f>IF(OR(X1206="估算法",X1206="算法类",X1206="无法识别"),"",IF(W1206="",IF(OR(I1206="ILF",I1206="EIF"),0,""),LEN(W1206)-LEN(SUBSTITUTE(W1206,"、",""))+1))</f>
        <v/>
      </c>
      <c r="N1206" s="83">
        <f>IF(OR(X1206="估算法",X1206="算法类",X1206="无法识别"),"",IF(X1206="",IF(OR(I1206="ILF",I1206="EIF",I1206="EI",I1206="EO",I1206="EQ"),0,""),LEN(X1206)-LEN(SUBSTITUTE(SUBSTITUTE(SUBSTITUTE(SUBSTITUTE(SUBSTITUTE(X1206,"|}","--"),"{|","--"),CHAR(10),""),"、",""),"|",""))+IF(AND(OR(I1206="EI",I1206="EO",I1206="EQ"),$AD$1="NESMA"),2,1)))</f>
        <v/>
      </c>
      <c r="O1206" s="84">
        <f>IF(I1206="EI",IF(OR(X1206="估算法",X1206="算法类"),"中",IF(X1206="无法识别","低",IF(L1206&lt;2,IF(N1206&lt;16,"低","中"),IF(L1206&lt;3,IF(N1206&lt;5,"低",IF(N1206&lt;16,"中","高")),IF(N1206&lt;5,"中","高"))))),IF(OR(I1206="EO",I1206="EQ"),IF(OR(X1206="估算法",X1206="算法类"),"中",IF(X1206="无法识别","低",IF(L1206&lt;2,IF(N1206&lt;20,"低","中"),IF(L1206&lt;4,IF(N1206&lt;6,"低",IF(N1206&lt;20,"中","高")),IF(N1206&lt;6,"中","高"))))),IF(OR(I1206="ILF",I1206="EIF"),IF(OR(X1206="估算法",X1206="算法类",X1206="无法识别"),"低",IF(M1206&lt;2,IF(N1206&lt;51,"低","中"),IF(M1206&lt;6,IF(N1206&lt;20,"低",IF(N1206&lt;51,"中","高")),IF(N1206&lt;20,"中","高")))),"不计算")))</f>
        <v/>
      </c>
      <c r="P1206" s="142">
        <f>IFERROR(IF(I1206="EI",IF(O1206="低",3,IF(O1206="中",4,6)),IF(I1206="EO",IF(O1206="低",4,IF(O1206="中",5,7)),IF(I1206="EQ",IF(O1206="低",3,IF(O1206="中",4,6)),IF(I1206="ILF",IF(O1206="低",7,IF(O1206="中",10,15)),IF(I1206="EIF",IF(O1206="低",5,IF(O1206="中",7,10)),"不计算")))))*Q1206,"不计算")</f>
        <v/>
      </c>
      <c r="Q1206" s="142" t="n">
        <v>0.333333333333333</v>
      </c>
      <c r="R1206" s="143">
        <f>调整因子!$F$13</f>
        <v/>
      </c>
      <c r="S1206" s="70" t="n">
        <v>1</v>
      </c>
      <c r="T1206" s="144">
        <f>IFERROR(P1206*R1206,0)</f>
        <v/>
      </c>
      <c r="U1206" s="145">
        <f>T1206*S1206</f>
        <v/>
      </c>
      <c r="V1206" s="96" t="inlineStr">
        <is>
          <t>验证记录表、审计日志表</t>
        </is>
      </c>
      <c r="W1206" s="96" t="inlineStr"/>
      <c r="X1206" s="111" t="inlineStr">
        <is>
          <t>验证记录表{ID、名称、类型、状态、创建时间、更新时间|ID、名称、类型}
审计日志表{日志ID、操作人、操作类型、操作时间、操作内容|日志ID、操作人、操作类型}</t>
        </is>
      </c>
      <c r="Y1206" s="88" t="n"/>
      <c r="Z1206" s="88" t="n"/>
    </row>
    <row r="1207" hidden="1" ht="21.6" customHeight="1">
      <c r="A1207" s="69">
        <f>ROW()-1</f>
        <v/>
      </c>
      <c r="B1207" s="53" t="n"/>
      <c r="C1207" s="117" t="n">
        <v>2026</v>
      </c>
      <c r="E1207" s="53" t="n"/>
      <c r="F1207" s="53" t="n"/>
      <c r="G1207" s="53" t="n"/>
      <c r="H1207" s="96" t="inlineStr">
        <is>
          <t>导出并行配置</t>
        </is>
      </c>
      <c r="I1207" s="76" t="inlineStr">
        <is>
          <t>EO</t>
        </is>
      </c>
      <c r="J1207" s="95" t="n"/>
      <c r="K1207" s="95" t="n"/>
      <c r="L1207" s="83">
        <f>IF(OR(X1207="估算法",X1207="算法类",X1207="无法识别"),"",IF(V1207="",IF(OR(I1207="EI",I1207="EO",I1207="EQ"),0,""),LEN(V1207)-LEN(SUBSTITUTE(V1207,"、",""))+1))</f>
        <v/>
      </c>
      <c r="M1207" s="83">
        <f>IF(OR(X1207="估算法",X1207="算法类",X1207="无法识别"),"",IF(W1207="",IF(OR(I1207="ILF",I1207="EIF"),0,""),LEN(W1207)-LEN(SUBSTITUTE(W1207,"、",""))+1))</f>
        <v/>
      </c>
      <c r="N1207" s="83">
        <f>IF(OR(X1207="估算法",X1207="算法类",X1207="无法识别"),"",IF(X1207="",IF(OR(I1207="ILF",I1207="EIF",I1207="EI",I1207="EO",I1207="EQ"),0,""),LEN(X1207)-LEN(SUBSTITUTE(SUBSTITUTE(SUBSTITUTE(SUBSTITUTE(SUBSTITUTE(X1207,"|}","--"),"{|","--"),CHAR(10),""),"、",""),"|",""))+IF(AND(OR(I1207="EI",I1207="EO",I1207="EQ"),$AD$1="NESMA"),2,1)))</f>
        <v/>
      </c>
      <c r="O1207" s="84">
        <f>IF(I1207="EI",IF(OR(X1207="估算法",X1207="算法类"),"中",IF(X1207="无法识别","低",IF(L1207&lt;2,IF(N1207&lt;16,"低","中"),IF(L1207&lt;3,IF(N1207&lt;5,"低",IF(N1207&lt;16,"中","高")),IF(N1207&lt;5,"中","高"))))),IF(OR(I1207="EO",I1207="EQ"),IF(OR(X1207="估算法",X1207="算法类"),"中",IF(X1207="无法识别","低",IF(L1207&lt;2,IF(N1207&lt;20,"低","中"),IF(L1207&lt;4,IF(N1207&lt;6,"低",IF(N1207&lt;20,"中","高")),IF(N1207&lt;6,"中","高"))))),IF(OR(I1207="ILF",I1207="EIF"),IF(OR(X1207="估算法",X1207="算法类",X1207="无法识别"),"低",IF(M1207&lt;2,IF(N1207&lt;51,"低","中"),IF(M1207&lt;6,IF(N1207&lt;20,"低",IF(N1207&lt;51,"中","高")),IF(N1207&lt;20,"中","高")))),"不计算")))</f>
        <v/>
      </c>
      <c r="P1207" s="142">
        <f>IFERROR(IF(I1207="EI",IF(O1207="低",3,IF(O1207="中",4,6)),IF(I1207="EO",IF(O1207="低",4,IF(O1207="中",5,7)),IF(I1207="EQ",IF(O1207="低",3,IF(O1207="中",4,6)),IF(I1207="ILF",IF(O1207="低",7,IF(O1207="中",10,15)),IF(I1207="EIF",IF(O1207="低",5,IF(O1207="中",7,10)),"不计算")))))*Q1207,"不计算")</f>
        <v/>
      </c>
      <c r="Q1207" s="142" t="n">
        <v>0.333333333333333</v>
      </c>
      <c r="R1207" s="143">
        <f>调整因子!$F$13</f>
        <v/>
      </c>
      <c r="S1207" s="70" t="n">
        <v>1</v>
      </c>
      <c r="T1207" s="144">
        <f>IFERROR(P1207*R1207,0)</f>
        <v/>
      </c>
      <c r="U1207" s="145">
        <f>T1207*S1207</f>
        <v/>
      </c>
      <c r="V1207" s="96" t="inlineStr">
        <is>
          <t>任务优先级配置表</t>
        </is>
      </c>
      <c r="W1207" s="96" t="inlineStr"/>
      <c r="X1207" s="111" t="inlineStr">
        <is>
          <t>任务优先级配置表{任务ID、任务名称|任务ID、任务名称、任务类型、任务状态、创建时间、执行时间}</t>
        </is>
      </c>
      <c r="Y1207" s="88" t="n"/>
      <c r="Z1207" s="88" t="n"/>
    </row>
    <row r="1208" hidden="1" ht="43.2" customHeight="1">
      <c r="A1208" s="69">
        <f>ROW()-1</f>
        <v/>
      </c>
      <c r="B1208" s="53" t="n"/>
      <c r="C1208" s="117" t="n">
        <v>2026</v>
      </c>
      <c r="E1208" s="53" t="n"/>
      <c r="F1208" s="53" t="n"/>
      <c r="G1208" s="53" t="n"/>
      <c r="H1208" s="96" t="inlineStr">
        <is>
          <t>查询并行任务</t>
        </is>
      </c>
      <c r="I1208" s="76" t="inlineStr">
        <is>
          <t>EQ</t>
        </is>
      </c>
      <c r="J1208" s="95" t="n"/>
      <c r="K1208" s="95" t="n"/>
      <c r="L1208" s="83">
        <f>IF(OR(X1208="估算法",X1208="算法类",X1208="无法识别"),"",IF(V1208="",IF(OR(I1208="EI",I1208="EO",I1208="EQ"),0,""),LEN(V1208)-LEN(SUBSTITUTE(V1208,"、",""))+1))</f>
        <v/>
      </c>
      <c r="M1208" s="83">
        <f>IF(OR(X1208="估算法",X1208="算法类",X1208="无法识别"),"",IF(W1208="",IF(OR(I1208="ILF",I1208="EIF"),0,""),LEN(W1208)-LEN(SUBSTITUTE(W1208,"、",""))+1))</f>
        <v/>
      </c>
      <c r="N1208" s="83">
        <f>IF(OR(X1208="估算法",X1208="算法类",X1208="无法识别"),"",IF(X1208="",IF(OR(I1208="ILF",I1208="EIF",I1208="EI",I1208="EO",I1208="EQ"),0,""),LEN(X1208)-LEN(SUBSTITUTE(SUBSTITUTE(SUBSTITUTE(SUBSTITUTE(SUBSTITUTE(X1208,"|}","--"),"{|","--"),CHAR(10),""),"、",""),"|",""))+IF(AND(OR(I1208="EI",I1208="EO",I1208="EQ"),$AD$1="NESMA"),2,1)))</f>
        <v/>
      </c>
      <c r="O1208" s="84">
        <f>IF(I1208="EI",IF(OR(X1208="估算法",X1208="算法类"),"中",IF(X1208="无法识别","低",IF(L1208&lt;2,IF(N1208&lt;16,"低","中"),IF(L1208&lt;3,IF(N1208&lt;5,"低",IF(N1208&lt;16,"中","高")),IF(N1208&lt;5,"中","高"))))),IF(OR(I1208="EO",I1208="EQ"),IF(OR(X1208="估算法",X1208="算法类"),"中",IF(X1208="无法识别","低",IF(L1208&lt;2,IF(N1208&lt;20,"低","中"),IF(L1208&lt;4,IF(N1208&lt;6,"低",IF(N1208&lt;20,"中","高")),IF(N1208&lt;6,"中","高"))))),IF(OR(I1208="ILF",I1208="EIF"),IF(OR(X1208="估算法",X1208="算法类",X1208="无法识别"),"低",IF(M1208&lt;2,IF(N1208&lt;51,"低","中"),IF(M1208&lt;6,IF(N1208&lt;20,"低",IF(N1208&lt;51,"中","高")),IF(N1208&lt;20,"中","高")))),"不计算")))</f>
        <v/>
      </c>
      <c r="P1208" s="142">
        <f>IFERROR(IF(I1208="EI",IF(O1208="低",3,IF(O1208="中",4,6)),IF(I1208="EO",IF(O1208="低",4,IF(O1208="中",5,7)),IF(I1208="EQ",IF(O1208="低",3,IF(O1208="中",4,6)),IF(I1208="ILF",IF(O1208="低",7,IF(O1208="中",10,15)),IF(I1208="EIF",IF(O1208="低",5,IF(O1208="中",7,10)),"不计算")))))*Q1208,"不计算")</f>
        <v/>
      </c>
      <c r="Q1208" s="142" t="n">
        <v>0.333333333333333</v>
      </c>
      <c r="R1208" s="143">
        <f>调整因子!$F$13</f>
        <v/>
      </c>
      <c r="S1208" s="76" t="n">
        <v>1</v>
      </c>
      <c r="T1208" s="144">
        <f>IFERROR(P1208*R1208,0)</f>
        <v/>
      </c>
      <c r="U1208" s="145">
        <f>T1208*S1208</f>
        <v/>
      </c>
      <c r="V1208" s="96" t="inlineStr">
        <is>
          <t>数据清洗任务表、资产同步任务表</t>
        </is>
      </c>
      <c r="W1208" s="96" t="inlineStr"/>
      <c r="X1208" s="111" t="inlineStr">
        <is>
          <t>数据清洗任务表{任务ID、任务名称|任务ID、任务名称、任务类型、任务状态、创建时间、执行时间}
资产同步任务表{资产ID、资产名称|资产ID、资产名称、IP地址、资产类型、资产状态、创建时间、更新时间}</t>
        </is>
      </c>
      <c r="Y1208" s="88" t="n"/>
      <c r="Z1208" s="88" t="n"/>
    </row>
    <row r="1209" hidden="1" ht="32.4" customHeight="1">
      <c r="A1209" s="69">
        <f>ROW()-1</f>
        <v/>
      </c>
      <c r="B1209" s="53" t="n"/>
      <c r="C1209" s="117" t="n">
        <v>2026</v>
      </c>
      <c r="E1209" s="53" t="n"/>
      <c r="F1209" s="53" t="n"/>
      <c r="G1209" s="54" t="n"/>
      <c r="H1209" s="96" t="inlineStr">
        <is>
          <t>查看并行详情</t>
        </is>
      </c>
      <c r="I1209" s="76" t="inlineStr">
        <is>
          <t>EQ</t>
        </is>
      </c>
      <c r="J1209" s="95" t="n"/>
      <c r="K1209" s="95" t="n"/>
      <c r="L1209" s="83">
        <f>IF(OR(X1209="估算法",X1209="算法类",X1209="无法识别"),"",IF(V1209="",IF(OR(I1209="EI",I1209="EO",I1209="EQ"),0,""),LEN(V1209)-LEN(SUBSTITUTE(V1209,"、",""))+1))</f>
        <v/>
      </c>
      <c r="M1209" s="83">
        <f>IF(OR(X1209="估算法",X1209="算法类",X1209="无法识别"),"",IF(W1209="",IF(OR(I1209="ILF",I1209="EIF"),0,""),LEN(W1209)-LEN(SUBSTITUTE(W1209,"、",""))+1))</f>
        <v/>
      </c>
      <c r="N1209" s="83">
        <f>IF(OR(X1209="估算法",X1209="算法类",X1209="无法识别"),"",IF(X1209="",IF(OR(I1209="ILF",I1209="EIF",I1209="EI",I1209="EO",I1209="EQ"),0,""),LEN(X1209)-LEN(SUBSTITUTE(SUBSTITUTE(SUBSTITUTE(SUBSTITUTE(SUBSTITUTE(X1209,"|}","--"),"{|","--"),CHAR(10),""),"、",""),"|",""))+IF(AND(OR(I1209="EI",I1209="EO",I1209="EQ"),$AD$1="NESMA"),2,1)))</f>
        <v/>
      </c>
      <c r="O1209" s="84">
        <f>IF(I1209="EI",IF(OR(X1209="估算法",X1209="算法类"),"中",IF(X1209="无法识别","低",IF(L1209&lt;2,IF(N1209&lt;16,"低","中"),IF(L1209&lt;3,IF(N1209&lt;5,"低",IF(N1209&lt;16,"中","高")),IF(N1209&lt;5,"中","高"))))),IF(OR(I1209="EO",I1209="EQ"),IF(OR(X1209="估算法",X1209="算法类"),"中",IF(X1209="无法识别","低",IF(L1209&lt;2,IF(N1209&lt;20,"低","中"),IF(L1209&lt;4,IF(N1209&lt;6,"低",IF(N1209&lt;20,"中","高")),IF(N1209&lt;6,"中","高"))))),IF(OR(I1209="ILF",I1209="EIF"),IF(OR(X1209="估算法",X1209="算法类",X1209="无法识别"),"低",IF(M1209&lt;2,IF(N1209&lt;51,"低","中"),IF(M1209&lt;6,IF(N1209&lt;20,"低",IF(N1209&lt;51,"中","高")),IF(N1209&lt;20,"中","高")))),"不计算")))</f>
        <v/>
      </c>
      <c r="P1209" s="142">
        <f>IFERROR(IF(I1209="EI",IF(O1209="低",3,IF(O1209="中",4,6)),IF(I1209="EO",IF(O1209="低",4,IF(O1209="中",5,7)),IF(I1209="EQ",IF(O1209="低",3,IF(O1209="中",4,6)),IF(I1209="ILF",IF(O1209="低",7,IF(O1209="中",10,15)),IF(I1209="EIF",IF(O1209="低",5,IF(O1209="中",7,10)),"不计算")))))*Q1209,"不计算")</f>
        <v/>
      </c>
      <c r="Q1209" s="142" t="n">
        <v>0.333333333333333</v>
      </c>
      <c r="R1209" s="143">
        <f>调整因子!$F$13</f>
        <v/>
      </c>
      <c r="S1209" s="76" t="n">
        <v>1</v>
      </c>
      <c r="T1209" s="144">
        <f>IFERROR(P1209*R1209,0)</f>
        <v/>
      </c>
      <c r="U1209" s="145">
        <f>T1209*S1209</f>
        <v/>
      </c>
      <c r="V1209" s="96" t="inlineStr">
        <is>
          <t>处置单关联表、接口参数配置表</t>
        </is>
      </c>
      <c r="W1209" s="96" t="inlineStr"/>
      <c r="X1209" s="111" t="inlineStr">
        <is>
          <t>处置单关联表{ID、名称|ID、名称、类型、状态、创建时间、更新时间}
接口参数配置表{配置ID、配置名称|配置ID、配置名称、配置类型、配置值、创建时间}</t>
        </is>
      </c>
      <c r="Y1209" s="88" t="n"/>
      <c r="Z1209" s="88" t="n"/>
    </row>
    <row r="1210" hidden="1" ht="32.4" customHeight="1">
      <c r="A1210" s="69">
        <f>ROW()-1</f>
        <v/>
      </c>
      <c r="B1210" s="53" t="n"/>
      <c r="C1210" s="117" t="n">
        <v>2026</v>
      </c>
      <c r="E1210" s="53" t="n"/>
      <c r="F1210" s="53" t="n"/>
      <c r="G1210" s="111" t="inlineStr">
        <is>
          <t>串行执行管理</t>
        </is>
      </c>
      <c r="H1210" s="96" t="inlineStr">
        <is>
          <t>编辑串行执行</t>
        </is>
      </c>
      <c r="I1210" s="76" t="inlineStr">
        <is>
          <t>EI</t>
        </is>
      </c>
      <c r="J1210" s="95" t="n"/>
      <c r="K1210" s="95" t="n"/>
      <c r="L1210" s="83">
        <f>IF(OR(X1210="估算法",X1210="算法类",X1210="无法识别"),"",IF(V1210="",IF(OR(I1210="EI",I1210="EO",I1210="EQ"),0,""),LEN(V1210)-LEN(SUBSTITUTE(V1210,"、",""))+1))</f>
        <v/>
      </c>
      <c r="M1210" s="83">
        <f>IF(OR(X1210="估算法",X1210="算法类",X1210="无法识别"),"",IF(W1210="",IF(OR(I1210="ILF",I1210="EIF"),0,""),LEN(W1210)-LEN(SUBSTITUTE(W1210,"、",""))+1))</f>
        <v/>
      </c>
      <c r="N1210" s="83">
        <f>IF(OR(X1210="估算法",X1210="算法类",X1210="无法识别"),"",IF(X1210="",IF(OR(I1210="ILF",I1210="EIF",I1210="EI",I1210="EO",I1210="EQ"),0,""),LEN(X1210)-LEN(SUBSTITUTE(SUBSTITUTE(SUBSTITUTE(SUBSTITUTE(SUBSTITUTE(X1210,"|}","--"),"{|","--"),CHAR(10),""),"、",""),"|",""))+IF(AND(OR(I1210="EI",I1210="EO",I1210="EQ"),$AD$1="NESMA"),2,1)))</f>
        <v/>
      </c>
      <c r="O1210" s="84">
        <f>IF(I1210="EI",IF(OR(X1210="估算法",X1210="算法类"),"中",IF(X1210="无法识别","低",IF(L1210&lt;2,IF(N1210&lt;16,"低","中"),IF(L1210&lt;3,IF(N1210&lt;5,"低",IF(N1210&lt;16,"中","高")),IF(N1210&lt;5,"中","高"))))),IF(OR(I1210="EO",I1210="EQ"),IF(OR(X1210="估算法",X1210="算法类"),"中",IF(X1210="无法识别","低",IF(L1210&lt;2,IF(N1210&lt;20,"低","中"),IF(L1210&lt;4,IF(N1210&lt;6,"低",IF(N1210&lt;20,"中","高")),IF(N1210&lt;6,"中","高"))))),IF(OR(I1210="ILF",I1210="EIF"),IF(OR(X1210="估算法",X1210="算法类",X1210="无法识别"),"低",IF(M1210&lt;2,IF(N1210&lt;51,"低","中"),IF(M1210&lt;6,IF(N1210&lt;20,"低",IF(N1210&lt;51,"中","高")),IF(N1210&lt;20,"中","高")))),"不计算")))</f>
        <v/>
      </c>
      <c r="P1210" s="142">
        <f>IFERROR(IF(I1210="EI",IF(O1210="低",3,IF(O1210="中",4,6)),IF(I1210="EO",IF(O1210="低",4,IF(O1210="中",5,7)),IF(I1210="EQ",IF(O1210="低",3,IF(O1210="中",4,6)),IF(I1210="ILF",IF(O1210="低",7,IF(O1210="中",10,15)),IF(I1210="EIF",IF(O1210="低",5,IF(O1210="中",7,10)),"不计算")))))*Q1210,"不计算")</f>
        <v/>
      </c>
      <c r="Q1210" s="142" t="n">
        <v>0.333333333333333</v>
      </c>
      <c r="R1210" s="143">
        <f>调整因子!$F$13</f>
        <v/>
      </c>
      <c r="S1210" s="70" t="n">
        <v>1</v>
      </c>
      <c r="T1210" s="144">
        <f>IFERROR(P1210*R1210,0)</f>
        <v/>
      </c>
      <c r="U1210" s="145">
        <f>T1210*S1210</f>
        <v/>
      </c>
      <c r="V1210" s="96" t="inlineStr">
        <is>
          <t>处置单关联表、日志采集配置表</t>
        </is>
      </c>
      <c r="W1210" s="96" t="inlineStr"/>
      <c r="X1210" s="111" t="inlineStr">
        <is>
          <t>处置单关联表{ID、名称、类型、状态、创建时间、更新时间|ID、名称、类型}
日志采集配置表{配置ID、配置名称、配置类型、配置值、创建时间|配置ID、配置名称、配置类型}</t>
        </is>
      </c>
      <c r="Y1210" s="88" t="n"/>
      <c r="Z1210" s="88" t="n"/>
    </row>
    <row r="1211" hidden="1" ht="21.6" customHeight="1">
      <c r="A1211" s="69">
        <f>ROW()-1</f>
        <v/>
      </c>
      <c r="B1211" s="53" t="n"/>
      <c r="C1211" s="117" t="n">
        <v>2026</v>
      </c>
      <c r="E1211" s="53" t="n"/>
      <c r="F1211" s="53" t="n"/>
      <c r="G1211" s="53" t="n"/>
      <c r="H1211" s="96" t="inlineStr">
        <is>
          <t>删除串行执行</t>
        </is>
      </c>
      <c r="I1211" s="76" t="inlineStr">
        <is>
          <t>EI</t>
        </is>
      </c>
      <c r="J1211" s="95" t="n"/>
      <c r="K1211" s="95" t="n"/>
      <c r="L1211" s="83">
        <f>IF(OR(X1211="估算法",X1211="算法类",X1211="无法识别"),"",IF(V1211="",IF(OR(I1211="EI",I1211="EO",I1211="EQ"),0,""),LEN(V1211)-LEN(SUBSTITUTE(V1211,"、",""))+1))</f>
        <v/>
      </c>
      <c r="M1211" s="83">
        <f>IF(OR(X1211="估算法",X1211="算法类",X1211="无法识别"),"",IF(W1211="",IF(OR(I1211="ILF",I1211="EIF"),0,""),LEN(W1211)-LEN(SUBSTITUTE(W1211,"、",""))+1))</f>
        <v/>
      </c>
      <c r="N1211" s="83">
        <f>IF(OR(X1211="估算法",X1211="算法类",X1211="无法识别"),"",IF(X1211="",IF(OR(I1211="ILF",I1211="EIF",I1211="EI",I1211="EO",I1211="EQ"),0,""),LEN(X1211)-LEN(SUBSTITUTE(SUBSTITUTE(SUBSTITUTE(SUBSTITUTE(SUBSTITUTE(X1211,"|}","--"),"{|","--"),CHAR(10),""),"、",""),"|",""))+IF(AND(OR(I1211="EI",I1211="EO",I1211="EQ"),$AD$1="NESMA"),2,1)))</f>
        <v/>
      </c>
      <c r="O1211" s="84">
        <f>IF(I1211="EI",IF(OR(X1211="估算法",X1211="算法类"),"中",IF(X1211="无法识别","低",IF(L1211&lt;2,IF(N1211&lt;16,"低","中"),IF(L1211&lt;3,IF(N1211&lt;5,"低",IF(N1211&lt;16,"中","高")),IF(N1211&lt;5,"中","高"))))),IF(OR(I1211="EO",I1211="EQ"),IF(OR(X1211="估算法",X1211="算法类"),"中",IF(X1211="无法识别","低",IF(L1211&lt;2,IF(N1211&lt;20,"低","中"),IF(L1211&lt;4,IF(N1211&lt;6,"低",IF(N1211&lt;20,"中","高")),IF(N1211&lt;6,"中","高"))))),IF(OR(I1211="ILF",I1211="EIF"),IF(OR(X1211="估算法",X1211="算法类",X1211="无法识别"),"低",IF(M1211&lt;2,IF(N1211&lt;51,"低","中"),IF(M1211&lt;6,IF(N1211&lt;20,"低",IF(N1211&lt;51,"中","高")),IF(N1211&lt;20,"中","高")))),"不计算")))</f>
        <v/>
      </c>
      <c r="P1211" s="142">
        <f>IFERROR(IF(I1211="EI",IF(O1211="低",3,IF(O1211="中",4,6)),IF(I1211="EO",IF(O1211="低",4,IF(O1211="中",5,7)),IF(I1211="EQ",IF(O1211="低",3,IF(O1211="中",4,6)),IF(I1211="ILF",IF(O1211="低",7,IF(O1211="中",10,15)),IF(I1211="EIF",IF(O1211="低",5,IF(O1211="中",7,10)),"不计算")))))*Q1211,"不计算")</f>
        <v/>
      </c>
      <c r="Q1211" s="142" t="n">
        <v>0.333333333333333</v>
      </c>
      <c r="R1211" s="143">
        <f>调整因子!$F$13</f>
        <v/>
      </c>
      <c r="S1211" s="70" t="n">
        <v>1</v>
      </c>
      <c r="T1211" s="144">
        <f>IFERROR(P1211*R1211,0)</f>
        <v/>
      </c>
      <c r="U1211" s="145">
        <f>T1211*S1211</f>
        <v/>
      </c>
      <c r="V1211" s="96" t="inlineStr">
        <is>
          <t>分类层级关系表、性能数据表</t>
        </is>
      </c>
      <c r="W1211" s="96" t="inlineStr"/>
      <c r="X1211" s="111" t="inlineStr">
        <is>
          <t>分类层级关系表{ID、名称、类型、状态、创建时间、更新时间|ID、名称、类型}
性能数据表{ID、名称、类型、状态、创建时间、更新时间|ID、名称、类型}</t>
        </is>
      </c>
      <c r="Y1211" s="88" t="n"/>
      <c r="Z1211" s="88" t="n"/>
    </row>
    <row r="1212" hidden="1" ht="21.6" customHeight="1">
      <c r="A1212" s="69">
        <f>ROW()-1</f>
        <v/>
      </c>
      <c r="B1212" s="53" t="n"/>
      <c r="C1212" s="117" t="n">
        <v>2026</v>
      </c>
      <c r="E1212" s="53" t="n"/>
      <c r="F1212" s="53" t="n"/>
      <c r="G1212" s="53" t="n"/>
      <c r="H1212" s="96" t="inlineStr">
        <is>
          <t>启用串行执行</t>
        </is>
      </c>
      <c r="I1212" s="76" t="inlineStr">
        <is>
          <t>EI</t>
        </is>
      </c>
      <c r="J1212" s="95" t="n"/>
      <c r="K1212" s="95" t="n"/>
      <c r="L1212" s="83">
        <f>IF(OR(X1212="估算法",X1212="算法类",X1212="无法识别"),"",IF(V1212="",IF(OR(I1212="EI",I1212="EO",I1212="EQ"),0,""),LEN(V1212)-LEN(SUBSTITUTE(V1212,"、",""))+1))</f>
        <v/>
      </c>
      <c r="M1212" s="83">
        <f>IF(OR(X1212="估算法",X1212="算法类",X1212="无法识别"),"",IF(W1212="",IF(OR(I1212="ILF",I1212="EIF"),0,""),LEN(W1212)-LEN(SUBSTITUTE(W1212,"、",""))+1))</f>
        <v/>
      </c>
      <c r="N1212" s="83">
        <f>IF(OR(X1212="估算法",X1212="算法类",X1212="无法识别"),"",IF(X1212="",IF(OR(I1212="ILF",I1212="EIF",I1212="EI",I1212="EO",I1212="EQ"),0,""),LEN(X1212)-LEN(SUBSTITUTE(SUBSTITUTE(SUBSTITUTE(SUBSTITUTE(SUBSTITUTE(X1212,"|}","--"),"{|","--"),CHAR(10),""),"、",""),"|",""))+IF(AND(OR(I1212="EI",I1212="EO",I1212="EQ"),$AD$1="NESMA"),2,1)))</f>
        <v/>
      </c>
      <c r="O1212" s="84">
        <f>IF(I1212="EI",IF(OR(X1212="估算法",X1212="算法类"),"中",IF(X1212="无法识别","低",IF(L1212&lt;2,IF(N1212&lt;16,"低","中"),IF(L1212&lt;3,IF(N1212&lt;5,"低",IF(N1212&lt;16,"中","高")),IF(N1212&lt;5,"中","高"))))),IF(OR(I1212="EO",I1212="EQ"),IF(OR(X1212="估算法",X1212="算法类"),"中",IF(X1212="无法识别","低",IF(L1212&lt;2,IF(N1212&lt;20,"低","中"),IF(L1212&lt;4,IF(N1212&lt;6,"低",IF(N1212&lt;20,"中","高")),IF(N1212&lt;6,"中","高"))))),IF(OR(I1212="ILF",I1212="EIF"),IF(OR(X1212="估算法",X1212="算法类",X1212="无法识别"),"低",IF(M1212&lt;2,IF(N1212&lt;51,"低","中"),IF(M1212&lt;6,IF(N1212&lt;20,"低",IF(N1212&lt;51,"中","高")),IF(N1212&lt;20,"中","高")))),"不计算")))</f>
        <v/>
      </c>
      <c r="P1212" s="142">
        <f>IFERROR(IF(I1212="EI",IF(O1212="低",3,IF(O1212="中",4,6)),IF(I1212="EO",IF(O1212="低",4,IF(O1212="中",5,7)),IF(I1212="EQ",IF(O1212="低",3,IF(O1212="中",4,6)),IF(I1212="ILF",IF(O1212="低",7,IF(O1212="中",10,15)),IF(I1212="EIF",IF(O1212="低",5,IF(O1212="中",7,10)),"不计算")))))*Q1212,"不计算")</f>
        <v/>
      </c>
      <c r="Q1212" s="142" t="n">
        <v>0.333333333333333</v>
      </c>
      <c r="R1212" s="143">
        <f>调整因子!$F$13</f>
        <v/>
      </c>
      <c r="S1212" s="76" t="n">
        <v>1</v>
      </c>
      <c r="T1212" s="144">
        <f>IFERROR(P1212*R1212,0)</f>
        <v/>
      </c>
      <c r="U1212" s="145">
        <f>T1212*S1212</f>
        <v/>
      </c>
      <c r="V1212" s="96" t="inlineStr">
        <is>
          <t>离线扫描报告表</t>
        </is>
      </c>
      <c r="W1212" s="96" t="inlineStr"/>
      <c r="X1212" s="111" t="inlineStr">
        <is>
          <t>离线扫描报告表{任务ID、任务名称、任务状态、扫描器类型、开始时间、结束时间、扫描结果|任务ID、任务名称、任务状态}</t>
        </is>
      </c>
      <c r="Y1212" s="88" t="n"/>
      <c r="Z1212" s="88" t="n"/>
    </row>
    <row r="1213" hidden="1" ht="43.2" customHeight="1">
      <c r="A1213" s="69">
        <f>ROW()-1</f>
        <v/>
      </c>
      <c r="B1213" s="53" t="n"/>
      <c r="C1213" s="117" t="n">
        <v>2026</v>
      </c>
      <c r="E1213" s="53" t="n"/>
      <c r="F1213" s="53" t="n"/>
      <c r="G1213" s="53" t="n"/>
      <c r="H1213" s="96" t="inlineStr">
        <is>
          <t>停用串行执行</t>
        </is>
      </c>
      <c r="I1213" s="76" t="n"/>
      <c r="J1213" s="95" t="n"/>
      <c r="K1213" s="95" t="inlineStr">
        <is>
          <t>和上行合并，启停为相同功能</t>
        </is>
      </c>
      <c r="L1213" s="83">
        <f>IF(OR(X1213="估算法",X1213="算法类",X1213="无法识别"),"",IF(V1213="",IF(OR(I1213="EI",I1213="EO",I1213="EQ"),0,""),LEN(V1213)-LEN(SUBSTITUTE(V1213,"、",""))+1))</f>
        <v/>
      </c>
      <c r="M1213" s="83">
        <f>IF(OR(X1213="估算法",X1213="算法类",X1213="无法识别"),"",IF(W1213="",IF(OR(I1213="ILF",I1213="EIF"),0,""),LEN(W1213)-LEN(SUBSTITUTE(W1213,"、",""))+1))</f>
        <v/>
      </c>
      <c r="N1213" s="83">
        <f>IF(OR(X1213="估算法",X1213="算法类",X1213="无法识别"),"",IF(X1213="",IF(OR(I1213="ILF",I1213="EIF",I1213="EI",I1213="EO",I1213="EQ"),0,""),LEN(X1213)-LEN(SUBSTITUTE(SUBSTITUTE(SUBSTITUTE(SUBSTITUTE(SUBSTITUTE(X1213,"|}","--"),"{|","--"),CHAR(10),""),"、",""),"|",""))+IF(AND(OR(I1213="EI",I1213="EO",I1213="EQ"),$AD$1="NESMA"),2,1)))</f>
        <v/>
      </c>
      <c r="O1213" s="84">
        <f>IF(I1213="EI",IF(OR(X1213="估算法",X1213="算法类"),"中",IF(X1213="无法识别","低",IF(L1213&lt;2,IF(N1213&lt;16,"低","中"),IF(L1213&lt;3,IF(N1213&lt;5,"低",IF(N1213&lt;16,"中","高")),IF(N1213&lt;5,"中","高"))))),IF(OR(I1213="EO",I1213="EQ"),IF(OR(X1213="估算法",X1213="算法类"),"中",IF(X1213="无法识别","低",IF(L1213&lt;2,IF(N1213&lt;20,"低","中"),IF(L1213&lt;4,IF(N1213&lt;6,"低",IF(N1213&lt;20,"中","高")),IF(N1213&lt;6,"中","高"))))),IF(OR(I1213="ILF",I1213="EIF"),IF(OR(X1213="估算法",X1213="算法类",X1213="无法识别"),"低",IF(M1213&lt;2,IF(N1213&lt;51,"低","中"),IF(M1213&lt;6,IF(N1213&lt;20,"低",IF(N1213&lt;51,"中","高")),IF(N1213&lt;20,"中","高")))),"不计算")))</f>
        <v/>
      </c>
      <c r="P1213" s="142">
        <f>IFERROR(IF(I1213="EI",IF(O1213="低",3,IF(O1213="中",4,6)),IF(I1213="EO",IF(O1213="低",4,IF(O1213="中",5,7)),IF(I1213="EQ",IF(O1213="低",3,IF(O1213="中",4,6)),IF(I1213="ILF",IF(O1213="低",7,IF(O1213="中",10,15)),IF(I1213="EIF",IF(O1213="低",5,IF(O1213="中",7,10)),"不计算")))))*Q1213,"不计算")</f>
        <v/>
      </c>
      <c r="Q1213" s="142" t="n">
        <v>0.333333333333333</v>
      </c>
      <c r="R1213" s="143">
        <f>调整因子!$F$13</f>
        <v/>
      </c>
      <c r="S1213" s="70" t="n">
        <v>1</v>
      </c>
      <c r="T1213" s="144">
        <f>IFERROR(P1213*R1213,0)</f>
        <v/>
      </c>
      <c r="U1213" s="145">
        <f>T1213*S1213</f>
        <v/>
      </c>
      <c r="V1213" s="96" t="inlineStr">
        <is>
          <t>复测任务表、推送日志表</t>
        </is>
      </c>
      <c r="W1213" s="96" t="inlineStr"/>
      <c r="X1213" s="111" t="inlineStr">
        <is>
          <t>复测任务表{任务ID、任务名称、任务类型、任务状态、创建时间、执行时间|任务ID、任务名称、任务类型}
推送日志表{日志ID、操作人、操作类型、操作时间、操作内容|日志ID、操作人、操作类型}</t>
        </is>
      </c>
      <c r="Y1213" s="88" t="n"/>
      <c r="Z1213" s="88" t="n"/>
    </row>
    <row r="1214" hidden="1" ht="43.2" customHeight="1">
      <c r="A1214" s="69">
        <f>ROW()-1</f>
        <v/>
      </c>
      <c r="B1214" s="53" t="n"/>
      <c r="C1214" s="117" t="n">
        <v>2026</v>
      </c>
      <c r="E1214" s="53" t="n"/>
      <c r="F1214" s="53" t="n"/>
      <c r="G1214" s="53" t="n"/>
      <c r="H1214" s="96" t="inlineStr">
        <is>
          <t>导出串行配置</t>
        </is>
      </c>
      <c r="I1214" s="76" t="inlineStr">
        <is>
          <t>EO</t>
        </is>
      </c>
      <c r="J1214" s="95" t="n"/>
      <c r="K1214" s="95" t="n"/>
      <c r="L1214" s="83">
        <f>IF(OR(X1214="估算法",X1214="算法类",X1214="无法识别"),"",IF(V1214="",IF(OR(I1214="EI",I1214="EO",I1214="EQ"),0,""),LEN(V1214)-LEN(SUBSTITUTE(V1214,"、",""))+1))</f>
        <v/>
      </c>
      <c r="M1214" s="83">
        <f>IF(OR(X1214="估算法",X1214="算法类",X1214="无法识别"),"",IF(W1214="",IF(OR(I1214="ILF",I1214="EIF"),0,""),LEN(W1214)-LEN(SUBSTITUTE(W1214,"、",""))+1))</f>
        <v/>
      </c>
      <c r="N1214" s="83">
        <f>IF(OR(X1214="估算法",X1214="算法类",X1214="无法识别"),"",IF(X1214="",IF(OR(I1214="ILF",I1214="EIF",I1214="EI",I1214="EO",I1214="EQ"),0,""),LEN(X1214)-LEN(SUBSTITUTE(SUBSTITUTE(SUBSTITUTE(SUBSTITUTE(SUBSTITUTE(X1214,"|}","--"),"{|","--"),CHAR(10),""),"、",""),"|",""))+IF(AND(OR(I1214="EI",I1214="EO",I1214="EQ"),$AD$1="NESMA"),2,1)))</f>
        <v/>
      </c>
      <c r="O1214" s="84">
        <f>IF(I1214="EI",IF(OR(X1214="估算法",X1214="算法类"),"中",IF(X1214="无法识别","低",IF(L1214&lt;2,IF(N1214&lt;16,"低","中"),IF(L1214&lt;3,IF(N1214&lt;5,"低",IF(N1214&lt;16,"中","高")),IF(N1214&lt;5,"中","高"))))),IF(OR(I1214="EO",I1214="EQ"),IF(OR(X1214="估算法",X1214="算法类"),"中",IF(X1214="无法识别","低",IF(L1214&lt;2,IF(N1214&lt;20,"低","中"),IF(L1214&lt;4,IF(N1214&lt;6,"低",IF(N1214&lt;20,"中","高")),IF(N1214&lt;6,"中","高"))))),IF(OR(I1214="ILF",I1214="EIF"),IF(OR(X1214="估算法",X1214="算法类",X1214="无法识别"),"低",IF(M1214&lt;2,IF(N1214&lt;51,"低","中"),IF(M1214&lt;6,IF(N1214&lt;20,"低",IF(N1214&lt;51,"中","高")),IF(N1214&lt;20,"中","高")))),"不计算")))</f>
        <v/>
      </c>
      <c r="P1214" s="142">
        <f>IFERROR(IF(I1214="EI",IF(O1214="低",3,IF(O1214="中",4,6)),IF(I1214="EO",IF(O1214="低",4,IF(O1214="中",5,7)),IF(I1214="EQ",IF(O1214="低",3,IF(O1214="中",4,6)),IF(I1214="ILF",IF(O1214="低",7,IF(O1214="中",10,15)),IF(I1214="EIF",IF(O1214="低",5,IF(O1214="中",7,10)),"不计算")))))*Q1214,"不计算")</f>
        <v/>
      </c>
      <c r="Q1214" s="142" t="n">
        <v>0.333333333333333</v>
      </c>
      <c r="R1214" s="143">
        <f>调整因子!$F$13</f>
        <v/>
      </c>
      <c r="S1214" s="70" t="n">
        <v>1</v>
      </c>
      <c r="T1214" s="144">
        <f>IFERROR(P1214*R1214,0)</f>
        <v/>
      </c>
      <c r="U1214" s="145">
        <f>T1214*S1214</f>
        <v/>
      </c>
      <c r="V1214" s="96" t="inlineStr">
        <is>
          <t>任务优先级配置表、模板参数配置表</t>
        </is>
      </c>
      <c r="W1214" s="96" t="inlineStr"/>
      <c r="X1214" s="111" t="inlineStr">
        <is>
          <t>任务优先级配置表{任务ID、任务名称|任务ID、任务名称、任务类型、任务状态、创建时间、执行时间}
模板参数配置表{配置ID、配置名称|配置ID、配置名称、配置类型、配置值、创建时间}</t>
        </is>
      </c>
      <c r="Y1214" s="88" t="n"/>
      <c r="Z1214" s="88" t="n"/>
    </row>
    <row r="1215" hidden="1" ht="43.2" customHeight="1">
      <c r="A1215" s="69">
        <f>ROW()-1</f>
        <v/>
      </c>
      <c r="B1215" s="53" t="n"/>
      <c r="C1215" s="117" t="n">
        <v>2026</v>
      </c>
      <c r="E1215" s="53" t="n"/>
      <c r="F1215" s="53" t="n"/>
      <c r="G1215" s="53" t="n"/>
      <c r="H1215" s="96" t="inlineStr">
        <is>
          <t>查询串行任务</t>
        </is>
      </c>
      <c r="I1215" s="76" t="inlineStr">
        <is>
          <t>EQ</t>
        </is>
      </c>
      <c r="J1215" s="95" t="n"/>
      <c r="K1215" s="95" t="n"/>
      <c r="L1215" s="83">
        <f>IF(OR(X1215="估算法",X1215="算法类",X1215="无法识别"),"",IF(V1215="",IF(OR(I1215="EI",I1215="EO",I1215="EQ"),0,""),LEN(V1215)-LEN(SUBSTITUTE(V1215,"、",""))+1))</f>
        <v/>
      </c>
      <c r="M1215" s="83">
        <f>IF(OR(X1215="估算法",X1215="算法类",X1215="无法识别"),"",IF(W1215="",IF(OR(I1215="ILF",I1215="EIF"),0,""),LEN(W1215)-LEN(SUBSTITUTE(W1215,"、",""))+1))</f>
        <v/>
      </c>
      <c r="N1215" s="83">
        <f>IF(OR(X1215="估算法",X1215="算法类",X1215="无法识别"),"",IF(X1215="",IF(OR(I1215="ILF",I1215="EIF",I1215="EI",I1215="EO",I1215="EQ"),0,""),LEN(X1215)-LEN(SUBSTITUTE(SUBSTITUTE(SUBSTITUTE(SUBSTITUTE(SUBSTITUTE(X1215,"|}","--"),"{|","--"),CHAR(10),""),"、",""),"|",""))+IF(AND(OR(I1215="EI",I1215="EO",I1215="EQ"),$AD$1="NESMA"),2,1)))</f>
        <v/>
      </c>
      <c r="O1215" s="84">
        <f>IF(I1215="EI",IF(OR(X1215="估算法",X1215="算法类"),"中",IF(X1215="无法识别","低",IF(L1215&lt;2,IF(N1215&lt;16,"低","中"),IF(L1215&lt;3,IF(N1215&lt;5,"低",IF(N1215&lt;16,"中","高")),IF(N1215&lt;5,"中","高"))))),IF(OR(I1215="EO",I1215="EQ"),IF(OR(X1215="估算法",X1215="算法类"),"中",IF(X1215="无法识别","低",IF(L1215&lt;2,IF(N1215&lt;20,"低","中"),IF(L1215&lt;4,IF(N1215&lt;6,"低",IF(N1215&lt;20,"中","高")),IF(N1215&lt;6,"中","高"))))),IF(OR(I1215="ILF",I1215="EIF"),IF(OR(X1215="估算法",X1215="算法类",X1215="无法识别"),"低",IF(M1215&lt;2,IF(N1215&lt;51,"低","中"),IF(M1215&lt;6,IF(N1215&lt;20,"低",IF(N1215&lt;51,"中","高")),IF(N1215&lt;20,"中","高")))),"不计算")))</f>
        <v/>
      </c>
      <c r="P1215" s="142">
        <f>IFERROR(IF(I1215="EI",IF(O1215="低",3,IF(O1215="中",4,6)),IF(I1215="EO",IF(O1215="低",4,IF(O1215="中",5,7)),IF(I1215="EQ",IF(O1215="低",3,IF(O1215="中",4,6)),IF(I1215="ILF",IF(O1215="低",7,IF(O1215="中",10,15)),IF(I1215="EIF",IF(O1215="低",5,IF(O1215="中",7,10)),"不计算")))))*Q1215,"不计算")</f>
        <v/>
      </c>
      <c r="Q1215" s="142" t="n">
        <v>0.333333333333333</v>
      </c>
      <c r="R1215" s="143">
        <f>调整因子!$F$13</f>
        <v/>
      </c>
      <c r="S1215" s="76" t="n">
        <v>1</v>
      </c>
      <c r="T1215" s="144">
        <f>IFERROR(P1215*R1215,0)</f>
        <v/>
      </c>
      <c r="U1215" s="145">
        <f>T1215*S1215</f>
        <v/>
      </c>
      <c r="V1215" s="96" t="inlineStr">
        <is>
          <t>数据清洗任务表、资产同步任务表</t>
        </is>
      </c>
      <c r="W1215" s="96" t="inlineStr"/>
      <c r="X1215" s="111" t="inlineStr">
        <is>
          <t>数据清洗任务表{任务ID、任务名称|任务ID、任务名称、任务类型、任务状态、创建时间、执行时间}
资产同步任务表{资产ID、资产名称|资产ID、资产名称、IP地址、资产类型、资产状态、创建时间、更新时间}</t>
        </is>
      </c>
      <c r="Y1215" s="88" t="n"/>
      <c r="Z1215" s="88" t="n"/>
    </row>
    <row r="1216" hidden="1" ht="21.6" customHeight="1">
      <c r="A1216" s="69">
        <f>ROW()-1</f>
        <v/>
      </c>
      <c r="B1216" s="53" t="n"/>
      <c r="C1216" s="117" t="n">
        <v>2026</v>
      </c>
      <c r="E1216" s="53" t="n"/>
      <c r="F1216" s="53" t="n"/>
      <c r="G1216" s="54" t="n"/>
      <c r="H1216" s="96" t="inlineStr">
        <is>
          <t>查看串行详情</t>
        </is>
      </c>
      <c r="I1216" s="76" t="inlineStr">
        <is>
          <t>EQ</t>
        </is>
      </c>
      <c r="J1216" s="95" t="n"/>
      <c r="K1216" s="95" t="n"/>
      <c r="L1216" s="83">
        <f>IF(OR(X1216="估算法",X1216="算法类",X1216="无法识别"),"",IF(V1216="",IF(OR(I1216="EI",I1216="EO",I1216="EQ"),0,""),LEN(V1216)-LEN(SUBSTITUTE(V1216,"、",""))+1))</f>
        <v/>
      </c>
      <c r="M1216" s="83">
        <f>IF(OR(X1216="估算法",X1216="算法类",X1216="无法识别"),"",IF(W1216="",IF(OR(I1216="ILF",I1216="EIF"),0,""),LEN(W1216)-LEN(SUBSTITUTE(W1216,"、",""))+1))</f>
        <v/>
      </c>
      <c r="N1216" s="83">
        <f>IF(OR(X1216="估算法",X1216="算法类",X1216="无法识别"),"",IF(X1216="",IF(OR(I1216="ILF",I1216="EIF",I1216="EI",I1216="EO",I1216="EQ"),0,""),LEN(X1216)-LEN(SUBSTITUTE(SUBSTITUTE(SUBSTITUTE(SUBSTITUTE(SUBSTITUTE(X1216,"|}","--"),"{|","--"),CHAR(10),""),"、",""),"|",""))+IF(AND(OR(I1216="EI",I1216="EO",I1216="EQ"),$AD$1="NESMA"),2,1)))</f>
        <v/>
      </c>
      <c r="O1216" s="84">
        <f>IF(I1216="EI",IF(OR(X1216="估算法",X1216="算法类"),"中",IF(X1216="无法识别","低",IF(L1216&lt;2,IF(N1216&lt;16,"低","中"),IF(L1216&lt;3,IF(N1216&lt;5,"低",IF(N1216&lt;16,"中","高")),IF(N1216&lt;5,"中","高"))))),IF(OR(I1216="EO",I1216="EQ"),IF(OR(X1216="估算法",X1216="算法类"),"中",IF(X1216="无法识别","低",IF(L1216&lt;2,IF(N1216&lt;20,"低","中"),IF(L1216&lt;4,IF(N1216&lt;6,"低",IF(N1216&lt;20,"中","高")),IF(N1216&lt;6,"中","高"))))),IF(OR(I1216="ILF",I1216="EIF"),IF(OR(X1216="估算法",X1216="算法类",X1216="无法识别"),"低",IF(M1216&lt;2,IF(N1216&lt;51,"低","中"),IF(M1216&lt;6,IF(N1216&lt;20,"低",IF(N1216&lt;51,"中","高")),IF(N1216&lt;20,"中","高")))),"不计算")))</f>
        <v/>
      </c>
      <c r="P1216" s="142">
        <f>IFERROR(IF(I1216="EI",IF(O1216="低",3,IF(O1216="中",4,6)),IF(I1216="EO",IF(O1216="低",4,IF(O1216="中",5,7)),IF(I1216="EQ",IF(O1216="低",3,IF(O1216="中",4,6)),IF(I1216="ILF",IF(O1216="低",7,IF(O1216="中",10,15)),IF(I1216="EIF",IF(O1216="低",5,IF(O1216="中",7,10)),"不计算")))))*Q1216,"不计算")</f>
        <v/>
      </c>
      <c r="Q1216" s="142" t="n">
        <v>0.333333333333333</v>
      </c>
      <c r="R1216" s="143">
        <f>调整因子!$F$13</f>
        <v/>
      </c>
      <c r="S1216" s="76" t="n">
        <v>1</v>
      </c>
      <c r="T1216" s="144">
        <f>IFERROR(P1216*R1216,0)</f>
        <v/>
      </c>
      <c r="U1216" s="145">
        <f>T1216*S1216</f>
        <v/>
      </c>
      <c r="V1216" s="96" t="inlineStr">
        <is>
          <t>数据清洗任务表</t>
        </is>
      </c>
      <c r="W1216" s="96" t="inlineStr"/>
      <c r="X1216" s="111" t="inlineStr">
        <is>
          <t>数据清洗任务表{任务ID、任务名称|任务ID、任务名称、任务类型、任务状态、创建时间、执行时间}</t>
        </is>
      </c>
      <c r="Y1216" s="88" t="n"/>
      <c r="Z1216" s="88" t="n"/>
    </row>
    <row r="1217" hidden="1">
      <c r="A1217" s="69">
        <f>ROW()-1</f>
        <v/>
      </c>
      <c r="B1217" s="53" t="n"/>
      <c r="C1217" s="117" t="n">
        <v>2026</v>
      </c>
      <c r="E1217" s="53" t="n"/>
      <c r="F1217" s="53" t="n"/>
      <c r="G1217" s="111" t="inlineStr">
        <is>
          <t>条件分支管理</t>
        </is>
      </c>
      <c r="H1217" s="96" t="inlineStr">
        <is>
          <t>编辑条件分支</t>
        </is>
      </c>
      <c r="I1217" s="76" t="inlineStr">
        <is>
          <t>EI</t>
        </is>
      </c>
      <c r="J1217" s="95" t="n"/>
      <c r="K1217" s="95" t="n"/>
      <c r="L1217" s="83">
        <f>IF(OR(X1217="估算法",X1217="算法类",X1217="无法识别"),"",IF(V1217="",IF(OR(I1217="EI",I1217="EO",I1217="EQ"),0,""),LEN(V1217)-LEN(SUBSTITUTE(V1217,"、",""))+1))</f>
        <v/>
      </c>
      <c r="M1217" s="83">
        <f>IF(OR(X1217="估算法",X1217="算法类",X1217="无法识别"),"",IF(W1217="",IF(OR(I1217="ILF",I1217="EIF"),0,""),LEN(W1217)-LEN(SUBSTITUTE(W1217,"、",""))+1))</f>
        <v/>
      </c>
      <c r="N1217" s="83">
        <f>IF(OR(X1217="估算法",X1217="算法类",X1217="无法识别"),"",IF(X1217="",IF(OR(I1217="ILF",I1217="EIF",I1217="EI",I1217="EO",I1217="EQ"),0,""),LEN(X1217)-LEN(SUBSTITUTE(SUBSTITUTE(SUBSTITUTE(SUBSTITUTE(SUBSTITUTE(X1217,"|}","--"),"{|","--"),CHAR(10),""),"、",""),"|",""))+IF(AND(OR(I1217="EI",I1217="EO",I1217="EQ"),$AD$1="NESMA"),2,1)))</f>
        <v/>
      </c>
      <c r="O1217" s="84">
        <f>IF(I1217="EI",IF(OR(X1217="估算法",X1217="算法类"),"中",IF(X1217="无法识别","低",IF(L1217&lt;2,IF(N1217&lt;16,"低","中"),IF(L1217&lt;3,IF(N1217&lt;5,"低",IF(N1217&lt;16,"中","高")),IF(N1217&lt;5,"中","高"))))),IF(OR(I1217="EO",I1217="EQ"),IF(OR(X1217="估算法",X1217="算法类"),"中",IF(X1217="无法识别","低",IF(L1217&lt;2,IF(N1217&lt;20,"低","中"),IF(L1217&lt;4,IF(N1217&lt;6,"低",IF(N1217&lt;20,"中","高")),IF(N1217&lt;6,"中","高"))))),IF(OR(I1217="ILF",I1217="EIF"),IF(OR(X1217="估算法",X1217="算法类",X1217="无法识别"),"低",IF(M1217&lt;2,IF(N1217&lt;51,"低","中"),IF(M1217&lt;6,IF(N1217&lt;20,"低",IF(N1217&lt;51,"中","高")),IF(N1217&lt;20,"中","高")))),"不计算")))</f>
        <v/>
      </c>
      <c r="P1217" s="142">
        <f>IFERROR(IF(I1217="EI",IF(O1217="低",3,IF(O1217="中",4,6)),IF(I1217="EO",IF(O1217="低",4,IF(O1217="中",5,7)),IF(I1217="EQ",IF(O1217="低",3,IF(O1217="中",4,6)),IF(I1217="ILF",IF(O1217="低",7,IF(O1217="中",10,15)),IF(I1217="EIF",IF(O1217="低",5,IF(O1217="中",7,10)),"不计算")))))*Q1217,"不计算")</f>
        <v/>
      </c>
      <c r="Q1217" s="142" t="n">
        <v>0.333333333333333</v>
      </c>
      <c r="R1217" s="143">
        <f>调整因子!$F$13</f>
        <v/>
      </c>
      <c r="S1217" s="70" t="n">
        <v>1</v>
      </c>
      <c r="T1217" s="144">
        <f>IFERROR(P1217*R1217,0)</f>
        <v/>
      </c>
      <c r="U1217" s="145">
        <f>T1217*S1217</f>
        <v/>
      </c>
      <c r="V1217" s="96" t="inlineStr">
        <is>
          <t>修复步骤表</t>
        </is>
      </c>
      <c r="W1217" s="96" t="inlineStr"/>
      <c r="X1217" s="111" t="inlineStr">
        <is>
          <t>修复步骤表{ID、名称、类型、状态、创建时间、更新时间|ID、名称、类型}</t>
        </is>
      </c>
      <c r="Y1217" s="88" t="n"/>
      <c r="Z1217" s="88" t="n"/>
    </row>
    <row r="1218" hidden="1" ht="32.4" customHeight="1">
      <c r="A1218" s="69">
        <f>ROW()-1</f>
        <v/>
      </c>
      <c r="B1218" s="53" t="n"/>
      <c r="C1218" s="117" t="n">
        <v>2026</v>
      </c>
      <c r="E1218" s="53" t="n"/>
      <c r="F1218" s="53" t="n"/>
      <c r="G1218" s="53" t="n"/>
      <c r="H1218" s="96" t="inlineStr">
        <is>
          <t>删除条件分支</t>
        </is>
      </c>
      <c r="I1218" s="76" t="inlineStr">
        <is>
          <t>EI</t>
        </is>
      </c>
      <c r="J1218" s="95" t="n"/>
      <c r="K1218" s="95" t="n"/>
      <c r="L1218" s="83">
        <f>IF(OR(X1218="估算法",X1218="算法类",X1218="无法识别"),"",IF(V1218="",IF(OR(I1218="EI",I1218="EO",I1218="EQ"),0,""),LEN(V1218)-LEN(SUBSTITUTE(V1218,"、",""))+1))</f>
        <v/>
      </c>
      <c r="M1218" s="83">
        <f>IF(OR(X1218="估算法",X1218="算法类",X1218="无法识别"),"",IF(W1218="",IF(OR(I1218="ILF",I1218="EIF"),0,""),LEN(W1218)-LEN(SUBSTITUTE(W1218,"、",""))+1))</f>
        <v/>
      </c>
      <c r="N1218" s="83">
        <f>IF(OR(X1218="估算法",X1218="算法类",X1218="无法识别"),"",IF(X1218="",IF(OR(I1218="ILF",I1218="EIF",I1218="EI",I1218="EO",I1218="EQ"),0,""),LEN(X1218)-LEN(SUBSTITUTE(SUBSTITUTE(SUBSTITUTE(SUBSTITUTE(SUBSTITUTE(X1218,"|}","--"),"{|","--"),CHAR(10),""),"、",""),"|",""))+IF(AND(OR(I1218="EI",I1218="EO",I1218="EQ"),$AD$1="NESMA"),2,1)))</f>
        <v/>
      </c>
      <c r="O1218" s="84">
        <f>IF(I1218="EI",IF(OR(X1218="估算法",X1218="算法类"),"中",IF(X1218="无法识别","低",IF(L1218&lt;2,IF(N1218&lt;16,"低","中"),IF(L1218&lt;3,IF(N1218&lt;5,"低",IF(N1218&lt;16,"中","高")),IF(N1218&lt;5,"中","高"))))),IF(OR(I1218="EO",I1218="EQ"),IF(OR(X1218="估算法",X1218="算法类"),"中",IF(X1218="无法识别","低",IF(L1218&lt;2,IF(N1218&lt;20,"低","中"),IF(L1218&lt;4,IF(N1218&lt;6,"低",IF(N1218&lt;20,"中","高")),IF(N1218&lt;6,"中","高"))))),IF(OR(I1218="ILF",I1218="EIF"),IF(OR(X1218="估算法",X1218="算法类",X1218="无法识别"),"低",IF(M1218&lt;2,IF(N1218&lt;51,"低","中"),IF(M1218&lt;6,IF(N1218&lt;20,"低",IF(N1218&lt;51,"中","高")),IF(N1218&lt;20,"中","高")))),"不计算")))</f>
        <v/>
      </c>
      <c r="P1218" s="142">
        <f>IFERROR(IF(I1218="EI",IF(O1218="低",3,IF(O1218="中",4,6)),IF(I1218="EO",IF(O1218="低",4,IF(O1218="中",5,7)),IF(I1218="EQ",IF(O1218="低",3,IF(O1218="中",4,6)),IF(I1218="ILF",IF(O1218="低",7,IF(O1218="中",10,15)),IF(I1218="EIF",IF(O1218="低",5,IF(O1218="中",7,10)),"不计算")))))*Q1218,"不计算")</f>
        <v/>
      </c>
      <c r="Q1218" s="142" t="n">
        <v>0.333333333333333</v>
      </c>
      <c r="R1218" s="143">
        <f>调整因子!$F$13</f>
        <v/>
      </c>
      <c r="S1218" s="70" t="n">
        <v>1</v>
      </c>
      <c r="T1218" s="144">
        <f>IFERROR(P1218*R1218,0)</f>
        <v/>
      </c>
      <c r="U1218" s="145">
        <f>T1218*S1218</f>
        <v/>
      </c>
      <c r="V1218" s="96" t="inlineStr">
        <is>
          <t>漏洞查询接口配置表、标签定义表</t>
        </is>
      </c>
      <c r="W1218" s="96" t="inlineStr"/>
      <c r="X1218" s="111" t="inlineStr">
        <is>
          <t>漏洞查询接口配置表{漏洞ID、漏洞名称、漏洞等级、漏洞类型、CVE编号、发现时间、修复状态|漏洞ID、漏洞名称、漏洞等级}
标签定义表{ID、名称、类型、状态、创建时间、更新时间|ID、名称、类型}</t>
        </is>
      </c>
      <c r="Y1218" s="88" t="n"/>
      <c r="Z1218" s="88" t="n"/>
    </row>
    <row r="1219" hidden="1" ht="21.6" customHeight="1">
      <c r="A1219" s="69">
        <f>ROW()-1</f>
        <v/>
      </c>
      <c r="B1219" s="53" t="n"/>
      <c r="C1219" s="117" t="n">
        <v>2026</v>
      </c>
      <c r="E1219" s="53" t="n"/>
      <c r="F1219" s="53" t="n"/>
      <c r="G1219" s="53" t="n"/>
      <c r="H1219" s="96" t="inlineStr">
        <is>
          <t>启用条件分支</t>
        </is>
      </c>
      <c r="I1219" s="76" t="inlineStr">
        <is>
          <t>EI</t>
        </is>
      </c>
      <c r="J1219" s="95" t="n"/>
      <c r="K1219" s="95" t="n"/>
      <c r="L1219" s="83">
        <f>IF(OR(X1219="估算法",X1219="算法类",X1219="无法识别"),"",IF(V1219="",IF(OR(I1219="EI",I1219="EO",I1219="EQ"),0,""),LEN(V1219)-LEN(SUBSTITUTE(V1219,"、",""))+1))</f>
        <v/>
      </c>
      <c r="M1219" s="83">
        <f>IF(OR(X1219="估算法",X1219="算法类",X1219="无法识别"),"",IF(W1219="",IF(OR(I1219="ILF",I1219="EIF"),0,""),LEN(W1219)-LEN(SUBSTITUTE(W1219,"、",""))+1))</f>
        <v/>
      </c>
      <c r="N1219" s="83">
        <f>IF(OR(X1219="估算法",X1219="算法类",X1219="无法识别"),"",IF(X1219="",IF(OR(I1219="ILF",I1219="EIF",I1219="EI",I1219="EO",I1219="EQ"),0,""),LEN(X1219)-LEN(SUBSTITUTE(SUBSTITUTE(SUBSTITUTE(SUBSTITUTE(SUBSTITUTE(X1219,"|}","--"),"{|","--"),CHAR(10),""),"、",""),"|",""))+IF(AND(OR(I1219="EI",I1219="EO",I1219="EQ"),$AD$1="NESMA"),2,1)))</f>
        <v/>
      </c>
      <c r="O1219" s="84">
        <f>IF(I1219="EI",IF(OR(X1219="估算法",X1219="算法类"),"中",IF(X1219="无法识别","低",IF(L1219&lt;2,IF(N1219&lt;16,"低","中"),IF(L1219&lt;3,IF(N1219&lt;5,"低",IF(N1219&lt;16,"中","高")),IF(N1219&lt;5,"中","高"))))),IF(OR(I1219="EO",I1219="EQ"),IF(OR(X1219="估算法",X1219="算法类"),"中",IF(X1219="无法识别","低",IF(L1219&lt;2,IF(N1219&lt;20,"低","中"),IF(L1219&lt;4,IF(N1219&lt;6,"低",IF(N1219&lt;20,"中","高")),IF(N1219&lt;6,"中","高"))))),IF(OR(I1219="ILF",I1219="EIF"),IF(OR(X1219="估算法",X1219="算法类",X1219="无法识别"),"低",IF(M1219&lt;2,IF(N1219&lt;51,"低","中"),IF(M1219&lt;6,IF(N1219&lt;20,"低",IF(N1219&lt;51,"中","高")),IF(N1219&lt;20,"中","高")))),"不计算")))</f>
        <v/>
      </c>
      <c r="P1219" s="142">
        <f>IFERROR(IF(I1219="EI",IF(O1219="低",3,IF(O1219="中",4,6)),IF(I1219="EO",IF(O1219="低",4,IF(O1219="中",5,7)),IF(I1219="EQ",IF(O1219="低",3,IF(O1219="中",4,6)),IF(I1219="ILF",IF(O1219="低",7,IF(O1219="中",10,15)),IF(I1219="EIF",IF(O1219="低",5,IF(O1219="中",7,10)),"不计算")))))*Q1219,"不计算")</f>
        <v/>
      </c>
      <c r="Q1219" s="142" t="n">
        <v>0.333333333333333</v>
      </c>
      <c r="R1219" s="143">
        <f>调整因子!$F$13</f>
        <v/>
      </c>
      <c r="S1219" s="76" t="n">
        <v>1</v>
      </c>
      <c r="T1219" s="144">
        <f>IFERROR(P1219*R1219,0)</f>
        <v/>
      </c>
      <c r="U1219" s="145">
        <f>T1219*S1219</f>
        <v/>
      </c>
      <c r="V1219" s="96" t="inlineStr">
        <is>
          <t>任务优先级配置表</t>
        </is>
      </c>
      <c r="W1219" s="96" t="inlineStr"/>
      <c r="X1219" s="111" t="inlineStr">
        <is>
          <t>任务优先级配置表{任务ID、任务名称、任务类型、任务状态、创建时间、执行时间|任务ID、任务名称、任务类型}</t>
        </is>
      </c>
      <c r="Y1219" s="88" t="n"/>
      <c r="Z1219" s="88" t="n"/>
    </row>
    <row r="1220" hidden="1" ht="21.6" customHeight="1">
      <c r="A1220" s="69">
        <f>ROW()-1</f>
        <v/>
      </c>
      <c r="B1220" s="53" t="n"/>
      <c r="C1220" s="117" t="n">
        <v>2026</v>
      </c>
      <c r="E1220" s="53" t="n"/>
      <c r="F1220" s="53" t="n"/>
      <c r="G1220" s="53" t="n"/>
      <c r="H1220" s="96" t="inlineStr">
        <is>
          <t>停用条件分支</t>
        </is>
      </c>
      <c r="I1220" s="76" t="n"/>
      <c r="J1220" s="95" t="n"/>
      <c r="K1220" s="95" t="inlineStr">
        <is>
          <t>和上行合并，启停为相同功能</t>
        </is>
      </c>
      <c r="L1220" s="83">
        <f>IF(OR(X1220="估算法",X1220="算法类",X1220="无法识别"),"",IF(V1220="",IF(OR(I1220="EI",I1220="EO",I1220="EQ"),0,""),LEN(V1220)-LEN(SUBSTITUTE(V1220,"、",""))+1))</f>
        <v/>
      </c>
      <c r="M1220" s="83">
        <f>IF(OR(X1220="估算法",X1220="算法类",X1220="无法识别"),"",IF(W1220="",IF(OR(I1220="ILF",I1220="EIF"),0,""),LEN(W1220)-LEN(SUBSTITUTE(W1220,"、",""))+1))</f>
        <v/>
      </c>
      <c r="N1220" s="83">
        <f>IF(OR(X1220="估算法",X1220="算法类",X1220="无法识别"),"",IF(X1220="",IF(OR(I1220="ILF",I1220="EIF",I1220="EI",I1220="EO",I1220="EQ"),0,""),LEN(X1220)-LEN(SUBSTITUTE(SUBSTITUTE(SUBSTITUTE(SUBSTITUTE(SUBSTITUTE(X1220,"|}","--"),"{|","--"),CHAR(10),""),"、",""),"|",""))+IF(AND(OR(I1220="EI",I1220="EO",I1220="EQ"),$AD$1="NESMA"),2,1)))</f>
        <v/>
      </c>
      <c r="O1220" s="84">
        <f>IF(I1220="EI",IF(OR(X1220="估算法",X1220="算法类"),"中",IF(X1220="无法识别","低",IF(L1220&lt;2,IF(N1220&lt;16,"低","中"),IF(L1220&lt;3,IF(N1220&lt;5,"低",IF(N1220&lt;16,"中","高")),IF(N1220&lt;5,"中","高"))))),IF(OR(I1220="EO",I1220="EQ"),IF(OR(X1220="估算法",X1220="算法类"),"中",IF(X1220="无法识别","低",IF(L1220&lt;2,IF(N1220&lt;20,"低","中"),IF(L1220&lt;4,IF(N1220&lt;6,"低",IF(N1220&lt;20,"中","高")),IF(N1220&lt;6,"中","高"))))),IF(OR(I1220="ILF",I1220="EIF"),IF(OR(X1220="估算法",X1220="算法类",X1220="无法识别"),"低",IF(M1220&lt;2,IF(N1220&lt;51,"低","中"),IF(M1220&lt;6,IF(N1220&lt;20,"低",IF(N1220&lt;51,"中","高")),IF(N1220&lt;20,"中","高")))),"不计算")))</f>
        <v/>
      </c>
      <c r="P1220" s="142">
        <f>IFERROR(IF(I1220="EI",IF(O1220="低",3,IF(O1220="中",4,6)),IF(I1220="EO",IF(O1220="低",4,IF(O1220="中",5,7)),IF(I1220="EQ",IF(O1220="低",3,IF(O1220="中",4,6)),IF(I1220="ILF",IF(O1220="低",7,IF(O1220="中",10,15)),IF(I1220="EIF",IF(O1220="低",5,IF(O1220="中",7,10)),"不计算")))))*Q1220,"不计算")</f>
        <v/>
      </c>
      <c r="Q1220" s="142" t="n">
        <v>0.333333333333333</v>
      </c>
      <c r="R1220" s="143">
        <f>调整因子!$F$13</f>
        <v/>
      </c>
      <c r="S1220" s="70" t="n">
        <v>1</v>
      </c>
      <c r="T1220" s="144">
        <f>IFERROR(P1220*R1220,0)</f>
        <v/>
      </c>
      <c r="U1220" s="145">
        <f>T1220*S1220</f>
        <v/>
      </c>
      <c r="V1220" s="96" t="inlineStr">
        <is>
          <t>漏洞查询接口配置表</t>
        </is>
      </c>
      <c r="W1220" s="96" t="inlineStr"/>
      <c r="X1220" s="111" t="inlineStr">
        <is>
          <t>漏洞查询接口配置表{漏洞ID、漏洞名称、漏洞等级、漏洞类型、CVE编号、发现时间、修复状态|漏洞ID、漏洞名称、漏洞等级}</t>
        </is>
      </c>
      <c r="Y1220" s="88" t="n"/>
      <c r="Z1220" s="88" t="n"/>
    </row>
    <row r="1221" hidden="1" ht="21.6" customHeight="1">
      <c r="A1221" s="69">
        <f>ROW()-1</f>
        <v/>
      </c>
      <c r="B1221" s="53" t="n"/>
      <c r="C1221" s="117" t="n">
        <v>2026</v>
      </c>
      <c r="E1221" s="53" t="n"/>
      <c r="F1221" s="53" t="n"/>
      <c r="G1221" s="53" t="n"/>
      <c r="H1221" s="96" t="inlineStr">
        <is>
          <t>导出分支配置</t>
        </is>
      </c>
      <c r="I1221" s="76" t="inlineStr">
        <is>
          <t>EO</t>
        </is>
      </c>
      <c r="J1221" s="95" t="n"/>
      <c r="K1221" s="95" t="n"/>
      <c r="L1221" s="83">
        <f>IF(OR(X1221="估算法",X1221="算法类",X1221="无法识别"),"",IF(V1221="",IF(OR(I1221="EI",I1221="EO",I1221="EQ"),0,""),LEN(V1221)-LEN(SUBSTITUTE(V1221,"、",""))+1))</f>
        <v/>
      </c>
      <c r="M1221" s="83">
        <f>IF(OR(X1221="估算法",X1221="算法类",X1221="无法识别"),"",IF(W1221="",IF(OR(I1221="ILF",I1221="EIF"),0,""),LEN(W1221)-LEN(SUBSTITUTE(W1221,"、",""))+1))</f>
        <v/>
      </c>
      <c r="N1221" s="83">
        <f>IF(OR(X1221="估算法",X1221="算法类",X1221="无法识别"),"",IF(X1221="",IF(OR(I1221="ILF",I1221="EIF",I1221="EI",I1221="EO",I1221="EQ"),0,""),LEN(X1221)-LEN(SUBSTITUTE(SUBSTITUTE(SUBSTITUTE(SUBSTITUTE(SUBSTITUTE(X1221,"|}","--"),"{|","--"),CHAR(10),""),"、",""),"|",""))+IF(AND(OR(I1221="EI",I1221="EO",I1221="EQ"),$AD$1="NESMA"),2,1)))</f>
        <v/>
      </c>
      <c r="O1221" s="84">
        <f>IF(I1221="EI",IF(OR(X1221="估算法",X1221="算法类"),"中",IF(X1221="无法识别","低",IF(L1221&lt;2,IF(N1221&lt;16,"低","中"),IF(L1221&lt;3,IF(N1221&lt;5,"低",IF(N1221&lt;16,"中","高")),IF(N1221&lt;5,"中","高"))))),IF(OR(I1221="EO",I1221="EQ"),IF(OR(X1221="估算法",X1221="算法类"),"中",IF(X1221="无法识别","低",IF(L1221&lt;2,IF(N1221&lt;20,"低","中"),IF(L1221&lt;4,IF(N1221&lt;6,"低",IF(N1221&lt;20,"中","高")),IF(N1221&lt;6,"中","高"))))),IF(OR(I1221="ILF",I1221="EIF"),IF(OR(X1221="估算法",X1221="算法类",X1221="无法识别"),"低",IF(M1221&lt;2,IF(N1221&lt;51,"低","中"),IF(M1221&lt;6,IF(N1221&lt;20,"低",IF(N1221&lt;51,"中","高")),IF(N1221&lt;20,"中","高")))),"不计算")))</f>
        <v/>
      </c>
      <c r="P1221" s="142">
        <f>IFERROR(IF(I1221="EI",IF(O1221="低",3,IF(O1221="中",4,6)),IF(I1221="EO",IF(O1221="低",4,IF(O1221="中",5,7)),IF(I1221="EQ",IF(O1221="低",3,IF(O1221="中",4,6)),IF(I1221="ILF",IF(O1221="低",7,IF(O1221="中",10,15)),IF(I1221="EIF",IF(O1221="低",5,IF(O1221="中",7,10)),"不计算")))))*Q1221,"不计算")</f>
        <v/>
      </c>
      <c r="Q1221" s="142" t="n">
        <v>0.333333333333333</v>
      </c>
      <c r="R1221" s="143">
        <f>调整因子!$F$13</f>
        <v/>
      </c>
      <c r="S1221" s="70" t="n">
        <v>1</v>
      </c>
      <c r="T1221" s="144">
        <f>IFERROR(P1221*R1221,0)</f>
        <v/>
      </c>
      <c r="U1221" s="145">
        <f>T1221*S1221</f>
        <v/>
      </c>
      <c r="V1221" s="96" t="inlineStr">
        <is>
          <t>任务优先级配置表</t>
        </is>
      </c>
      <c r="W1221" s="96" t="inlineStr"/>
      <c r="X1221" s="111" t="inlineStr">
        <is>
          <t>任务优先级配置表{任务ID、任务名称|任务ID、任务名称、任务类型、任务状态、创建时间、执行时间}</t>
        </is>
      </c>
      <c r="Y1221" s="88" t="n"/>
      <c r="Z1221" s="88" t="n"/>
    </row>
    <row r="1222" hidden="1" ht="21.6" customHeight="1">
      <c r="A1222" s="69">
        <f>ROW()-1</f>
        <v/>
      </c>
      <c r="B1222" s="53" t="n"/>
      <c r="C1222" s="117" t="n">
        <v>2026</v>
      </c>
      <c r="E1222" s="53" t="n"/>
      <c r="F1222" s="53" t="n"/>
      <c r="G1222" s="53" t="n"/>
      <c r="H1222" s="96" t="inlineStr">
        <is>
          <t>查询分支规则</t>
        </is>
      </c>
      <c r="I1222" s="76" t="inlineStr">
        <is>
          <t>EO</t>
        </is>
      </c>
      <c r="J1222" s="95" t="n"/>
      <c r="K1222" s="95" t="n"/>
      <c r="L1222" s="83">
        <f>IF(OR(X1222="估算法",X1222="算法类",X1222="无法识别"),"",IF(V1222="",IF(OR(I1222="EI",I1222="EO",I1222="EQ"),0,""),LEN(V1222)-LEN(SUBSTITUTE(V1222,"、",""))+1))</f>
        <v/>
      </c>
      <c r="M1222" s="83">
        <f>IF(OR(X1222="估算法",X1222="算法类",X1222="无法识别"),"",IF(W1222="",IF(OR(I1222="ILF",I1222="EIF"),0,""),LEN(W1222)-LEN(SUBSTITUTE(W1222,"、",""))+1))</f>
        <v/>
      </c>
      <c r="N1222" s="83">
        <f>IF(OR(X1222="估算法",X1222="算法类",X1222="无法识别"),"",IF(X1222="",IF(OR(I1222="ILF",I1222="EIF",I1222="EI",I1222="EO",I1222="EQ"),0,""),LEN(X1222)-LEN(SUBSTITUTE(SUBSTITUTE(SUBSTITUTE(SUBSTITUTE(SUBSTITUTE(X1222,"|}","--"),"{|","--"),CHAR(10),""),"、",""),"|",""))+IF(AND(OR(I1222="EI",I1222="EO",I1222="EQ"),$AD$1="NESMA"),2,1)))</f>
        <v/>
      </c>
      <c r="O1222" s="84">
        <f>IF(I1222="EI",IF(OR(X1222="估算法",X1222="算法类"),"中",IF(X1222="无法识别","低",IF(L1222&lt;2,IF(N1222&lt;16,"低","中"),IF(L1222&lt;3,IF(N1222&lt;5,"低",IF(N1222&lt;16,"中","高")),IF(N1222&lt;5,"中","高"))))),IF(OR(I1222="EO",I1222="EQ"),IF(OR(X1222="估算法",X1222="算法类"),"中",IF(X1222="无法识别","低",IF(L1222&lt;2,IF(N1222&lt;20,"低","中"),IF(L1222&lt;4,IF(N1222&lt;6,"低",IF(N1222&lt;20,"中","高")),IF(N1222&lt;6,"中","高"))))),IF(OR(I1222="ILF",I1222="EIF"),IF(OR(X1222="估算法",X1222="算法类",X1222="无法识别"),"低",IF(M1222&lt;2,IF(N1222&lt;51,"低","中"),IF(M1222&lt;6,IF(N1222&lt;20,"低",IF(N1222&lt;51,"中","高")),IF(N1222&lt;20,"中","高")))),"不计算")))</f>
        <v/>
      </c>
      <c r="P1222" s="142">
        <f>IFERROR(IF(I1222="EI",IF(O1222="低",3,IF(O1222="中",4,6)),IF(I1222="EO",IF(O1222="低",4,IF(O1222="中",5,7)),IF(I1222="EQ",IF(O1222="低",3,IF(O1222="中",4,6)),IF(I1222="ILF",IF(O1222="低",7,IF(O1222="中",10,15)),IF(I1222="EIF",IF(O1222="低",5,IF(O1222="中",7,10)),"不计算")))))*Q1222,"不计算")</f>
        <v/>
      </c>
      <c r="Q1222" s="142" t="n">
        <v>0.333333333333333</v>
      </c>
      <c r="R1222" s="143">
        <f>调整因子!$F$13</f>
        <v/>
      </c>
      <c r="S1222" s="76" t="n">
        <v>1</v>
      </c>
      <c r="T1222" s="144">
        <f>IFERROR(P1222*R1222,0)</f>
        <v/>
      </c>
      <c r="U1222" s="145">
        <f>T1222*S1222</f>
        <v/>
      </c>
      <c r="V1222" s="96" t="inlineStr">
        <is>
          <t>推送规则表、提醒规则表</t>
        </is>
      </c>
      <c r="W1222" s="96" t="inlineStr"/>
      <c r="X1222" s="111" t="inlineStr">
        <is>
          <t>推送规则表{规则ID、规则名称|规则ID、规则名称、规则类型、规则条件、创建时间}
提醒规则表{规则ID、规则名称|规则ID、规则名称、规则类型、规则条件、创建时间}</t>
        </is>
      </c>
      <c r="Y1222" s="88" t="n"/>
      <c r="Z1222" s="88" t="n"/>
    </row>
    <row r="1223" hidden="1">
      <c r="A1223" s="69">
        <f>ROW()-1</f>
        <v/>
      </c>
      <c r="B1223" s="53" t="n"/>
      <c r="C1223" s="117" t="n">
        <v>2026</v>
      </c>
      <c r="E1223" s="53" t="n"/>
      <c r="F1223" s="53" t="n"/>
      <c r="G1223" s="54" t="n"/>
      <c r="H1223" s="96" t="inlineStr">
        <is>
          <t>查看分支详情</t>
        </is>
      </c>
      <c r="I1223" s="76" t="inlineStr">
        <is>
          <t>EQ</t>
        </is>
      </c>
      <c r="J1223" s="95" t="n"/>
      <c r="K1223" s="95" t="n"/>
      <c r="L1223" s="83">
        <f>IF(OR(X1223="估算法",X1223="算法类",X1223="无法识别"),"",IF(V1223="",IF(OR(I1223="EI",I1223="EO",I1223="EQ"),0,""),LEN(V1223)-LEN(SUBSTITUTE(V1223,"、",""))+1))</f>
        <v/>
      </c>
      <c r="M1223" s="83">
        <f>IF(OR(X1223="估算法",X1223="算法类",X1223="无法识别"),"",IF(W1223="",IF(OR(I1223="ILF",I1223="EIF"),0,""),LEN(W1223)-LEN(SUBSTITUTE(W1223,"、",""))+1))</f>
        <v/>
      </c>
      <c r="N1223" s="83">
        <f>IF(OR(X1223="估算法",X1223="算法类",X1223="无法识别"),"",IF(X1223="",IF(OR(I1223="ILF",I1223="EIF",I1223="EI",I1223="EO",I1223="EQ"),0,""),LEN(X1223)-LEN(SUBSTITUTE(SUBSTITUTE(SUBSTITUTE(SUBSTITUTE(SUBSTITUTE(X1223,"|}","--"),"{|","--"),CHAR(10),""),"、",""),"|",""))+IF(AND(OR(I1223="EI",I1223="EO",I1223="EQ"),$AD$1="NESMA"),2,1)))</f>
        <v/>
      </c>
      <c r="O1223" s="84">
        <f>IF(I1223="EI",IF(OR(X1223="估算法",X1223="算法类"),"中",IF(X1223="无法识别","低",IF(L1223&lt;2,IF(N1223&lt;16,"低","中"),IF(L1223&lt;3,IF(N1223&lt;5,"低",IF(N1223&lt;16,"中","高")),IF(N1223&lt;5,"中","高"))))),IF(OR(I1223="EO",I1223="EQ"),IF(OR(X1223="估算法",X1223="算法类"),"中",IF(X1223="无法识别","低",IF(L1223&lt;2,IF(N1223&lt;20,"低","中"),IF(L1223&lt;4,IF(N1223&lt;6,"低",IF(N1223&lt;20,"中","高")),IF(N1223&lt;6,"中","高"))))),IF(OR(I1223="ILF",I1223="EIF"),IF(OR(X1223="估算法",X1223="算法类",X1223="无法识别"),"低",IF(M1223&lt;2,IF(N1223&lt;51,"低","中"),IF(M1223&lt;6,IF(N1223&lt;20,"低",IF(N1223&lt;51,"中","高")),IF(N1223&lt;20,"中","高")))),"不计算")))</f>
        <v/>
      </c>
      <c r="P1223" s="142">
        <f>IFERROR(IF(I1223="EI",IF(O1223="低",3,IF(O1223="中",4,6)),IF(I1223="EO",IF(O1223="低",4,IF(O1223="中",5,7)),IF(I1223="EQ",IF(O1223="低",3,IF(O1223="中",4,6)),IF(I1223="ILF",IF(O1223="低",7,IF(O1223="中",10,15)),IF(I1223="EIF",IF(O1223="低",5,IF(O1223="中",7,10)),"不计算")))))*Q1223,"不计算")</f>
        <v/>
      </c>
      <c r="Q1223" s="142" t="n">
        <v>0.333333333333333</v>
      </c>
      <c r="R1223" s="143">
        <f>调整因子!$F$13</f>
        <v/>
      </c>
      <c r="S1223" s="76" t="n">
        <v>1</v>
      </c>
      <c r="T1223" s="144">
        <f>IFERROR(P1223*R1223,0)</f>
        <v/>
      </c>
      <c r="U1223" s="145">
        <f>T1223*S1223</f>
        <v/>
      </c>
      <c r="V1223" s="96" t="inlineStr">
        <is>
          <t>修复步骤表</t>
        </is>
      </c>
      <c r="W1223" s="96" t="inlineStr"/>
      <c r="X1223" s="111" t="inlineStr">
        <is>
          <t>修复步骤表{ID、名称|ID、名称、类型、状态、创建时间、更新时间}</t>
        </is>
      </c>
      <c r="Y1223" s="88" t="n"/>
      <c r="Z1223" s="88" t="n"/>
    </row>
    <row r="1224" hidden="1" ht="21.6" customHeight="1">
      <c r="A1224" s="69">
        <f>ROW()-1</f>
        <v/>
      </c>
      <c r="B1224" s="53" t="n"/>
      <c r="C1224" s="117" t="n">
        <v>2026</v>
      </c>
      <c r="E1224" s="53" t="n"/>
      <c r="F1224" s="53" t="n"/>
      <c r="G1224" s="111" t="inlineStr">
        <is>
          <t>异常处理管理</t>
        </is>
      </c>
      <c r="H1224" s="96" t="inlineStr">
        <is>
          <t>编辑异常处理</t>
        </is>
      </c>
      <c r="I1224" s="76" t="inlineStr">
        <is>
          <t>EI</t>
        </is>
      </c>
      <c r="J1224" s="95" t="n"/>
      <c r="K1224" s="95" t="n"/>
      <c r="L1224" s="83">
        <f>IF(OR(X1224="估算法",X1224="算法类",X1224="无法识别"),"",IF(V1224="",IF(OR(I1224="EI",I1224="EO",I1224="EQ"),0,""),LEN(V1224)-LEN(SUBSTITUTE(V1224,"、",""))+1))</f>
        <v/>
      </c>
      <c r="M1224" s="83">
        <f>IF(OR(X1224="估算法",X1224="算法类",X1224="无法识别"),"",IF(W1224="",IF(OR(I1224="ILF",I1224="EIF"),0,""),LEN(W1224)-LEN(SUBSTITUTE(W1224,"、",""))+1))</f>
        <v/>
      </c>
      <c r="N1224" s="83">
        <f>IF(OR(X1224="估算法",X1224="算法类",X1224="无法识别"),"",IF(X1224="",IF(OR(I1224="ILF",I1224="EIF",I1224="EI",I1224="EO",I1224="EQ"),0,""),LEN(X1224)-LEN(SUBSTITUTE(SUBSTITUTE(SUBSTITUTE(SUBSTITUTE(SUBSTITUTE(X1224,"|}","--"),"{|","--"),CHAR(10),""),"、",""),"|",""))+IF(AND(OR(I1224="EI",I1224="EO",I1224="EQ"),$AD$1="NESMA"),2,1)))</f>
        <v/>
      </c>
      <c r="O1224" s="84">
        <f>IF(I1224="EI",IF(OR(X1224="估算法",X1224="算法类"),"中",IF(X1224="无法识别","低",IF(L1224&lt;2,IF(N1224&lt;16,"低","中"),IF(L1224&lt;3,IF(N1224&lt;5,"低",IF(N1224&lt;16,"中","高")),IF(N1224&lt;5,"中","高"))))),IF(OR(I1224="EO",I1224="EQ"),IF(OR(X1224="估算法",X1224="算法类"),"中",IF(X1224="无法识别","低",IF(L1224&lt;2,IF(N1224&lt;20,"低","中"),IF(L1224&lt;4,IF(N1224&lt;6,"低",IF(N1224&lt;20,"中","高")),IF(N1224&lt;6,"中","高"))))),IF(OR(I1224="ILF",I1224="EIF"),IF(OR(X1224="估算法",X1224="算法类",X1224="无法识别"),"低",IF(M1224&lt;2,IF(N1224&lt;51,"低","中"),IF(M1224&lt;6,IF(N1224&lt;20,"低",IF(N1224&lt;51,"中","高")),IF(N1224&lt;20,"中","高")))),"不计算")))</f>
        <v/>
      </c>
      <c r="P1224" s="142">
        <f>IFERROR(IF(I1224="EI",IF(O1224="低",3,IF(O1224="中",4,6)),IF(I1224="EO",IF(O1224="低",4,IF(O1224="中",5,7)),IF(I1224="EQ",IF(O1224="低",3,IF(O1224="中",4,6)),IF(I1224="ILF",IF(O1224="低",7,IF(O1224="中",10,15)),IF(I1224="EIF",IF(O1224="低",5,IF(O1224="中",7,10)),"不计算")))))*Q1224,"不计算")</f>
        <v/>
      </c>
      <c r="Q1224" s="142" t="n">
        <v>0.333333333333333</v>
      </c>
      <c r="R1224" s="143">
        <f>调整因子!$F$13</f>
        <v/>
      </c>
      <c r="S1224" s="70" t="n">
        <v>1</v>
      </c>
      <c r="T1224" s="144">
        <f>IFERROR(P1224*R1224,0)</f>
        <v/>
      </c>
      <c r="U1224" s="145">
        <f>T1224*S1224</f>
        <v/>
      </c>
      <c r="V1224" s="96" t="inlineStr">
        <is>
          <t>任务日志表</t>
        </is>
      </c>
      <c r="W1224" s="96" t="inlineStr"/>
      <c r="X1224" s="111" t="inlineStr">
        <is>
          <t>任务日志表{任务ID、任务名称、任务类型、任务状态、创建时间、执行时间|任务ID、任务名称、任务类型}</t>
        </is>
      </c>
      <c r="Y1224" s="88" t="n"/>
      <c r="Z1224" s="88" t="n"/>
    </row>
    <row r="1225" hidden="1" ht="32.4" customHeight="1">
      <c r="A1225" s="69">
        <f>ROW()-1</f>
        <v/>
      </c>
      <c r="B1225" s="53" t="n"/>
      <c r="C1225" s="117" t="n">
        <v>2026</v>
      </c>
      <c r="E1225" s="53" t="n"/>
      <c r="F1225" s="53" t="n"/>
      <c r="G1225" s="53" t="n"/>
      <c r="H1225" s="96" t="inlineStr">
        <is>
          <t>删除异常处理</t>
        </is>
      </c>
      <c r="I1225" s="76" t="inlineStr">
        <is>
          <t>EI</t>
        </is>
      </c>
      <c r="J1225" s="95" t="n"/>
      <c r="K1225" s="95" t="n"/>
      <c r="L1225" s="83">
        <f>IF(OR(X1225="估算法",X1225="算法类",X1225="无法识别"),"",IF(V1225="",IF(OR(I1225="EI",I1225="EO",I1225="EQ"),0,""),LEN(V1225)-LEN(SUBSTITUTE(V1225,"、",""))+1))</f>
        <v/>
      </c>
      <c r="M1225" s="83">
        <f>IF(OR(X1225="估算法",X1225="算法类",X1225="无法识别"),"",IF(W1225="",IF(OR(I1225="ILF",I1225="EIF"),0,""),LEN(W1225)-LEN(SUBSTITUTE(W1225,"、",""))+1))</f>
        <v/>
      </c>
      <c r="N1225" s="83">
        <f>IF(OR(X1225="估算法",X1225="算法类",X1225="无法识别"),"",IF(X1225="",IF(OR(I1225="ILF",I1225="EIF",I1225="EI",I1225="EO",I1225="EQ"),0,""),LEN(X1225)-LEN(SUBSTITUTE(SUBSTITUTE(SUBSTITUTE(SUBSTITUTE(SUBSTITUTE(X1225,"|}","--"),"{|","--"),CHAR(10),""),"、",""),"|",""))+IF(AND(OR(I1225="EI",I1225="EO",I1225="EQ"),$AD$1="NESMA"),2,1)))</f>
        <v/>
      </c>
      <c r="O1225" s="84">
        <f>IF(I1225="EI",IF(OR(X1225="估算法",X1225="算法类"),"中",IF(X1225="无法识别","低",IF(L1225&lt;2,IF(N1225&lt;16,"低","中"),IF(L1225&lt;3,IF(N1225&lt;5,"低",IF(N1225&lt;16,"中","高")),IF(N1225&lt;5,"中","高"))))),IF(OR(I1225="EO",I1225="EQ"),IF(OR(X1225="估算法",X1225="算法类"),"中",IF(X1225="无法识别","低",IF(L1225&lt;2,IF(N1225&lt;20,"低","中"),IF(L1225&lt;4,IF(N1225&lt;6,"低",IF(N1225&lt;20,"中","高")),IF(N1225&lt;6,"中","高"))))),IF(OR(I1225="ILF",I1225="EIF"),IF(OR(X1225="估算法",X1225="算法类",X1225="无法识别"),"低",IF(M1225&lt;2,IF(N1225&lt;51,"低","中"),IF(M1225&lt;6,IF(N1225&lt;20,"低",IF(N1225&lt;51,"中","高")),IF(N1225&lt;20,"中","高")))),"不计算")))</f>
        <v/>
      </c>
      <c r="P1225" s="142">
        <f>IFERROR(IF(I1225="EI",IF(O1225="低",3,IF(O1225="中",4,6)),IF(I1225="EO",IF(O1225="低",4,IF(O1225="中",5,7)),IF(I1225="EQ",IF(O1225="低",3,IF(O1225="中",4,6)),IF(I1225="ILF",IF(O1225="低",7,IF(O1225="中",10,15)),IF(I1225="EIF",IF(O1225="低",5,IF(O1225="中",7,10)),"不计算")))))*Q1225,"不计算")</f>
        <v/>
      </c>
      <c r="Q1225" s="142" t="n">
        <v>0.333333333333333</v>
      </c>
      <c r="R1225" s="143">
        <f>调整因子!$F$13</f>
        <v/>
      </c>
      <c r="S1225" s="70" t="n">
        <v>1</v>
      </c>
      <c r="T1225" s="144">
        <f>IFERROR(P1225*R1225,0)</f>
        <v/>
      </c>
      <c r="U1225" s="145">
        <f>T1225*S1225</f>
        <v/>
      </c>
      <c r="V1225" s="96" t="inlineStr">
        <is>
          <t>报告导入记录表、任务趋势分析表</t>
        </is>
      </c>
      <c r="W1225" s="96" t="inlineStr"/>
      <c r="X1225" s="111" t="inlineStr">
        <is>
          <t>报告导入记录表{ID、名称、类型、状态、创建时间、更新时间|ID、名称、类型}
任务趋势分析表{任务ID、任务名称、任务类型、任务状态、创建时间、执行时间|任务ID、任务名称、任务类型}</t>
        </is>
      </c>
      <c r="Y1225" s="88" t="n"/>
      <c r="Z1225" s="88" t="n"/>
    </row>
    <row r="1226" hidden="1" ht="32.4" customHeight="1">
      <c r="A1226" s="69">
        <f>ROW()-1</f>
        <v/>
      </c>
      <c r="B1226" s="53" t="n"/>
      <c r="C1226" s="117" t="n">
        <v>2026</v>
      </c>
      <c r="E1226" s="53" t="n"/>
      <c r="F1226" s="53" t="n"/>
      <c r="G1226" s="53" t="n"/>
      <c r="H1226" s="96" t="inlineStr">
        <is>
          <t>启用异常处理</t>
        </is>
      </c>
      <c r="I1226" s="76" t="inlineStr">
        <is>
          <t>EI</t>
        </is>
      </c>
      <c r="J1226" s="95" t="n"/>
      <c r="K1226" s="95" t="n"/>
      <c r="L1226" s="83">
        <f>IF(OR(X1226="估算法",X1226="算法类",X1226="无法识别"),"",IF(V1226="",IF(OR(I1226="EI",I1226="EO",I1226="EQ"),0,""),LEN(V1226)-LEN(SUBSTITUTE(V1226,"、",""))+1))</f>
        <v/>
      </c>
      <c r="M1226" s="83">
        <f>IF(OR(X1226="估算法",X1226="算法类",X1226="无法识别"),"",IF(W1226="",IF(OR(I1226="ILF",I1226="EIF"),0,""),LEN(W1226)-LEN(SUBSTITUTE(W1226,"、",""))+1))</f>
        <v/>
      </c>
      <c r="N1226" s="83">
        <f>IF(OR(X1226="估算法",X1226="算法类",X1226="无法识别"),"",IF(X1226="",IF(OR(I1226="ILF",I1226="EIF",I1226="EI",I1226="EO",I1226="EQ"),0,""),LEN(X1226)-LEN(SUBSTITUTE(SUBSTITUTE(SUBSTITUTE(SUBSTITUTE(SUBSTITUTE(X1226,"|}","--"),"{|","--"),CHAR(10),""),"、",""),"|",""))+IF(AND(OR(I1226="EI",I1226="EO",I1226="EQ"),$AD$1="NESMA"),2,1)))</f>
        <v/>
      </c>
      <c r="O1226" s="84">
        <f>IF(I1226="EI",IF(OR(X1226="估算法",X1226="算法类"),"中",IF(X1226="无法识别","低",IF(L1226&lt;2,IF(N1226&lt;16,"低","中"),IF(L1226&lt;3,IF(N1226&lt;5,"低",IF(N1226&lt;16,"中","高")),IF(N1226&lt;5,"中","高"))))),IF(OR(I1226="EO",I1226="EQ"),IF(OR(X1226="估算法",X1226="算法类"),"中",IF(X1226="无法识别","低",IF(L1226&lt;2,IF(N1226&lt;20,"低","中"),IF(L1226&lt;4,IF(N1226&lt;6,"低",IF(N1226&lt;20,"中","高")),IF(N1226&lt;6,"中","高"))))),IF(OR(I1226="ILF",I1226="EIF"),IF(OR(X1226="估算法",X1226="算法类",X1226="无法识别"),"低",IF(M1226&lt;2,IF(N1226&lt;51,"低","中"),IF(M1226&lt;6,IF(N1226&lt;20,"低",IF(N1226&lt;51,"中","高")),IF(N1226&lt;20,"中","高")))),"不计算")))</f>
        <v/>
      </c>
      <c r="P1226" s="142">
        <f>IFERROR(IF(I1226="EI",IF(O1226="低",3,IF(O1226="中",4,6)),IF(I1226="EO",IF(O1226="低",4,IF(O1226="中",5,7)),IF(I1226="EQ",IF(O1226="低",3,IF(O1226="中",4,6)),IF(I1226="ILF",IF(O1226="低",7,IF(O1226="中",10,15)),IF(I1226="EIF",IF(O1226="低",5,IF(O1226="中",7,10)),"不计算")))))*Q1226,"不计算")</f>
        <v/>
      </c>
      <c r="Q1226" s="142" t="n">
        <v>0.333333333333333</v>
      </c>
      <c r="R1226" s="143">
        <f>调整因子!$F$13</f>
        <v/>
      </c>
      <c r="S1226" s="76" t="n">
        <v>1</v>
      </c>
      <c r="T1226" s="144">
        <f>IFERROR(P1226*R1226,0)</f>
        <v/>
      </c>
      <c r="U1226" s="145">
        <f>T1226*S1226</f>
        <v/>
      </c>
      <c r="V1226" s="96" t="inlineStr">
        <is>
          <t>脱敏规则表、通报模板表</t>
        </is>
      </c>
      <c r="W1226" s="96" t="inlineStr"/>
      <c r="X1226" s="111" t="inlineStr">
        <is>
          <t>脱敏规则表{规则ID、规则名称、规则类型、规则条件、创建时间|规则ID、规则名称、规则类型}
通报模板表{ID、名称、类型、状态、创建时间、更新时间|ID、名称、类型}</t>
        </is>
      </c>
      <c r="Y1226" s="88" t="n"/>
      <c r="Z1226" s="88" t="n"/>
    </row>
    <row r="1227" hidden="1" ht="32.4" customHeight="1">
      <c r="A1227" s="69">
        <f>ROW()-1</f>
        <v/>
      </c>
      <c r="B1227" s="53" t="n"/>
      <c r="C1227" s="117" t="n">
        <v>2026</v>
      </c>
      <c r="E1227" s="53" t="n"/>
      <c r="F1227" s="53" t="n"/>
      <c r="G1227" s="53" t="n"/>
      <c r="H1227" s="96" t="inlineStr">
        <is>
          <t>停用异常处理</t>
        </is>
      </c>
      <c r="I1227" s="76" t="n"/>
      <c r="J1227" s="95" t="n"/>
      <c r="K1227" s="95" t="inlineStr">
        <is>
          <t>和上行合并，启停为相同功能</t>
        </is>
      </c>
      <c r="L1227" s="83">
        <f>IF(OR(X1227="估算法",X1227="算法类",X1227="无法识别"),"",IF(V1227="",IF(OR(I1227="EI",I1227="EO",I1227="EQ"),0,""),LEN(V1227)-LEN(SUBSTITUTE(V1227,"、",""))+1))</f>
        <v/>
      </c>
      <c r="M1227" s="83">
        <f>IF(OR(X1227="估算法",X1227="算法类",X1227="无法识别"),"",IF(W1227="",IF(OR(I1227="ILF",I1227="EIF"),0,""),LEN(W1227)-LEN(SUBSTITUTE(W1227,"、",""))+1))</f>
        <v/>
      </c>
      <c r="N1227" s="83">
        <f>IF(OR(X1227="估算法",X1227="算法类",X1227="无法识别"),"",IF(X1227="",IF(OR(I1227="ILF",I1227="EIF",I1227="EI",I1227="EO",I1227="EQ"),0,""),LEN(X1227)-LEN(SUBSTITUTE(SUBSTITUTE(SUBSTITUTE(SUBSTITUTE(SUBSTITUTE(X1227,"|}","--"),"{|","--"),CHAR(10),""),"、",""),"|",""))+IF(AND(OR(I1227="EI",I1227="EO",I1227="EQ"),$AD$1="NESMA"),2,1)))</f>
        <v/>
      </c>
      <c r="O1227" s="84">
        <f>IF(I1227="EI",IF(OR(X1227="估算法",X1227="算法类"),"中",IF(X1227="无法识别","低",IF(L1227&lt;2,IF(N1227&lt;16,"低","中"),IF(L1227&lt;3,IF(N1227&lt;5,"低",IF(N1227&lt;16,"中","高")),IF(N1227&lt;5,"中","高"))))),IF(OR(I1227="EO",I1227="EQ"),IF(OR(X1227="估算法",X1227="算法类"),"中",IF(X1227="无法识别","低",IF(L1227&lt;2,IF(N1227&lt;20,"低","中"),IF(L1227&lt;4,IF(N1227&lt;6,"低",IF(N1227&lt;20,"中","高")),IF(N1227&lt;6,"中","高"))))),IF(OR(I1227="ILF",I1227="EIF"),IF(OR(X1227="估算法",X1227="算法类",X1227="无法识别"),"低",IF(M1227&lt;2,IF(N1227&lt;51,"低","中"),IF(M1227&lt;6,IF(N1227&lt;20,"低",IF(N1227&lt;51,"中","高")),IF(N1227&lt;20,"中","高")))),"不计算")))</f>
        <v/>
      </c>
      <c r="P1227" s="142">
        <f>IFERROR(IF(I1227="EI",IF(O1227="低",3,IF(O1227="中",4,6)),IF(I1227="EO",IF(O1227="低",4,IF(O1227="中",5,7)),IF(I1227="EQ",IF(O1227="低",3,IF(O1227="中",4,6)),IF(I1227="ILF",IF(O1227="低",7,IF(O1227="中",10,15)),IF(I1227="EIF",IF(O1227="低",5,IF(O1227="中",7,10)),"不计算")))))*Q1227,"不计算")</f>
        <v/>
      </c>
      <c r="Q1227" s="142" t="n">
        <v>0.333333333333333</v>
      </c>
      <c r="R1227" s="143">
        <f>调整因子!$F$13</f>
        <v/>
      </c>
      <c r="S1227" s="70" t="n">
        <v>1</v>
      </c>
      <c r="T1227" s="144">
        <f>IFERROR(P1227*R1227,0)</f>
        <v/>
      </c>
      <c r="U1227" s="145">
        <f>T1227*S1227</f>
        <v/>
      </c>
      <c r="V1227" s="96" t="inlineStr">
        <is>
          <t>扫描盲区记录表、加密算法表</t>
        </is>
      </c>
      <c r="W1227" s="96" t="inlineStr"/>
      <c r="X1227" s="111" t="inlineStr">
        <is>
          <t>扫描盲区记录表{任务ID、任务名称、任务状态、扫描器类型、开始时间、结束时间、扫描结果|任务ID、任务名称、任务状态}
加密算法表{ID、名称、类型、状态、创建时间、更新时间|ID、名称、类型}</t>
        </is>
      </c>
      <c r="Y1227" s="88" t="n"/>
      <c r="Z1227" s="88" t="n"/>
    </row>
    <row r="1228" hidden="1" ht="43.2" customHeight="1">
      <c r="A1228" s="69">
        <f>ROW()-1</f>
        <v/>
      </c>
      <c r="B1228" s="53" t="n"/>
      <c r="C1228" s="117" t="n">
        <v>2026</v>
      </c>
      <c r="E1228" s="53" t="n"/>
      <c r="F1228" s="53" t="n"/>
      <c r="G1228" s="53" t="n"/>
      <c r="H1228" s="96" t="inlineStr">
        <is>
          <t>导出异常配置</t>
        </is>
      </c>
      <c r="I1228" s="76" t="inlineStr">
        <is>
          <t>EO</t>
        </is>
      </c>
      <c r="J1228" s="95" t="n"/>
      <c r="K1228" s="95" t="n"/>
      <c r="L1228" s="83">
        <f>IF(OR(X1228="估算法",X1228="算法类",X1228="无法识别"),"",IF(V1228="",IF(OR(I1228="EI",I1228="EO",I1228="EQ"),0,""),LEN(V1228)-LEN(SUBSTITUTE(V1228,"、",""))+1))</f>
        <v/>
      </c>
      <c r="M1228" s="83">
        <f>IF(OR(X1228="估算法",X1228="算法类",X1228="无法识别"),"",IF(W1228="",IF(OR(I1228="ILF",I1228="EIF"),0,""),LEN(W1228)-LEN(SUBSTITUTE(W1228,"、",""))+1))</f>
        <v/>
      </c>
      <c r="N1228" s="83">
        <f>IF(OR(X1228="估算法",X1228="算法类",X1228="无法识别"),"",IF(X1228="",IF(OR(I1228="ILF",I1228="EIF",I1228="EI",I1228="EO",I1228="EQ"),0,""),LEN(X1228)-LEN(SUBSTITUTE(SUBSTITUTE(SUBSTITUTE(SUBSTITUTE(SUBSTITUTE(X1228,"|}","--"),"{|","--"),CHAR(10),""),"、",""),"|",""))+IF(AND(OR(I1228="EI",I1228="EO",I1228="EQ"),$AD$1="NESMA"),2,1)))</f>
        <v/>
      </c>
      <c r="O1228" s="84">
        <f>IF(I1228="EI",IF(OR(X1228="估算法",X1228="算法类"),"中",IF(X1228="无法识别","低",IF(L1228&lt;2,IF(N1228&lt;16,"低","中"),IF(L1228&lt;3,IF(N1228&lt;5,"低",IF(N1228&lt;16,"中","高")),IF(N1228&lt;5,"中","高"))))),IF(OR(I1228="EO",I1228="EQ"),IF(OR(X1228="估算法",X1228="算法类"),"中",IF(X1228="无法识别","低",IF(L1228&lt;2,IF(N1228&lt;20,"低","中"),IF(L1228&lt;4,IF(N1228&lt;6,"低",IF(N1228&lt;20,"中","高")),IF(N1228&lt;6,"中","高"))))),IF(OR(I1228="ILF",I1228="EIF"),IF(OR(X1228="估算法",X1228="算法类",X1228="无法识别"),"低",IF(M1228&lt;2,IF(N1228&lt;51,"低","中"),IF(M1228&lt;6,IF(N1228&lt;20,"低",IF(N1228&lt;51,"中","高")),IF(N1228&lt;20,"中","高")))),"不计算")))</f>
        <v/>
      </c>
      <c r="P1228" s="142">
        <f>IFERROR(IF(I1228="EI",IF(O1228="低",3,IF(O1228="中",4,6)),IF(I1228="EO",IF(O1228="低",4,IF(O1228="中",5,7)),IF(I1228="EQ",IF(O1228="低",3,IF(O1228="中",4,6)),IF(I1228="ILF",IF(O1228="低",7,IF(O1228="中",10,15)),IF(I1228="EIF",IF(O1228="低",5,IF(O1228="中",7,10)),"不计算")))))*Q1228,"不计算")</f>
        <v/>
      </c>
      <c r="Q1228" s="142" t="n">
        <v>0.333333333333333</v>
      </c>
      <c r="R1228" s="143">
        <f>调整因子!$F$13</f>
        <v/>
      </c>
      <c r="S1228" s="70" t="n">
        <v>1</v>
      </c>
      <c r="T1228" s="144">
        <f>IFERROR(P1228*R1228,0)</f>
        <v/>
      </c>
      <c r="U1228" s="145">
        <f>T1228*S1228</f>
        <v/>
      </c>
      <c r="V1228" s="96" t="inlineStr">
        <is>
          <t>任务优先级配置表、模板参数配置表</t>
        </is>
      </c>
      <c r="W1228" s="96" t="inlineStr"/>
      <c r="X1228" s="111" t="inlineStr">
        <is>
          <t>任务优先级配置表{任务ID、任务名称|任务ID、任务名称、任务类型、任务状态、创建时间、执行时间}
模板参数配置表{配置ID、配置名称|配置ID、配置名称、配置类型、配置值、创建时间}</t>
        </is>
      </c>
      <c r="Y1228" s="88" t="n"/>
      <c r="Z1228" s="88" t="n"/>
    </row>
    <row r="1229" hidden="1">
      <c r="A1229" s="69">
        <f>ROW()-1</f>
        <v/>
      </c>
      <c r="B1229" s="53" t="n"/>
      <c r="C1229" s="117" t="n">
        <v>2026</v>
      </c>
      <c r="E1229" s="53" t="n"/>
      <c r="F1229" s="53" t="n"/>
      <c r="G1229" s="53" t="n"/>
      <c r="H1229" s="96" t="inlineStr">
        <is>
          <t>查询异常规则</t>
        </is>
      </c>
      <c r="I1229" s="76" t="inlineStr">
        <is>
          <t>EO</t>
        </is>
      </c>
      <c r="J1229" s="95" t="n"/>
      <c r="K1229" s="95" t="n"/>
      <c r="L1229" s="83">
        <f>IF(OR(X1229="估算法",X1229="算法类",X1229="无法识别"),"",IF(V1229="",IF(OR(I1229="EI",I1229="EO",I1229="EQ"),0,""),LEN(V1229)-LEN(SUBSTITUTE(V1229,"、",""))+1))</f>
        <v/>
      </c>
      <c r="M1229" s="83">
        <f>IF(OR(X1229="估算法",X1229="算法类",X1229="无法识别"),"",IF(W1229="",IF(OR(I1229="ILF",I1229="EIF"),0,""),LEN(W1229)-LEN(SUBSTITUTE(W1229,"、",""))+1))</f>
        <v/>
      </c>
      <c r="N1229" s="83">
        <f>IF(OR(X1229="估算法",X1229="算法类",X1229="无法识别"),"",IF(X1229="",IF(OR(I1229="ILF",I1229="EIF",I1229="EI",I1229="EO",I1229="EQ"),0,""),LEN(X1229)-LEN(SUBSTITUTE(SUBSTITUTE(SUBSTITUTE(SUBSTITUTE(SUBSTITUTE(X1229,"|}","--"),"{|","--"),CHAR(10),""),"、",""),"|",""))+IF(AND(OR(I1229="EI",I1229="EO",I1229="EQ"),$AD$1="NESMA"),2,1)))</f>
        <v/>
      </c>
      <c r="O1229" s="84">
        <f>IF(I1229="EI",IF(OR(X1229="估算法",X1229="算法类"),"中",IF(X1229="无法识别","低",IF(L1229&lt;2,IF(N1229&lt;16,"低","中"),IF(L1229&lt;3,IF(N1229&lt;5,"低",IF(N1229&lt;16,"中","高")),IF(N1229&lt;5,"中","高"))))),IF(OR(I1229="EO",I1229="EQ"),IF(OR(X1229="估算法",X1229="算法类"),"中",IF(X1229="无法识别","低",IF(L1229&lt;2,IF(N1229&lt;20,"低","中"),IF(L1229&lt;4,IF(N1229&lt;6,"低",IF(N1229&lt;20,"中","高")),IF(N1229&lt;6,"中","高"))))),IF(OR(I1229="ILF",I1229="EIF"),IF(OR(X1229="估算法",X1229="算法类",X1229="无法识别"),"低",IF(M1229&lt;2,IF(N1229&lt;51,"低","中"),IF(M1229&lt;6,IF(N1229&lt;20,"低",IF(N1229&lt;51,"中","高")),IF(N1229&lt;20,"中","高")))),"不计算")))</f>
        <v/>
      </c>
      <c r="P1229" s="142">
        <f>IFERROR(IF(I1229="EI",IF(O1229="低",3,IF(O1229="中",4,6)),IF(I1229="EO",IF(O1229="低",4,IF(O1229="中",5,7)),IF(I1229="EQ",IF(O1229="低",3,IF(O1229="中",4,6)),IF(I1229="ILF",IF(O1229="低",7,IF(O1229="中",10,15)),IF(I1229="EIF",IF(O1229="低",5,IF(O1229="中",7,10)),"不计算")))))*Q1229,"不计算")</f>
        <v/>
      </c>
      <c r="Q1229" s="142" t="n">
        <v>0.333333333333333</v>
      </c>
      <c r="R1229" s="143">
        <f>调整因子!$F$13</f>
        <v/>
      </c>
      <c r="S1229" s="76" t="n">
        <v>1</v>
      </c>
      <c r="T1229" s="144">
        <f>IFERROR(P1229*R1229,0)</f>
        <v/>
      </c>
      <c r="U1229" s="145">
        <f>T1229*S1229</f>
        <v/>
      </c>
      <c r="V1229" s="96" t="inlineStr">
        <is>
          <t>推送规则表</t>
        </is>
      </c>
      <c r="W1229" s="96" t="inlineStr"/>
      <c r="X1229" s="111" t="inlineStr">
        <is>
          <t>推送规则表{规则ID、规则名称|规则ID、规则名称、规则类型、规则条件、创建时间}</t>
        </is>
      </c>
      <c r="Y1229" s="88" t="n"/>
      <c r="Z1229" s="88" t="n"/>
    </row>
    <row r="1230" hidden="1" ht="21.6" customHeight="1">
      <c r="A1230" s="69">
        <f>ROW()-1</f>
        <v/>
      </c>
      <c r="B1230" s="53" t="n"/>
      <c r="C1230" s="117" t="n">
        <v>2026</v>
      </c>
      <c r="E1230" s="54" t="n"/>
      <c r="F1230" s="54" t="n"/>
      <c r="G1230" s="54" t="n"/>
      <c r="H1230" s="96" t="inlineStr">
        <is>
          <t>查看异常详情</t>
        </is>
      </c>
      <c r="I1230" s="76" t="inlineStr">
        <is>
          <t>EQ</t>
        </is>
      </c>
      <c r="J1230" s="95" t="n"/>
      <c r="K1230" s="95" t="n"/>
      <c r="L1230" s="83">
        <f>IF(OR(X1230="估算法",X1230="算法类",X1230="无法识别"),"",IF(V1230="",IF(OR(I1230="EI",I1230="EO",I1230="EQ"),0,""),LEN(V1230)-LEN(SUBSTITUTE(V1230,"、",""))+1))</f>
        <v/>
      </c>
      <c r="M1230" s="83">
        <f>IF(OR(X1230="估算法",X1230="算法类",X1230="无法识别"),"",IF(W1230="",IF(OR(I1230="ILF",I1230="EIF"),0,""),LEN(W1230)-LEN(SUBSTITUTE(W1230,"、",""))+1))</f>
        <v/>
      </c>
      <c r="N1230" s="83">
        <f>IF(OR(X1230="估算法",X1230="算法类",X1230="无法识别"),"",IF(X1230="",IF(OR(I1230="ILF",I1230="EIF",I1230="EI",I1230="EO",I1230="EQ"),0,""),LEN(X1230)-LEN(SUBSTITUTE(SUBSTITUTE(SUBSTITUTE(SUBSTITUTE(SUBSTITUTE(X1230,"|}","--"),"{|","--"),CHAR(10),""),"、",""),"|",""))+IF(AND(OR(I1230="EI",I1230="EO",I1230="EQ"),$AD$1="NESMA"),2,1)))</f>
        <v/>
      </c>
      <c r="O1230" s="84">
        <f>IF(I1230="EI",IF(OR(X1230="估算法",X1230="算法类"),"中",IF(X1230="无法识别","低",IF(L1230&lt;2,IF(N1230&lt;16,"低","中"),IF(L1230&lt;3,IF(N1230&lt;5,"低",IF(N1230&lt;16,"中","高")),IF(N1230&lt;5,"中","高"))))),IF(OR(I1230="EO",I1230="EQ"),IF(OR(X1230="估算法",X1230="算法类"),"中",IF(X1230="无法识别","低",IF(L1230&lt;2,IF(N1230&lt;20,"低","中"),IF(L1230&lt;4,IF(N1230&lt;6,"低",IF(N1230&lt;20,"中","高")),IF(N1230&lt;6,"中","高"))))),IF(OR(I1230="ILF",I1230="EIF"),IF(OR(X1230="估算法",X1230="算法类",X1230="无法识别"),"低",IF(M1230&lt;2,IF(N1230&lt;51,"低","中"),IF(M1230&lt;6,IF(N1230&lt;20,"低",IF(N1230&lt;51,"中","高")),IF(N1230&lt;20,"中","高")))),"不计算")))</f>
        <v/>
      </c>
      <c r="P1230" s="142">
        <f>IFERROR(IF(I1230="EI",IF(O1230="低",3,IF(O1230="中",4,6)),IF(I1230="EO",IF(O1230="低",4,IF(O1230="中",5,7)),IF(I1230="EQ",IF(O1230="低",3,IF(O1230="中",4,6)),IF(I1230="ILF",IF(O1230="低",7,IF(O1230="中",10,15)),IF(I1230="EIF",IF(O1230="低",5,IF(O1230="中",7,10)),"不计算")))))*Q1230,"不计算")</f>
        <v/>
      </c>
      <c r="Q1230" s="142" t="n">
        <v>0.333333333333333</v>
      </c>
      <c r="R1230" s="143">
        <f>调整因子!$F$13</f>
        <v/>
      </c>
      <c r="S1230" s="76" t="n">
        <v>1</v>
      </c>
      <c r="T1230" s="144">
        <f>IFERROR(P1230*R1230,0)</f>
        <v/>
      </c>
      <c r="U1230" s="145">
        <f>T1230*S1230</f>
        <v/>
      </c>
      <c r="V1230" s="96" t="inlineStr">
        <is>
          <t>报告导入记录表、验证配置表</t>
        </is>
      </c>
      <c r="W1230" s="96" t="inlineStr"/>
      <c r="X1230" s="111" t="inlineStr">
        <is>
          <t>报告导入记录表{ID、名称|ID、名称、类型、状态、创建时间、更新时间}
验证配置表{配置ID、配置名称|配置ID、配置名称、配置类型、配置值、创建时间}</t>
        </is>
      </c>
      <c r="Y1230" s="88" t="n"/>
      <c r="Z1230" s="88" t="n"/>
    </row>
    <row r="1231" hidden="1" ht="43.2" customHeight="1">
      <c r="A1231" s="69">
        <f>ROW()-1</f>
        <v/>
      </c>
      <c r="B1231" s="53" t="n"/>
      <c r="C1231" s="117" t="n">
        <v>2026</v>
      </c>
      <c r="E1231" s="111" t="inlineStr">
        <is>
          <t>漏洞知识库管理</t>
        </is>
      </c>
      <c r="F1231" s="111" t="inlineStr">
        <is>
          <t>漏洞分级分类管理</t>
        </is>
      </c>
      <c r="G1231" s="111" t="inlineStr">
        <is>
          <t>漏洞知识录入管理</t>
        </is>
      </c>
      <c r="H1231" s="96" t="inlineStr">
        <is>
          <t>编辑漏洞知识</t>
        </is>
      </c>
      <c r="I1231" s="76" t="inlineStr">
        <is>
          <t>EI</t>
        </is>
      </c>
      <c r="J1231" s="95" t="n"/>
      <c r="K1231" s="95" t="n"/>
      <c r="L1231" s="83">
        <f>IF(OR(X1231="估算法",X1231="算法类",X1231="无法识别"),"",IF(V1231="",IF(OR(I1231="EI",I1231="EO",I1231="EQ"),0,""),LEN(V1231)-LEN(SUBSTITUTE(V1231,"、",""))+1))</f>
        <v/>
      </c>
      <c r="M1231" s="83">
        <f>IF(OR(X1231="估算法",X1231="算法类",X1231="无法识别"),"",IF(W1231="",IF(OR(I1231="ILF",I1231="EIF"),0,""),LEN(W1231)-LEN(SUBSTITUTE(W1231,"、",""))+1))</f>
        <v/>
      </c>
      <c r="N1231" s="83">
        <f>IF(OR(X1231="估算法",X1231="算法类",X1231="无法识别"),"",IF(X1231="",IF(OR(I1231="ILF",I1231="EIF",I1231="EI",I1231="EO",I1231="EQ"),0,""),LEN(X1231)-LEN(SUBSTITUTE(SUBSTITUTE(SUBSTITUTE(SUBSTITUTE(SUBSTITUTE(X1231,"|}","--"),"{|","--"),CHAR(10),""),"、",""),"|",""))+IF(AND(OR(I1231="EI",I1231="EO",I1231="EQ"),$AD$1="NESMA"),2,1)))</f>
        <v/>
      </c>
      <c r="O1231" s="84">
        <f>IF(I1231="EI",IF(OR(X1231="估算法",X1231="算法类"),"中",IF(X1231="无法识别","低",IF(L1231&lt;2,IF(N1231&lt;16,"低","中"),IF(L1231&lt;3,IF(N1231&lt;5,"低",IF(N1231&lt;16,"中","高")),IF(N1231&lt;5,"中","高"))))),IF(OR(I1231="EO",I1231="EQ"),IF(OR(X1231="估算法",X1231="算法类"),"中",IF(X1231="无法识别","低",IF(L1231&lt;2,IF(N1231&lt;20,"低","中"),IF(L1231&lt;4,IF(N1231&lt;6,"低",IF(N1231&lt;20,"中","高")),IF(N1231&lt;6,"中","高"))))),IF(OR(I1231="ILF",I1231="EIF"),IF(OR(X1231="估算法",X1231="算法类",X1231="无法识别"),"低",IF(M1231&lt;2,IF(N1231&lt;51,"低","中"),IF(M1231&lt;6,IF(N1231&lt;20,"低",IF(N1231&lt;51,"中","高")),IF(N1231&lt;20,"中","高")))),"不计算")))</f>
        <v/>
      </c>
      <c r="P1231" s="142">
        <f>IFERROR(IF(I1231="EI",IF(O1231="低",3,IF(O1231="中",4,6)),IF(I1231="EO",IF(O1231="低",4,IF(O1231="中",5,7)),IF(I1231="EQ",IF(O1231="低",3,IF(O1231="中",4,6)),IF(I1231="ILF",IF(O1231="低",7,IF(O1231="中",10,15)),IF(I1231="EIF",IF(O1231="低",5,IF(O1231="中",7,10)),"不计算")))))*Q1231,"不计算")</f>
        <v/>
      </c>
      <c r="Q1231" s="142" t="n">
        <v>1</v>
      </c>
      <c r="R1231" s="143">
        <f>调整因子!$F$13</f>
        <v/>
      </c>
      <c r="S1231" s="70" t="n">
        <v>1</v>
      </c>
      <c r="T1231" s="144">
        <f>IFERROR(P1231*R1231,0)</f>
        <v/>
      </c>
      <c r="U1231" s="145">
        <f>T1231*S1231</f>
        <v/>
      </c>
      <c r="V1231" s="96" t="inlineStr">
        <is>
          <t>漏洞处置单表、漏洞统计数据表</t>
        </is>
      </c>
      <c r="W1231" s="96" t="inlineStr"/>
      <c r="X1231" s="111"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Y1231" s="88" t="n"/>
      <c r="Z1231" s="88" t="n"/>
    </row>
    <row r="1232" hidden="1" ht="21.6" customHeight="1">
      <c r="A1232" s="69">
        <f>ROW()-1</f>
        <v/>
      </c>
      <c r="B1232" s="53" t="n"/>
      <c r="C1232" s="117" t="n">
        <v>2026</v>
      </c>
      <c r="E1232" s="53" t="n"/>
      <c r="F1232" s="53" t="n"/>
      <c r="G1232" s="53" t="n"/>
      <c r="H1232" s="96" t="inlineStr">
        <is>
          <t>删除漏洞知识</t>
        </is>
      </c>
      <c r="I1232" s="76" t="inlineStr">
        <is>
          <t>EI</t>
        </is>
      </c>
      <c r="J1232" s="95" t="n"/>
      <c r="K1232" s="95" t="n"/>
      <c r="L1232" s="83">
        <f>IF(OR(X1232="估算法",X1232="算法类",X1232="无法识别"),"",IF(V1232="",IF(OR(I1232="EI",I1232="EO",I1232="EQ"),0,""),LEN(V1232)-LEN(SUBSTITUTE(V1232,"、",""))+1))</f>
        <v/>
      </c>
      <c r="M1232" s="83">
        <f>IF(OR(X1232="估算法",X1232="算法类",X1232="无法识别"),"",IF(W1232="",IF(OR(I1232="ILF",I1232="EIF"),0,""),LEN(W1232)-LEN(SUBSTITUTE(W1232,"、",""))+1))</f>
        <v/>
      </c>
      <c r="N1232" s="83">
        <f>IF(OR(X1232="估算法",X1232="算法类",X1232="无法识别"),"",IF(X1232="",IF(OR(I1232="ILF",I1232="EIF",I1232="EI",I1232="EO",I1232="EQ"),0,""),LEN(X1232)-LEN(SUBSTITUTE(SUBSTITUTE(SUBSTITUTE(SUBSTITUTE(SUBSTITUTE(X1232,"|}","--"),"{|","--"),CHAR(10),""),"、",""),"|",""))+IF(AND(OR(I1232="EI",I1232="EO",I1232="EQ"),$AD$1="NESMA"),2,1)))</f>
        <v/>
      </c>
      <c r="O1232" s="84">
        <f>IF(I1232="EI",IF(OR(X1232="估算法",X1232="算法类"),"中",IF(X1232="无法识别","低",IF(L1232&lt;2,IF(N1232&lt;16,"低","中"),IF(L1232&lt;3,IF(N1232&lt;5,"低",IF(N1232&lt;16,"中","高")),IF(N1232&lt;5,"中","高"))))),IF(OR(I1232="EO",I1232="EQ"),IF(OR(X1232="估算法",X1232="算法类"),"中",IF(X1232="无法识别","低",IF(L1232&lt;2,IF(N1232&lt;20,"低","中"),IF(L1232&lt;4,IF(N1232&lt;6,"低",IF(N1232&lt;20,"中","高")),IF(N1232&lt;6,"中","高"))))),IF(OR(I1232="ILF",I1232="EIF"),IF(OR(X1232="估算法",X1232="算法类",X1232="无法识别"),"低",IF(M1232&lt;2,IF(N1232&lt;51,"低","中"),IF(M1232&lt;6,IF(N1232&lt;20,"低",IF(N1232&lt;51,"中","高")),IF(N1232&lt;20,"中","高")))),"不计算")))</f>
        <v/>
      </c>
      <c r="P1232" s="142">
        <f>IFERROR(IF(I1232="EI",IF(O1232="低",3,IF(O1232="中",4,6)),IF(I1232="EO",IF(O1232="低",4,IF(O1232="中",5,7)),IF(I1232="EQ",IF(O1232="低",3,IF(O1232="中",4,6)),IF(I1232="ILF",IF(O1232="低",7,IF(O1232="中",10,15)),IF(I1232="EIF",IF(O1232="低",5,IF(O1232="中",7,10)),"不计算")))))*Q1232,"不计算")</f>
        <v/>
      </c>
      <c r="Q1232" s="142" t="n">
        <v>0.333333333333333</v>
      </c>
      <c r="R1232" s="143">
        <f>调整因子!$F$13</f>
        <v/>
      </c>
      <c r="S1232" s="70" t="n">
        <v>1</v>
      </c>
      <c r="T1232" s="144">
        <f>IFERROR(P1232*R1232,0)</f>
        <v/>
      </c>
      <c r="U1232" s="145">
        <f>T1232*S1232</f>
        <v/>
      </c>
      <c r="V1232" s="96" t="inlineStr">
        <is>
          <t>漏洞处置单表</t>
        </is>
      </c>
      <c r="W1232" s="96" t="inlineStr"/>
      <c r="X1232" s="111" t="inlineStr">
        <is>
          <t>漏洞处置单表{漏洞ID、漏洞名称、漏洞等级、漏洞类型、CVE编号、发现时间、修复状态|漏洞ID、漏洞名称、漏洞等级}</t>
        </is>
      </c>
      <c r="Y1232" s="88" t="n"/>
      <c r="Z1232" s="88" t="n"/>
    </row>
    <row r="1233" hidden="1" ht="43.2" customHeight="1">
      <c r="A1233" s="69">
        <f>ROW()-1</f>
        <v/>
      </c>
      <c r="B1233" s="53" t="n"/>
      <c r="C1233" s="117" t="n">
        <v>2026</v>
      </c>
      <c r="E1233" s="53" t="n"/>
      <c r="F1233" s="53" t="n"/>
      <c r="G1233" s="53" t="n"/>
      <c r="H1233" s="96" t="inlineStr">
        <is>
          <t>启用漏洞知识</t>
        </is>
      </c>
      <c r="I1233" s="76" t="inlineStr">
        <is>
          <t>EI</t>
        </is>
      </c>
      <c r="J1233" s="95" t="n"/>
      <c r="K1233" s="95" t="n"/>
      <c r="L1233" s="83">
        <f>IF(OR(X1233="估算法",X1233="算法类",X1233="无法识别"),"",IF(V1233="",IF(OR(I1233="EI",I1233="EO",I1233="EQ"),0,""),LEN(V1233)-LEN(SUBSTITUTE(V1233,"、",""))+1))</f>
        <v/>
      </c>
      <c r="M1233" s="83">
        <f>IF(OR(X1233="估算法",X1233="算法类",X1233="无法识别"),"",IF(W1233="",IF(OR(I1233="ILF",I1233="EIF"),0,""),LEN(W1233)-LEN(SUBSTITUTE(W1233,"、",""))+1))</f>
        <v/>
      </c>
      <c r="N1233" s="83">
        <f>IF(OR(X1233="估算法",X1233="算法类",X1233="无法识别"),"",IF(X1233="",IF(OR(I1233="ILF",I1233="EIF",I1233="EI",I1233="EO",I1233="EQ"),0,""),LEN(X1233)-LEN(SUBSTITUTE(SUBSTITUTE(SUBSTITUTE(SUBSTITUTE(SUBSTITUTE(X1233,"|}","--"),"{|","--"),CHAR(10),""),"、",""),"|",""))+IF(AND(OR(I1233="EI",I1233="EO",I1233="EQ"),$AD$1="NESMA"),2,1)))</f>
        <v/>
      </c>
      <c r="O1233" s="84">
        <f>IF(I1233="EI",IF(OR(X1233="估算法",X1233="算法类"),"中",IF(X1233="无法识别","低",IF(L1233&lt;2,IF(N1233&lt;16,"低","中"),IF(L1233&lt;3,IF(N1233&lt;5,"低",IF(N1233&lt;16,"中","高")),IF(N1233&lt;5,"中","高"))))),IF(OR(I1233="EO",I1233="EQ"),IF(OR(X1233="估算法",X1233="算法类"),"中",IF(X1233="无法识别","低",IF(L1233&lt;2,IF(N1233&lt;20,"低","中"),IF(L1233&lt;4,IF(N1233&lt;6,"低",IF(N1233&lt;20,"中","高")),IF(N1233&lt;6,"中","高"))))),IF(OR(I1233="ILF",I1233="EIF"),IF(OR(X1233="估算法",X1233="算法类",X1233="无法识别"),"低",IF(M1233&lt;2,IF(N1233&lt;51,"低","中"),IF(M1233&lt;6,IF(N1233&lt;20,"低",IF(N1233&lt;51,"中","高")),IF(N1233&lt;20,"中","高")))),"不计算")))</f>
        <v/>
      </c>
      <c r="P1233" s="142">
        <f>IFERROR(IF(I1233="EI",IF(O1233="低",3,IF(O1233="中",4,6)),IF(I1233="EO",IF(O1233="低",4,IF(O1233="中",5,7)),IF(I1233="EQ",IF(O1233="低",3,IF(O1233="中",4,6)),IF(I1233="ILF",IF(O1233="低",7,IF(O1233="中",10,15)),IF(I1233="EIF",IF(O1233="低",5,IF(O1233="中",7,10)),"不计算")))))*Q1233,"不计算")</f>
        <v/>
      </c>
      <c r="Q1233" s="142" t="n">
        <v>1</v>
      </c>
      <c r="R1233" s="143">
        <f>调整因子!$F$13</f>
        <v/>
      </c>
      <c r="S1233" s="76" t="n">
        <v>1</v>
      </c>
      <c r="T1233" s="144">
        <f>IFERROR(P1233*R1233,0)</f>
        <v/>
      </c>
      <c r="U1233" s="145">
        <f>T1233*S1233</f>
        <v/>
      </c>
      <c r="V1233" s="96" t="inlineStr">
        <is>
          <t>漏洞处置单表、漏洞统计数据表</t>
        </is>
      </c>
      <c r="W1233" s="96" t="inlineStr"/>
      <c r="X1233" s="111"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Y1233" s="88" t="n"/>
      <c r="Z1233" s="88" t="n"/>
    </row>
    <row r="1234" hidden="1" ht="43.2" customHeight="1">
      <c r="A1234" s="69">
        <f>ROW()-1</f>
        <v/>
      </c>
      <c r="B1234" s="53" t="n"/>
      <c r="C1234" s="117" t="n">
        <v>2026</v>
      </c>
      <c r="E1234" s="53" t="n"/>
      <c r="F1234" s="53" t="n"/>
      <c r="G1234" s="53" t="n"/>
      <c r="H1234" s="96" t="inlineStr">
        <is>
          <t>停用漏洞知识</t>
        </is>
      </c>
      <c r="I1234" s="76" t="n"/>
      <c r="J1234" s="95" t="n"/>
      <c r="K1234" s="95" t="inlineStr">
        <is>
          <t>和上行合并，启停为相同功能</t>
        </is>
      </c>
      <c r="L1234" s="83">
        <f>IF(OR(X1234="估算法",X1234="算法类",X1234="无法识别"),"",IF(V1234="",IF(OR(I1234="EI",I1234="EO",I1234="EQ"),0,""),LEN(V1234)-LEN(SUBSTITUTE(V1234,"、",""))+1))</f>
        <v/>
      </c>
      <c r="M1234" s="83">
        <f>IF(OR(X1234="估算法",X1234="算法类",X1234="无法识别"),"",IF(W1234="",IF(OR(I1234="ILF",I1234="EIF"),0,""),LEN(W1234)-LEN(SUBSTITUTE(W1234,"、",""))+1))</f>
        <v/>
      </c>
      <c r="N1234" s="83">
        <f>IF(OR(X1234="估算法",X1234="算法类",X1234="无法识别"),"",IF(X1234="",IF(OR(I1234="ILF",I1234="EIF",I1234="EI",I1234="EO",I1234="EQ"),0,""),LEN(X1234)-LEN(SUBSTITUTE(SUBSTITUTE(SUBSTITUTE(SUBSTITUTE(SUBSTITUTE(X1234,"|}","--"),"{|","--"),CHAR(10),""),"、",""),"|",""))+IF(AND(OR(I1234="EI",I1234="EO",I1234="EQ"),$AD$1="NESMA"),2,1)))</f>
        <v/>
      </c>
      <c r="O1234" s="84">
        <f>IF(I1234="EI",IF(OR(X1234="估算法",X1234="算法类"),"中",IF(X1234="无法识别","低",IF(L1234&lt;2,IF(N1234&lt;16,"低","中"),IF(L1234&lt;3,IF(N1234&lt;5,"低",IF(N1234&lt;16,"中","高")),IF(N1234&lt;5,"中","高"))))),IF(OR(I1234="EO",I1234="EQ"),IF(OR(X1234="估算法",X1234="算法类"),"中",IF(X1234="无法识别","低",IF(L1234&lt;2,IF(N1234&lt;20,"低","中"),IF(L1234&lt;4,IF(N1234&lt;6,"低",IF(N1234&lt;20,"中","高")),IF(N1234&lt;6,"中","高"))))),IF(OR(I1234="ILF",I1234="EIF"),IF(OR(X1234="估算法",X1234="算法类",X1234="无法识别"),"低",IF(M1234&lt;2,IF(N1234&lt;51,"低","中"),IF(M1234&lt;6,IF(N1234&lt;20,"低",IF(N1234&lt;51,"中","高")),IF(N1234&lt;20,"中","高")))),"不计算")))</f>
        <v/>
      </c>
      <c r="P1234" s="142">
        <f>IFERROR(IF(I1234="EI",IF(O1234="低",3,IF(O1234="中",4,6)),IF(I1234="EO",IF(O1234="低",4,IF(O1234="中",5,7)),IF(I1234="EQ",IF(O1234="低",3,IF(O1234="中",4,6)),IF(I1234="ILF",IF(O1234="低",7,IF(O1234="中",10,15)),IF(I1234="EIF",IF(O1234="低",5,IF(O1234="中",7,10)),"不计算")))))*Q1234,"不计算")</f>
        <v/>
      </c>
      <c r="Q1234" s="142" t="n">
        <v>1</v>
      </c>
      <c r="R1234" s="143">
        <f>调整因子!$F$13</f>
        <v/>
      </c>
      <c r="S1234" s="70" t="n">
        <v>1</v>
      </c>
      <c r="T1234" s="144">
        <f>IFERROR(P1234*R1234,0)</f>
        <v/>
      </c>
      <c r="U1234" s="145">
        <f>T1234*S1234</f>
        <v/>
      </c>
      <c r="V1234" s="96" t="inlineStr">
        <is>
          <t>漏洞处置单表、漏洞统计数据表</t>
        </is>
      </c>
      <c r="W1234" s="96" t="inlineStr"/>
      <c r="X1234" s="111"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Y1234" s="88" t="n"/>
      <c r="Z1234" s="88" t="n"/>
    </row>
    <row r="1235" hidden="1" ht="21.6" customHeight="1">
      <c r="A1235" s="69">
        <f>ROW()-1</f>
        <v/>
      </c>
      <c r="B1235" s="53" t="n"/>
      <c r="C1235" s="117" t="n">
        <v>2026</v>
      </c>
      <c r="E1235" s="53" t="n"/>
      <c r="F1235" s="53" t="n"/>
      <c r="G1235" s="53" t="n"/>
      <c r="H1235" s="96" t="inlineStr">
        <is>
          <t>关联CVE信息</t>
        </is>
      </c>
      <c r="I1235" s="76" t="n"/>
      <c r="J1235" s="95" t="n"/>
      <c r="K1235" s="95" t="inlineStr">
        <is>
          <t>和编辑合并</t>
        </is>
      </c>
      <c r="L1235" s="83">
        <f>IF(OR(X1235="估算法",X1235="算法类",X1235="无法识别"),"",IF(V1235="",IF(OR(I1235="EI",I1235="EO",I1235="EQ"),0,""),LEN(V1235)-LEN(SUBSTITUTE(V1235,"、",""))+1))</f>
        <v/>
      </c>
      <c r="M1235" s="83">
        <f>IF(OR(X1235="估算法",X1235="算法类",X1235="无法识别"),"",IF(W1235="",IF(OR(I1235="ILF",I1235="EIF"),0,""),LEN(W1235)-LEN(SUBSTITUTE(W1235,"、",""))+1))</f>
        <v/>
      </c>
      <c r="N1235" s="83">
        <f>IF(OR(X1235="估算法",X1235="算法类",X1235="无法识别"),"",IF(X1235="",IF(OR(I1235="ILF",I1235="EIF",I1235="EI",I1235="EO",I1235="EQ"),0,""),LEN(X1235)-LEN(SUBSTITUTE(SUBSTITUTE(SUBSTITUTE(SUBSTITUTE(SUBSTITUTE(X1235,"|}","--"),"{|","--"),CHAR(10),""),"、",""),"|",""))+IF(AND(OR(I1235="EI",I1235="EO",I1235="EQ"),$AD$1="NESMA"),2,1)))</f>
        <v/>
      </c>
      <c r="O1235" s="84">
        <f>IF(I1235="EI",IF(OR(X1235="估算法",X1235="算法类"),"中",IF(X1235="无法识别","低",IF(L1235&lt;2,IF(N1235&lt;16,"低","中"),IF(L1235&lt;3,IF(N1235&lt;5,"低",IF(N1235&lt;16,"中","高")),IF(N1235&lt;5,"中","高"))))),IF(OR(I1235="EO",I1235="EQ"),IF(OR(X1235="估算法",X1235="算法类"),"中",IF(X1235="无法识别","低",IF(L1235&lt;2,IF(N1235&lt;20,"低","中"),IF(L1235&lt;4,IF(N1235&lt;6,"低",IF(N1235&lt;20,"中","高")),IF(N1235&lt;6,"中","高"))))),IF(OR(I1235="ILF",I1235="EIF"),IF(OR(X1235="估算法",X1235="算法类",X1235="无法识别"),"低",IF(M1235&lt;2,IF(N1235&lt;51,"低","中"),IF(M1235&lt;6,IF(N1235&lt;20,"低",IF(N1235&lt;51,"中","高")),IF(N1235&lt;20,"中","高")))),"不计算")))</f>
        <v/>
      </c>
      <c r="P1235" s="142">
        <f>IFERROR(IF(I1235="EI",IF(O1235="低",3,IF(O1235="中",4,6)),IF(I1235="EO",IF(O1235="低",4,IF(O1235="中",5,7)),IF(I1235="EQ",IF(O1235="低",3,IF(O1235="中",4,6)),IF(I1235="ILF",IF(O1235="低",7,IF(O1235="中",10,15)),IF(I1235="EIF",IF(O1235="低",5,IF(O1235="中",7,10)),"不计算")))))*Q1235,"不计算")</f>
        <v/>
      </c>
      <c r="Q1235" s="142" t="n">
        <v>1</v>
      </c>
      <c r="R1235" s="143">
        <f>调整因子!$F$13</f>
        <v/>
      </c>
      <c r="S1235" s="70" t="n">
        <v>1</v>
      </c>
      <c r="T1235" s="144">
        <f>IFERROR(P1235*R1235,0)</f>
        <v/>
      </c>
      <c r="U1235" s="145">
        <f>T1235*S1235</f>
        <v/>
      </c>
      <c r="V1235" s="96" t="inlineStr">
        <is>
          <t>验证配置表</t>
        </is>
      </c>
      <c r="W1235" s="96" t="inlineStr"/>
      <c r="X1235" s="111" t="inlineStr">
        <is>
          <t>验证配置表{配置ID、配置名称、配置类型、配置值、创建时间|配置ID、配置名称、配置类型}</t>
        </is>
      </c>
      <c r="Y1235" s="88" t="n"/>
      <c r="Z1235" s="88" t="n"/>
    </row>
    <row r="1236" hidden="1" ht="21.6" customHeight="1">
      <c r="A1236" s="69">
        <f>ROW()-1</f>
        <v/>
      </c>
      <c r="B1236" s="53" t="n"/>
      <c r="C1236" s="117" t="n">
        <v>2026</v>
      </c>
      <c r="E1236" s="53" t="n"/>
      <c r="F1236" s="53" t="n"/>
      <c r="G1236" s="53" t="n"/>
      <c r="H1236" s="96" t="inlineStr">
        <is>
          <t>关联CNVD信息</t>
        </is>
      </c>
      <c r="I1236" s="76" t="n"/>
      <c r="J1236" s="95" t="n"/>
      <c r="K1236" s="95" t="inlineStr">
        <is>
          <t>和编辑合并</t>
        </is>
      </c>
      <c r="L1236" s="83">
        <f>IF(OR(X1236="估算法",X1236="算法类",X1236="无法识别"),"",IF(V1236="",IF(OR(I1236="EI",I1236="EO",I1236="EQ"),0,""),LEN(V1236)-LEN(SUBSTITUTE(V1236,"、",""))+1))</f>
        <v/>
      </c>
      <c r="M1236" s="83">
        <f>IF(OR(X1236="估算法",X1236="算法类",X1236="无法识别"),"",IF(W1236="",IF(OR(I1236="ILF",I1236="EIF"),0,""),LEN(W1236)-LEN(SUBSTITUTE(W1236,"、",""))+1))</f>
        <v/>
      </c>
      <c r="N1236" s="83">
        <f>IF(OR(X1236="估算法",X1236="算法类",X1236="无法识别"),"",IF(X1236="",IF(OR(I1236="ILF",I1236="EIF",I1236="EI",I1236="EO",I1236="EQ"),0,""),LEN(X1236)-LEN(SUBSTITUTE(SUBSTITUTE(SUBSTITUTE(SUBSTITUTE(SUBSTITUTE(X1236,"|}","--"),"{|","--"),CHAR(10),""),"、",""),"|",""))+IF(AND(OR(I1236="EI",I1236="EO",I1236="EQ"),$AD$1="NESMA"),2,1)))</f>
        <v/>
      </c>
      <c r="O1236" s="84">
        <f>IF(I1236="EI",IF(OR(X1236="估算法",X1236="算法类"),"中",IF(X1236="无法识别","低",IF(L1236&lt;2,IF(N1236&lt;16,"低","中"),IF(L1236&lt;3,IF(N1236&lt;5,"低",IF(N1236&lt;16,"中","高")),IF(N1236&lt;5,"中","高"))))),IF(OR(I1236="EO",I1236="EQ"),IF(OR(X1236="估算法",X1236="算法类"),"中",IF(X1236="无法识别","低",IF(L1236&lt;2,IF(N1236&lt;20,"低","中"),IF(L1236&lt;4,IF(N1236&lt;6,"低",IF(N1236&lt;20,"中","高")),IF(N1236&lt;6,"中","高"))))),IF(OR(I1236="ILF",I1236="EIF"),IF(OR(X1236="估算法",X1236="算法类",X1236="无法识别"),"低",IF(M1236&lt;2,IF(N1236&lt;51,"低","中"),IF(M1236&lt;6,IF(N1236&lt;20,"低",IF(N1236&lt;51,"中","高")),IF(N1236&lt;20,"中","高")))),"不计算")))</f>
        <v/>
      </c>
      <c r="P1236" s="142">
        <f>IFERROR(IF(I1236="EI",IF(O1236="低",3,IF(O1236="中",4,6)),IF(I1236="EO",IF(O1236="低",4,IF(O1236="中",5,7)),IF(I1236="EQ",IF(O1236="低",3,IF(O1236="中",4,6)),IF(I1236="ILF",IF(O1236="低",7,IF(O1236="中",10,15)),IF(I1236="EIF",IF(O1236="低",5,IF(O1236="中",7,10)),"不计算")))))*Q1236,"不计算")</f>
        <v/>
      </c>
      <c r="Q1236" s="142" t="n">
        <v>1</v>
      </c>
      <c r="R1236" s="143">
        <f>调整因子!$F$13</f>
        <v/>
      </c>
      <c r="S1236" s="76" t="n">
        <v>1</v>
      </c>
      <c r="T1236" s="144">
        <f>IFERROR(P1236*R1236,0)</f>
        <v/>
      </c>
      <c r="U1236" s="145">
        <f>T1236*S1236</f>
        <v/>
      </c>
      <c r="V1236" s="96" t="inlineStr">
        <is>
          <t>接口监控配置表</t>
        </is>
      </c>
      <c r="W1236" s="96" t="inlineStr"/>
      <c r="X1236" s="111" t="inlineStr">
        <is>
          <t>接口监控配置表{配置ID、配置名称、配置类型、配置值、创建时间|配置ID、配置名称、配置类型}</t>
        </is>
      </c>
      <c r="Y1236" s="88" t="n"/>
      <c r="Z1236" s="88" t="n"/>
    </row>
    <row r="1237" hidden="1" ht="43.2" customHeight="1">
      <c r="A1237" s="69">
        <f>ROW()-1</f>
        <v/>
      </c>
      <c r="B1237" s="53" t="n"/>
      <c r="C1237" s="117" t="n">
        <v>2026</v>
      </c>
      <c r="E1237" s="53" t="n"/>
      <c r="F1237" s="53" t="n"/>
      <c r="G1237" s="53" t="n"/>
      <c r="H1237" s="96" t="inlineStr">
        <is>
          <t>导出漏洞知识</t>
        </is>
      </c>
      <c r="I1237" s="76" t="inlineStr">
        <is>
          <t>EO</t>
        </is>
      </c>
      <c r="J1237" s="95" t="n"/>
      <c r="K1237" s="95" t="n"/>
      <c r="L1237" s="83">
        <f>IF(OR(X1237="估算法",X1237="算法类",X1237="无法识别"),"",IF(V1237="",IF(OR(I1237="EI",I1237="EO",I1237="EQ"),0,""),LEN(V1237)-LEN(SUBSTITUTE(V1237,"、",""))+1))</f>
        <v/>
      </c>
      <c r="M1237" s="83">
        <f>IF(OR(X1237="估算法",X1237="算法类",X1237="无法识别"),"",IF(W1237="",IF(OR(I1237="ILF",I1237="EIF"),0,""),LEN(W1237)-LEN(SUBSTITUTE(W1237,"、",""))+1))</f>
        <v/>
      </c>
      <c r="N1237" s="83">
        <f>IF(OR(X1237="估算法",X1237="算法类",X1237="无法识别"),"",IF(X1237="",IF(OR(I1237="ILF",I1237="EIF",I1237="EI",I1237="EO",I1237="EQ"),0,""),LEN(X1237)-LEN(SUBSTITUTE(SUBSTITUTE(SUBSTITUTE(SUBSTITUTE(SUBSTITUTE(X1237,"|}","--"),"{|","--"),CHAR(10),""),"、",""),"|",""))+IF(AND(OR(I1237="EI",I1237="EO",I1237="EQ"),$AD$1="NESMA"),2,1)))</f>
        <v/>
      </c>
      <c r="O1237" s="84">
        <f>IF(I1237="EI",IF(OR(X1237="估算法",X1237="算法类"),"中",IF(X1237="无法识别","低",IF(L1237&lt;2,IF(N1237&lt;16,"低","中"),IF(L1237&lt;3,IF(N1237&lt;5,"低",IF(N1237&lt;16,"中","高")),IF(N1237&lt;5,"中","高"))))),IF(OR(I1237="EO",I1237="EQ"),IF(OR(X1237="估算法",X1237="算法类"),"中",IF(X1237="无法识别","低",IF(L1237&lt;2,IF(N1237&lt;20,"低","中"),IF(L1237&lt;4,IF(N1237&lt;6,"低",IF(N1237&lt;20,"中","高")),IF(N1237&lt;6,"中","高"))))),IF(OR(I1237="ILF",I1237="EIF"),IF(OR(X1237="估算法",X1237="算法类",X1237="无法识别"),"低",IF(M1237&lt;2,IF(N1237&lt;51,"低","中"),IF(M1237&lt;6,IF(N1237&lt;20,"低",IF(N1237&lt;51,"中","高")),IF(N1237&lt;20,"中","高")))),"不计算")))</f>
        <v/>
      </c>
      <c r="P1237" s="142">
        <f>IFERROR(IF(I1237="EI",IF(O1237="低",3,IF(O1237="中",4,6)),IF(I1237="EO",IF(O1237="低",4,IF(O1237="中",5,7)),IF(I1237="EQ",IF(O1237="低",3,IF(O1237="中",4,6)),IF(I1237="ILF",IF(O1237="低",7,IF(O1237="中",10,15)),IF(I1237="EIF",IF(O1237="低",5,IF(O1237="中",7,10)),"不计算")))))*Q1237,"不计算")</f>
        <v/>
      </c>
      <c r="Q1237" s="142" t="n">
        <v>1</v>
      </c>
      <c r="R1237" s="143">
        <f>调整因子!$F$13</f>
        <v/>
      </c>
      <c r="S1237" s="76" t="n">
        <v>1</v>
      </c>
      <c r="T1237" s="144">
        <f>IFERROR(P1237*R1237,0)</f>
        <v/>
      </c>
      <c r="U1237" s="145">
        <f>T1237*S1237</f>
        <v/>
      </c>
      <c r="V1237" s="96" t="inlineStr">
        <is>
          <t>漏洞处置单表、漏洞统计数据表</t>
        </is>
      </c>
      <c r="W1237" s="96" t="inlineStr"/>
      <c r="X1237" s="111" t="inlineStr">
        <is>
          <t>漏洞处置单表{漏洞ID、漏洞名称|漏洞ID、漏洞名称、漏洞等级、漏洞类型、CVE编号、发现时间、修复状态}
漏洞统计数据表{漏洞ID、漏洞名称|漏洞ID、漏洞名称、漏洞等级、漏洞类型、CVE编号、发现时间、修复状态}</t>
        </is>
      </c>
      <c r="Y1237" s="88" t="n"/>
      <c r="Z1237" s="88" t="n"/>
    </row>
    <row r="1238" hidden="1" ht="21.6" customHeight="1">
      <c r="A1238" s="69">
        <f>ROW()-1</f>
        <v/>
      </c>
      <c r="B1238" s="53" t="n"/>
      <c r="C1238" s="117" t="n">
        <v>2026</v>
      </c>
      <c r="E1238" s="53" t="n"/>
      <c r="F1238" s="53" t="n"/>
      <c r="G1238" s="53" t="n"/>
      <c r="H1238" s="96" t="inlineStr">
        <is>
          <t>下载知识模板</t>
        </is>
      </c>
      <c r="I1238" s="76" t="inlineStr">
        <is>
          <t>EO</t>
        </is>
      </c>
      <c r="J1238" s="95" t="n"/>
      <c r="K1238" s="95" t="n"/>
      <c r="L1238" s="83">
        <f>IF(OR(X1238="估算法",X1238="算法类",X1238="无法识别"),"",IF(V1238="",IF(OR(I1238="EI",I1238="EO",I1238="EQ"),0,""),LEN(V1238)-LEN(SUBSTITUTE(V1238,"、",""))+1))</f>
        <v/>
      </c>
      <c r="M1238" s="83">
        <f>IF(OR(X1238="估算法",X1238="算法类",X1238="无法识别"),"",IF(W1238="",IF(OR(I1238="ILF",I1238="EIF"),0,""),LEN(W1238)-LEN(SUBSTITUTE(W1238,"、",""))+1))</f>
        <v/>
      </c>
      <c r="N1238" s="83">
        <f>IF(OR(X1238="估算法",X1238="算法类",X1238="无法识别"),"",IF(X1238="",IF(OR(I1238="ILF",I1238="EIF",I1238="EI",I1238="EO",I1238="EQ"),0,""),LEN(X1238)-LEN(SUBSTITUTE(SUBSTITUTE(SUBSTITUTE(SUBSTITUTE(SUBSTITUTE(X1238,"|}","--"),"{|","--"),CHAR(10),""),"、",""),"|",""))+IF(AND(OR(I1238="EI",I1238="EO",I1238="EQ"),$AD$1="NESMA"),2,1)))</f>
        <v/>
      </c>
      <c r="O1238" s="84">
        <f>IF(I1238="EI",IF(OR(X1238="估算法",X1238="算法类"),"中",IF(X1238="无法识别","低",IF(L1238&lt;2,IF(N1238&lt;16,"低","中"),IF(L1238&lt;3,IF(N1238&lt;5,"低",IF(N1238&lt;16,"中","高")),IF(N1238&lt;5,"中","高"))))),IF(OR(I1238="EO",I1238="EQ"),IF(OR(X1238="估算法",X1238="算法类"),"中",IF(X1238="无法识别","低",IF(L1238&lt;2,IF(N1238&lt;20,"低","中"),IF(L1238&lt;4,IF(N1238&lt;6,"低",IF(N1238&lt;20,"中","高")),IF(N1238&lt;6,"中","高"))))),IF(OR(I1238="ILF",I1238="EIF"),IF(OR(X1238="估算法",X1238="算法类",X1238="无法识别"),"低",IF(M1238&lt;2,IF(N1238&lt;51,"低","中"),IF(M1238&lt;6,IF(N1238&lt;20,"低",IF(N1238&lt;51,"中","高")),IF(N1238&lt;20,"中","高")))),"不计算")))</f>
        <v/>
      </c>
      <c r="P1238" s="142">
        <f>IFERROR(IF(I1238="EI",IF(O1238="低",3,IF(O1238="中",4,6)),IF(I1238="EO",IF(O1238="低",4,IF(O1238="中",5,7)),IF(I1238="EQ",IF(O1238="低",3,IF(O1238="中",4,6)),IF(I1238="ILF",IF(O1238="低",7,IF(O1238="中",10,15)),IF(I1238="EIF",IF(O1238="低",5,IF(O1238="中",7,10)),"不计算")))))*Q1238,"不计算")</f>
        <v/>
      </c>
      <c r="Q1238" s="142" t="n">
        <v>1</v>
      </c>
      <c r="R1238" s="143">
        <f>调整因子!$F$13</f>
        <v/>
      </c>
      <c r="S1238" s="70" t="n">
        <v>1</v>
      </c>
      <c r="T1238" s="144">
        <f>IFERROR(P1238*R1238,0)</f>
        <v/>
      </c>
      <c r="U1238" s="145">
        <f>T1238*S1238</f>
        <v/>
      </c>
      <c r="V1238" s="96" t="inlineStr">
        <is>
          <t>漏洞查询接口配置表</t>
        </is>
      </c>
      <c r="W1238" s="96" t="inlineStr"/>
      <c r="X1238" s="111" t="inlineStr">
        <is>
          <t>漏洞查询接口配置表{漏洞ID、漏洞名称|漏洞ID、漏洞名称、漏洞等级、漏洞类型、CVE编号、发现时间}</t>
        </is>
      </c>
      <c r="Y1238" s="88" t="n"/>
      <c r="Z1238" s="88" t="n"/>
    </row>
    <row r="1239" hidden="1" ht="43.2" customHeight="1">
      <c r="A1239" s="69">
        <f>ROW()-1</f>
        <v/>
      </c>
      <c r="B1239" s="53" t="n"/>
      <c r="C1239" s="117" t="n">
        <v>2026</v>
      </c>
      <c r="E1239" s="53" t="n"/>
      <c r="F1239" s="53" t="n"/>
      <c r="G1239" s="53" t="n"/>
      <c r="H1239" s="96" t="inlineStr">
        <is>
          <t>查询漏洞知识列表</t>
        </is>
      </c>
      <c r="I1239" s="76" t="inlineStr">
        <is>
          <t>EO</t>
        </is>
      </c>
      <c r="J1239" s="95" t="n"/>
      <c r="K1239" s="95" t="n"/>
      <c r="L1239" s="83">
        <f>IF(OR(X1239="估算法",X1239="算法类",X1239="无法识别"),"",IF(V1239="",IF(OR(I1239="EI",I1239="EO",I1239="EQ"),0,""),LEN(V1239)-LEN(SUBSTITUTE(V1239,"、",""))+1))</f>
        <v/>
      </c>
      <c r="M1239" s="83">
        <f>IF(OR(X1239="估算法",X1239="算法类",X1239="无法识别"),"",IF(W1239="",IF(OR(I1239="ILF",I1239="EIF"),0,""),LEN(W1239)-LEN(SUBSTITUTE(W1239,"、",""))+1))</f>
        <v/>
      </c>
      <c r="N1239" s="83">
        <f>IF(OR(X1239="估算法",X1239="算法类",X1239="无法识别"),"",IF(X1239="",IF(OR(I1239="ILF",I1239="EIF",I1239="EI",I1239="EO",I1239="EQ"),0,""),LEN(X1239)-LEN(SUBSTITUTE(SUBSTITUTE(SUBSTITUTE(SUBSTITUTE(SUBSTITUTE(X1239,"|}","--"),"{|","--"),CHAR(10),""),"、",""),"|",""))+IF(AND(OR(I1239="EI",I1239="EO",I1239="EQ"),$AD$1="NESMA"),2,1)))</f>
        <v/>
      </c>
      <c r="O1239" s="84">
        <f>IF(I1239="EI",IF(OR(X1239="估算法",X1239="算法类"),"中",IF(X1239="无法识别","低",IF(L1239&lt;2,IF(N1239&lt;16,"低","中"),IF(L1239&lt;3,IF(N1239&lt;5,"低",IF(N1239&lt;16,"中","高")),IF(N1239&lt;5,"中","高"))))),IF(OR(I1239="EO",I1239="EQ"),IF(OR(X1239="估算法",X1239="算法类"),"中",IF(X1239="无法识别","低",IF(L1239&lt;2,IF(N1239&lt;20,"低","中"),IF(L1239&lt;4,IF(N1239&lt;6,"低",IF(N1239&lt;20,"中","高")),IF(N1239&lt;6,"中","高"))))),IF(OR(I1239="ILF",I1239="EIF"),IF(OR(X1239="估算法",X1239="算法类",X1239="无法识别"),"低",IF(M1239&lt;2,IF(N1239&lt;51,"低","中"),IF(M1239&lt;6,IF(N1239&lt;20,"低",IF(N1239&lt;51,"中","高")),IF(N1239&lt;20,"中","高")))),"不计算")))</f>
        <v/>
      </c>
      <c r="P1239" s="142">
        <f>IFERROR(IF(I1239="EI",IF(O1239="低",3,IF(O1239="中",4,6)),IF(I1239="EO",IF(O1239="低",4,IF(O1239="中",5,7)),IF(I1239="EQ",IF(O1239="低",3,IF(O1239="中",4,6)),IF(I1239="ILF",IF(O1239="低",7,IF(O1239="中",10,15)),IF(I1239="EIF",IF(O1239="低",5,IF(O1239="中",7,10)),"不计算")))))*Q1239,"不计算")</f>
        <v/>
      </c>
      <c r="Q1239" s="142" t="n">
        <v>1</v>
      </c>
      <c r="R1239" s="143">
        <f>调整因子!$F$13</f>
        <v/>
      </c>
      <c r="S1239" s="70" t="n">
        <v>1</v>
      </c>
      <c r="T1239" s="144">
        <f>IFERROR(P1239*R1239,0)</f>
        <v/>
      </c>
      <c r="U1239" s="145">
        <f>T1239*S1239</f>
        <v/>
      </c>
      <c r="V1239" s="96" t="inlineStr">
        <is>
          <t>漏洞处置单表、漏洞统计数据表</t>
        </is>
      </c>
      <c r="W1239" s="96" t="inlineStr"/>
      <c r="X1239" s="111" t="inlineStr">
        <is>
          <t>漏洞处置单表{漏洞ID、漏洞名称|漏洞ID、漏洞名称、漏洞等级、漏洞类型、CVE编号、发现时间}
漏洞统计数据表{漏洞ID、漏洞名称|漏洞ID、漏洞名称、漏洞等级、漏洞类型、CVE编号、发现时间}</t>
        </is>
      </c>
      <c r="Y1239" s="88" t="n"/>
      <c r="Z1239" s="88" t="n"/>
    </row>
    <row r="1240" hidden="1" ht="43.2" customHeight="1">
      <c r="A1240" s="69">
        <f>ROW()-1</f>
        <v/>
      </c>
      <c r="B1240" s="53" t="n"/>
      <c r="C1240" s="117" t="n">
        <v>2026</v>
      </c>
      <c r="E1240" s="53" t="n"/>
      <c r="F1240" s="53" t="n"/>
      <c r="G1240" s="54" t="n"/>
      <c r="H1240" s="96" t="inlineStr">
        <is>
          <t>查看漏洞知识详情</t>
        </is>
      </c>
      <c r="I1240" s="76" t="inlineStr">
        <is>
          <t>EQ</t>
        </is>
      </c>
      <c r="J1240" s="95" t="n"/>
      <c r="K1240" s="95" t="n"/>
      <c r="L1240" s="83">
        <f>IF(OR(X1240="估算法",X1240="算法类",X1240="无法识别"),"",IF(V1240="",IF(OR(I1240="EI",I1240="EO",I1240="EQ"),0,""),LEN(V1240)-LEN(SUBSTITUTE(V1240,"、",""))+1))</f>
        <v/>
      </c>
      <c r="M1240" s="83">
        <f>IF(OR(X1240="估算法",X1240="算法类",X1240="无法识别"),"",IF(W1240="",IF(OR(I1240="ILF",I1240="EIF"),0,""),LEN(W1240)-LEN(SUBSTITUTE(W1240,"、",""))+1))</f>
        <v/>
      </c>
      <c r="N1240" s="83">
        <f>IF(OR(X1240="估算法",X1240="算法类",X1240="无法识别"),"",IF(X1240="",IF(OR(I1240="ILF",I1240="EIF",I1240="EI",I1240="EO",I1240="EQ"),0,""),LEN(X1240)-LEN(SUBSTITUTE(SUBSTITUTE(SUBSTITUTE(SUBSTITUTE(SUBSTITUTE(X1240,"|}","--"),"{|","--"),CHAR(10),""),"、",""),"|",""))+IF(AND(OR(I1240="EI",I1240="EO",I1240="EQ"),$AD$1="NESMA"),2,1)))</f>
        <v/>
      </c>
      <c r="O1240" s="84">
        <f>IF(I1240="EI",IF(OR(X1240="估算法",X1240="算法类"),"中",IF(X1240="无法识别","低",IF(L1240&lt;2,IF(N1240&lt;16,"低","中"),IF(L1240&lt;3,IF(N1240&lt;5,"低",IF(N1240&lt;16,"中","高")),IF(N1240&lt;5,"中","高"))))),IF(OR(I1240="EO",I1240="EQ"),IF(OR(X1240="估算法",X1240="算法类"),"中",IF(X1240="无法识别","低",IF(L1240&lt;2,IF(N1240&lt;20,"低","中"),IF(L1240&lt;4,IF(N1240&lt;6,"低",IF(N1240&lt;20,"中","高")),IF(N1240&lt;6,"中","高"))))),IF(OR(I1240="ILF",I1240="EIF"),IF(OR(X1240="估算法",X1240="算法类",X1240="无法识别"),"低",IF(M1240&lt;2,IF(N1240&lt;51,"低","中"),IF(M1240&lt;6,IF(N1240&lt;20,"低",IF(N1240&lt;51,"中","高")),IF(N1240&lt;20,"中","高")))),"不计算")))</f>
        <v/>
      </c>
      <c r="P1240" s="142">
        <f>IFERROR(IF(I1240="EI",IF(O1240="低",3,IF(O1240="中",4,6)),IF(I1240="EO",IF(O1240="低",4,IF(O1240="中",5,7)),IF(I1240="EQ",IF(O1240="低",3,IF(O1240="中",4,6)),IF(I1240="ILF",IF(O1240="低",7,IF(O1240="中",10,15)),IF(I1240="EIF",IF(O1240="低",5,IF(O1240="中",7,10)),"不计算")))))*Q1240,"不计算")</f>
        <v/>
      </c>
      <c r="Q1240" s="142" t="n">
        <v>1</v>
      </c>
      <c r="R1240" s="143">
        <f>调整因子!$F$13</f>
        <v/>
      </c>
      <c r="S1240" s="76" t="n">
        <v>1</v>
      </c>
      <c r="T1240" s="144">
        <f>IFERROR(P1240*R1240,0)</f>
        <v/>
      </c>
      <c r="U1240" s="145">
        <f>T1240*S1240</f>
        <v/>
      </c>
      <c r="V1240" s="96" t="inlineStr">
        <is>
          <t>漏洞处置单表、漏洞统计数据表</t>
        </is>
      </c>
      <c r="W1240" s="96" t="inlineStr"/>
      <c r="X1240" s="111" t="inlineStr">
        <is>
          <t>漏洞处置单表{漏洞ID、漏洞名称|漏洞ID、漏洞名称、漏洞等级、漏洞类型、CVE编号、发现时间}
漏洞统计数据表{漏洞ID、漏洞名称|漏洞ID、漏洞名称、漏洞等级、漏洞类型、CVE编号、发现时间}</t>
        </is>
      </c>
      <c r="Y1240" s="88" t="n"/>
      <c r="Z1240" s="88" t="n"/>
    </row>
    <row r="1241" hidden="1">
      <c r="A1241" s="69">
        <f>ROW()-1</f>
        <v/>
      </c>
      <c r="B1241" s="53" t="n"/>
      <c r="C1241" s="117" t="n">
        <v>2026</v>
      </c>
      <c r="E1241" s="53" t="n"/>
      <c r="F1241" s="53" t="n"/>
      <c r="G1241" s="111" t="inlineStr">
        <is>
          <t>漏洞知识审核管理</t>
        </is>
      </c>
      <c r="H1241" s="96" t="inlineStr">
        <is>
          <t>导出审核记录</t>
        </is>
      </c>
      <c r="I1241" s="76" t="inlineStr">
        <is>
          <t>EO</t>
        </is>
      </c>
      <c r="J1241" s="95" t="n"/>
      <c r="K1241" s="95" t="n"/>
      <c r="L1241" s="83">
        <f>IF(OR(X1241="估算法",X1241="算法类",X1241="无法识别"),"",IF(V1241="",IF(OR(I1241="EI",I1241="EO",I1241="EQ"),0,""),LEN(V1241)-LEN(SUBSTITUTE(V1241,"、",""))+1))</f>
        <v/>
      </c>
      <c r="M1241" s="83">
        <f>IF(OR(X1241="估算法",X1241="算法类",X1241="无法识别"),"",IF(W1241="",IF(OR(I1241="ILF",I1241="EIF"),0,""),LEN(W1241)-LEN(SUBSTITUTE(W1241,"、",""))+1))</f>
        <v/>
      </c>
      <c r="N1241" s="83">
        <f>IF(OR(X1241="估算法",X1241="算法类",X1241="无法识别"),"",IF(X1241="",IF(OR(I1241="ILF",I1241="EIF",I1241="EI",I1241="EO",I1241="EQ"),0,""),LEN(X1241)-LEN(SUBSTITUTE(SUBSTITUTE(SUBSTITUTE(SUBSTITUTE(SUBSTITUTE(X1241,"|}","--"),"{|","--"),CHAR(10),""),"、",""),"|",""))+IF(AND(OR(I1241="EI",I1241="EO",I1241="EQ"),$AD$1="NESMA"),2,1)))</f>
        <v/>
      </c>
      <c r="O1241" s="84">
        <f>IF(I1241="EI",IF(OR(X1241="估算法",X1241="算法类"),"中",IF(X1241="无法识别","低",IF(L1241&lt;2,IF(N1241&lt;16,"低","中"),IF(L1241&lt;3,IF(N1241&lt;5,"低",IF(N1241&lt;16,"中","高")),IF(N1241&lt;5,"中","高"))))),IF(OR(I1241="EO",I1241="EQ"),IF(OR(X1241="估算法",X1241="算法类"),"中",IF(X1241="无法识别","低",IF(L1241&lt;2,IF(N1241&lt;20,"低","中"),IF(L1241&lt;4,IF(N1241&lt;6,"低",IF(N1241&lt;20,"中","高")),IF(N1241&lt;6,"中","高"))))),IF(OR(I1241="ILF",I1241="EIF"),IF(OR(X1241="估算法",X1241="算法类",X1241="无法识别"),"低",IF(M1241&lt;2,IF(N1241&lt;51,"低","中"),IF(M1241&lt;6,IF(N1241&lt;20,"低",IF(N1241&lt;51,"中","高")),IF(N1241&lt;20,"中","高")))),"不计算")))</f>
        <v/>
      </c>
      <c r="P1241" s="142">
        <f>IFERROR(IF(I1241="EI",IF(O1241="低",3,IF(O1241="中",4,6)),IF(I1241="EO",IF(O1241="低",4,IF(O1241="中",5,7)),IF(I1241="EQ",IF(O1241="低",3,IF(O1241="中",4,6)),IF(I1241="ILF",IF(O1241="低",7,IF(O1241="中",10,15)),IF(I1241="EIF",IF(O1241="低",5,IF(O1241="中",7,10)),"不计算")))))*Q1241,"不计算")</f>
        <v/>
      </c>
      <c r="Q1241" s="142" t="n">
        <v>1</v>
      </c>
      <c r="R1241" s="143">
        <f>调整因子!$F$13</f>
        <v/>
      </c>
      <c r="S1241" s="70" t="n">
        <v>1</v>
      </c>
      <c r="T1241" s="144">
        <f>IFERROR(P1241*R1241,0)</f>
        <v/>
      </c>
      <c r="U1241" s="145">
        <f>T1241*S1241</f>
        <v/>
      </c>
      <c r="V1241" s="96" t="inlineStr">
        <is>
          <t>推送对象表</t>
        </is>
      </c>
      <c r="W1241" s="96" t="inlineStr"/>
      <c r="X1241" s="111" t="inlineStr">
        <is>
          <t>推送对象表{ID、名称|ID、名称、类型、状态、创建时间、更新时间}</t>
        </is>
      </c>
      <c r="Y1241" s="88" t="n"/>
      <c r="Z1241" s="88" t="n"/>
    </row>
    <row r="1242" hidden="1">
      <c r="A1242" s="69">
        <f>ROW()-1</f>
        <v/>
      </c>
      <c r="B1242" s="53" t="n"/>
      <c r="C1242" s="117" t="n">
        <v>2026</v>
      </c>
      <c r="E1242" s="53" t="n"/>
      <c r="F1242" s="53" t="n"/>
      <c r="G1242" s="53" t="n"/>
      <c r="H1242" s="96" t="inlineStr">
        <is>
          <t>查询待审核列表</t>
        </is>
      </c>
      <c r="I1242" s="76" t="inlineStr">
        <is>
          <t>EO</t>
        </is>
      </c>
      <c r="J1242" s="95" t="n"/>
      <c r="K1242" s="95" t="n"/>
      <c r="L1242" s="83">
        <f>IF(OR(X1242="估算法",X1242="算法类",X1242="无法识别"),"",IF(V1242="",IF(OR(I1242="EI",I1242="EO",I1242="EQ"),0,""),LEN(V1242)-LEN(SUBSTITUTE(V1242,"、",""))+1))</f>
        <v/>
      </c>
      <c r="M1242" s="83">
        <f>IF(OR(X1242="估算法",X1242="算法类",X1242="无法识别"),"",IF(W1242="",IF(OR(I1242="ILF",I1242="EIF"),0,""),LEN(W1242)-LEN(SUBSTITUTE(W1242,"、",""))+1))</f>
        <v/>
      </c>
      <c r="N1242" s="83">
        <f>IF(OR(X1242="估算法",X1242="算法类",X1242="无法识别"),"",IF(X1242="",IF(OR(I1242="ILF",I1242="EIF",I1242="EI",I1242="EO",I1242="EQ"),0,""),LEN(X1242)-LEN(SUBSTITUTE(SUBSTITUTE(SUBSTITUTE(SUBSTITUTE(SUBSTITUTE(X1242,"|}","--"),"{|","--"),CHAR(10),""),"、",""),"|",""))+IF(AND(OR(I1242="EI",I1242="EO",I1242="EQ"),$AD$1="NESMA"),2,1)))</f>
        <v/>
      </c>
      <c r="O1242" s="84">
        <f>IF(I1242="EI",IF(OR(X1242="估算法",X1242="算法类"),"中",IF(X1242="无法识别","低",IF(L1242&lt;2,IF(N1242&lt;16,"低","中"),IF(L1242&lt;3,IF(N1242&lt;5,"低",IF(N1242&lt;16,"中","高")),IF(N1242&lt;5,"中","高"))))),IF(OR(I1242="EO",I1242="EQ"),IF(OR(X1242="估算法",X1242="算法类"),"中",IF(X1242="无法识别","低",IF(L1242&lt;2,IF(N1242&lt;20,"低","中"),IF(L1242&lt;4,IF(N1242&lt;6,"低",IF(N1242&lt;20,"中","高")),IF(N1242&lt;6,"中","高"))))),IF(OR(I1242="ILF",I1242="EIF"),IF(OR(X1242="估算法",X1242="算法类",X1242="无法识别"),"低",IF(M1242&lt;2,IF(N1242&lt;51,"低","中"),IF(M1242&lt;6,IF(N1242&lt;20,"低",IF(N1242&lt;51,"中","高")),IF(N1242&lt;20,"中","高")))),"不计算")))</f>
        <v/>
      </c>
      <c r="P1242" s="142">
        <f>IFERROR(IF(I1242="EI",IF(O1242="低",3,IF(O1242="中",4,6)),IF(I1242="EO",IF(O1242="低",4,IF(O1242="中",5,7)),IF(I1242="EQ",IF(O1242="低",3,IF(O1242="中",4,6)),IF(I1242="ILF",IF(O1242="低",7,IF(O1242="中",10,15)),IF(I1242="EIF",IF(O1242="低",5,IF(O1242="中",7,10)),"不计算")))))*Q1242,"不计算")</f>
        <v/>
      </c>
      <c r="Q1242" s="142" t="n">
        <v>1</v>
      </c>
      <c r="R1242" s="143">
        <f>调整因子!$F$13</f>
        <v/>
      </c>
      <c r="S1242" s="70" t="n">
        <v>1</v>
      </c>
      <c r="T1242" s="144">
        <f>IFERROR(P1242*R1242,0)</f>
        <v/>
      </c>
      <c r="U1242" s="145">
        <f>T1242*S1242</f>
        <v/>
      </c>
      <c r="V1242" s="96" t="inlineStr">
        <is>
          <t>加密规则表</t>
        </is>
      </c>
      <c r="W1242" s="96" t="inlineStr"/>
      <c r="X1242" s="111" t="inlineStr">
        <is>
          <t>加密规则表{规则ID、规则名称|规则ID、规则名称、规则类型、规则条件、创建时间}</t>
        </is>
      </c>
      <c r="Y1242" s="88" t="n"/>
      <c r="Z1242" s="88" t="n"/>
    </row>
    <row r="1243" hidden="1">
      <c r="A1243" s="69">
        <f>ROW()-1</f>
        <v/>
      </c>
      <c r="B1243" s="53" t="n"/>
      <c r="C1243" s="117" t="n">
        <v>2026</v>
      </c>
      <c r="E1243" s="53" t="n"/>
      <c r="F1243" s="53" t="n"/>
      <c r="G1243" s="54" t="n"/>
      <c r="H1243" s="96" t="inlineStr">
        <is>
          <t>查看审核历史</t>
        </is>
      </c>
      <c r="I1243" s="76" t="inlineStr">
        <is>
          <t>EQ</t>
        </is>
      </c>
      <c r="J1243" s="95" t="n"/>
      <c r="K1243" s="95" t="n"/>
      <c r="L1243" s="83">
        <f>IF(OR(X1243="估算法",X1243="算法类",X1243="无法识别"),"",IF(V1243="",IF(OR(I1243="EI",I1243="EO",I1243="EQ"),0,""),LEN(V1243)-LEN(SUBSTITUTE(V1243,"、",""))+1))</f>
        <v/>
      </c>
      <c r="M1243" s="83">
        <f>IF(OR(X1243="估算法",X1243="算法类",X1243="无法识别"),"",IF(W1243="",IF(OR(I1243="ILF",I1243="EIF"),0,""),LEN(W1243)-LEN(SUBSTITUTE(W1243,"、",""))+1))</f>
        <v/>
      </c>
      <c r="N1243" s="83">
        <f>IF(OR(X1243="估算法",X1243="算法类",X1243="无法识别"),"",IF(X1243="",IF(OR(I1243="ILF",I1243="EIF",I1243="EI",I1243="EO",I1243="EQ"),0,""),LEN(X1243)-LEN(SUBSTITUTE(SUBSTITUTE(SUBSTITUTE(SUBSTITUTE(SUBSTITUTE(X1243,"|}","--"),"{|","--"),CHAR(10),""),"、",""),"|",""))+IF(AND(OR(I1243="EI",I1243="EO",I1243="EQ"),$AD$1="NESMA"),2,1)))</f>
        <v/>
      </c>
      <c r="O1243" s="84">
        <f>IF(I1243="EI",IF(OR(X1243="估算法",X1243="算法类"),"中",IF(X1243="无法识别","低",IF(L1243&lt;2,IF(N1243&lt;16,"低","中"),IF(L1243&lt;3,IF(N1243&lt;5,"低",IF(N1243&lt;16,"中","高")),IF(N1243&lt;5,"中","高"))))),IF(OR(I1243="EO",I1243="EQ"),IF(OR(X1243="估算法",X1243="算法类"),"中",IF(X1243="无法识别","低",IF(L1243&lt;2,IF(N1243&lt;20,"低","中"),IF(L1243&lt;4,IF(N1243&lt;6,"低",IF(N1243&lt;20,"中","高")),IF(N1243&lt;6,"中","高"))))),IF(OR(I1243="ILF",I1243="EIF"),IF(OR(X1243="估算法",X1243="算法类",X1243="无法识别"),"低",IF(M1243&lt;2,IF(N1243&lt;51,"低","中"),IF(M1243&lt;6,IF(N1243&lt;20,"低",IF(N1243&lt;51,"中","高")),IF(N1243&lt;20,"中","高")))),"不计算")))</f>
        <v/>
      </c>
      <c r="P1243" s="142">
        <f>IFERROR(IF(I1243="EI",IF(O1243="低",3,IF(O1243="中",4,6)),IF(I1243="EO",IF(O1243="低",4,IF(O1243="中",5,7)),IF(I1243="EQ",IF(O1243="低",3,IF(O1243="中",4,6)),IF(I1243="ILF",IF(O1243="低",7,IF(O1243="中",10,15)),IF(I1243="EIF",IF(O1243="低",5,IF(O1243="中",7,10)),"不计算")))))*Q1243,"不计算")</f>
        <v/>
      </c>
      <c r="Q1243" s="142" t="n">
        <v>1</v>
      </c>
      <c r="R1243" s="143">
        <f>调整因子!$F$13</f>
        <v/>
      </c>
      <c r="S1243" s="76" t="n">
        <v>1</v>
      </c>
      <c r="T1243" s="144">
        <f>IFERROR(P1243*R1243,0)</f>
        <v/>
      </c>
      <c r="U1243" s="145">
        <f>T1243*S1243</f>
        <v/>
      </c>
      <c r="V1243" s="96" t="inlineStr">
        <is>
          <t>方案审批表</t>
        </is>
      </c>
      <c r="W1243" s="96" t="inlineStr"/>
      <c r="X1243" s="111" t="inlineStr">
        <is>
          <t>方案审批表{ID、名称|ID、名称、类型、状态、创建时间、更新时间}</t>
        </is>
      </c>
      <c r="Y1243" s="88" t="n"/>
      <c r="Z1243" s="88" t="n"/>
    </row>
    <row r="1244" hidden="1" ht="32.4" customHeight="1">
      <c r="A1244" s="69">
        <f>ROW()-1</f>
        <v/>
      </c>
      <c r="B1244" s="53" t="n"/>
      <c r="C1244" s="117" t="n">
        <v>2026</v>
      </c>
      <c r="E1244" s="53" t="n"/>
      <c r="F1244" s="53" t="n"/>
      <c r="G1244" s="111" t="inlineStr">
        <is>
          <t>漏洞知识发布管理</t>
        </is>
      </c>
      <c r="H1244" s="96" t="inlineStr">
        <is>
          <t>推送知识通知</t>
        </is>
      </c>
      <c r="I1244" s="76" t="inlineStr">
        <is>
          <t>EO</t>
        </is>
      </c>
      <c r="J1244" s="95" t="n"/>
      <c r="K1244" s="95" t="n"/>
      <c r="L1244" s="83">
        <f>IF(OR(X1244="估算法",X1244="算法类",X1244="无法识别"),"",IF(V1244="",IF(OR(I1244="EI",I1244="EO",I1244="EQ"),0,""),LEN(V1244)-LEN(SUBSTITUTE(V1244,"、",""))+1))</f>
        <v/>
      </c>
      <c r="M1244" s="83">
        <f>IF(OR(X1244="估算法",X1244="算法类",X1244="无法识别"),"",IF(W1244="",IF(OR(I1244="ILF",I1244="EIF"),0,""),LEN(W1244)-LEN(SUBSTITUTE(W1244,"、",""))+1))</f>
        <v/>
      </c>
      <c r="N1244" s="83">
        <f>IF(OR(X1244="估算法",X1244="算法类",X1244="无法识别"),"",IF(X1244="",IF(OR(I1244="ILF",I1244="EIF",I1244="EI",I1244="EO",I1244="EQ"),0,""),LEN(X1244)-LEN(SUBSTITUTE(SUBSTITUTE(SUBSTITUTE(SUBSTITUTE(SUBSTITUTE(X1244,"|}","--"),"{|","--"),CHAR(10),""),"、",""),"|",""))+IF(AND(OR(I1244="EI",I1244="EO",I1244="EQ"),$AD$1="NESMA"),2,1)))</f>
        <v/>
      </c>
      <c r="O1244" s="84">
        <f>IF(I1244="EI",IF(OR(X1244="估算法",X1244="算法类"),"中",IF(X1244="无法识别","低",IF(L1244&lt;2,IF(N1244&lt;16,"低","中"),IF(L1244&lt;3,IF(N1244&lt;5,"低",IF(N1244&lt;16,"中","高")),IF(N1244&lt;5,"中","高"))))),IF(OR(I1244="EO",I1244="EQ"),IF(OR(X1244="估算法",X1244="算法类"),"中",IF(X1244="无法识别","低",IF(L1244&lt;2,IF(N1244&lt;20,"低","中"),IF(L1244&lt;4,IF(N1244&lt;6,"低",IF(N1244&lt;20,"中","高")),IF(N1244&lt;6,"中","高"))))),IF(OR(I1244="ILF",I1244="EIF"),IF(OR(X1244="估算法",X1244="算法类",X1244="无法识别"),"低",IF(M1244&lt;2,IF(N1244&lt;51,"低","中"),IF(M1244&lt;6,IF(N1244&lt;20,"低",IF(N1244&lt;51,"中","高")),IF(N1244&lt;20,"中","高")))),"不计算")))</f>
        <v/>
      </c>
      <c r="P1244" s="142">
        <f>IFERROR(IF(I1244="EI",IF(O1244="低",3,IF(O1244="中",4,6)),IF(I1244="EO",IF(O1244="低",4,IF(O1244="中",5,7)),IF(I1244="EQ",IF(O1244="低",3,IF(O1244="中",4,6)),IF(I1244="ILF",IF(O1244="低",7,IF(O1244="中",10,15)),IF(I1244="EIF",IF(O1244="低",5,IF(O1244="中",7,10)),"不计算")))))*Q1244,"不计算")</f>
        <v/>
      </c>
      <c r="Q1244" s="142" t="n">
        <v>1</v>
      </c>
      <c r="R1244" s="143">
        <f>调整因子!$F$13</f>
        <v/>
      </c>
      <c r="S1244" s="76" t="n">
        <v>1</v>
      </c>
      <c r="T1244" s="144">
        <f>IFERROR(P1244*R1244,0)</f>
        <v/>
      </c>
      <c r="U1244" s="145">
        <f>T1244*S1244</f>
        <v/>
      </c>
      <c r="V1244" s="96" t="inlineStr">
        <is>
          <t>任务统计数据表、方案审批表</t>
        </is>
      </c>
      <c r="W1244" s="96" t="inlineStr"/>
      <c r="X1244" s="111" t="inlineStr">
        <is>
          <t>任务统计数据表{任务ID、任务名称|任务ID、任务名称、任务类型、任务状态、创建时间}
方案审批表{ID、名称|ID、名称、类型、状态、创建时间}</t>
        </is>
      </c>
      <c r="Y1244" s="88" t="n"/>
      <c r="Z1244" s="88" t="n"/>
    </row>
    <row r="1245" hidden="1" ht="21.6" customHeight="1">
      <c r="A1245" s="69">
        <f>ROW()-1</f>
        <v/>
      </c>
      <c r="B1245" s="53" t="n"/>
      <c r="C1245" s="117" t="n">
        <v>2026</v>
      </c>
      <c r="E1245" s="53" t="n"/>
      <c r="F1245" s="53" t="n"/>
      <c r="G1245" s="53" t="n"/>
      <c r="H1245" s="96" t="inlineStr">
        <is>
          <t>导出发布记录</t>
        </is>
      </c>
      <c r="I1245" s="76" t="inlineStr">
        <is>
          <t>EO</t>
        </is>
      </c>
      <c r="J1245" s="95" t="n"/>
      <c r="K1245" s="95" t="n"/>
      <c r="L1245" s="83">
        <f>IF(OR(X1245="估算法",X1245="算法类",X1245="无法识别"),"",IF(V1245="",IF(OR(I1245="EI",I1245="EO",I1245="EQ"),0,""),LEN(V1245)-LEN(SUBSTITUTE(V1245,"、",""))+1))</f>
        <v/>
      </c>
      <c r="M1245" s="83">
        <f>IF(OR(X1245="估算法",X1245="算法类",X1245="无法识别"),"",IF(W1245="",IF(OR(I1245="ILF",I1245="EIF"),0,""),LEN(W1245)-LEN(SUBSTITUTE(W1245,"、",""))+1))</f>
        <v/>
      </c>
      <c r="N1245" s="83">
        <f>IF(OR(X1245="估算法",X1245="算法类",X1245="无法识别"),"",IF(X1245="",IF(OR(I1245="ILF",I1245="EIF",I1245="EI",I1245="EO",I1245="EQ"),0,""),LEN(X1245)-LEN(SUBSTITUTE(SUBSTITUTE(SUBSTITUTE(SUBSTITUTE(SUBSTITUTE(X1245,"|}","--"),"{|","--"),CHAR(10),""),"、",""),"|",""))+IF(AND(OR(I1245="EI",I1245="EO",I1245="EQ"),$AD$1="NESMA"),2,1)))</f>
        <v/>
      </c>
      <c r="O1245" s="84">
        <f>IF(I1245="EI",IF(OR(X1245="估算法",X1245="算法类"),"中",IF(X1245="无法识别","低",IF(L1245&lt;2,IF(N1245&lt;16,"低","中"),IF(L1245&lt;3,IF(N1245&lt;5,"低",IF(N1245&lt;16,"中","高")),IF(N1245&lt;5,"中","高"))))),IF(OR(I1245="EO",I1245="EQ"),IF(OR(X1245="估算法",X1245="算法类"),"中",IF(X1245="无法识别","低",IF(L1245&lt;2,IF(N1245&lt;20,"低","中"),IF(L1245&lt;4,IF(N1245&lt;6,"低",IF(N1245&lt;20,"中","高")),IF(N1245&lt;6,"中","高"))))),IF(OR(I1245="ILF",I1245="EIF"),IF(OR(X1245="估算法",X1245="算法类",X1245="无法识别"),"低",IF(M1245&lt;2,IF(N1245&lt;51,"低","中"),IF(M1245&lt;6,IF(N1245&lt;20,"低",IF(N1245&lt;51,"中","高")),IF(N1245&lt;20,"中","高")))),"不计算")))</f>
        <v/>
      </c>
      <c r="P1245" s="142">
        <f>IFERROR(IF(I1245="EI",IF(O1245="低",3,IF(O1245="中",4,6)),IF(I1245="EO",IF(O1245="低",4,IF(O1245="中",5,7)),IF(I1245="EQ",IF(O1245="低",3,IF(O1245="中",4,6)),IF(I1245="ILF",IF(O1245="低",7,IF(O1245="中",10,15)),IF(I1245="EIF",IF(O1245="低",5,IF(O1245="中",7,10)),"不计算")))))*Q1245,"不计算")</f>
        <v/>
      </c>
      <c r="Q1245" s="142" t="n">
        <v>1</v>
      </c>
      <c r="R1245" s="143">
        <f>调整因子!$F$13</f>
        <v/>
      </c>
      <c r="S1245" s="70" t="n">
        <v>1</v>
      </c>
      <c r="T1245" s="144">
        <f>IFERROR(P1245*R1245,0)</f>
        <v/>
      </c>
      <c r="U1245" s="145">
        <f>T1245*S1245</f>
        <v/>
      </c>
      <c r="V1245" s="96" t="inlineStr">
        <is>
          <t>加密算法表、故障诊断结果表</t>
        </is>
      </c>
      <c r="W1245" s="96" t="inlineStr"/>
      <c r="X1245" s="111" t="inlineStr">
        <is>
          <t>加密算法表{ID、名称|ID、名称、类型、状态、创建时间、更新时间}
故障诊断结果表{ID、名称|ID、名称、类型、状态、创建时间、更新时间}</t>
        </is>
      </c>
      <c r="Y1245" s="88" t="n"/>
      <c r="Z1245" s="88" t="n"/>
    </row>
    <row r="1246" hidden="1" ht="21.6" customHeight="1">
      <c r="A1246" s="69">
        <f>ROW()-1</f>
        <v/>
      </c>
      <c r="B1246" s="53" t="n"/>
      <c r="C1246" s="117" t="n">
        <v>2026</v>
      </c>
      <c r="E1246" s="53" t="n"/>
      <c r="F1246" s="53" t="n"/>
      <c r="G1246" s="53" t="n"/>
      <c r="H1246" s="96" t="inlineStr">
        <is>
          <t>查询发布列表</t>
        </is>
      </c>
      <c r="I1246" s="76" t="inlineStr">
        <is>
          <t>EO</t>
        </is>
      </c>
      <c r="J1246" s="95" t="n"/>
      <c r="K1246" s="95" t="n"/>
      <c r="L1246" s="83">
        <f>IF(OR(X1246="估算法",X1246="算法类",X1246="无法识别"),"",IF(V1246="",IF(OR(I1246="EI",I1246="EO",I1246="EQ"),0,""),LEN(V1246)-LEN(SUBSTITUTE(V1246,"、",""))+1))</f>
        <v/>
      </c>
      <c r="M1246" s="83">
        <f>IF(OR(X1246="估算法",X1246="算法类",X1246="无法识别"),"",IF(W1246="",IF(OR(I1246="ILF",I1246="EIF"),0,""),LEN(W1246)-LEN(SUBSTITUTE(W1246,"、",""))+1))</f>
        <v/>
      </c>
      <c r="N1246" s="83">
        <f>IF(OR(X1246="估算法",X1246="算法类",X1246="无法识别"),"",IF(X1246="",IF(OR(I1246="ILF",I1246="EIF",I1246="EI",I1246="EO",I1246="EQ"),0,""),LEN(X1246)-LEN(SUBSTITUTE(SUBSTITUTE(SUBSTITUTE(SUBSTITUTE(SUBSTITUTE(X1246,"|}","--"),"{|","--"),CHAR(10),""),"、",""),"|",""))+IF(AND(OR(I1246="EI",I1246="EO",I1246="EQ"),$AD$1="NESMA"),2,1)))</f>
        <v/>
      </c>
      <c r="O1246" s="84">
        <f>IF(I1246="EI",IF(OR(X1246="估算法",X1246="算法类"),"中",IF(X1246="无法识别","低",IF(L1246&lt;2,IF(N1246&lt;16,"低","中"),IF(L1246&lt;3,IF(N1246&lt;5,"低",IF(N1246&lt;16,"中","高")),IF(N1246&lt;5,"中","高"))))),IF(OR(I1246="EO",I1246="EQ"),IF(OR(X1246="估算法",X1246="算法类"),"中",IF(X1246="无法识别","低",IF(L1246&lt;2,IF(N1246&lt;20,"低","中"),IF(L1246&lt;4,IF(N1246&lt;6,"低",IF(N1246&lt;20,"中","高")),IF(N1246&lt;6,"中","高"))))),IF(OR(I1246="ILF",I1246="EIF"),IF(OR(X1246="估算法",X1246="算法类",X1246="无法识别"),"低",IF(M1246&lt;2,IF(N1246&lt;51,"低","中"),IF(M1246&lt;6,IF(N1246&lt;20,"低",IF(N1246&lt;51,"中","高")),IF(N1246&lt;20,"中","高")))),"不计算")))</f>
        <v/>
      </c>
      <c r="P1246" s="142">
        <f>IFERROR(IF(I1246="EI",IF(O1246="低",3,IF(O1246="中",4,6)),IF(I1246="EO",IF(O1246="低",4,IF(O1246="中",5,7)),IF(I1246="EQ",IF(O1246="低",3,IF(O1246="中",4,6)),IF(I1246="ILF",IF(O1246="低",7,IF(O1246="中",10,15)),IF(I1246="EIF",IF(O1246="低",5,IF(O1246="中",7,10)),"不计算")))))*Q1246,"不计算")</f>
        <v/>
      </c>
      <c r="Q1246" s="142" t="n">
        <v>1</v>
      </c>
      <c r="R1246" s="143">
        <f>调整因子!$F$13</f>
        <v/>
      </c>
      <c r="S1246" s="70" t="n">
        <v>1</v>
      </c>
      <c r="T1246" s="144">
        <f>IFERROR(P1246*R1246,0)</f>
        <v/>
      </c>
      <c r="U1246" s="145">
        <f>T1246*S1246</f>
        <v/>
      </c>
      <c r="V1246" s="96" t="inlineStr">
        <is>
          <t>报告解析结果表、模板配置表</t>
        </is>
      </c>
      <c r="W1246" s="96" t="inlineStr"/>
      <c r="X1246" s="111" t="inlineStr">
        <is>
          <t>报告解析结果表{ID、名称|ID、名称、类型、状态、创建时间、更新时间}
模板配置表{配置ID、配置名称|配置ID、配置名称、配置类型、配置值、创建时间}</t>
        </is>
      </c>
      <c r="Y1246" s="88" t="n"/>
      <c r="Z1246" s="88" t="n"/>
    </row>
    <row r="1247" hidden="1">
      <c r="A1247" s="69">
        <f>ROW()-1</f>
        <v/>
      </c>
      <c r="B1247" s="53" t="n"/>
      <c r="C1247" s="117" t="n">
        <v>2026</v>
      </c>
      <c r="E1247" s="53" t="n"/>
      <c r="F1247" s="54" t="n"/>
      <c r="G1247" s="54" t="n"/>
      <c r="H1247" s="96" t="inlineStr">
        <is>
          <t>查看发布详情</t>
        </is>
      </c>
      <c r="I1247" s="76" t="inlineStr">
        <is>
          <t>EQ</t>
        </is>
      </c>
      <c r="J1247" s="95" t="n"/>
      <c r="K1247" s="95" t="n"/>
      <c r="L1247" s="83">
        <f>IF(OR(X1247="估算法",X1247="算法类",X1247="无法识别"),"",IF(V1247="",IF(OR(I1247="EI",I1247="EO",I1247="EQ"),0,""),LEN(V1247)-LEN(SUBSTITUTE(V1247,"、",""))+1))</f>
        <v/>
      </c>
      <c r="M1247" s="83">
        <f>IF(OR(X1247="估算法",X1247="算法类",X1247="无法识别"),"",IF(W1247="",IF(OR(I1247="ILF",I1247="EIF"),0,""),LEN(W1247)-LEN(SUBSTITUTE(W1247,"、",""))+1))</f>
        <v/>
      </c>
      <c r="N1247" s="83">
        <f>IF(OR(X1247="估算法",X1247="算法类",X1247="无法识别"),"",IF(X1247="",IF(OR(I1247="ILF",I1247="EIF",I1247="EI",I1247="EO",I1247="EQ"),0,""),LEN(X1247)-LEN(SUBSTITUTE(SUBSTITUTE(SUBSTITUTE(SUBSTITUTE(SUBSTITUTE(X1247,"|}","--"),"{|","--"),CHAR(10),""),"、",""),"|",""))+IF(AND(OR(I1247="EI",I1247="EO",I1247="EQ"),$AD$1="NESMA"),2,1)))</f>
        <v/>
      </c>
      <c r="O1247" s="84">
        <f>IF(I1247="EI",IF(OR(X1247="估算法",X1247="算法类"),"中",IF(X1247="无法识别","低",IF(L1247&lt;2,IF(N1247&lt;16,"低","中"),IF(L1247&lt;3,IF(N1247&lt;5,"低",IF(N1247&lt;16,"中","高")),IF(N1247&lt;5,"中","高"))))),IF(OR(I1247="EO",I1247="EQ"),IF(OR(X1247="估算法",X1247="算法类"),"中",IF(X1247="无法识别","低",IF(L1247&lt;2,IF(N1247&lt;20,"低","中"),IF(L1247&lt;4,IF(N1247&lt;6,"低",IF(N1247&lt;20,"中","高")),IF(N1247&lt;6,"中","高"))))),IF(OR(I1247="ILF",I1247="EIF"),IF(OR(X1247="估算法",X1247="算法类",X1247="无法识别"),"低",IF(M1247&lt;2,IF(N1247&lt;51,"低","中"),IF(M1247&lt;6,IF(N1247&lt;20,"低",IF(N1247&lt;51,"中","高")),IF(N1247&lt;20,"中","高")))),"不计算")))</f>
        <v/>
      </c>
      <c r="P1247" s="142">
        <f>IFERROR(IF(I1247="EI",IF(O1247="低",3,IF(O1247="中",4,6)),IF(I1247="EO",IF(O1247="低",4,IF(O1247="中",5,7)),IF(I1247="EQ",IF(O1247="低",3,IF(O1247="中",4,6)),IF(I1247="ILF",IF(O1247="低",7,IF(O1247="中",10,15)),IF(I1247="EIF",IF(O1247="低",5,IF(O1247="中",7,10)),"不计算")))))*Q1247,"不计算")</f>
        <v/>
      </c>
      <c r="Q1247" s="142" t="n">
        <v>1</v>
      </c>
      <c r="R1247" s="143">
        <f>调整因子!$F$13</f>
        <v/>
      </c>
      <c r="S1247" s="76" t="n">
        <v>1</v>
      </c>
      <c r="T1247" s="144">
        <f>IFERROR(P1247*R1247,0)</f>
        <v/>
      </c>
      <c r="U1247" s="145">
        <f>T1247*S1247</f>
        <v/>
      </c>
      <c r="V1247" s="96" t="inlineStr">
        <is>
          <t>加密规则表</t>
        </is>
      </c>
      <c r="W1247" s="96" t="inlineStr"/>
      <c r="X1247" s="111" t="inlineStr">
        <is>
          <t>加密规则表{规则ID、规则名称|规则ID、规则名称、规则类型、规则条件、创建时间}</t>
        </is>
      </c>
      <c r="Y1247" s="88" t="n"/>
      <c r="Z1247" s="88" t="n"/>
    </row>
    <row r="1248" hidden="1">
      <c r="A1248" s="69">
        <f>ROW()-1</f>
        <v/>
      </c>
      <c r="B1248" s="53" t="n"/>
      <c r="C1248" s="117" t="n">
        <v>2026</v>
      </c>
      <c r="E1248" s="53" t="n"/>
      <c r="F1248" s="111" t="inlineStr">
        <is>
          <t>漏洞补丁管理</t>
        </is>
      </c>
      <c r="G1248" s="111" t="inlineStr">
        <is>
          <t>修复方案创建管理</t>
        </is>
      </c>
      <c r="H1248" s="96" t="inlineStr">
        <is>
          <t>修复方案表</t>
        </is>
      </c>
      <c r="I1248" s="76" t="inlineStr">
        <is>
          <t>ILF</t>
        </is>
      </c>
      <c r="J1248" s="95" t="n"/>
      <c r="K1248" s="95" t="n"/>
      <c r="L1248" s="83">
        <f>IF(OR(X1248="估算法",X1248="算法类",X1248="无法识别"),"",IF(V1248="",IF(OR(I1248="EI",I1248="EO",I1248="EQ"),0,""),LEN(V1248)-LEN(SUBSTITUTE(V1248,"、",""))+1))</f>
        <v/>
      </c>
      <c r="M1248" s="83">
        <f>IF(OR(X1248="估算法",X1248="算法类",X1248="无法识别"),"",IF(W1248="",IF(OR(I1248="ILF",I1248="EIF"),0,""),LEN(W1248)-LEN(SUBSTITUTE(W1248,"、",""))+1))</f>
        <v/>
      </c>
      <c r="N1248" s="83">
        <f>IF(OR(X1248="估算法",X1248="算法类",X1248="无法识别"),"",IF(X1248="",IF(OR(I1248="ILF",I1248="EIF",I1248="EI",I1248="EO",I1248="EQ"),0,""),LEN(X1248)-LEN(SUBSTITUTE(SUBSTITUTE(SUBSTITUTE(SUBSTITUTE(SUBSTITUTE(X1248,"|}","--"),"{|","--"),CHAR(10),""),"、",""),"|",""))+IF(AND(OR(I1248="EI",I1248="EO",I1248="EQ"),$AD$1="NESMA"),2,1)))</f>
        <v/>
      </c>
      <c r="O1248" s="84">
        <f>IF(I1248="EI",IF(OR(X1248="估算法",X1248="算法类"),"中",IF(X1248="无法识别","低",IF(L1248&lt;2,IF(N1248&lt;16,"低","中"),IF(L1248&lt;3,IF(N1248&lt;5,"低",IF(N1248&lt;16,"中","高")),IF(N1248&lt;5,"中","高"))))),IF(OR(I1248="EO",I1248="EQ"),IF(OR(X1248="估算法",X1248="算法类"),"中",IF(X1248="无法识别","低",IF(L1248&lt;2,IF(N1248&lt;20,"低","中"),IF(L1248&lt;4,IF(N1248&lt;6,"低",IF(N1248&lt;20,"中","高")),IF(N1248&lt;6,"中","高"))))),IF(OR(I1248="ILF",I1248="EIF"),IF(OR(X1248="估算法",X1248="算法类",X1248="无法识别"),"低",IF(M1248&lt;2,IF(N1248&lt;51,"低","中"),IF(M1248&lt;6,IF(N1248&lt;20,"低",IF(N1248&lt;51,"中","高")),IF(N1248&lt;20,"中","高")))),"不计算")))</f>
        <v/>
      </c>
      <c r="P1248" s="142">
        <f>IFERROR(IF(I1248="EI",IF(O1248="低",3,IF(O1248="中",4,6)),IF(I1248="EO",IF(O1248="低",4,IF(O1248="中",5,7)),IF(I1248="EQ",IF(O1248="低",3,IF(O1248="中",4,6)),IF(I1248="ILF",IF(O1248="低",7,IF(O1248="中",10,15)),IF(I1248="EIF",IF(O1248="低",5,IF(O1248="中",7,10)),"不计算")))))*Q1248,"不计算")</f>
        <v/>
      </c>
      <c r="Q1248" s="142" t="n">
        <v>1</v>
      </c>
      <c r="R1248" s="143">
        <f>调整因子!$F$13</f>
        <v/>
      </c>
      <c r="S1248" s="70" t="n">
        <v>1</v>
      </c>
      <c r="T1248" s="144">
        <f>IFERROR(P1248*R1248,0)</f>
        <v/>
      </c>
      <c r="U1248" s="145">
        <f>T1248*S1248</f>
        <v/>
      </c>
      <c r="V1248" s="96" t="inlineStr"/>
      <c r="W1248" s="96" t="inlineStr">
        <is>
          <t>数据记录</t>
        </is>
      </c>
      <c r="X1248" s="111" t="inlineStr">
        <is>
          <t>修复方案表{ID、名称、类型|ID、名称、类型、状态、创建时间、更新时间}</t>
        </is>
      </c>
      <c r="Y1248" s="88">
        <f>IF(COUNTIFS(V:V,"*"&amp;H1248&amp;"*")&gt;0,"存在","不存在")</f>
        <v/>
      </c>
      <c r="Z1248" s="88">
        <f>IF(COUNTIFS(AA:AA,"*"&amp;H1248&amp;"*")&gt;0,"存在","不存在")</f>
        <v/>
      </c>
    </row>
    <row r="1249" hidden="1">
      <c r="A1249" s="69">
        <f>ROW()-1</f>
        <v/>
      </c>
      <c r="B1249" s="53" t="n"/>
      <c r="C1249" s="117" t="n">
        <v>2026</v>
      </c>
      <c r="E1249" s="53" t="n"/>
      <c r="F1249" s="53" t="n"/>
      <c r="G1249" s="53" t="n"/>
      <c r="H1249" s="96" t="inlineStr">
        <is>
          <t>修复步骤表</t>
        </is>
      </c>
      <c r="I1249" s="76" t="inlineStr">
        <is>
          <t>ILF</t>
        </is>
      </c>
      <c r="J1249" s="95" t="n"/>
      <c r="K1249" s="95" t="n"/>
      <c r="L1249" s="83">
        <f>IF(OR(X1249="估算法",X1249="算法类",X1249="无法识别"),"",IF(V1249="",IF(OR(I1249="EI",I1249="EO",I1249="EQ"),0,""),LEN(V1249)-LEN(SUBSTITUTE(V1249,"、",""))+1))</f>
        <v/>
      </c>
      <c r="M1249" s="83">
        <f>IF(OR(X1249="估算法",X1249="算法类",X1249="无法识别"),"",IF(W1249="",IF(OR(I1249="ILF",I1249="EIF"),0,""),LEN(W1249)-LEN(SUBSTITUTE(W1249,"、",""))+1))</f>
        <v/>
      </c>
      <c r="N1249" s="83">
        <f>IF(OR(X1249="估算法",X1249="算法类",X1249="无法识别"),"",IF(X1249="",IF(OR(I1249="ILF",I1249="EIF",I1249="EI",I1249="EO",I1249="EQ"),0,""),LEN(X1249)-LEN(SUBSTITUTE(SUBSTITUTE(SUBSTITUTE(SUBSTITUTE(SUBSTITUTE(X1249,"|}","--"),"{|","--"),CHAR(10),""),"、",""),"|",""))+IF(AND(OR(I1249="EI",I1249="EO",I1249="EQ"),$AD$1="NESMA"),2,1)))</f>
        <v/>
      </c>
      <c r="O1249" s="84">
        <f>IF(I1249="EI",IF(OR(X1249="估算法",X1249="算法类"),"中",IF(X1249="无法识别","低",IF(L1249&lt;2,IF(N1249&lt;16,"低","中"),IF(L1249&lt;3,IF(N1249&lt;5,"低",IF(N1249&lt;16,"中","高")),IF(N1249&lt;5,"中","高"))))),IF(OR(I1249="EO",I1249="EQ"),IF(OR(X1249="估算法",X1249="算法类"),"中",IF(X1249="无法识别","低",IF(L1249&lt;2,IF(N1249&lt;20,"低","中"),IF(L1249&lt;4,IF(N1249&lt;6,"低",IF(N1249&lt;20,"中","高")),IF(N1249&lt;6,"中","高"))))),IF(OR(I1249="ILF",I1249="EIF"),IF(OR(X1249="估算法",X1249="算法类",X1249="无法识别"),"低",IF(M1249&lt;2,IF(N1249&lt;51,"低","中"),IF(M1249&lt;6,IF(N1249&lt;20,"低",IF(N1249&lt;51,"中","高")),IF(N1249&lt;20,"中","高")))),"不计算")))</f>
        <v/>
      </c>
      <c r="P1249" s="142">
        <f>IFERROR(IF(I1249="EI",IF(O1249="低",3,IF(O1249="中",4,6)),IF(I1249="EO",IF(O1249="低",4,IF(O1249="中",5,7)),IF(I1249="EQ",IF(O1249="低",3,IF(O1249="中",4,6)),IF(I1249="ILF",IF(O1249="低",7,IF(O1249="中",10,15)),IF(I1249="EIF",IF(O1249="低",5,IF(O1249="中",7,10)),"不计算")))))*Q1249,"不计算")</f>
        <v/>
      </c>
      <c r="Q1249" s="142" t="n">
        <v>1</v>
      </c>
      <c r="R1249" s="143">
        <f>调整因子!$F$13</f>
        <v/>
      </c>
      <c r="S1249" s="70" t="n">
        <v>1</v>
      </c>
      <c r="T1249" s="144">
        <f>IFERROR(P1249*R1249,0)</f>
        <v/>
      </c>
      <c r="U1249" s="145">
        <f>T1249*S1249</f>
        <v/>
      </c>
      <c r="V1249" s="96" t="inlineStr"/>
      <c r="W1249" s="96" t="inlineStr">
        <is>
          <t>数据记录</t>
        </is>
      </c>
      <c r="X1249" s="111" t="inlineStr">
        <is>
          <t>修复步骤表{ID、名称、类型|ID、名称、类型、状态、创建时间、更新时间}</t>
        </is>
      </c>
      <c r="Y1249" s="88">
        <f>IF(COUNTIFS(V:V,"*"&amp;H1249&amp;"*")&gt;0,"存在","不存在")</f>
        <v/>
      </c>
      <c r="Z1249" s="88">
        <f>IF(COUNTIFS(AA:AA,"*"&amp;H1249&amp;"*")&gt;0,"存在","不存在")</f>
        <v/>
      </c>
    </row>
    <row r="1250" hidden="1">
      <c r="A1250" s="69">
        <f>ROW()-1</f>
        <v/>
      </c>
      <c r="B1250" s="53" t="n"/>
      <c r="C1250" s="117" t="n">
        <v>2026</v>
      </c>
      <c r="E1250" s="53" t="n"/>
      <c r="F1250" s="53" t="n"/>
      <c r="G1250" s="53" t="n"/>
      <c r="H1250" s="96" t="inlineStr">
        <is>
          <t>编辑修复方案</t>
        </is>
      </c>
      <c r="I1250" s="76" t="inlineStr">
        <is>
          <t>EI</t>
        </is>
      </c>
      <c r="J1250" s="95" t="n"/>
      <c r="K1250" s="95" t="n"/>
      <c r="L1250" s="83">
        <f>IF(OR(X1250="估算法",X1250="算法类",X1250="无法识别"),"",IF(V1250="",IF(OR(I1250="EI",I1250="EO",I1250="EQ"),0,""),LEN(V1250)-LEN(SUBSTITUTE(V1250,"、",""))+1))</f>
        <v/>
      </c>
      <c r="M1250" s="83">
        <f>IF(OR(X1250="估算法",X1250="算法类",X1250="无法识别"),"",IF(W1250="",IF(OR(I1250="ILF",I1250="EIF"),0,""),LEN(W1250)-LEN(SUBSTITUTE(W1250,"、",""))+1))</f>
        <v/>
      </c>
      <c r="N1250" s="83">
        <f>IF(OR(X1250="估算法",X1250="算法类",X1250="无法识别"),"",IF(X1250="",IF(OR(I1250="ILF",I1250="EIF",I1250="EI",I1250="EO",I1250="EQ"),0,""),LEN(X1250)-LEN(SUBSTITUTE(SUBSTITUTE(SUBSTITUTE(SUBSTITUTE(SUBSTITUTE(X1250,"|}","--"),"{|","--"),CHAR(10),""),"、",""),"|",""))+IF(AND(OR(I1250="EI",I1250="EO",I1250="EQ"),$AD$1="NESMA"),2,1)))</f>
        <v/>
      </c>
      <c r="O1250" s="84">
        <f>IF(I1250="EI",IF(OR(X1250="估算法",X1250="算法类"),"中",IF(X1250="无法识别","低",IF(L1250&lt;2,IF(N1250&lt;16,"低","中"),IF(L1250&lt;3,IF(N1250&lt;5,"低",IF(N1250&lt;16,"中","高")),IF(N1250&lt;5,"中","高"))))),IF(OR(I1250="EO",I1250="EQ"),IF(OR(X1250="估算法",X1250="算法类"),"中",IF(X1250="无法识别","低",IF(L1250&lt;2,IF(N1250&lt;20,"低","中"),IF(L1250&lt;4,IF(N1250&lt;6,"低",IF(N1250&lt;20,"中","高")),IF(N1250&lt;6,"中","高"))))),IF(OR(I1250="ILF",I1250="EIF"),IF(OR(X1250="估算法",X1250="算法类",X1250="无法识别"),"低",IF(M1250&lt;2,IF(N1250&lt;51,"低","中"),IF(M1250&lt;6,IF(N1250&lt;20,"低",IF(N1250&lt;51,"中","高")),IF(N1250&lt;20,"中","高")))),"不计算")))</f>
        <v/>
      </c>
      <c r="P1250" s="142">
        <f>IFERROR(IF(I1250="EI",IF(O1250="低",3,IF(O1250="中",4,6)),IF(I1250="EO",IF(O1250="低",4,IF(O1250="中",5,7)),IF(I1250="EQ",IF(O1250="低",3,IF(O1250="中",4,6)),IF(I1250="ILF",IF(O1250="低",7,IF(O1250="中",10,15)),IF(I1250="EIF",IF(O1250="低",5,IF(O1250="中",7,10)),"不计算")))))*Q1250,"不计算")</f>
        <v/>
      </c>
      <c r="Q1250" s="142" t="n">
        <v>1</v>
      </c>
      <c r="R1250" s="143">
        <f>调整因子!$F$13</f>
        <v/>
      </c>
      <c r="S1250" s="76" t="n">
        <v>1</v>
      </c>
      <c r="T1250" s="144">
        <f>IFERROR(P1250*R1250,0)</f>
        <v/>
      </c>
      <c r="U1250" s="145">
        <f>T1250*S1250</f>
        <v/>
      </c>
      <c r="V1250" s="96" t="inlineStr">
        <is>
          <t>验证记录表</t>
        </is>
      </c>
      <c r="W1250" s="96" t="inlineStr"/>
      <c r="X1250" s="111" t="inlineStr">
        <is>
          <t>验证记录表{ID、名称、类型、状态、创建时间、更新时间|ID、名称、类型}</t>
        </is>
      </c>
      <c r="Y1250" s="88" t="n"/>
      <c r="Z1250" s="88" t="n"/>
    </row>
    <row r="1251" hidden="1">
      <c r="A1251" s="69">
        <f>ROW()-1</f>
        <v/>
      </c>
      <c r="B1251" s="53" t="n"/>
      <c r="C1251" s="117" t="n">
        <v>2026</v>
      </c>
      <c r="E1251" s="53" t="n"/>
      <c r="F1251" s="53" t="n"/>
      <c r="G1251" s="53" t="n"/>
      <c r="H1251" s="96" t="inlineStr">
        <is>
          <t>删除修复方案</t>
        </is>
      </c>
      <c r="I1251" s="76" t="inlineStr">
        <is>
          <t>EI</t>
        </is>
      </c>
      <c r="J1251" s="95" t="n"/>
      <c r="K1251" s="95" t="n"/>
      <c r="L1251" s="83">
        <f>IF(OR(X1251="估算法",X1251="算法类",X1251="无法识别"),"",IF(V1251="",IF(OR(I1251="EI",I1251="EO",I1251="EQ"),0,""),LEN(V1251)-LEN(SUBSTITUTE(V1251,"、",""))+1))</f>
        <v/>
      </c>
      <c r="M1251" s="83">
        <f>IF(OR(X1251="估算法",X1251="算法类",X1251="无法识别"),"",IF(W1251="",IF(OR(I1251="ILF",I1251="EIF"),0,""),LEN(W1251)-LEN(SUBSTITUTE(W1251,"、",""))+1))</f>
        <v/>
      </c>
      <c r="N1251" s="83">
        <f>IF(OR(X1251="估算法",X1251="算法类",X1251="无法识别"),"",IF(X1251="",IF(OR(I1251="ILF",I1251="EIF",I1251="EI",I1251="EO",I1251="EQ"),0,""),LEN(X1251)-LEN(SUBSTITUTE(SUBSTITUTE(SUBSTITUTE(SUBSTITUTE(SUBSTITUTE(X1251,"|}","--"),"{|","--"),CHAR(10),""),"、",""),"|",""))+IF(AND(OR(I1251="EI",I1251="EO",I1251="EQ"),$AD$1="NESMA"),2,1)))</f>
        <v/>
      </c>
      <c r="O1251" s="84">
        <f>IF(I1251="EI",IF(OR(X1251="估算法",X1251="算法类"),"中",IF(X1251="无法识别","低",IF(L1251&lt;2,IF(N1251&lt;16,"低","中"),IF(L1251&lt;3,IF(N1251&lt;5,"低",IF(N1251&lt;16,"中","高")),IF(N1251&lt;5,"中","高"))))),IF(OR(I1251="EO",I1251="EQ"),IF(OR(X1251="估算法",X1251="算法类"),"中",IF(X1251="无法识别","低",IF(L1251&lt;2,IF(N1251&lt;20,"低","中"),IF(L1251&lt;4,IF(N1251&lt;6,"低",IF(N1251&lt;20,"中","高")),IF(N1251&lt;6,"中","高"))))),IF(OR(I1251="ILF",I1251="EIF"),IF(OR(X1251="估算法",X1251="算法类",X1251="无法识别"),"低",IF(M1251&lt;2,IF(N1251&lt;51,"低","中"),IF(M1251&lt;6,IF(N1251&lt;20,"低",IF(N1251&lt;51,"中","高")),IF(N1251&lt;20,"中","高")))),"不计算")))</f>
        <v/>
      </c>
      <c r="P1251" s="142">
        <f>IFERROR(IF(I1251="EI",IF(O1251="低",3,IF(O1251="中",4,6)),IF(I1251="EO",IF(O1251="低",4,IF(O1251="中",5,7)),IF(I1251="EQ",IF(O1251="低",3,IF(O1251="中",4,6)),IF(I1251="ILF",IF(O1251="低",7,IF(O1251="中",10,15)),IF(I1251="EIF",IF(O1251="低",5,IF(O1251="中",7,10)),"不计算")))))*Q1251,"不计算")</f>
        <v/>
      </c>
      <c r="Q1251" s="142" t="n">
        <v>0.333333333333333</v>
      </c>
      <c r="R1251" s="143">
        <f>调整因子!$F$13</f>
        <v/>
      </c>
      <c r="S1251" s="76" t="n">
        <v>1</v>
      </c>
      <c r="T1251" s="144">
        <f>IFERROR(P1251*R1251,0)</f>
        <v/>
      </c>
      <c r="U1251" s="145">
        <f>T1251*S1251</f>
        <v/>
      </c>
      <c r="V1251" s="96" t="inlineStr">
        <is>
          <t>模板分类表</t>
        </is>
      </c>
      <c r="W1251" s="96" t="inlineStr"/>
      <c r="X1251" s="111" t="inlineStr">
        <is>
          <t>模板分类表{ID、名称、类型、状态、创建时间、更新时间|ID、名称、类型}</t>
        </is>
      </c>
      <c r="Y1251" s="88" t="n"/>
      <c r="Z1251" s="88" t="n"/>
    </row>
    <row r="1252" hidden="1" ht="21.6" customHeight="1">
      <c r="A1252" s="69">
        <f>ROW()-1</f>
        <v/>
      </c>
      <c r="B1252" s="53" t="n"/>
      <c r="C1252" s="117" t="n">
        <v>2026</v>
      </c>
      <c r="E1252" s="53" t="n"/>
      <c r="F1252" s="53" t="n"/>
      <c r="G1252" s="53" t="n"/>
      <c r="H1252" s="96" t="inlineStr">
        <is>
          <t>导出修复方案</t>
        </is>
      </c>
      <c r="I1252" s="76" t="inlineStr">
        <is>
          <t>EO</t>
        </is>
      </c>
      <c r="J1252" s="95" t="n"/>
      <c r="K1252" s="95" t="n"/>
      <c r="L1252" s="83">
        <f>IF(OR(X1252="估算法",X1252="算法类",X1252="无法识别"),"",IF(V1252="",IF(OR(I1252="EI",I1252="EO",I1252="EQ"),0,""),LEN(V1252)-LEN(SUBSTITUTE(V1252,"、",""))+1))</f>
        <v/>
      </c>
      <c r="M1252" s="83">
        <f>IF(OR(X1252="估算法",X1252="算法类",X1252="无法识别"),"",IF(W1252="",IF(OR(I1252="ILF",I1252="EIF"),0,""),LEN(W1252)-LEN(SUBSTITUTE(W1252,"、",""))+1))</f>
        <v/>
      </c>
      <c r="N1252" s="83">
        <f>IF(OR(X1252="估算法",X1252="算法类",X1252="无法识别"),"",IF(X1252="",IF(OR(I1252="ILF",I1252="EIF",I1252="EI",I1252="EO",I1252="EQ"),0,""),LEN(X1252)-LEN(SUBSTITUTE(SUBSTITUTE(SUBSTITUTE(SUBSTITUTE(SUBSTITUTE(X1252,"|}","--"),"{|","--"),CHAR(10),""),"、",""),"|",""))+IF(AND(OR(I1252="EI",I1252="EO",I1252="EQ"),$AD$1="NESMA"),2,1)))</f>
        <v/>
      </c>
      <c r="O1252" s="84">
        <f>IF(I1252="EI",IF(OR(X1252="估算法",X1252="算法类"),"中",IF(X1252="无法识别","低",IF(L1252&lt;2,IF(N1252&lt;16,"低","中"),IF(L1252&lt;3,IF(N1252&lt;5,"低",IF(N1252&lt;16,"中","高")),IF(N1252&lt;5,"中","高"))))),IF(OR(I1252="EO",I1252="EQ"),IF(OR(X1252="估算法",X1252="算法类"),"中",IF(X1252="无法识别","低",IF(L1252&lt;2,IF(N1252&lt;20,"低","中"),IF(L1252&lt;4,IF(N1252&lt;6,"低",IF(N1252&lt;20,"中","高")),IF(N1252&lt;6,"中","高"))))),IF(OR(I1252="ILF",I1252="EIF"),IF(OR(X1252="估算法",X1252="算法类",X1252="无法识别"),"低",IF(M1252&lt;2,IF(N1252&lt;51,"低","中"),IF(M1252&lt;6,IF(N1252&lt;20,"低",IF(N1252&lt;51,"中","高")),IF(N1252&lt;20,"中","高")))),"不计算")))</f>
        <v/>
      </c>
      <c r="P1252" s="142">
        <f>IFERROR(IF(I1252="EI",IF(O1252="低",3,IF(O1252="中",4,6)),IF(I1252="EO",IF(O1252="低",4,IF(O1252="中",5,7)),IF(I1252="EQ",IF(O1252="低",3,IF(O1252="中",4,6)),IF(I1252="ILF",IF(O1252="低",7,IF(O1252="中",10,15)),IF(I1252="EIF",IF(O1252="低",5,IF(O1252="中",7,10)),"不计算")))))*Q1252,"不计算")</f>
        <v/>
      </c>
      <c r="Q1252" s="142" t="n">
        <v>1</v>
      </c>
      <c r="R1252" s="143">
        <f>调整因子!$F$13</f>
        <v/>
      </c>
      <c r="S1252" s="70" t="n">
        <v>1</v>
      </c>
      <c r="T1252" s="144">
        <f>IFERROR(P1252*R1252,0)</f>
        <v/>
      </c>
      <c r="U1252" s="145">
        <f>T1252*S1252</f>
        <v/>
      </c>
      <c r="V1252" s="96" t="inlineStr">
        <is>
          <t>处置单配置表、标签分类表</t>
        </is>
      </c>
      <c r="W1252" s="96" t="inlineStr"/>
      <c r="X1252" s="111" t="inlineStr">
        <is>
          <t>处置单配置表{配置ID、配置名称|配置ID、配置名称、配置类型、配置值、创建时间}
标签分类表{ID、名称|ID、名称、类型、状态、创建时间、更新时间}</t>
        </is>
      </c>
      <c r="Y1252" s="88" t="n"/>
      <c r="Z1252" s="88" t="n"/>
    </row>
    <row r="1253" hidden="1">
      <c r="A1253" s="69">
        <f>ROW()-1</f>
        <v/>
      </c>
      <c r="B1253" s="53" t="n"/>
      <c r="C1253" s="117" t="n">
        <v>2026</v>
      </c>
      <c r="E1253" s="53" t="n"/>
      <c r="F1253" s="53" t="n"/>
      <c r="G1253" s="53" t="n"/>
      <c r="H1253" s="96" t="inlineStr">
        <is>
          <t>下载方案模板</t>
        </is>
      </c>
      <c r="I1253" s="76" t="inlineStr">
        <is>
          <t>EO</t>
        </is>
      </c>
      <c r="J1253" s="95" t="n"/>
      <c r="K1253" s="95" t="n"/>
      <c r="L1253" s="83">
        <f>IF(OR(X1253="估算法",X1253="算法类",X1253="无法识别"),"",IF(V1253="",IF(OR(I1253="EI",I1253="EO",I1253="EQ"),0,""),LEN(V1253)-LEN(SUBSTITUTE(V1253,"、",""))+1))</f>
        <v/>
      </c>
      <c r="M1253" s="83">
        <f>IF(OR(X1253="估算法",X1253="算法类",X1253="无法识别"),"",IF(W1253="",IF(OR(I1253="ILF",I1253="EIF"),0,""),LEN(W1253)-LEN(SUBSTITUTE(W1253,"、",""))+1))</f>
        <v/>
      </c>
      <c r="N1253" s="83">
        <f>IF(OR(X1253="估算法",X1253="算法类",X1253="无法识别"),"",IF(X1253="",IF(OR(I1253="ILF",I1253="EIF",I1253="EI",I1253="EO",I1253="EQ"),0,""),LEN(X1253)-LEN(SUBSTITUTE(SUBSTITUTE(SUBSTITUTE(SUBSTITUTE(SUBSTITUTE(X1253,"|}","--"),"{|","--"),CHAR(10),""),"、",""),"|",""))+IF(AND(OR(I1253="EI",I1253="EO",I1253="EQ"),$AD$1="NESMA"),2,1)))</f>
        <v/>
      </c>
      <c r="O1253" s="84">
        <f>IF(I1253="EI",IF(OR(X1253="估算法",X1253="算法类"),"中",IF(X1253="无法识别","低",IF(L1253&lt;2,IF(N1253&lt;16,"低","中"),IF(L1253&lt;3,IF(N1253&lt;5,"低",IF(N1253&lt;16,"中","高")),IF(N1253&lt;5,"中","高"))))),IF(OR(I1253="EO",I1253="EQ"),IF(OR(X1253="估算法",X1253="算法类"),"中",IF(X1253="无法识别","低",IF(L1253&lt;2,IF(N1253&lt;20,"低","中"),IF(L1253&lt;4,IF(N1253&lt;6,"低",IF(N1253&lt;20,"中","高")),IF(N1253&lt;6,"中","高"))))),IF(OR(I1253="ILF",I1253="EIF"),IF(OR(X1253="估算法",X1253="算法类",X1253="无法识别"),"低",IF(M1253&lt;2,IF(N1253&lt;51,"低","中"),IF(M1253&lt;6,IF(N1253&lt;20,"低",IF(N1253&lt;51,"中","高")),IF(N1253&lt;20,"中","高")))),"不计算")))</f>
        <v/>
      </c>
      <c r="P1253" s="142">
        <f>IFERROR(IF(I1253="EI",IF(O1253="低",3,IF(O1253="中",4,6)),IF(I1253="EO",IF(O1253="低",4,IF(O1253="中",5,7)),IF(I1253="EQ",IF(O1253="低",3,IF(O1253="中",4,6)),IF(I1253="ILF",IF(O1253="低",7,IF(O1253="中",10,15)),IF(I1253="EIF",IF(O1253="低",5,IF(O1253="中",7,10)),"不计算")))))*Q1253,"不计算")</f>
        <v/>
      </c>
      <c r="Q1253" s="142" t="n">
        <v>1</v>
      </c>
      <c r="R1253" s="143">
        <f>调整因子!$F$13</f>
        <v/>
      </c>
      <c r="S1253" s="70" t="n">
        <v>1</v>
      </c>
      <c r="T1253" s="144">
        <f>IFERROR(P1253*R1253,0)</f>
        <v/>
      </c>
      <c r="U1253" s="145">
        <f>T1253*S1253</f>
        <v/>
      </c>
      <c r="V1253" s="96" t="inlineStr">
        <is>
          <t>审计日志表</t>
        </is>
      </c>
      <c r="W1253" s="96" t="inlineStr"/>
      <c r="X1253" s="111" t="inlineStr">
        <is>
          <t>审计日志表{日志ID、操作人|日志ID、操作人、操作类型、操作时间、操作内容}</t>
        </is>
      </c>
      <c r="Y1253" s="88" t="n"/>
      <c r="Z1253" s="88" t="n"/>
    </row>
    <row r="1254" hidden="1">
      <c r="A1254" s="69">
        <f>ROW()-1</f>
        <v/>
      </c>
      <c r="B1254" s="53" t="n"/>
      <c r="C1254" s="117" t="n">
        <v>2026</v>
      </c>
      <c r="E1254" s="53" t="n"/>
      <c r="F1254" s="53" t="n"/>
      <c r="G1254" s="53" t="n"/>
      <c r="H1254" s="96" t="inlineStr">
        <is>
          <t>查询方案列表</t>
        </is>
      </c>
      <c r="I1254" s="76" t="inlineStr">
        <is>
          <t>EO</t>
        </is>
      </c>
      <c r="J1254" s="95" t="n"/>
      <c r="K1254" s="95" t="n"/>
      <c r="L1254" s="83">
        <f>IF(OR(X1254="估算法",X1254="算法类",X1254="无法识别"),"",IF(V1254="",IF(OR(I1254="EI",I1254="EO",I1254="EQ"),0,""),LEN(V1254)-LEN(SUBSTITUTE(V1254,"、",""))+1))</f>
        <v/>
      </c>
      <c r="M1254" s="83">
        <f>IF(OR(X1254="估算法",X1254="算法类",X1254="无法识别"),"",IF(W1254="",IF(OR(I1254="ILF",I1254="EIF"),0,""),LEN(W1254)-LEN(SUBSTITUTE(W1254,"、",""))+1))</f>
        <v/>
      </c>
      <c r="N1254" s="83">
        <f>IF(OR(X1254="估算法",X1254="算法类",X1254="无法识别"),"",IF(X1254="",IF(OR(I1254="ILF",I1254="EIF",I1254="EI",I1254="EO",I1254="EQ"),0,""),LEN(X1254)-LEN(SUBSTITUTE(SUBSTITUTE(SUBSTITUTE(SUBSTITUTE(SUBSTITUTE(X1254,"|}","--"),"{|","--"),CHAR(10),""),"、",""),"|",""))+IF(AND(OR(I1254="EI",I1254="EO",I1254="EQ"),$AD$1="NESMA"),2,1)))</f>
        <v/>
      </c>
      <c r="O1254" s="84">
        <f>IF(I1254="EI",IF(OR(X1254="估算法",X1254="算法类"),"中",IF(X1254="无法识别","低",IF(L1254&lt;2,IF(N1254&lt;16,"低","中"),IF(L1254&lt;3,IF(N1254&lt;5,"低",IF(N1254&lt;16,"中","高")),IF(N1254&lt;5,"中","高"))))),IF(OR(I1254="EO",I1254="EQ"),IF(OR(X1254="估算法",X1254="算法类"),"中",IF(X1254="无法识别","低",IF(L1254&lt;2,IF(N1254&lt;20,"低","中"),IF(L1254&lt;4,IF(N1254&lt;6,"低",IF(N1254&lt;20,"中","高")),IF(N1254&lt;6,"中","高"))))),IF(OR(I1254="ILF",I1254="EIF"),IF(OR(X1254="估算法",X1254="算法类",X1254="无法识别"),"低",IF(M1254&lt;2,IF(N1254&lt;51,"低","中"),IF(M1254&lt;6,IF(N1254&lt;20,"低",IF(N1254&lt;51,"中","高")),IF(N1254&lt;20,"中","高")))),"不计算")))</f>
        <v/>
      </c>
      <c r="P1254" s="142">
        <f>IFERROR(IF(I1254="EI",IF(O1254="低",3,IF(O1254="中",4,6)),IF(I1254="EO",IF(O1254="低",4,IF(O1254="中",5,7)),IF(I1254="EQ",IF(O1254="低",3,IF(O1254="中",4,6)),IF(I1254="ILF",IF(O1254="低",7,IF(O1254="中",10,15)),IF(I1254="EIF",IF(O1254="低",5,IF(O1254="中",7,10)),"不计算")))))*Q1254,"不计算")</f>
        <v/>
      </c>
      <c r="Q1254" s="142" t="n">
        <v>1</v>
      </c>
      <c r="R1254" s="143">
        <f>调整因子!$F$13</f>
        <v/>
      </c>
      <c r="S1254" s="76" t="n">
        <v>1</v>
      </c>
      <c r="T1254" s="144">
        <f>IFERROR(P1254*R1254,0)</f>
        <v/>
      </c>
      <c r="U1254" s="145">
        <f>T1254*S1254</f>
        <v/>
      </c>
      <c r="V1254" s="96" t="inlineStr">
        <is>
          <t>脱敏规则表</t>
        </is>
      </c>
      <c r="W1254" s="96" t="inlineStr"/>
      <c r="X1254" s="111" t="inlineStr">
        <is>
          <t>脱敏规则表{规则ID、规则名称|规则ID、规则名称、规则类型、规则条件、创建时间}</t>
        </is>
      </c>
      <c r="Y1254" s="88" t="n"/>
      <c r="Z1254" s="88" t="n"/>
    </row>
    <row r="1255" hidden="1">
      <c r="A1255" s="69">
        <f>ROW()-1</f>
        <v/>
      </c>
      <c r="B1255" s="53" t="n"/>
      <c r="C1255" s="117" t="n">
        <v>2026</v>
      </c>
      <c r="E1255" s="53" t="n"/>
      <c r="F1255" s="53" t="n"/>
      <c r="G1255" s="54" t="n"/>
      <c r="H1255" s="96" t="inlineStr">
        <is>
          <t>查看方案详情</t>
        </is>
      </c>
      <c r="I1255" s="76" t="inlineStr">
        <is>
          <t>EQ</t>
        </is>
      </c>
      <c r="J1255" s="95" t="n"/>
      <c r="K1255" s="95" t="n"/>
      <c r="L1255" s="83">
        <f>IF(OR(X1255="估算法",X1255="算法类",X1255="无法识别"),"",IF(V1255="",IF(OR(I1255="EI",I1255="EO",I1255="EQ"),0,""),LEN(V1255)-LEN(SUBSTITUTE(V1255,"、",""))+1))</f>
        <v/>
      </c>
      <c r="M1255" s="83">
        <f>IF(OR(X1255="估算法",X1255="算法类",X1255="无法识别"),"",IF(W1255="",IF(OR(I1255="ILF",I1255="EIF"),0,""),LEN(W1255)-LEN(SUBSTITUTE(W1255,"、",""))+1))</f>
        <v/>
      </c>
      <c r="N1255" s="83">
        <f>IF(OR(X1255="估算法",X1255="算法类",X1255="无法识别"),"",IF(X1255="",IF(OR(I1255="ILF",I1255="EIF",I1255="EI",I1255="EO",I1255="EQ"),0,""),LEN(X1255)-LEN(SUBSTITUTE(SUBSTITUTE(SUBSTITUTE(SUBSTITUTE(SUBSTITUTE(X1255,"|}","--"),"{|","--"),CHAR(10),""),"、",""),"|",""))+IF(AND(OR(I1255="EI",I1255="EO",I1255="EQ"),$AD$1="NESMA"),2,1)))</f>
        <v/>
      </c>
      <c r="O1255" s="84">
        <f>IF(I1255="EI",IF(OR(X1255="估算法",X1255="算法类"),"中",IF(X1255="无法识别","低",IF(L1255&lt;2,IF(N1255&lt;16,"低","中"),IF(L1255&lt;3,IF(N1255&lt;5,"低",IF(N1255&lt;16,"中","高")),IF(N1255&lt;5,"中","高"))))),IF(OR(I1255="EO",I1255="EQ"),IF(OR(X1255="估算法",X1255="算法类"),"中",IF(X1255="无法识别","低",IF(L1255&lt;2,IF(N1255&lt;20,"低","中"),IF(L1255&lt;4,IF(N1255&lt;6,"低",IF(N1255&lt;20,"中","高")),IF(N1255&lt;6,"中","高"))))),IF(OR(I1255="ILF",I1255="EIF"),IF(OR(X1255="估算法",X1255="算法类",X1255="无法识别"),"低",IF(M1255&lt;2,IF(N1255&lt;51,"低","中"),IF(M1255&lt;6,IF(N1255&lt;20,"低",IF(N1255&lt;51,"中","高")),IF(N1255&lt;20,"中","高")))),"不计算")))</f>
        <v/>
      </c>
      <c r="P1255" s="142">
        <f>IFERROR(IF(I1255="EI",IF(O1255="低",3,IF(O1255="中",4,6)),IF(I1255="EO",IF(O1255="低",4,IF(O1255="中",5,7)),IF(I1255="EQ",IF(O1255="低",3,IF(O1255="中",4,6)),IF(I1255="ILF",IF(O1255="低",7,IF(O1255="中",10,15)),IF(I1255="EIF",IF(O1255="低",5,IF(O1255="中",7,10)),"不计算")))))*Q1255,"不计算")</f>
        <v/>
      </c>
      <c r="Q1255" s="142" t="n">
        <v>1</v>
      </c>
      <c r="R1255" s="143">
        <f>调整因子!$F$13</f>
        <v/>
      </c>
      <c r="S1255" s="70" t="n">
        <v>1</v>
      </c>
      <c r="T1255" s="144">
        <f>IFERROR(P1255*R1255,0)</f>
        <v/>
      </c>
      <c r="U1255" s="145">
        <f>T1255*S1255</f>
        <v/>
      </c>
      <c r="V1255" s="96" t="inlineStr">
        <is>
          <t>故障知识库表</t>
        </is>
      </c>
      <c r="W1255" s="96" t="inlineStr"/>
      <c r="X1255" s="111" t="inlineStr">
        <is>
          <t>故障知识库表{ID、名称|ID、名称、类型、状态、创建时间、更新时间}</t>
        </is>
      </c>
      <c r="Y1255" s="88" t="n"/>
      <c r="Z1255" s="88" t="n"/>
    </row>
    <row r="1256" hidden="1" ht="21.6" customHeight="1">
      <c r="A1256" s="69">
        <f>ROW()-1</f>
        <v/>
      </c>
      <c r="B1256" s="53" t="n"/>
      <c r="C1256" s="117" t="n">
        <v>2026</v>
      </c>
      <c r="E1256" s="53" t="n"/>
      <c r="F1256" s="53" t="n"/>
      <c r="G1256" s="111" t="inlineStr">
        <is>
          <t>修复方案应用管理</t>
        </is>
      </c>
      <c r="H1256" s="96" t="inlineStr">
        <is>
          <t>导出应用记录</t>
        </is>
      </c>
      <c r="I1256" s="76" t="inlineStr">
        <is>
          <t>EO</t>
        </is>
      </c>
      <c r="J1256" s="95" t="n"/>
      <c r="K1256" s="95" t="n"/>
      <c r="L1256" s="83">
        <f>IF(OR(X1256="估算法",X1256="算法类",X1256="无法识别"),"",IF(V1256="",IF(OR(I1256="EI",I1256="EO",I1256="EQ"),0,""),LEN(V1256)-LEN(SUBSTITUTE(V1256,"、",""))+1))</f>
        <v/>
      </c>
      <c r="M1256" s="83">
        <f>IF(OR(X1256="估算法",X1256="算法类",X1256="无法识别"),"",IF(W1256="",IF(OR(I1256="ILF",I1256="EIF"),0,""),LEN(W1256)-LEN(SUBSTITUTE(W1256,"、",""))+1))</f>
        <v/>
      </c>
      <c r="N1256" s="83">
        <f>IF(OR(X1256="估算法",X1256="算法类",X1256="无法识别"),"",IF(X1256="",IF(OR(I1256="ILF",I1256="EIF",I1256="EI",I1256="EO",I1256="EQ"),0,""),LEN(X1256)-LEN(SUBSTITUTE(SUBSTITUTE(SUBSTITUTE(SUBSTITUTE(SUBSTITUTE(X1256,"|}","--"),"{|","--"),CHAR(10),""),"、",""),"|",""))+IF(AND(OR(I1256="EI",I1256="EO",I1256="EQ"),$AD$1="NESMA"),2,1)))</f>
        <v/>
      </c>
      <c r="O1256" s="84">
        <f>IF(I1256="EI",IF(OR(X1256="估算法",X1256="算法类"),"中",IF(X1256="无法识别","低",IF(L1256&lt;2,IF(N1256&lt;16,"低","中"),IF(L1256&lt;3,IF(N1256&lt;5,"低",IF(N1256&lt;16,"中","高")),IF(N1256&lt;5,"中","高"))))),IF(OR(I1256="EO",I1256="EQ"),IF(OR(X1256="估算法",X1256="算法类"),"中",IF(X1256="无法识别","低",IF(L1256&lt;2,IF(N1256&lt;20,"低","中"),IF(L1256&lt;4,IF(N1256&lt;6,"低",IF(N1256&lt;20,"中","高")),IF(N1256&lt;6,"中","高"))))),IF(OR(I1256="ILF",I1256="EIF"),IF(OR(X1256="估算法",X1256="算法类",X1256="无法识别"),"低",IF(M1256&lt;2,IF(N1256&lt;51,"低","中"),IF(M1256&lt;6,IF(N1256&lt;20,"低",IF(N1256&lt;51,"中","高")),IF(N1256&lt;20,"中","高")))),"不计算")))</f>
        <v/>
      </c>
      <c r="P1256" s="142">
        <f>IFERROR(IF(I1256="EI",IF(O1256="低",3,IF(O1256="中",4,6)),IF(I1256="EO",IF(O1256="低",4,IF(O1256="中",5,7)),IF(I1256="EQ",IF(O1256="低",3,IF(O1256="中",4,6)),IF(I1256="ILF",IF(O1256="低",7,IF(O1256="中",10,15)),IF(I1256="EIF",IF(O1256="低",5,IF(O1256="中",7,10)),"不计算")))))*Q1256,"不计算")</f>
        <v/>
      </c>
      <c r="Q1256" s="142" t="n">
        <v>1</v>
      </c>
      <c r="R1256" s="143">
        <f>调整因子!$F$13</f>
        <v/>
      </c>
      <c r="S1256" s="70" t="n">
        <v>1</v>
      </c>
      <c r="T1256" s="144">
        <f>IFERROR(P1256*R1256,0)</f>
        <v/>
      </c>
      <c r="U1256" s="145">
        <f>T1256*S1256</f>
        <v/>
      </c>
      <c r="V1256" s="96" t="inlineStr">
        <is>
          <t>漏洞处置单表</t>
        </is>
      </c>
      <c r="W1256" s="96" t="inlineStr"/>
      <c r="X1256" s="111" t="inlineStr">
        <is>
          <t>漏洞处置单表{漏洞ID、漏洞名称|漏洞ID、漏洞名称、漏洞等级、漏洞类型、CVE编号、发现时间}</t>
        </is>
      </c>
      <c r="Y1256" s="88" t="n"/>
      <c r="Z1256" s="88" t="n"/>
    </row>
    <row r="1257" hidden="1">
      <c r="A1257" s="69">
        <f>ROW()-1</f>
        <v/>
      </c>
      <c r="B1257" s="53" t="n"/>
      <c r="C1257" s="117" t="n">
        <v>2026</v>
      </c>
      <c r="E1257" s="53" t="n"/>
      <c r="F1257" s="53" t="n"/>
      <c r="G1257" s="53" t="n"/>
      <c r="H1257" s="96" t="inlineStr">
        <is>
          <t>查询应用记录</t>
        </is>
      </c>
      <c r="I1257" s="76" t="inlineStr">
        <is>
          <t>EQ</t>
        </is>
      </c>
      <c r="J1257" s="95" t="n"/>
      <c r="K1257" s="95" t="n"/>
      <c r="L1257" s="83">
        <f>IF(OR(X1257="估算法",X1257="算法类",X1257="无法识别"),"",IF(V1257="",IF(OR(I1257="EI",I1257="EO",I1257="EQ"),0,""),LEN(V1257)-LEN(SUBSTITUTE(V1257,"、",""))+1))</f>
        <v/>
      </c>
      <c r="M1257" s="83">
        <f>IF(OR(X1257="估算法",X1257="算法类",X1257="无法识别"),"",IF(W1257="",IF(OR(I1257="ILF",I1257="EIF"),0,""),LEN(W1257)-LEN(SUBSTITUTE(W1257,"、",""))+1))</f>
        <v/>
      </c>
      <c r="N1257" s="83">
        <f>IF(OR(X1257="估算法",X1257="算法类",X1257="无法识别"),"",IF(X1257="",IF(OR(I1257="ILF",I1257="EIF",I1257="EI",I1257="EO",I1257="EQ"),0,""),LEN(X1257)-LEN(SUBSTITUTE(SUBSTITUTE(SUBSTITUTE(SUBSTITUTE(SUBSTITUTE(X1257,"|}","--"),"{|","--"),CHAR(10),""),"、",""),"|",""))+IF(AND(OR(I1257="EI",I1257="EO",I1257="EQ"),$AD$1="NESMA"),2,1)))</f>
        <v/>
      </c>
      <c r="O1257" s="84">
        <f>IF(I1257="EI",IF(OR(X1257="估算法",X1257="算法类"),"中",IF(X1257="无法识别","低",IF(L1257&lt;2,IF(N1257&lt;16,"低","中"),IF(L1257&lt;3,IF(N1257&lt;5,"低",IF(N1257&lt;16,"中","高")),IF(N1257&lt;5,"中","高"))))),IF(OR(I1257="EO",I1257="EQ"),IF(OR(X1257="估算法",X1257="算法类"),"中",IF(X1257="无法识别","低",IF(L1257&lt;2,IF(N1257&lt;20,"低","中"),IF(L1257&lt;4,IF(N1257&lt;6,"低",IF(N1257&lt;20,"中","高")),IF(N1257&lt;6,"中","高"))))),IF(OR(I1257="ILF",I1257="EIF"),IF(OR(X1257="估算法",X1257="算法类",X1257="无法识别"),"低",IF(M1257&lt;2,IF(N1257&lt;51,"低","中"),IF(M1257&lt;6,IF(N1257&lt;20,"低",IF(N1257&lt;51,"中","高")),IF(N1257&lt;20,"中","高")))),"不计算")))</f>
        <v/>
      </c>
      <c r="P1257" s="142">
        <f>IFERROR(IF(I1257="EI",IF(O1257="低",3,IF(O1257="中",4,6)),IF(I1257="EO",IF(O1257="低",4,IF(O1257="中",5,7)),IF(I1257="EQ",IF(O1257="低",3,IF(O1257="中",4,6)),IF(I1257="ILF",IF(O1257="低",7,IF(O1257="中",10,15)),IF(I1257="EIF",IF(O1257="低",5,IF(O1257="中",7,10)),"不计算")))))*Q1257,"不计算")</f>
        <v/>
      </c>
      <c r="Q1257" s="142" t="n">
        <v>1</v>
      </c>
      <c r="R1257" s="143">
        <f>调整因子!$F$13</f>
        <v/>
      </c>
      <c r="S1257" s="76" t="n">
        <v>1</v>
      </c>
      <c r="T1257" s="144">
        <f>IFERROR(P1257*R1257,0)</f>
        <v/>
      </c>
      <c r="U1257" s="145">
        <f>T1257*S1257</f>
        <v/>
      </c>
      <c r="V1257" s="96" t="inlineStr">
        <is>
          <t>接口参数表</t>
        </is>
      </c>
      <c r="W1257" s="96" t="inlineStr"/>
      <c r="X1257" s="111" t="inlineStr">
        <is>
          <t>接口参数表{接口ID、接口名称|接口ID、接口名称、接口类型、接口地址、调用时间}</t>
        </is>
      </c>
      <c r="Y1257" s="88" t="n"/>
      <c r="Z1257" s="88" t="n"/>
    </row>
    <row r="1258" hidden="1" ht="21.6" customHeight="1">
      <c r="A1258" s="69">
        <f>ROW()-1</f>
        <v/>
      </c>
      <c r="B1258" s="53" t="n"/>
      <c r="C1258" s="117" t="n">
        <v>2026</v>
      </c>
      <c r="E1258" s="53" t="n"/>
      <c r="F1258" s="53" t="n"/>
      <c r="G1258" s="54" t="n"/>
      <c r="H1258" s="96" t="inlineStr">
        <is>
          <t>查看应用详情</t>
        </is>
      </c>
      <c r="I1258" s="76" t="inlineStr">
        <is>
          <t>EQ</t>
        </is>
      </c>
      <c r="J1258" s="95" t="n"/>
      <c r="K1258" s="95" t="n"/>
      <c r="L1258" s="83">
        <f>IF(OR(X1258="估算法",X1258="算法类",X1258="无法识别"),"",IF(V1258="",IF(OR(I1258="EI",I1258="EO",I1258="EQ"),0,""),LEN(V1258)-LEN(SUBSTITUTE(V1258,"、",""))+1))</f>
        <v/>
      </c>
      <c r="M1258" s="83">
        <f>IF(OR(X1258="估算法",X1258="算法类",X1258="无法识别"),"",IF(W1258="",IF(OR(I1258="ILF",I1258="EIF"),0,""),LEN(W1258)-LEN(SUBSTITUTE(W1258,"、",""))+1))</f>
        <v/>
      </c>
      <c r="N1258" s="83">
        <f>IF(OR(X1258="估算法",X1258="算法类",X1258="无法识别"),"",IF(X1258="",IF(OR(I1258="ILF",I1258="EIF",I1258="EI",I1258="EO",I1258="EQ"),0,""),LEN(X1258)-LEN(SUBSTITUTE(SUBSTITUTE(SUBSTITUTE(SUBSTITUTE(SUBSTITUTE(X1258,"|}","--"),"{|","--"),CHAR(10),""),"、",""),"|",""))+IF(AND(OR(I1258="EI",I1258="EO",I1258="EQ"),$AD$1="NESMA"),2,1)))</f>
        <v/>
      </c>
      <c r="O1258" s="84">
        <f>IF(I1258="EI",IF(OR(X1258="估算法",X1258="算法类"),"中",IF(X1258="无法识别","低",IF(L1258&lt;2,IF(N1258&lt;16,"低","中"),IF(L1258&lt;3,IF(N1258&lt;5,"低",IF(N1258&lt;16,"中","高")),IF(N1258&lt;5,"中","高"))))),IF(OR(I1258="EO",I1258="EQ"),IF(OR(X1258="估算法",X1258="算法类"),"中",IF(X1258="无法识别","低",IF(L1258&lt;2,IF(N1258&lt;20,"低","中"),IF(L1258&lt;4,IF(N1258&lt;6,"低",IF(N1258&lt;20,"中","高")),IF(N1258&lt;6,"中","高"))))),IF(OR(I1258="ILF",I1258="EIF"),IF(OR(X1258="估算法",X1258="算法类",X1258="无法识别"),"低",IF(M1258&lt;2,IF(N1258&lt;51,"低","中"),IF(M1258&lt;6,IF(N1258&lt;20,"低",IF(N1258&lt;51,"中","高")),IF(N1258&lt;20,"中","高")))),"不计算")))</f>
        <v/>
      </c>
      <c r="P1258" s="142">
        <f>IFERROR(IF(I1258="EI",IF(O1258="低",3,IF(O1258="中",4,6)),IF(I1258="EO",IF(O1258="低",4,IF(O1258="中",5,7)),IF(I1258="EQ",IF(O1258="低",3,IF(O1258="中",4,6)),IF(I1258="ILF",IF(O1258="低",7,IF(O1258="中",10,15)),IF(I1258="EIF",IF(O1258="低",5,IF(O1258="中",7,10)),"不计算")))))*Q1258,"不计算")</f>
        <v/>
      </c>
      <c r="Q1258" s="142" t="n">
        <v>1</v>
      </c>
      <c r="R1258" s="143">
        <f>调整因子!$F$13</f>
        <v/>
      </c>
      <c r="S1258" s="76" t="n">
        <v>1</v>
      </c>
      <c r="T1258" s="144">
        <f>IFERROR(P1258*R1258,0)</f>
        <v/>
      </c>
      <c r="U1258" s="145">
        <f>T1258*S1258</f>
        <v/>
      </c>
      <c r="V1258" s="96" t="inlineStr">
        <is>
          <t>分类层级关系表、修复步骤表</t>
        </is>
      </c>
      <c r="W1258" s="96" t="inlineStr"/>
      <c r="X1258" s="111" t="inlineStr">
        <is>
          <t>分类层级关系表{ID、名称|ID、名称、类型、状态、创建时间、更新时间}
修复步骤表{ID、名称|ID、名称、类型、状态、创建时间、更新时间}</t>
        </is>
      </c>
      <c r="Y1258" s="88" t="n"/>
      <c r="Z1258" s="88" t="n"/>
    </row>
    <row r="1259" hidden="1" ht="21.6" customHeight="1">
      <c r="A1259" s="69">
        <f>ROW()-1</f>
        <v/>
      </c>
      <c r="B1259" s="53" t="n"/>
      <c r="C1259" s="117" t="n">
        <v>2026</v>
      </c>
      <c r="E1259" s="53" t="n"/>
      <c r="F1259" s="53" t="n"/>
      <c r="G1259" s="111" t="inlineStr">
        <is>
          <t>修复方案共享管理</t>
        </is>
      </c>
      <c r="H1259" s="96" t="inlineStr">
        <is>
          <t>编辑共享权限</t>
        </is>
      </c>
      <c r="I1259" s="76" t="inlineStr">
        <is>
          <t>EI</t>
        </is>
      </c>
      <c r="J1259" s="95" t="n"/>
      <c r="K1259" s="95" t="n"/>
      <c r="L1259" s="83">
        <f>IF(OR(X1259="估算法",X1259="算法类",X1259="无法识别"),"",IF(V1259="",IF(OR(I1259="EI",I1259="EO",I1259="EQ"),0,""),LEN(V1259)-LEN(SUBSTITUTE(V1259,"、",""))+1))</f>
        <v/>
      </c>
      <c r="M1259" s="83">
        <f>IF(OR(X1259="估算法",X1259="算法类",X1259="无法识别"),"",IF(W1259="",IF(OR(I1259="ILF",I1259="EIF"),0,""),LEN(W1259)-LEN(SUBSTITUTE(W1259,"、",""))+1))</f>
        <v/>
      </c>
      <c r="N1259" s="83">
        <f>IF(OR(X1259="估算法",X1259="算法类",X1259="无法识别"),"",IF(X1259="",IF(OR(I1259="ILF",I1259="EIF",I1259="EI",I1259="EO",I1259="EQ"),0,""),LEN(X1259)-LEN(SUBSTITUTE(SUBSTITUTE(SUBSTITUTE(SUBSTITUTE(SUBSTITUTE(X1259,"|}","--"),"{|","--"),CHAR(10),""),"、",""),"|",""))+IF(AND(OR(I1259="EI",I1259="EO",I1259="EQ"),$AD$1="NESMA"),2,1)))</f>
        <v/>
      </c>
      <c r="O1259" s="84">
        <f>IF(I1259="EI",IF(OR(X1259="估算法",X1259="算法类"),"中",IF(X1259="无法识别","低",IF(L1259&lt;2,IF(N1259&lt;16,"低","中"),IF(L1259&lt;3,IF(N1259&lt;5,"低",IF(N1259&lt;16,"中","高")),IF(N1259&lt;5,"中","高"))))),IF(OR(I1259="EO",I1259="EQ"),IF(OR(X1259="估算法",X1259="算法类"),"中",IF(X1259="无法识别","低",IF(L1259&lt;2,IF(N1259&lt;20,"低","中"),IF(L1259&lt;4,IF(N1259&lt;6,"低",IF(N1259&lt;20,"中","高")),IF(N1259&lt;6,"中","高"))))),IF(OR(I1259="ILF",I1259="EIF"),IF(OR(X1259="估算法",X1259="算法类",X1259="无法识别"),"低",IF(M1259&lt;2,IF(N1259&lt;51,"低","中"),IF(M1259&lt;6,IF(N1259&lt;20,"低",IF(N1259&lt;51,"中","高")),IF(N1259&lt;20,"中","高")))),"不计算")))</f>
        <v/>
      </c>
      <c r="P1259" s="142">
        <f>IFERROR(IF(I1259="EI",IF(O1259="低",3,IF(O1259="中",4,6)),IF(I1259="EO",IF(O1259="低",4,IF(O1259="中",5,7)),IF(I1259="EQ",IF(O1259="低",3,IF(O1259="中",4,6)),IF(I1259="ILF",IF(O1259="低",7,IF(O1259="中",10,15)),IF(I1259="EIF",IF(O1259="低",5,IF(O1259="中",7,10)),"不计算")))))*Q1259,"不计算")</f>
        <v/>
      </c>
      <c r="Q1259" s="142" t="n">
        <v>1</v>
      </c>
      <c r="R1259" s="143">
        <f>调整因子!$F$13</f>
        <v/>
      </c>
      <c r="S1259" s="70" t="n">
        <v>1</v>
      </c>
      <c r="T1259" s="144">
        <f>IFERROR(P1259*R1259,0)</f>
        <v/>
      </c>
      <c r="U1259" s="145">
        <f>T1259*S1259</f>
        <v/>
      </c>
      <c r="V1259" s="96" t="inlineStr">
        <is>
          <t>资产同步任务表</t>
        </is>
      </c>
      <c r="W1259" s="96" t="inlineStr"/>
      <c r="X1259" s="111" t="inlineStr">
        <is>
          <t>资产同步任务表{资产ID、资产名称、IP地址、资产类型、资产状态、创建时间、更新时间|资产ID、资产名称、IP地址}</t>
        </is>
      </c>
      <c r="Y1259" s="88" t="n"/>
      <c r="Z1259" s="88" t="n"/>
    </row>
    <row r="1260" hidden="1" ht="32.4" customHeight="1">
      <c r="A1260" s="69">
        <f>ROW()-1</f>
        <v/>
      </c>
      <c r="B1260" s="53" t="n"/>
      <c r="C1260" s="117" t="n">
        <v>2026</v>
      </c>
      <c r="E1260" s="53" t="n"/>
      <c r="F1260" s="53" t="n"/>
      <c r="G1260" s="53" t="n"/>
      <c r="H1260" s="96" t="inlineStr">
        <is>
          <t>删除共享权限</t>
        </is>
      </c>
      <c r="I1260" s="76" t="inlineStr">
        <is>
          <t>EI</t>
        </is>
      </c>
      <c r="J1260" s="95" t="n"/>
      <c r="K1260" s="95" t="n"/>
      <c r="L1260" s="83">
        <f>IF(OR(X1260="估算法",X1260="算法类",X1260="无法识别"),"",IF(V1260="",IF(OR(I1260="EI",I1260="EO",I1260="EQ"),0,""),LEN(V1260)-LEN(SUBSTITUTE(V1260,"、",""))+1))</f>
        <v/>
      </c>
      <c r="M1260" s="83">
        <f>IF(OR(X1260="估算法",X1260="算法类",X1260="无法识别"),"",IF(W1260="",IF(OR(I1260="ILF",I1260="EIF"),0,""),LEN(W1260)-LEN(SUBSTITUTE(W1260,"、",""))+1))</f>
        <v/>
      </c>
      <c r="N1260" s="83">
        <f>IF(OR(X1260="估算法",X1260="算法类",X1260="无法识别"),"",IF(X1260="",IF(OR(I1260="ILF",I1260="EIF",I1260="EI",I1260="EO",I1260="EQ"),0,""),LEN(X1260)-LEN(SUBSTITUTE(SUBSTITUTE(SUBSTITUTE(SUBSTITUTE(SUBSTITUTE(X1260,"|}","--"),"{|","--"),CHAR(10),""),"、",""),"|",""))+IF(AND(OR(I1260="EI",I1260="EO",I1260="EQ"),$AD$1="NESMA"),2,1)))</f>
        <v/>
      </c>
      <c r="O1260" s="84">
        <f>IF(I1260="EI",IF(OR(X1260="估算法",X1260="算法类"),"中",IF(X1260="无法识别","低",IF(L1260&lt;2,IF(N1260&lt;16,"低","中"),IF(L1260&lt;3,IF(N1260&lt;5,"低",IF(N1260&lt;16,"中","高")),IF(N1260&lt;5,"中","高"))))),IF(OR(I1260="EO",I1260="EQ"),IF(OR(X1260="估算法",X1260="算法类"),"中",IF(X1260="无法识别","低",IF(L1260&lt;2,IF(N1260&lt;20,"低","中"),IF(L1260&lt;4,IF(N1260&lt;6,"低",IF(N1260&lt;20,"中","高")),IF(N1260&lt;6,"中","高"))))),IF(OR(I1260="ILF",I1260="EIF"),IF(OR(X1260="估算法",X1260="算法类",X1260="无法识别"),"低",IF(M1260&lt;2,IF(N1260&lt;51,"低","中"),IF(M1260&lt;6,IF(N1260&lt;20,"低",IF(N1260&lt;51,"中","高")),IF(N1260&lt;20,"中","高")))),"不计算")))</f>
        <v/>
      </c>
      <c r="P1260" s="142">
        <f>IFERROR(IF(I1260="EI",IF(O1260="低",3,IF(O1260="中",4,6)),IF(I1260="EO",IF(O1260="低",4,IF(O1260="中",5,7)),IF(I1260="EQ",IF(O1260="低",3,IF(O1260="中",4,6)),IF(I1260="ILF",IF(O1260="低",7,IF(O1260="中",10,15)),IF(I1260="EIF",IF(O1260="低",5,IF(O1260="中",7,10)),"不计算")))))*Q1260,"不计算")</f>
        <v/>
      </c>
      <c r="Q1260" s="142" t="n">
        <v>0.333333333333333</v>
      </c>
      <c r="R1260" s="143">
        <f>调整因子!$F$13</f>
        <v/>
      </c>
      <c r="S1260" s="70" t="n">
        <v>1</v>
      </c>
      <c r="T1260" s="144">
        <f>IFERROR(P1260*R1260,0)</f>
        <v/>
      </c>
      <c r="U1260" s="145">
        <f>T1260*S1260</f>
        <v/>
      </c>
      <c r="V1260" s="96" t="inlineStr">
        <is>
          <t>加密规则表、标签分类表</t>
        </is>
      </c>
      <c r="W1260" s="96" t="inlineStr"/>
      <c r="X1260" s="111" t="inlineStr">
        <is>
          <t>加密规则表{规则ID、规则名称、规则类型、规则条件、创建时间|规则ID、规则名称、规则类型}
标签分类表{ID、名称、类型、状态、创建时间、更新时间|ID、名称、类型}</t>
        </is>
      </c>
      <c r="Y1260" s="88" t="n"/>
      <c r="Z1260" s="88" t="n"/>
    </row>
    <row r="1261" hidden="1" ht="32.4" customHeight="1">
      <c r="A1261" s="69">
        <f>ROW()-1</f>
        <v/>
      </c>
      <c r="B1261" s="53" t="n"/>
      <c r="C1261" s="117" t="n">
        <v>2026</v>
      </c>
      <c r="E1261" s="53" t="n"/>
      <c r="F1261" s="53" t="n"/>
      <c r="G1261" s="53" t="n"/>
      <c r="H1261" s="96" t="inlineStr">
        <is>
          <t>导出共享方案</t>
        </is>
      </c>
      <c r="I1261" s="76" t="inlineStr">
        <is>
          <t>EO</t>
        </is>
      </c>
      <c r="J1261" s="95" t="n"/>
      <c r="K1261" s="95" t="n"/>
      <c r="L1261" s="83">
        <f>IF(OR(X1261="估算法",X1261="算法类",X1261="无法识别"),"",IF(V1261="",IF(OR(I1261="EI",I1261="EO",I1261="EQ"),0,""),LEN(V1261)-LEN(SUBSTITUTE(V1261,"、",""))+1))</f>
        <v/>
      </c>
      <c r="M1261" s="83">
        <f>IF(OR(X1261="估算法",X1261="算法类",X1261="无法识别"),"",IF(W1261="",IF(OR(I1261="ILF",I1261="EIF"),0,""),LEN(W1261)-LEN(SUBSTITUTE(W1261,"、",""))+1))</f>
        <v/>
      </c>
      <c r="N1261" s="83">
        <f>IF(OR(X1261="估算法",X1261="算法类",X1261="无法识别"),"",IF(X1261="",IF(OR(I1261="ILF",I1261="EIF",I1261="EI",I1261="EO",I1261="EQ"),0,""),LEN(X1261)-LEN(SUBSTITUTE(SUBSTITUTE(SUBSTITUTE(SUBSTITUTE(SUBSTITUTE(X1261,"|}","--"),"{|","--"),CHAR(10),""),"、",""),"|",""))+IF(AND(OR(I1261="EI",I1261="EO",I1261="EQ"),$AD$1="NESMA"),2,1)))</f>
        <v/>
      </c>
      <c r="O1261" s="84">
        <f>IF(I1261="EI",IF(OR(X1261="估算法",X1261="算法类"),"中",IF(X1261="无法识别","低",IF(L1261&lt;2,IF(N1261&lt;16,"低","中"),IF(L1261&lt;3,IF(N1261&lt;5,"低",IF(N1261&lt;16,"中","高")),IF(N1261&lt;5,"中","高"))))),IF(OR(I1261="EO",I1261="EQ"),IF(OR(X1261="估算法",X1261="算法类"),"中",IF(X1261="无法识别","低",IF(L1261&lt;2,IF(N1261&lt;20,"低","中"),IF(L1261&lt;4,IF(N1261&lt;6,"低",IF(N1261&lt;20,"中","高")),IF(N1261&lt;6,"中","高"))))),IF(OR(I1261="ILF",I1261="EIF"),IF(OR(X1261="估算法",X1261="算法类",X1261="无法识别"),"低",IF(M1261&lt;2,IF(N1261&lt;51,"低","中"),IF(M1261&lt;6,IF(N1261&lt;20,"低",IF(N1261&lt;51,"中","高")),IF(N1261&lt;20,"中","高")))),"不计算")))</f>
        <v/>
      </c>
      <c r="P1261" s="142">
        <f>IFERROR(IF(I1261="EI",IF(O1261="低",3,IF(O1261="中",4,6)),IF(I1261="EO",IF(O1261="低",4,IF(O1261="中",5,7)),IF(I1261="EQ",IF(O1261="低",3,IF(O1261="中",4,6)),IF(I1261="ILF",IF(O1261="低",7,IF(O1261="中",10,15)),IF(I1261="EIF",IF(O1261="低",5,IF(O1261="中",7,10)),"不计算")))))*Q1261,"不计算")</f>
        <v/>
      </c>
      <c r="Q1261" s="142" t="n">
        <v>1</v>
      </c>
      <c r="R1261" s="143">
        <f>调整因子!$F$13</f>
        <v/>
      </c>
      <c r="S1261" s="76" t="n">
        <v>1</v>
      </c>
      <c r="T1261" s="144">
        <f>IFERROR(P1261*R1261,0)</f>
        <v/>
      </c>
      <c r="U1261" s="145">
        <f>T1261*S1261</f>
        <v/>
      </c>
      <c r="V1261" s="96" t="inlineStr">
        <is>
          <t>采集记录表、推送任务表</t>
        </is>
      </c>
      <c r="W1261" s="96" t="inlineStr"/>
      <c r="X1261" s="111" t="inlineStr">
        <is>
          <t>采集记录表{ID、名称|ID、名称、类型、状态、创建时间、更新时间}
推送任务表{任务ID、任务名称|任务ID、任务名称、任务类型、任务状态、创建时间、执行时间}</t>
        </is>
      </c>
      <c r="Y1261" s="88" t="n"/>
      <c r="Z1261" s="88" t="n"/>
    </row>
    <row r="1262" hidden="1" ht="32.4" customHeight="1">
      <c r="A1262" s="69">
        <f>ROW()-1</f>
        <v/>
      </c>
      <c r="B1262" s="53" t="n"/>
      <c r="C1262" s="117" t="n">
        <v>2026</v>
      </c>
      <c r="E1262" s="53" t="n"/>
      <c r="F1262" s="53" t="n"/>
      <c r="G1262" s="53" t="n"/>
      <c r="H1262" s="96" t="inlineStr">
        <is>
          <t>查询共享方案</t>
        </is>
      </c>
      <c r="I1262" s="76" t="inlineStr">
        <is>
          <t>EQ</t>
        </is>
      </c>
      <c r="J1262" s="95" t="n"/>
      <c r="K1262" s="95" t="n"/>
      <c r="L1262" s="83">
        <f>IF(OR(X1262="估算法",X1262="算法类",X1262="无法识别"),"",IF(V1262="",IF(OR(I1262="EI",I1262="EO",I1262="EQ"),0,""),LEN(V1262)-LEN(SUBSTITUTE(V1262,"、",""))+1))</f>
        <v/>
      </c>
      <c r="M1262" s="83">
        <f>IF(OR(X1262="估算法",X1262="算法类",X1262="无法识别"),"",IF(W1262="",IF(OR(I1262="ILF",I1262="EIF"),0,""),LEN(W1262)-LEN(SUBSTITUTE(W1262,"、",""))+1))</f>
        <v/>
      </c>
      <c r="N1262" s="83">
        <f>IF(OR(X1262="估算法",X1262="算法类",X1262="无法识别"),"",IF(X1262="",IF(OR(I1262="ILF",I1262="EIF",I1262="EI",I1262="EO",I1262="EQ"),0,""),LEN(X1262)-LEN(SUBSTITUTE(SUBSTITUTE(SUBSTITUTE(SUBSTITUTE(SUBSTITUTE(X1262,"|}","--"),"{|","--"),CHAR(10),""),"、",""),"|",""))+IF(AND(OR(I1262="EI",I1262="EO",I1262="EQ"),$AD$1="NESMA"),2,1)))</f>
        <v/>
      </c>
      <c r="O1262" s="84">
        <f>IF(I1262="EI",IF(OR(X1262="估算法",X1262="算法类"),"中",IF(X1262="无法识别","低",IF(L1262&lt;2,IF(N1262&lt;16,"低","中"),IF(L1262&lt;3,IF(N1262&lt;5,"低",IF(N1262&lt;16,"中","高")),IF(N1262&lt;5,"中","高"))))),IF(OR(I1262="EO",I1262="EQ"),IF(OR(X1262="估算法",X1262="算法类"),"中",IF(X1262="无法识别","低",IF(L1262&lt;2,IF(N1262&lt;20,"低","中"),IF(L1262&lt;4,IF(N1262&lt;6,"低",IF(N1262&lt;20,"中","高")),IF(N1262&lt;6,"中","高"))))),IF(OR(I1262="ILF",I1262="EIF"),IF(OR(X1262="估算法",X1262="算法类",X1262="无法识别"),"低",IF(M1262&lt;2,IF(N1262&lt;51,"低","中"),IF(M1262&lt;6,IF(N1262&lt;20,"低",IF(N1262&lt;51,"中","高")),IF(N1262&lt;20,"中","高")))),"不计算")))</f>
        <v/>
      </c>
      <c r="P1262" s="142">
        <f>IFERROR(IF(I1262="EI",IF(O1262="低",3,IF(O1262="中",4,6)),IF(I1262="EO",IF(O1262="低",4,IF(O1262="中",5,7)),IF(I1262="EQ",IF(O1262="低",3,IF(O1262="中",4,6)),IF(I1262="ILF",IF(O1262="低",7,IF(O1262="中",10,15)),IF(I1262="EIF",IF(O1262="低",5,IF(O1262="中",7,10)),"不计算")))))*Q1262,"不计算")</f>
        <v/>
      </c>
      <c r="Q1262" s="142" t="n">
        <v>1</v>
      </c>
      <c r="R1262" s="143">
        <f>调整因子!$F$13</f>
        <v/>
      </c>
      <c r="S1262" s="70" t="n">
        <v>1</v>
      </c>
      <c r="T1262" s="144">
        <f>IFERROR(P1262*R1262,0)</f>
        <v/>
      </c>
      <c r="U1262" s="145">
        <f>T1262*S1262</f>
        <v/>
      </c>
      <c r="V1262" s="96" t="inlineStr">
        <is>
          <t>考核指标配置表、推送对象表</t>
        </is>
      </c>
      <c r="W1262" s="96" t="inlineStr"/>
      <c r="X1262" s="111" t="inlineStr">
        <is>
          <t>考核指标配置表{配置ID、配置名称|配置ID、配置名称、配置类型、配置值、创建时间}
推送对象表{ID、名称|ID、名称、类型、状态、创建时间、更新时间}</t>
        </is>
      </c>
      <c r="Y1262" s="88" t="n"/>
      <c r="Z1262" s="88" t="n"/>
    </row>
    <row r="1263" hidden="1" ht="32.4" customHeight="1">
      <c r="A1263" s="69">
        <f>ROW()-1</f>
        <v/>
      </c>
      <c r="B1263" s="53" t="n"/>
      <c r="C1263" s="117" t="n">
        <v>2026</v>
      </c>
      <c r="E1263" s="53" t="n"/>
      <c r="F1263" s="54" t="n"/>
      <c r="G1263" s="54" t="n"/>
      <c r="H1263" s="96" t="inlineStr">
        <is>
          <t>查看共享详情</t>
        </is>
      </c>
      <c r="I1263" s="76" t="inlineStr">
        <is>
          <t>EQ</t>
        </is>
      </c>
      <c r="J1263" s="95" t="n"/>
      <c r="K1263" s="95" t="n"/>
      <c r="L1263" s="83">
        <f>IF(OR(X1263="估算法",X1263="算法类",X1263="无法识别"),"",IF(V1263="",IF(OR(I1263="EI",I1263="EO",I1263="EQ"),0,""),LEN(V1263)-LEN(SUBSTITUTE(V1263,"、",""))+1))</f>
        <v/>
      </c>
      <c r="M1263" s="83">
        <f>IF(OR(X1263="估算法",X1263="算法类",X1263="无法识别"),"",IF(W1263="",IF(OR(I1263="ILF",I1263="EIF"),0,""),LEN(W1263)-LEN(SUBSTITUTE(W1263,"、",""))+1))</f>
        <v/>
      </c>
      <c r="N1263" s="83">
        <f>IF(OR(X1263="估算法",X1263="算法类",X1263="无法识别"),"",IF(X1263="",IF(OR(I1263="ILF",I1263="EIF",I1263="EI",I1263="EO",I1263="EQ"),0,""),LEN(X1263)-LEN(SUBSTITUTE(SUBSTITUTE(SUBSTITUTE(SUBSTITUTE(SUBSTITUTE(X1263,"|}","--"),"{|","--"),CHAR(10),""),"、",""),"|",""))+IF(AND(OR(I1263="EI",I1263="EO",I1263="EQ"),$AD$1="NESMA"),2,1)))</f>
        <v/>
      </c>
      <c r="O1263" s="84">
        <f>IF(I1263="EI",IF(OR(X1263="估算法",X1263="算法类"),"中",IF(X1263="无法识别","低",IF(L1263&lt;2,IF(N1263&lt;16,"低","中"),IF(L1263&lt;3,IF(N1263&lt;5,"低",IF(N1263&lt;16,"中","高")),IF(N1263&lt;5,"中","高"))))),IF(OR(I1263="EO",I1263="EQ"),IF(OR(X1263="估算法",X1263="算法类"),"中",IF(X1263="无法识别","低",IF(L1263&lt;2,IF(N1263&lt;20,"低","中"),IF(L1263&lt;4,IF(N1263&lt;6,"低",IF(N1263&lt;20,"中","高")),IF(N1263&lt;6,"中","高"))))),IF(OR(I1263="ILF",I1263="EIF"),IF(OR(X1263="估算法",X1263="算法类",X1263="无法识别"),"低",IF(M1263&lt;2,IF(N1263&lt;51,"低","中"),IF(M1263&lt;6,IF(N1263&lt;20,"低",IF(N1263&lt;51,"中","高")),IF(N1263&lt;20,"中","高")))),"不计算")))</f>
        <v/>
      </c>
      <c r="P1263" s="142">
        <f>IFERROR(IF(I1263="EI",IF(O1263="低",3,IF(O1263="中",4,6)),IF(I1263="EO",IF(O1263="低",4,IF(O1263="中",5,7)),IF(I1263="EQ",IF(O1263="低",3,IF(O1263="中",4,6)),IF(I1263="ILF",IF(O1263="低",7,IF(O1263="中",10,15)),IF(I1263="EIF",IF(O1263="低",5,IF(O1263="中",7,10)),"不计算")))))*Q1263,"不计算")</f>
        <v/>
      </c>
      <c r="Q1263" s="142" t="n">
        <v>1</v>
      </c>
      <c r="R1263" s="143">
        <f>调整因子!$F$13</f>
        <v/>
      </c>
      <c r="S1263" s="70" t="n">
        <v>1</v>
      </c>
      <c r="T1263" s="144">
        <f>IFERROR(P1263*R1263,0)</f>
        <v/>
      </c>
      <c r="U1263" s="145">
        <f>T1263*S1263</f>
        <v/>
      </c>
      <c r="V1263" s="96" t="inlineStr">
        <is>
          <t>接口监控配置表、通报对象表</t>
        </is>
      </c>
      <c r="W1263" s="96" t="inlineStr"/>
      <c r="X1263" s="111" t="inlineStr">
        <is>
          <t>接口监控配置表{配置ID、配置名称|配置ID、配置名称、配置类型、配置值、创建时间}
通报对象表{ID、名称|ID、名称、类型、状态、创建时间、更新时间}</t>
        </is>
      </c>
      <c r="Y1263" s="88" t="n"/>
      <c r="Z1263" s="88" t="n"/>
    </row>
    <row r="1264" hidden="1" ht="32.4" customHeight="1">
      <c r="A1264" s="69">
        <f>ROW()-1</f>
        <v/>
      </c>
      <c r="B1264" s="53" t="n"/>
      <c r="C1264" s="117" t="n">
        <v>2026</v>
      </c>
      <c r="E1264" s="53" t="n"/>
      <c r="F1264" s="111" t="inlineStr">
        <is>
          <t>补丁可视化管理</t>
        </is>
      </c>
      <c r="G1264" s="111" t="inlineStr">
        <is>
          <t>误报知识录入管理</t>
        </is>
      </c>
      <c r="H1264" s="96" t="inlineStr">
        <is>
          <t>编辑误报知识</t>
        </is>
      </c>
      <c r="I1264" s="76" t="inlineStr">
        <is>
          <t>EI</t>
        </is>
      </c>
      <c r="J1264" s="95" t="n"/>
      <c r="K1264" s="95" t="n"/>
      <c r="L1264" s="83">
        <f>IF(OR(X1264="估算法",X1264="算法类",X1264="无法识别"),"",IF(V1264="",IF(OR(I1264="EI",I1264="EO",I1264="EQ"),0,""),LEN(V1264)-LEN(SUBSTITUTE(V1264,"、",""))+1))</f>
        <v/>
      </c>
      <c r="M1264" s="83">
        <f>IF(OR(X1264="估算法",X1264="算法类",X1264="无法识别"),"",IF(W1264="",IF(OR(I1264="ILF",I1264="EIF"),0,""),LEN(W1264)-LEN(SUBSTITUTE(W1264,"、",""))+1))</f>
        <v/>
      </c>
      <c r="N1264" s="83">
        <f>IF(OR(X1264="估算法",X1264="算法类",X1264="无法识别"),"",IF(X1264="",IF(OR(I1264="ILF",I1264="EIF",I1264="EI",I1264="EO",I1264="EQ"),0,""),LEN(X1264)-LEN(SUBSTITUTE(SUBSTITUTE(SUBSTITUTE(SUBSTITUTE(SUBSTITUTE(X1264,"|}","--"),"{|","--"),CHAR(10),""),"、",""),"|",""))+IF(AND(OR(I1264="EI",I1264="EO",I1264="EQ"),$AD$1="NESMA"),2,1)))</f>
        <v/>
      </c>
      <c r="O1264" s="84">
        <f>IF(I1264="EI",IF(OR(X1264="估算法",X1264="算法类"),"中",IF(X1264="无法识别","低",IF(L1264&lt;2,IF(N1264&lt;16,"低","中"),IF(L1264&lt;3,IF(N1264&lt;5,"低",IF(N1264&lt;16,"中","高")),IF(N1264&lt;5,"中","高"))))),IF(OR(I1264="EO",I1264="EQ"),IF(OR(X1264="估算法",X1264="算法类"),"中",IF(X1264="无法识别","低",IF(L1264&lt;2,IF(N1264&lt;20,"低","中"),IF(L1264&lt;4,IF(N1264&lt;6,"低",IF(N1264&lt;20,"中","高")),IF(N1264&lt;6,"中","高"))))),IF(OR(I1264="ILF",I1264="EIF"),IF(OR(X1264="估算法",X1264="算法类",X1264="无法识别"),"低",IF(M1264&lt;2,IF(N1264&lt;51,"低","中"),IF(M1264&lt;6,IF(N1264&lt;20,"低",IF(N1264&lt;51,"中","高")),IF(N1264&lt;20,"中","高")))),"不计算")))</f>
        <v/>
      </c>
      <c r="P1264" s="142">
        <f>IFERROR(IF(I1264="EI",IF(O1264="低",3,IF(O1264="中",4,6)),IF(I1264="EO",IF(O1264="低",4,IF(O1264="中",5,7)),IF(I1264="EQ",IF(O1264="低",3,IF(O1264="中",4,6)),IF(I1264="ILF",IF(O1264="低",7,IF(O1264="中",10,15)),IF(I1264="EIF",IF(O1264="低",5,IF(O1264="中",7,10)),"不计算")))))*Q1264,"不计算")</f>
        <v/>
      </c>
      <c r="Q1264" s="142" t="n">
        <v>1</v>
      </c>
      <c r="R1264" s="143">
        <f>调整因子!$F$13</f>
        <v/>
      </c>
      <c r="S1264" s="76" t="n">
        <v>1</v>
      </c>
      <c r="T1264" s="144">
        <f>IFERROR(P1264*R1264,0)</f>
        <v/>
      </c>
      <c r="U1264" s="145">
        <f>T1264*S1264</f>
        <v/>
      </c>
      <c r="V1264" s="96" t="inlineStr">
        <is>
          <t>任务趋势分析表、通报对象表</t>
        </is>
      </c>
      <c r="W1264" s="96" t="inlineStr"/>
      <c r="X1264" s="111" t="inlineStr">
        <is>
          <t>任务趋势分析表{任务ID、任务名称、任务类型、任务状态、创建时间、执行时间|任务ID、任务名称、任务类型}
通报对象表{ID、名称、类型、状态、创建时间、更新时间|ID、名称、类型}</t>
        </is>
      </c>
      <c r="Y1264" s="88" t="n"/>
      <c r="Z1264" s="88" t="n"/>
    </row>
    <row r="1265" hidden="1" ht="43.2" customHeight="1">
      <c r="A1265" s="69">
        <f>ROW()-1</f>
        <v/>
      </c>
      <c r="B1265" s="53" t="n"/>
      <c r="C1265" s="117" t="n">
        <v>2026</v>
      </c>
      <c r="E1265" s="53" t="n"/>
      <c r="F1265" s="53" t="n"/>
      <c r="G1265" s="53" t="n"/>
      <c r="H1265" s="96" t="inlineStr">
        <is>
          <t>删除误报知识</t>
        </is>
      </c>
      <c r="I1265" s="76" t="inlineStr">
        <is>
          <t>EI</t>
        </is>
      </c>
      <c r="J1265" s="95" t="n"/>
      <c r="K1265" s="95" t="n"/>
      <c r="L1265" s="83">
        <f>IF(OR(X1265="估算法",X1265="算法类",X1265="无法识别"),"",IF(V1265="",IF(OR(I1265="EI",I1265="EO",I1265="EQ"),0,""),LEN(V1265)-LEN(SUBSTITUTE(V1265,"、",""))+1))</f>
        <v/>
      </c>
      <c r="M1265" s="83">
        <f>IF(OR(X1265="估算法",X1265="算法类",X1265="无法识别"),"",IF(W1265="",IF(OR(I1265="ILF",I1265="EIF"),0,""),LEN(W1265)-LEN(SUBSTITUTE(W1265,"、",""))+1))</f>
        <v/>
      </c>
      <c r="N1265" s="83">
        <f>IF(OR(X1265="估算法",X1265="算法类",X1265="无法识别"),"",IF(X1265="",IF(OR(I1265="ILF",I1265="EIF",I1265="EI",I1265="EO",I1265="EQ"),0,""),LEN(X1265)-LEN(SUBSTITUTE(SUBSTITUTE(SUBSTITUTE(SUBSTITUTE(SUBSTITUTE(X1265,"|}","--"),"{|","--"),CHAR(10),""),"、",""),"|",""))+IF(AND(OR(I1265="EI",I1265="EO",I1265="EQ"),$AD$1="NESMA"),2,1)))</f>
        <v/>
      </c>
      <c r="O1265" s="84">
        <f>IF(I1265="EI",IF(OR(X1265="估算法",X1265="算法类"),"中",IF(X1265="无法识别","低",IF(L1265&lt;2,IF(N1265&lt;16,"低","中"),IF(L1265&lt;3,IF(N1265&lt;5,"低",IF(N1265&lt;16,"中","高")),IF(N1265&lt;5,"中","高"))))),IF(OR(I1265="EO",I1265="EQ"),IF(OR(X1265="估算法",X1265="算法类"),"中",IF(X1265="无法识别","低",IF(L1265&lt;2,IF(N1265&lt;20,"低","中"),IF(L1265&lt;4,IF(N1265&lt;6,"低",IF(N1265&lt;20,"中","高")),IF(N1265&lt;6,"中","高"))))),IF(OR(I1265="ILF",I1265="EIF"),IF(OR(X1265="估算法",X1265="算法类",X1265="无法识别"),"低",IF(M1265&lt;2,IF(N1265&lt;51,"低","中"),IF(M1265&lt;6,IF(N1265&lt;20,"低",IF(N1265&lt;51,"中","高")),IF(N1265&lt;20,"中","高")))),"不计算")))</f>
        <v/>
      </c>
      <c r="P1265" s="142">
        <f>IFERROR(IF(I1265="EI",IF(O1265="低",3,IF(O1265="中",4,6)),IF(I1265="EO",IF(O1265="低",4,IF(O1265="中",5,7)),IF(I1265="EQ",IF(O1265="低",3,IF(O1265="中",4,6)),IF(I1265="ILF",IF(O1265="低",7,IF(O1265="中",10,15)),IF(I1265="EIF",IF(O1265="低",5,IF(O1265="中",7,10)),"不计算")))))*Q1265,"不计算")</f>
        <v/>
      </c>
      <c r="Q1265" s="142" t="n">
        <v>0.333333333333333</v>
      </c>
      <c r="R1265" s="143">
        <f>调整因子!$F$13</f>
        <v/>
      </c>
      <c r="S1265" s="76" t="n">
        <v>1</v>
      </c>
      <c r="T1265" s="144">
        <f>IFERROR(P1265*R1265,0)</f>
        <v/>
      </c>
      <c r="U1265" s="145">
        <f>T1265*S1265</f>
        <v/>
      </c>
      <c r="V1265" s="96" t="inlineStr">
        <is>
          <t>考核指标配置表、任务统计数据表</t>
        </is>
      </c>
      <c r="W1265" s="96" t="inlineStr"/>
      <c r="X1265" s="111" t="inlineStr">
        <is>
          <t>考核指标配置表{配置ID、配置名称、配置类型、配置值、创建时间|配置ID、配置名称、配置类型}
任务统计数据表{任务ID、任务名称、任务类型、任务状态、创建时间、执行时间|任务ID、任务名称、任务类型}</t>
        </is>
      </c>
      <c r="Y1265" s="88" t="n"/>
      <c r="Z1265" s="88" t="n"/>
    </row>
    <row r="1266" hidden="1">
      <c r="A1266" s="69">
        <f>ROW()-1</f>
        <v/>
      </c>
      <c r="B1266" s="53" t="n"/>
      <c r="C1266" s="117" t="n">
        <v>2026</v>
      </c>
      <c r="E1266" s="53" t="n"/>
      <c r="F1266" s="53" t="n"/>
      <c r="G1266" s="53" t="n"/>
      <c r="H1266" s="96" t="inlineStr">
        <is>
          <t>启用误报知识</t>
        </is>
      </c>
      <c r="I1266" s="76" t="inlineStr">
        <is>
          <t>EI</t>
        </is>
      </c>
      <c r="J1266" s="95" t="n"/>
      <c r="K1266" s="95" t="n"/>
      <c r="L1266" s="83">
        <f>IF(OR(X1266="估算法",X1266="算法类",X1266="无法识别"),"",IF(V1266="",IF(OR(I1266="EI",I1266="EO",I1266="EQ"),0,""),LEN(V1266)-LEN(SUBSTITUTE(V1266,"、",""))+1))</f>
        <v/>
      </c>
      <c r="M1266" s="83">
        <f>IF(OR(X1266="估算法",X1266="算法类",X1266="无法识别"),"",IF(W1266="",IF(OR(I1266="ILF",I1266="EIF"),0,""),LEN(W1266)-LEN(SUBSTITUTE(W1266,"、",""))+1))</f>
        <v/>
      </c>
      <c r="N1266" s="83">
        <f>IF(OR(X1266="估算法",X1266="算法类",X1266="无法识别"),"",IF(X1266="",IF(OR(I1266="ILF",I1266="EIF",I1266="EI",I1266="EO",I1266="EQ"),0,""),LEN(X1266)-LEN(SUBSTITUTE(SUBSTITUTE(SUBSTITUTE(SUBSTITUTE(SUBSTITUTE(X1266,"|}","--"),"{|","--"),CHAR(10),""),"、",""),"|",""))+IF(AND(OR(I1266="EI",I1266="EO",I1266="EQ"),$AD$1="NESMA"),2,1)))</f>
        <v/>
      </c>
      <c r="O1266" s="84">
        <f>IF(I1266="EI",IF(OR(X1266="估算法",X1266="算法类"),"中",IF(X1266="无法识别","低",IF(L1266&lt;2,IF(N1266&lt;16,"低","中"),IF(L1266&lt;3,IF(N1266&lt;5,"低",IF(N1266&lt;16,"中","高")),IF(N1266&lt;5,"中","高"))))),IF(OR(I1266="EO",I1266="EQ"),IF(OR(X1266="估算法",X1266="算法类"),"中",IF(X1266="无法识别","低",IF(L1266&lt;2,IF(N1266&lt;20,"低","中"),IF(L1266&lt;4,IF(N1266&lt;6,"低",IF(N1266&lt;20,"中","高")),IF(N1266&lt;6,"中","高"))))),IF(OR(I1266="ILF",I1266="EIF"),IF(OR(X1266="估算法",X1266="算法类",X1266="无法识别"),"低",IF(M1266&lt;2,IF(N1266&lt;51,"低","中"),IF(M1266&lt;6,IF(N1266&lt;20,"低",IF(N1266&lt;51,"中","高")),IF(N1266&lt;20,"中","高")))),"不计算")))</f>
        <v/>
      </c>
      <c r="P1266" s="142">
        <f>IFERROR(IF(I1266="EI",IF(O1266="低",3,IF(O1266="中",4,6)),IF(I1266="EO",IF(O1266="低",4,IF(O1266="中",5,7)),IF(I1266="EQ",IF(O1266="低",3,IF(O1266="中",4,6)),IF(I1266="ILF",IF(O1266="低",7,IF(O1266="中",10,15)),IF(I1266="EIF",IF(O1266="低",5,IF(O1266="中",7,10)),"不计算")))))*Q1266,"不计算")</f>
        <v/>
      </c>
      <c r="Q1266" s="142" t="n">
        <v>1</v>
      </c>
      <c r="R1266" s="143">
        <f>调整因子!$F$13</f>
        <v/>
      </c>
      <c r="S1266" s="70" t="n">
        <v>1</v>
      </c>
      <c r="T1266" s="144">
        <f>IFERROR(P1266*R1266,0)</f>
        <v/>
      </c>
      <c r="U1266" s="145">
        <f>T1266*S1266</f>
        <v/>
      </c>
      <c r="V1266" s="96" t="inlineStr">
        <is>
          <t>修复步骤表</t>
        </is>
      </c>
      <c r="W1266" s="96" t="inlineStr"/>
      <c r="X1266" s="111" t="inlineStr">
        <is>
          <t>修复步骤表{ID、名称、类型、状态、创建时间、更新时间|ID、名称、类型}</t>
        </is>
      </c>
      <c r="Y1266" s="88" t="n"/>
      <c r="Z1266" s="88" t="n"/>
    </row>
    <row r="1267" hidden="1" ht="32.4" customHeight="1">
      <c r="A1267" s="69">
        <f>ROW()-1</f>
        <v/>
      </c>
      <c r="B1267" s="53" t="n"/>
      <c r="C1267" s="117" t="n">
        <v>2026</v>
      </c>
      <c r="E1267" s="53" t="n"/>
      <c r="F1267" s="53" t="n"/>
      <c r="G1267" s="53" t="n"/>
      <c r="H1267" s="96" t="inlineStr">
        <is>
          <t>停用误报知识</t>
        </is>
      </c>
      <c r="I1267" s="76" t="n"/>
      <c r="J1267" s="95" t="n"/>
      <c r="K1267" s="95" t="inlineStr">
        <is>
          <t>和上行合并，启停为相同功能</t>
        </is>
      </c>
      <c r="L1267" s="83">
        <f>IF(OR(X1267="估算法",X1267="算法类",X1267="无法识别"),"",IF(V1267="",IF(OR(I1267="EI",I1267="EO",I1267="EQ"),0,""),LEN(V1267)-LEN(SUBSTITUTE(V1267,"、",""))+1))</f>
        <v/>
      </c>
      <c r="M1267" s="83">
        <f>IF(OR(X1267="估算法",X1267="算法类",X1267="无法识别"),"",IF(W1267="",IF(OR(I1267="ILF",I1267="EIF"),0,""),LEN(W1267)-LEN(SUBSTITUTE(W1267,"、",""))+1))</f>
        <v/>
      </c>
      <c r="N1267" s="83">
        <f>IF(OR(X1267="估算法",X1267="算法类",X1267="无法识别"),"",IF(X1267="",IF(OR(I1267="ILF",I1267="EIF",I1267="EI",I1267="EO",I1267="EQ"),0,""),LEN(X1267)-LEN(SUBSTITUTE(SUBSTITUTE(SUBSTITUTE(SUBSTITUTE(SUBSTITUTE(X1267,"|}","--"),"{|","--"),CHAR(10),""),"、",""),"|",""))+IF(AND(OR(I1267="EI",I1267="EO",I1267="EQ"),$AD$1="NESMA"),2,1)))</f>
        <v/>
      </c>
      <c r="O1267" s="84">
        <f>IF(I1267="EI",IF(OR(X1267="估算法",X1267="算法类"),"中",IF(X1267="无法识别","低",IF(L1267&lt;2,IF(N1267&lt;16,"低","中"),IF(L1267&lt;3,IF(N1267&lt;5,"低",IF(N1267&lt;16,"中","高")),IF(N1267&lt;5,"中","高"))))),IF(OR(I1267="EO",I1267="EQ"),IF(OR(X1267="估算法",X1267="算法类"),"中",IF(X1267="无法识别","低",IF(L1267&lt;2,IF(N1267&lt;20,"低","中"),IF(L1267&lt;4,IF(N1267&lt;6,"低",IF(N1267&lt;20,"中","高")),IF(N1267&lt;6,"中","高"))))),IF(OR(I1267="ILF",I1267="EIF"),IF(OR(X1267="估算法",X1267="算法类",X1267="无法识别"),"低",IF(M1267&lt;2,IF(N1267&lt;51,"低","中"),IF(M1267&lt;6,IF(N1267&lt;20,"低",IF(N1267&lt;51,"中","高")),IF(N1267&lt;20,"中","高")))),"不计算")))</f>
        <v/>
      </c>
      <c r="P1267" s="142">
        <f>IFERROR(IF(I1267="EI",IF(O1267="低",3,IF(O1267="中",4,6)),IF(I1267="EO",IF(O1267="低",4,IF(O1267="中",5,7)),IF(I1267="EQ",IF(O1267="低",3,IF(O1267="中",4,6)),IF(I1267="ILF",IF(O1267="低",7,IF(O1267="中",10,15)),IF(I1267="EIF",IF(O1267="低",5,IF(O1267="中",7,10)),"不计算")))))*Q1267,"不计算")</f>
        <v/>
      </c>
      <c r="Q1267" s="142" t="n">
        <v>1</v>
      </c>
      <c r="R1267" s="143">
        <f>调整因子!$F$13</f>
        <v/>
      </c>
      <c r="S1267" s="70" t="n">
        <v>1</v>
      </c>
      <c r="T1267" s="144">
        <f>IFERROR(P1267*R1267,0)</f>
        <v/>
      </c>
      <c r="U1267" s="145">
        <f>T1267*S1267</f>
        <v/>
      </c>
      <c r="V1267" s="96" t="inlineStr">
        <is>
          <t>处置单关联表、接口参数配置表</t>
        </is>
      </c>
      <c r="W1267" s="96" t="inlineStr"/>
      <c r="X1267" s="111" t="inlineStr">
        <is>
          <t>处置单关联表{ID、名称、类型、状态、创建时间、更新时间|ID、名称、类型}
接口参数配置表{配置ID、配置名称、配置类型、配置值、创建时间|配置ID、配置名称、配置类型}</t>
        </is>
      </c>
      <c r="Y1267" s="88" t="n"/>
      <c r="Z1267" s="88" t="n"/>
    </row>
    <row r="1268" hidden="1" ht="43.2" customHeight="1">
      <c r="A1268" s="69">
        <f>ROW()-1</f>
        <v/>
      </c>
      <c r="B1268" s="53" t="n"/>
      <c r="C1268" s="117" t="n">
        <v>2026</v>
      </c>
      <c r="E1268" s="53" t="n"/>
      <c r="F1268" s="53" t="n"/>
      <c r="G1268" s="53" t="n"/>
      <c r="H1268" s="96" t="inlineStr">
        <is>
          <t>导出误报知识</t>
        </is>
      </c>
      <c r="I1268" s="76" t="inlineStr">
        <is>
          <t>EO</t>
        </is>
      </c>
      <c r="J1268" s="95" t="n"/>
      <c r="K1268" s="95" t="n"/>
      <c r="L1268" s="83">
        <f>IF(OR(X1268="估算法",X1268="算法类",X1268="无法识别"),"",IF(V1268="",IF(OR(I1268="EI",I1268="EO",I1268="EQ"),0,""),LEN(V1268)-LEN(SUBSTITUTE(V1268,"、",""))+1))</f>
        <v/>
      </c>
      <c r="M1268" s="83">
        <f>IF(OR(X1268="估算法",X1268="算法类",X1268="无法识别"),"",IF(W1268="",IF(OR(I1268="ILF",I1268="EIF"),0,""),LEN(W1268)-LEN(SUBSTITUTE(W1268,"、",""))+1))</f>
        <v/>
      </c>
      <c r="N1268" s="83">
        <f>IF(OR(X1268="估算法",X1268="算法类",X1268="无法识别"),"",IF(X1268="",IF(OR(I1268="ILF",I1268="EIF",I1268="EI",I1268="EO",I1268="EQ"),0,""),LEN(X1268)-LEN(SUBSTITUTE(SUBSTITUTE(SUBSTITUTE(SUBSTITUTE(SUBSTITUTE(X1268,"|}","--"),"{|","--"),CHAR(10),""),"、",""),"|",""))+IF(AND(OR(I1268="EI",I1268="EO",I1268="EQ"),$AD$1="NESMA"),2,1)))</f>
        <v/>
      </c>
      <c r="O1268" s="84">
        <f>IF(I1268="EI",IF(OR(X1268="估算法",X1268="算法类"),"中",IF(X1268="无法识别","低",IF(L1268&lt;2,IF(N1268&lt;16,"低","中"),IF(L1268&lt;3,IF(N1268&lt;5,"低",IF(N1268&lt;16,"中","高")),IF(N1268&lt;5,"中","高"))))),IF(OR(I1268="EO",I1268="EQ"),IF(OR(X1268="估算法",X1268="算法类"),"中",IF(X1268="无法识别","低",IF(L1268&lt;2,IF(N1268&lt;20,"低","中"),IF(L1268&lt;4,IF(N1268&lt;6,"低",IF(N1268&lt;20,"中","高")),IF(N1268&lt;6,"中","高"))))),IF(OR(I1268="ILF",I1268="EIF"),IF(OR(X1268="估算法",X1268="算法类",X1268="无法识别"),"低",IF(M1268&lt;2,IF(N1268&lt;51,"低","中"),IF(M1268&lt;6,IF(N1268&lt;20,"低",IF(N1268&lt;51,"中","高")),IF(N1268&lt;20,"中","高")))),"不计算")))</f>
        <v/>
      </c>
      <c r="P1268" s="142">
        <f>IFERROR(IF(I1268="EI",IF(O1268="低",3,IF(O1268="中",4,6)),IF(I1268="EO",IF(O1268="低",4,IF(O1268="中",5,7)),IF(I1268="EQ",IF(O1268="低",3,IF(O1268="中",4,6)),IF(I1268="ILF",IF(O1268="低",7,IF(O1268="中",10,15)),IF(I1268="EIF",IF(O1268="低",5,IF(O1268="中",7,10)),"不计算")))))*Q1268,"不计算")</f>
        <v/>
      </c>
      <c r="Q1268" s="142" t="n">
        <v>1</v>
      </c>
      <c r="R1268" s="143">
        <f>调整因子!$F$13</f>
        <v/>
      </c>
      <c r="S1268" s="76" t="n">
        <v>1</v>
      </c>
      <c r="T1268" s="144">
        <f>IFERROR(P1268*R1268,0)</f>
        <v/>
      </c>
      <c r="U1268" s="145">
        <f>T1268*S1268</f>
        <v/>
      </c>
      <c r="V1268" s="96" t="inlineStr">
        <is>
          <t>日志加密配置表、复测任务表</t>
        </is>
      </c>
      <c r="W1268" s="96" t="inlineStr"/>
      <c r="X1268" s="111" t="inlineStr">
        <is>
          <t>日志加密配置表{配置ID、配置名称|配置ID、配置名称、配置类型、配置值、创建时间}
复测任务表{任务ID、任务名称|任务ID、任务名称、任务类型、任务状态、创建时间、执行时间}</t>
        </is>
      </c>
      <c r="Y1268" s="88" t="n"/>
      <c r="Z1268" s="88" t="n"/>
    </row>
    <row r="1269" hidden="1" ht="32.4" customHeight="1">
      <c r="A1269" s="69">
        <f>ROW()-1</f>
        <v/>
      </c>
      <c r="B1269" s="53" t="n"/>
      <c r="C1269" s="117" t="n">
        <v>2026</v>
      </c>
      <c r="E1269" s="53" t="n"/>
      <c r="F1269" s="53" t="n"/>
      <c r="G1269" s="53" t="n"/>
      <c r="H1269" s="96" t="inlineStr">
        <is>
          <t>查询误报知识列表</t>
        </is>
      </c>
      <c r="I1269" s="76" t="inlineStr">
        <is>
          <t>EQ</t>
        </is>
      </c>
      <c r="J1269" s="95" t="n"/>
      <c r="K1269" s="95" t="n"/>
      <c r="L1269" s="83">
        <f>IF(OR(X1269="估算法",X1269="算法类",X1269="无法识别"),"",IF(V1269="",IF(OR(I1269="EI",I1269="EO",I1269="EQ"),0,""),LEN(V1269)-LEN(SUBSTITUTE(V1269,"、",""))+1))</f>
        <v/>
      </c>
      <c r="M1269" s="83">
        <f>IF(OR(X1269="估算法",X1269="算法类",X1269="无法识别"),"",IF(W1269="",IF(OR(I1269="ILF",I1269="EIF"),0,""),LEN(W1269)-LEN(SUBSTITUTE(W1269,"、",""))+1))</f>
        <v/>
      </c>
      <c r="N1269" s="83">
        <f>IF(OR(X1269="估算法",X1269="算法类",X1269="无法识别"),"",IF(X1269="",IF(OR(I1269="ILF",I1269="EIF",I1269="EI",I1269="EO",I1269="EQ"),0,""),LEN(X1269)-LEN(SUBSTITUTE(SUBSTITUTE(SUBSTITUTE(SUBSTITUTE(SUBSTITUTE(X1269,"|}","--"),"{|","--"),CHAR(10),""),"、",""),"|",""))+IF(AND(OR(I1269="EI",I1269="EO",I1269="EQ"),$AD$1="NESMA"),2,1)))</f>
        <v/>
      </c>
      <c r="O1269" s="84">
        <f>IF(I1269="EI",IF(OR(X1269="估算法",X1269="算法类"),"中",IF(X1269="无法识别","低",IF(L1269&lt;2,IF(N1269&lt;16,"低","中"),IF(L1269&lt;3,IF(N1269&lt;5,"低",IF(N1269&lt;16,"中","高")),IF(N1269&lt;5,"中","高"))))),IF(OR(I1269="EO",I1269="EQ"),IF(OR(X1269="估算法",X1269="算法类"),"中",IF(X1269="无法识别","低",IF(L1269&lt;2,IF(N1269&lt;20,"低","中"),IF(L1269&lt;4,IF(N1269&lt;6,"低",IF(N1269&lt;20,"中","高")),IF(N1269&lt;6,"中","高"))))),IF(OR(I1269="ILF",I1269="EIF"),IF(OR(X1269="估算法",X1269="算法类",X1269="无法识别"),"低",IF(M1269&lt;2,IF(N1269&lt;51,"低","中"),IF(M1269&lt;6,IF(N1269&lt;20,"低",IF(N1269&lt;51,"中","高")),IF(N1269&lt;20,"中","高")))),"不计算")))</f>
        <v/>
      </c>
      <c r="P1269" s="142">
        <f>IFERROR(IF(I1269="EI",IF(O1269="低",3,IF(O1269="中",4,6)),IF(I1269="EO",IF(O1269="低",4,IF(O1269="中",5,7)),IF(I1269="EQ",IF(O1269="低",3,IF(O1269="中",4,6)),IF(I1269="ILF",IF(O1269="低",7,IF(O1269="中",10,15)),IF(I1269="EIF",IF(O1269="低",5,IF(O1269="中",7,10)),"不计算")))))*Q1269,"不计算")</f>
        <v/>
      </c>
      <c r="Q1269" s="142" t="n">
        <v>1</v>
      </c>
      <c r="R1269" s="143">
        <f>调整因子!$F$13</f>
        <v/>
      </c>
      <c r="S1269" s="70" t="n">
        <v>1</v>
      </c>
      <c r="T1269" s="144">
        <f>IFERROR(P1269*R1269,0)</f>
        <v/>
      </c>
      <c r="U1269" s="145">
        <f>T1269*S1269</f>
        <v/>
      </c>
      <c r="V1269" s="96" t="inlineStr">
        <is>
          <t>资产扫描覆盖表、推送结果表</t>
        </is>
      </c>
      <c r="W1269" s="96" t="inlineStr"/>
      <c r="X1269" s="111" t="inlineStr">
        <is>
          <t>资产扫描覆盖表{资产ID、资产名称|资产ID、资产名称、IP地址、资产类型、资产状态、创建时间、更新时间}
推送结果表{ID、名称|ID、名称、类型、状态、创建时间、更新时间}</t>
        </is>
      </c>
      <c r="Y1269" s="88" t="n"/>
      <c r="Z1269" s="88" t="n"/>
    </row>
    <row r="1270" hidden="1" ht="21.6" customHeight="1">
      <c r="A1270" s="69">
        <f>ROW()-1</f>
        <v/>
      </c>
      <c r="B1270" s="53" t="n"/>
      <c r="C1270" s="117" t="n">
        <v>2026</v>
      </c>
      <c r="E1270" s="53" t="n"/>
      <c r="F1270" s="53" t="n"/>
      <c r="G1270" s="54" t="n"/>
      <c r="H1270" s="96" t="inlineStr">
        <is>
          <t>查看误报知识详情</t>
        </is>
      </c>
      <c r="I1270" s="76" t="inlineStr">
        <is>
          <t>EQ</t>
        </is>
      </c>
      <c r="J1270" s="95" t="n"/>
      <c r="K1270" s="95" t="n"/>
      <c r="L1270" s="83">
        <f>IF(OR(X1270="估算法",X1270="算法类",X1270="无法识别"),"",IF(V1270="",IF(OR(I1270="EI",I1270="EO",I1270="EQ"),0,""),LEN(V1270)-LEN(SUBSTITUTE(V1270,"、",""))+1))</f>
        <v/>
      </c>
      <c r="M1270" s="83">
        <f>IF(OR(X1270="估算法",X1270="算法类",X1270="无法识别"),"",IF(W1270="",IF(OR(I1270="ILF",I1270="EIF"),0,""),LEN(W1270)-LEN(SUBSTITUTE(W1270,"、",""))+1))</f>
        <v/>
      </c>
      <c r="N1270" s="83">
        <f>IF(OR(X1270="估算法",X1270="算法类",X1270="无法识别"),"",IF(X1270="",IF(OR(I1270="ILF",I1270="EIF",I1270="EI",I1270="EO",I1270="EQ"),0,""),LEN(X1270)-LEN(SUBSTITUTE(SUBSTITUTE(SUBSTITUTE(SUBSTITUTE(SUBSTITUTE(X1270,"|}","--"),"{|","--"),CHAR(10),""),"、",""),"|",""))+IF(AND(OR(I1270="EI",I1270="EO",I1270="EQ"),$AD$1="NESMA"),2,1)))</f>
        <v/>
      </c>
      <c r="O1270" s="84">
        <f>IF(I1270="EI",IF(OR(X1270="估算法",X1270="算法类"),"中",IF(X1270="无法识别","低",IF(L1270&lt;2,IF(N1270&lt;16,"低","中"),IF(L1270&lt;3,IF(N1270&lt;5,"低",IF(N1270&lt;16,"中","高")),IF(N1270&lt;5,"中","高"))))),IF(OR(I1270="EO",I1270="EQ"),IF(OR(X1270="估算法",X1270="算法类"),"中",IF(X1270="无法识别","低",IF(L1270&lt;2,IF(N1270&lt;20,"低","中"),IF(L1270&lt;4,IF(N1270&lt;6,"低",IF(N1270&lt;20,"中","高")),IF(N1270&lt;6,"中","高"))))),IF(OR(I1270="ILF",I1270="EIF"),IF(OR(X1270="估算法",X1270="算法类",X1270="无法识别"),"低",IF(M1270&lt;2,IF(N1270&lt;51,"低","中"),IF(M1270&lt;6,IF(N1270&lt;20,"低",IF(N1270&lt;51,"中","高")),IF(N1270&lt;20,"中","高")))),"不计算")))</f>
        <v/>
      </c>
      <c r="P1270" s="142">
        <f>IFERROR(IF(I1270="EI",IF(O1270="低",3,IF(O1270="中",4,6)),IF(I1270="EO",IF(O1270="低",4,IF(O1270="中",5,7)),IF(I1270="EQ",IF(O1270="低",3,IF(O1270="中",4,6)),IF(I1270="ILF",IF(O1270="低",7,IF(O1270="中",10,15)),IF(I1270="EIF",IF(O1270="低",5,IF(O1270="中",7,10)),"不计算")))))*Q1270,"不计算")</f>
        <v/>
      </c>
      <c r="Q1270" s="142" t="n">
        <v>1</v>
      </c>
      <c r="R1270" s="143">
        <f>调整因子!$F$13</f>
        <v/>
      </c>
      <c r="S1270" s="70" t="n">
        <v>1</v>
      </c>
      <c r="T1270" s="144">
        <f>IFERROR(P1270*R1270,0)</f>
        <v/>
      </c>
      <c r="U1270" s="145">
        <f>T1270*S1270</f>
        <v/>
      </c>
      <c r="V1270" s="96" t="inlineStr">
        <is>
          <t>扫描能力缺口表</t>
        </is>
      </c>
      <c r="W1270" s="96" t="inlineStr"/>
      <c r="X1270" s="111" t="inlineStr">
        <is>
          <t>扫描能力缺口表{任务ID、任务名称|任务ID、任务名称、任务状态、扫描器类型、开始时间、结束时间、扫描结果}</t>
        </is>
      </c>
      <c r="Y1270" s="88" t="n"/>
      <c r="Z1270" s="88" t="n"/>
    </row>
    <row r="1271" hidden="1" ht="21.6" customHeight="1">
      <c r="A1271" s="69">
        <f>ROW()-1</f>
        <v/>
      </c>
      <c r="B1271" s="53" t="n"/>
      <c r="C1271" s="117" t="n">
        <v>2026</v>
      </c>
      <c r="E1271" s="53" t="n"/>
      <c r="F1271" s="53" t="n"/>
      <c r="G1271" s="111" t="inlineStr">
        <is>
          <t>误报规则管理</t>
        </is>
      </c>
      <c r="H1271" s="96" t="inlineStr">
        <is>
          <t>编辑误报规则</t>
        </is>
      </c>
      <c r="I1271" s="76" t="inlineStr">
        <is>
          <t>EI</t>
        </is>
      </c>
      <c r="J1271" s="95" t="n"/>
      <c r="K1271" s="95" t="n"/>
      <c r="L1271" s="83">
        <f>IF(OR(X1271="估算法",X1271="算法类",X1271="无法识别"),"",IF(V1271="",IF(OR(I1271="EI",I1271="EO",I1271="EQ"),0,""),LEN(V1271)-LEN(SUBSTITUTE(V1271,"、",""))+1))</f>
        <v/>
      </c>
      <c r="M1271" s="83">
        <f>IF(OR(X1271="估算法",X1271="算法类",X1271="无法识别"),"",IF(W1271="",IF(OR(I1271="ILF",I1271="EIF"),0,""),LEN(W1271)-LEN(SUBSTITUTE(W1271,"、",""))+1))</f>
        <v/>
      </c>
      <c r="N1271" s="83">
        <f>IF(OR(X1271="估算法",X1271="算法类",X1271="无法识别"),"",IF(X1271="",IF(OR(I1271="ILF",I1271="EIF",I1271="EI",I1271="EO",I1271="EQ"),0,""),LEN(X1271)-LEN(SUBSTITUTE(SUBSTITUTE(SUBSTITUTE(SUBSTITUTE(SUBSTITUTE(X1271,"|}","--"),"{|","--"),CHAR(10),""),"、",""),"|",""))+IF(AND(OR(I1271="EI",I1271="EO",I1271="EQ"),$AD$1="NESMA"),2,1)))</f>
        <v/>
      </c>
      <c r="O1271" s="84">
        <f>IF(I1271="EI",IF(OR(X1271="估算法",X1271="算法类"),"中",IF(X1271="无法识别","低",IF(L1271&lt;2,IF(N1271&lt;16,"低","中"),IF(L1271&lt;3,IF(N1271&lt;5,"低",IF(N1271&lt;16,"中","高")),IF(N1271&lt;5,"中","高"))))),IF(OR(I1271="EO",I1271="EQ"),IF(OR(X1271="估算法",X1271="算法类"),"中",IF(X1271="无法识别","低",IF(L1271&lt;2,IF(N1271&lt;20,"低","中"),IF(L1271&lt;4,IF(N1271&lt;6,"低",IF(N1271&lt;20,"中","高")),IF(N1271&lt;6,"中","高"))))),IF(OR(I1271="ILF",I1271="EIF"),IF(OR(X1271="估算法",X1271="算法类",X1271="无法识别"),"低",IF(M1271&lt;2,IF(N1271&lt;51,"低","中"),IF(M1271&lt;6,IF(N1271&lt;20,"低",IF(N1271&lt;51,"中","高")),IF(N1271&lt;20,"中","高")))),"不计算")))</f>
        <v/>
      </c>
      <c r="P1271" s="142">
        <f>IFERROR(IF(I1271="EI",IF(O1271="低",3,IF(O1271="中",4,6)),IF(I1271="EO",IF(O1271="低",4,IF(O1271="中",5,7)),IF(I1271="EQ",IF(O1271="低",3,IF(O1271="中",4,6)),IF(I1271="ILF",IF(O1271="低",7,IF(O1271="中",10,15)),IF(I1271="EIF",IF(O1271="低",5,IF(O1271="中",7,10)),"不计算")))))*Q1271,"不计算")</f>
        <v/>
      </c>
      <c r="Q1271" s="142" t="n">
        <v>1</v>
      </c>
      <c r="R1271" s="143">
        <f>调整因子!$F$13</f>
        <v/>
      </c>
      <c r="S1271" s="76" t="n">
        <v>1</v>
      </c>
      <c r="T1271" s="144">
        <f>IFERROR(P1271*R1271,0)</f>
        <v/>
      </c>
      <c r="U1271" s="145">
        <f>T1271*S1271</f>
        <v/>
      </c>
      <c r="V1271" s="96" t="inlineStr">
        <is>
          <t>推送规则表</t>
        </is>
      </c>
      <c r="W1271" s="96" t="inlineStr"/>
      <c r="X1271" s="111" t="inlineStr">
        <is>
          <t>推送规则表{规则ID、规则名称、规则类型、规则条件、创建时间|规则ID、规则名称、规则类型}</t>
        </is>
      </c>
      <c r="Y1271" s="88" t="n"/>
      <c r="Z1271" s="88" t="n"/>
    </row>
    <row r="1272" hidden="1" ht="43.2" customHeight="1">
      <c r="A1272" s="69">
        <f>ROW()-1</f>
        <v/>
      </c>
      <c r="B1272" s="53" t="n"/>
      <c r="C1272" s="117" t="n">
        <v>2026</v>
      </c>
      <c r="E1272" s="53" t="n"/>
      <c r="F1272" s="53" t="n"/>
      <c r="G1272" s="53" t="n"/>
      <c r="H1272" s="96" t="inlineStr">
        <is>
          <t>删除误报规则</t>
        </is>
      </c>
      <c r="I1272" s="76" t="inlineStr">
        <is>
          <t>EI</t>
        </is>
      </c>
      <c r="J1272" s="95" t="n"/>
      <c r="K1272" s="95" t="n"/>
      <c r="L1272" s="83">
        <f>IF(OR(X1272="估算法",X1272="算法类",X1272="无法识别"),"",IF(V1272="",IF(OR(I1272="EI",I1272="EO",I1272="EQ"),0,""),LEN(V1272)-LEN(SUBSTITUTE(V1272,"、",""))+1))</f>
        <v/>
      </c>
      <c r="M1272" s="83">
        <f>IF(OR(X1272="估算法",X1272="算法类",X1272="无法识别"),"",IF(W1272="",IF(OR(I1272="ILF",I1272="EIF"),0,""),LEN(W1272)-LEN(SUBSTITUTE(W1272,"、",""))+1))</f>
        <v/>
      </c>
      <c r="N1272" s="83">
        <f>IF(OR(X1272="估算法",X1272="算法类",X1272="无法识别"),"",IF(X1272="",IF(OR(I1272="ILF",I1272="EIF",I1272="EI",I1272="EO",I1272="EQ"),0,""),LEN(X1272)-LEN(SUBSTITUTE(SUBSTITUTE(SUBSTITUTE(SUBSTITUTE(SUBSTITUTE(X1272,"|}","--"),"{|","--"),CHAR(10),""),"、",""),"|",""))+IF(AND(OR(I1272="EI",I1272="EO",I1272="EQ"),$AD$1="NESMA"),2,1)))</f>
        <v/>
      </c>
      <c r="O1272" s="84">
        <f>IF(I1272="EI",IF(OR(X1272="估算法",X1272="算法类"),"中",IF(X1272="无法识别","低",IF(L1272&lt;2,IF(N1272&lt;16,"低","中"),IF(L1272&lt;3,IF(N1272&lt;5,"低",IF(N1272&lt;16,"中","高")),IF(N1272&lt;5,"中","高"))))),IF(OR(I1272="EO",I1272="EQ"),IF(OR(X1272="估算法",X1272="算法类"),"中",IF(X1272="无法识别","低",IF(L1272&lt;2,IF(N1272&lt;20,"低","中"),IF(L1272&lt;4,IF(N1272&lt;6,"低",IF(N1272&lt;20,"中","高")),IF(N1272&lt;6,"中","高"))))),IF(OR(I1272="ILF",I1272="EIF"),IF(OR(X1272="估算法",X1272="算法类",X1272="无法识别"),"低",IF(M1272&lt;2,IF(N1272&lt;51,"低","中"),IF(M1272&lt;6,IF(N1272&lt;20,"低",IF(N1272&lt;51,"中","高")),IF(N1272&lt;20,"中","高")))),"不计算")))</f>
        <v/>
      </c>
      <c r="P1272" s="142">
        <f>IFERROR(IF(I1272="EI",IF(O1272="低",3,IF(O1272="中",4,6)),IF(I1272="EO",IF(O1272="低",4,IF(O1272="中",5,7)),IF(I1272="EQ",IF(O1272="低",3,IF(O1272="中",4,6)),IF(I1272="ILF",IF(O1272="低",7,IF(O1272="中",10,15)),IF(I1272="EIF",IF(O1272="低",5,IF(O1272="中",7,10)),"不计算")))))*Q1272,"不计算")</f>
        <v/>
      </c>
      <c r="Q1272" s="142" t="n">
        <v>0.333333333333333</v>
      </c>
      <c r="R1272" s="143">
        <f>调整因子!$F$13</f>
        <v/>
      </c>
      <c r="S1272" s="76" t="n">
        <v>1</v>
      </c>
      <c r="T1272" s="144">
        <f>IFERROR(P1272*R1272,0)</f>
        <v/>
      </c>
      <c r="U1272" s="145">
        <f>T1272*S1272</f>
        <v/>
      </c>
      <c r="V1272" s="96" t="inlineStr">
        <is>
          <t>推送规则表、提醒规则表</t>
        </is>
      </c>
      <c r="W1272" s="96" t="inlineStr"/>
      <c r="X1272" s="111" t="inlineStr">
        <is>
          <t>推送规则表{规则ID、规则名称、规则类型、规则条件、创建时间|规则ID、规则名称、规则类型}
提醒规则表{规则ID、规则名称、规则类型、规则条件、创建时间|规则ID、规则名称、规则类型}</t>
        </is>
      </c>
      <c r="Y1272" s="88" t="n"/>
      <c r="Z1272" s="88" t="n"/>
    </row>
    <row r="1273" hidden="1" ht="21.6" customHeight="1">
      <c r="A1273" s="69">
        <f>ROW()-1</f>
        <v/>
      </c>
      <c r="B1273" s="53" t="n"/>
      <c r="C1273" s="117" t="n">
        <v>2026</v>
      </c>
      <c r="E1273" s="53" t="n"/>
      <c r="F1273" s="53" t="n"/>
      <c r="G1273" s="53" t="n"/>
      <c r="H1273" s="96" t="inlineStr">
        <is>
          <t>启用误报规则</t>
        </is>
      </c>
      <c r="I1273" s="76" t="inlineStr">
        <is>
          <t>EI</t>
        </is>
      </c>
      <c r="J1273" s="95" t="n"/>
      <c r="K1273" s="95" t="n"/>
      <c r="L1273" s="83">
        <f>IF(OR(X1273="估算法",X1273="算法类",X1273="无法识别"),"",IF(V1273="",IF(OR(I1273="EI",I1273="EO",I1273="EQ"),0,""),LEN(V1273)-LEN(SUBSTITUTE(V1273,"、",""))+1))</f>
        <v/>
      </c>
      <c r="M1273" s="83">
        <f>IF(OR(X1273="估算法",X1273="算法类",X1273="无法识别"),"",IF(W1273="",IF(OR(I1273="ILF",I1273="EIF"),0,""),LEN(W1273)-LEN(SUBSTITUTE(W1273,"、",""))+1))</f>
        <v/>
      </c>
      <c r="N1273" s="83">
        <f>IF(OR(X1273="估算法",X1273="算法类",X1273="无法识别"),"",IF(X1273="",IF(OR(I1273="ILF",I1273="EIF",I1273="EI",I1273="EO",I1273="EQ"),0,""),LEN(X1273)-LEN(SUBSTITUTE(SUBSTITUTE(SUBSTITUTE(SUBSTITUTE(SUBSTITUTE(X1273,"|}","--"),"{|","--"),CHAR(10),""),"、",""),"|",""))+IF(AND(OR(I1273="EI",I1273="EO",I1273="EQ"),$AD$1="NESMA"),2,1)))</f>
        <v/>
      </c>
      <c r="O1273" s="84">
        <f>IF(I1273="EI",IF(OR(X1273="估算法",X1273="算法类"),"中",IF(X1273="无法识别","低",IF(L1273&lt;2,IF(N1273&lt;16,"低","中"),IF(L1273&lt;3,IF(N1273&lt;5,"低",IF(N1273&lt;16,"中","高")),IF(N1273&lt;5,"中","高"))))),IF(OR(I1273="EO",I1273="EQ"),IF(OR(X1273="估算法",X1273="算法类"),"中",IF(X1273="无法识别","低",IF(L1273&lt;2,IF(N1273&lt;20,"低","中"),IF(L1273&lt;4,IF(N1273&lt;6,"低",IF(N1273&lt;20,"中","高")),IF(N1273&lt;6,"中","高"))))),IF(OR(I1273="ILF",I1273="EIF"),IF(OR(X1273="估算法",X1273="算法类",X1273="无法识别"),"低",IF(M1273&lt;2,IF(N1273&lt;51,"低","中"),IF(M1273&lt;6,IF(N1273&lt;20,"低",IF(N1273&lt;51,"中","高")),IF(N1273&lt;20,"中","高")))),"不计算")))</f>
        <v/>
      </c>
      <c r="P1273" s="142">
        <f>IFERROR(IF(I1273="EI",IF(O1273="低",3,IF(O1273="中",4,6)),IF(I1273="EO",IF(O1273="低",4,IF(O1273="中",5,7)),IF(I1273="EQ",IF(O1273="低",3,IF(O1273="中",4,6)),IF(I1273="ILF",IF(O1273="低",7,IF(O1273="中",10,15)),IF(I1273="EIF",IF(O1273="低",5,IF(O1273="中",7,10)),"不计算")))))*Q1273,"不计算")</f>
        <v/>
      </c>
      <c r="Q1273" s="142" t="n">
        <v>1</v>
      </c>
      <c r="R1273" s="143">
        <f>调整因子!$F$13</f>
        <v/>
      </c>
      <c r="S1273" s="70" t="n">
        <v>1</v>
      </c>
      <c r="T1273" s="144">
        <f>IFERROR(P1273*R1273,0)</f>
        <v/>
      </c>
      <c r="U1273" s="145">
        <f>T1273*S1273</f>
        <v/>
      </c>
      <c r="V1273" s="96" t="inlineStr">
        <is>
          <t>推送规则表</t>
        </is>
      </c>
      <c r="W1273" s="96" t="inlineStr"/>
      <c r="X1273" s="111" t="inlineStr">
        <is>
          <t>推送规则表{规则ID、规则名称、规则类型、规则条件、创建时间|规则ID、规则名称、规则类型}</t>
        </is>
      </c>
      <c r="Y1273" s="88" t="n"/>
      <c r="Z1273" s="88" t="n"/>
    </row>
    <row r="1274" hidden="1" ht="21.6" customHeight="1">
      <c r="A1274" s="69">
        <f>ROW()-1</f>
        <v/>
      </c>
      <c r="B1274" s="53" t="n"/>
      <c r="C1274" s="117" t="n">
        <v>2026</v>
      </c>
      <c r="E1274" s="53" t="n"/>
      <c r="F1274" s="53" t="n"/>
      <c r="G1274" s="53" t="n"/>
      <c r="H1274" s="96" t="inlineStr">
        <is>
          <t>停用误报规则</t>
        </is>
      </c>
      <c r="I1274" s="76" t="n"/>
      <c r="J1274" s="95" t="n"/>
      <c r="K1274" s="95" t="inlineStr">
        <is>
          <t>和上行合并，启停为相同功能</t>
        </is>
      </c>
      <c r="L1274" s="83">
        <f>IF(OR(X1274="估算法",X1274="算法类",X1274="无法识别"),"",IF(V1274="",IF(OR(I1274="EI",I1274="EO",I1274="EQ"),0,""),LEN(V1274)-LEN(SUBSTITUTE(V1274,"、",""))+1))</f>
        <v/>
      </c>
      <c r="M1274" s="83">
        <f>IF(OR(X1274="估算法",X1274="算法类",X1274="无法识别"),"",IF(W1274="",IF(OR(I1274="ILF",I1274="EIF"),0,""),LEN(W1274)-LEN(SUBSTITUTE(W1274,"、",""))+1))</f>
        <v/>
      </c>
      <c r="N1274" s="83">
        <f>IF(OR(X1274="估算法",X1274="算法类",X1274="无法识别"),"",IF(X1274="",IF(OR(I1274="ILF",I1274="EIF",I1274="EI",I1274="EO",I1274="EQ"),0,""),LEN(X1274)-LEN(SUBSTITUTE(SUBSTITUTE(SUBSTITUTE(SUBSTITUTE(SUBSTITUTE(X1274,"|}","--"),"{|","--"),CHAR(10),""),"、",""),"|",""))+IF(AND(OR(I1274="EI",I1274="EO",I1274="EQ"),$AD$1="NESMA"),2,1)))</f>
        <v/>
      </c>
      <c r="O1274" s="84">
        <f>IF(I1274="EI",IF(OR(X1274="估算法",X1274="算法类"),"中",IF(X1274="无法识别","低",IF(L1274&lt;2,IF(N1274&lt;16,"低","中"),IF(L1274&lt;3,IF(N1274&lt;5,"低",IF(N1274&lt;16,"中","高")),IF(N1274&lt;5,"中","高"))))),IF(OR(I1274="EO",I1274="EQ"),IF(OR(X1274="估算法",X1274="算法类"),"中",IF(X1274="无法识别","低",IF(L1274&lt;2,IF(N1274&lt;20,"低","中"),IF(L1274&lt;4,IF(N1274&lt;6,"低",IF(N1274&lt;20,"中","高")),IF(N1274&lt;6,"中","高"))))),IF(OR(I1274="ILF",I1274="EIF"),IF(OR(X1274="估算法",X1274="算法类",X1274="无法识别"),"低",IF(M1274&lt;2,IF(N1274&lt;51,"低","中"),IF(M1274&lt;6,IF(N1274&lt;20,"低",IF(N1274&lt;51,"中","高")),IF(N1274&lt;20,"中","高")))),"不计算")))</f>
        <v/>
      </c>
      <c r="P1274" s="142">
        <f>IFERROR(IF(I1274="EI",IF(O1274="低",3,IF(O1274="中",4,6)),IF(I1274="EO",IF(O1274="低",4,IF(O1274="中",5,7)),IF(I1274="EQ",IF(O1274="低",3,IF(O1274="中",4,6)),IF(I1274="ILF",IF(O1274="低",7,IF(O1274="中",10,15)),IF(I1274="EIF",IF(O1274="低",5,IF(O1274="中",7,10)),"不计算")))))*Q1274,"不计算")</f>
        <v/>
      </c>
      <c r="Q1274" s="142" t="n">
        <v>1</v>
      </c>
      <c r="R1274" s="143">
        <f>调整因子!$F$13</f>
        <v/>
      </c>
      <c r="S1274" s="70" t="n">
        <v>1</v>
      </c>
      <c r="T1274" s="144">
        <f>IFERROR(P1274*R1274,0)</f>
        <v/>
      </c>
      <c r="U1274" s="145">
        <f>T1274*S1274</f>
        <v/>
      </c>
      <c r="V1274" s="96" t="inlineStr">
        <is>
          <t>推送规则表</t>
        </is>
      </c>
      <c r="W1274" s="96" t="inlineStr"/>
      <c r="X1274" s="111" t="inlineStr">
        <is>
          <t>推送规则表{规则ID、规则名称、规则类型、规则条件、创建时间|规则ID、规则名称、规则类型}</t>
        </is>
      </c>
      <c r="Y1274" s="88" t="n"/>
      <c r="Z1274" s="88" t="n"/>
    </row>
    <row r="1275" hidden="1">
      <c r="A1275" s="69">
        <f>ROW()-1</f>
        <v/>
      </c>
      <c r="B1275" s="53" t="n"/>
      <c r="C1275" s="117" t="n">
        <v>2026</v>
      </c>
      <c r="E1275" s="53" t="n"/>
      <c r="F1275" s="53" t="n"/>
      <c r="G1275" s="53" t="n"/>
      <c r="H1275" s="96" t="inlineStr">
        <is>
          <t>导出误报规则</t>
        </is>
      </c>
      <c r="I1275" s="76" t="inlineStr">
        <is>
          <t>EO</t>
        </is>
      </c>
      <c r="J1275" s="95" t="n"/>
      <c r="K1275" s="95" t="n"/>
      <c r="L1275" s="83">
        <f>IF(OR(X1275="估算法",X1275="算法类",X1275="无法识别"),"",IF(V1275="",IF(OR(I1275="EI",I1275="EO",I1275="EQ"),0,""),LEN(V1275)-LEN(SUBSTITUTE(V1275,"、",""))+1))</f>
        <v/>
      </c>
      <c r="M1275" s="83">
        <f>IF(OR(X1275="估算法",X1275="算法类",X1275="无法识别"),"",IF(W1275="",IF(OR(I1275="ILF",I1275="EIF"),0,""),LEN(W1275)-LEN(SUBSTITUTE(W1275,"、",""))+1))</f>
        <v/>
      </c>
      <c r="N1275" s="83">
        <f>IF(OR(X1275="估算法",X1275="算法类",X1275="无法识别"),"",IF(X1275="",IF(OR(I1275="ILF",I1275="EIF",I1275="EI",I1275="EO",I1275="EQ"),0,""),LEN(X1275)-LEN(SUBSTITUTE(SUBSTITUTE(SUBSTITUTE(SUBSTITUTE(SUBSTITUTE(X1275,"|}","--"),"{|","--"),CHAR(10),""),"、",""),"|",""))+IF(AND(OR(I1275="EI",I1275="EO",I1275="EQ"),$AD$1="NESMA"),2,1)))</f>
        <v/>
      </c>
      <c r="O1275" s="84">
        <f>IF(I1275="EI",IF(OR(X1275="估算法",X1275="算法类"),"中",IF(X1275="无法识别","低",IF(L1275&lt;2,IF(N1275&lt;16,"低","中"),IF(L1275&lt;3,IF(N1275&lt;5,"低",IF(N1275&lt;16,"中","高")),IF(N1275&lt;5,"中","高"))))),IF(OR(I1275="EO",I1275="EQ"),IF(OR(X1275="估算法",X1275="算法类"),"中",IF(X1275="无法识别","低",IF(L1275&lt;2,IF(N1275&lt;20,"低","中"),IF(L1275&lt;4,IF(N1275&lt;6,"低",IF(N1275&lt;20,"中","高")),IF(N1275&lt;6,"中","高"))))),IF(OR(I1275="ILF",I1275="EIF"),IF(OR(X1275="估算法",X1275="算法类",X1275="无法识别"),"低",IF(M1275&lt;2,IF(N1275&lt;51,"低","中"),IF(M1275&lt;6,IF(N1275&lt;20,"低",IF(N1275&lt;51,"中","高")),IF(N1275&lt;20,"中","高")))),"不计算")))</f>
        <v/>
      </c>
      <c r="P1275" s="142">
        <f>IFERROR(IF(I1275="EI",IF(O1275="低",3,IF(O1275="中",4,6)),IF(I1275="EO",IF(O1275="低",4,IF(O1275="中",5,7)),IF(I1275="EQ",IF(O1275="低",3,IF(O1275="中",4,6)),IF(I1275="ILF",IF(O1275="低",7,IF(O1275="中",10,15)),IF(I1275="EIF",IF(O1275="低",5,IF(O1275="中",7,10)),"不计算")))))*Q1275,"不计算")</f>
        <v/>
      </c>
      <c r="Q1275" s="142" t="n">
        <v>1</v>
      </c>
      <c r="R1275" s="143">
        <f>调整因子!$F$13</f>
        <v/>
      </c>
      <c r="S1275" s="76" t="n">
        <v>1</v>
      </c>
      <c r="T1275" s="144">
        <f>IFERROR(P1275*R1275,0)</f>
        <v/>
      </c>
      <c r="U1275" s="145">
        <f>T1275*S1275</f>
        <v/>
      </c>
      <c r="V1275" s="96" t="inlineStr">
        <is>
          <t>推送规则表</t>
        </is>
      </c>
      <c r="W1275" s="96" t="inlineStr"/>
      <c r="X1275" s="111" t="inlineStr">
        <is>
          <t>推送规则表{规则ID、规则名称|规则ID、规则名称、规则类型、规则条件、创建时间}</t>
        </is>
      </c>
      <c r="Y1275" s="88" t="n"/>
      <c r="Z1275" s="88" t="n"/>
    </row>
    <row r="1276" hidden="1" ht="21.6" customHeight="1">
      <c r="A1276" s="69">
        <f>ROW()-1</f>
        <v/>
      </c>
      <c r="B1276" s="53" t="n"/>
      <c r="C1276" s="117" t="n">
        <v>2026</v>
      </c>
      <c r="E1276" s="53" t="n"/>
      <c r="F1276" s="53" t="n"/>
      <c r="G1276" s="53" t="n"/>
      <c r="H1276" s="96" t="inlineStr">
        <is>
          <t>查询误报规则</t>
        </is>
      </c>
      <c r="I1276" s="76" t="inlineStr">
        <is>
          <t>EQ</t>
        </is>
      </c>
      <c r="J1276" s="95" t="n"/>
      <c r="K1276" s="95" t="n"/>
      <c r="L1276" s="83">
        <f>IF(OR(X1276="估算法",X1276="算法类",X1276="无法识别"),"",IF(V1276="",IF(OR(I1276="EI",I1276="EO",I1276="EQ"),0,""),LEN(V1276)-LEN(SUBSTITUTE(V1276,"、",""))+1))</f>
        <v/>
      </c>
      <c r="M1276" s="83">
        <f>IF(OR(X1276="估算法",X1276="算法类",X1276="无法识别"),"",IF(W1276="",IF(OR(I1276="ILF",I1276="EIF"),0,""),LEN(W1276)-LEN(SUBSTITUTE(W1276,"、",""))+1))</f>
        <v/>
      </c>
      <c r="N1276" s="83">
        <f>IF(OR(X1276="估算法",X1276="算法类",X1276="无法识别"),"",IF(X1276="",IF(OR(I1276="ILF",I1276="EIF",I1276="EI",I1276="EO",I1276="EQ"),0,""),LEN(X1276)-LEN(SUBSTITUTE(SUBSTITUTE(SUBSTITUTE(SUBSTITUTE(SUBSTITUTE(X1276,"|}","--"),"{|","--"),CHAR(10),""),"、",""),"|",""))+IF(AND(OR(I1276="EI",I1276="EO",I1276="EQ"),$AD$1="NESMA"),2,1)))</f>
        <v/>
      </c>
      <c r="O1276" s="84">
        <f>IF(I1276="EI",IF(OR(X1276="估算法",X1276="算法类"),"中",IF(X1276="无法识别","低",IF(L1276&lt;2,IF(N1276&lt;16,"低","中"),IF(L1276&lt;3,IF(N1276&lt;5,"低",IF(N1276&lt;16,"中","高")),IF(N1276&lt;5,"中","高"))))),IF(OR(I1276="EO",I1276="EQ"),IF(OR(X1276="估算法",X1276="算法类"),"中",IF(X1276="无法识别","低",IF(L1276&lt;2,IF(N1276&lt;20,"低","中"),IF(L1276&lt;4,IF(N1276&lt;6,"低",IF(N1276&lt;20,"中","高")),IF(N1276&lt;6,"中","高"))))),IF(OR(I1276="ILF",I1276="EIF"),IF(OR(X1276="估算法",X1276="算法类",X1276="无法识别"),"低",IF(M1276&lt;2,IF(N1276&lt;51,"低","中"),IF(M1276&lt;6,IF(N1276&lt;20,"低",IF(N1276&lt;51,"中","高")),IF(N1276&lt;20,"中","高")))),"不计算")))</f>
        <v/>
      </c>
      <c r="P1276" s="142">
        <f>IFERROR(IF(I1276="EI",IF(O1276="低",3,IF(O1276="中",4,6)),IF(I1276="EO",IF(O1276="低",4,IF(O1276="中",5,7)),IF(I1276="EQ",IF(O1276="低",3,IF(O1276="中",4,6)),IF(I1276="ILF",IF(O1276="低",7,IF(O1276="中",10,15)),IF(I1276="EIF",IF(O1276="低",5,IF(O1276="中",7,10)),"不计算")))))*Q1276,"不计算")</f>
        <v/>
      </c>
      <c r="Q1276" s="142" t="n">
        <v>1</v>
      </c>
      <c r="R1276" s="143">
        <f>调整因子!$F$13</f>
        <v/>
      </c>
      <c r="S1276" s="70" t="n">
        <v>1</v>
      </c>
      <c r="T1276" s="144">
        <f>IFERROR(P1276*R1276,0)</f>
        <v/>
      </c>
      <c r="U1276" s="145">
        <f>T1276*S1276</f>
        <v/>
      </c>
      <c r="V1276" s="96" t="inlineStr">
        <is>
          <t>推送规则表、提醒规则表</t>
        </is>
      </c>
      <c r="W1276" s="96" t="inlineStr"/>
      <c r="X1276" s="111" t="inlineStr">
        <is>
          <t>推送规则表{规则ID、规则名称|规则ID、规则名称、规则类型、规则条件、创建时间}
提醒规则表{规则ID、规则名称|规则ID、规则名称、规则类型、规则条件、创建时间}</t>
        </is>
      </c>
      <c r="Y1276" s="88" t="n"/>
      <c r="Z1276" s="88" t="n"/>
    </row>
    <row r="1277" hidden="1" ht="21.6" customHeight="1">
      <c r="A1277" s="69">
        <f>ROW()-1</f>
        <v/>
      </c>
      <c r="B1277" s="53" t="n"/>
      <c r="C1277" s="117" t="n">
        <v>2026</v>
      </c>
      <c r="E1277" s="53" t="n"/>
      <c r="F1277" s="53" t="n"/>
      <c r="G1277" s="54" t="n"/>
      <c r="H1277" s="96" t="inlineStr">
        <is>
          <t>查看规则详情</t>
        </is>
      </c>
      <c r="I1277" s="76" t="inlineStr">
        <is>
          <t>EQ</t>
        </is>
      </c>
      <c r="J1277" s="95" t="n"/>
      <c r="K1277" s="95" t="n"/>
      <c r="L1277" s="83">
        <f>IF(OR(X1277="估算法",X1277="算法类",X1277="无法识别"),"",IF(V1277="",IF(OR(I1277="EI",I1277="EO",I1277="EQ"),0,""),LEN(V1277)-LEN(SUBSTITUTE(V1277,"、",""))+1))</f>
        <v/>
      </c>
      <c r="M1277" s="83">
        <f>IF(OR(X1277="估算法",X1277="算法类",X1277="无法识别"),"",IF(W1277="",IF(OR(I1277="ILF",I1277="EIF"),0,""),LEN(W1277)-LEN(SUBSTITUTE(W1277,"、",""))+1))</f>
        <v/>
      </c>
      <c r="N1277" s="83">
        <f>IF(OR(X1277="估算法",X1277="算法类",X1277="无法识别"),"",IF(X1277="",IF(OR(I1277="ILF",I1277="EIF",I1277="EI",I1277="EO",I1277="EQ"),0,""),LEN(X1277)-LEN(SUBSTITUTE(SUBSTITUTE(SUBSTITUTE(SUBSTITUTE(SUBSTITUTE(X1277,"|}","--"),"{|","--"),CHAR(10),""),"、",""),"|",""))+IF(AND(OR(I1277="EI",I1277="EO",I1277="EQ"),$AD$1="NESMA"),2,1)))</f>
        <v/>
      </c>
      <c r="O1277" s="84">
        <f>IF(I1277="EI",IF(OR(X1277="估算法",X1277="算法类"),"中",IF(X1277="无法识别","低",IF(L1277&lt;2,IF(N1277&lt;16,"低","中"),IF(L1277&lt;3,IF(N1277&lt;5,"低",IF(N1277&lt;16,"中","高")),IF(N1277&lt;5,"中","高"))))),IF(OR(I1277="EO",I1277="EQ"),IF(OR(X1277="估算法",X1277="算法类"),"中",IF(X1277="无法识别","低",IF(L1277&lt;2,IF(N1277&lt;20,"低","中"),IF(L1277&lt;4,IF(N1277&lt;6,"低",IF(N1277&lt;20,"中","高")),IF(N1277&lt;6,"中","高"))))),IF(OR(I1277="ILF",I1277="EIF"),IF(OR(X1277="估算法",X1277="算法类",X1277="无法识别"),"低",IF(M1277&lt;2,IF(N1277&lt;51,"低","中"),IF(M1277&lt;6,IF(N1277&lt;20,"低",IF(N1277&lt;51,"中","高")),IF(N1277&lt;20,"中","高")))),"不计算")))</f>
        <v/>
      </c>
      <c r="P1277" s="142">
        <f>IFERROR(IF(I1277="EI",IF(O1277="低",3,IF(O1277="中",4,6)),IF(I1277="EO",IF(O1277="低",4,IF(O1277="中",5,7)),IF(I1277="EQ",IF(O1277="低",3,IF(O1277="中",4,6)),IF(I1277="ILF",IF(O1277="低",7,IF(O1277="中",10,15)),IF(I1277="EIF",IF(O1277="低",5,IF(O1277="中",7,10)),"不计算")))))*Q1277,"不计算")</f>
        <v/>
      </c>
      <c r="Q1277" s="142" t="n">
        <v>1</v>
      </c>
      <c r="R1277" s="143">
        <f>调整因子!$F$13</f>
        <v/>
      </c>
      <c r="S1277" s="70" t="n">
        <v>1</v>
      </c>
      <c r="T1277" s="144">
        <f>IFERROR(P1277*R1277,0)</f>
        <v/>
      </c>
      <c r="U1277" s="145">
        <f>T1277*S1277</f>
        <v/>
      </c>
      <c r="V1277" s="96" t="inlineStr">
        <is>
          <t>推送规则表、提醒规则表</t>
        </is>
      </c>
      <c r="W1277" s="96" t="inlineStr"/>
      <c r="X1277" s="111" t="inlineStr">
        <is>
          <t>推送规则表{规则ID、规则名称|规则ID、规则名称、规则类型、规则条件、创建时间}
提醒规则表{规则ID、规则名称|规则ID、规则名称、规则类型、规则条件、创建时间}</t>
        </is>
      </c>
      <c r="Y1277" s="88" t="n"/>
      <c r="Z1277" s="88" t="n"/>
    </row>
    <row r="1278" hidden="1">
      <c r="A1278" s="69">
        <f>ROW()-1</f>
        <v/>
      </c>
      <c r="B1278" s="53" t="n"/>
      <c r="C1278" s="117" t="n">
        <v>2026</v>
      </c>
      <c r="E1278" s="53" t="n"/>
      <c r="F1278" s="53" t="n"/>
      <c r="G1278" s="111" t="inlineStr">
        <is>
          <t>误报应用管理</t>
        </is>
      </c>
      <c r="H1278" s="96" t="inlineStr">
        <is>
          <t>导出应用记录</t>
        </is>
      </c>
      <c r="I1278" s="76" t="inlineStr">
        <is>
          <t>EO</t>
        </is>
      </c>
      <c r="J1278" s="95" t="n"/>
      <c r="K1278" s="95" t="n"/>
      <c r="L1278" s="83">
        <f>IF(OR(X1278="估算法",X1278="算法类",X1278="无法识别"),"",IF(V1278="",IF(OR(I1278="EI",I1278="EO",I1278="EQ"),0,""),LEN(V1278)-LEN(SUBSTITUTE(V1278,"、",""))+1))</f>
        <v/>
      </c>
      <c r="M1278" s="83">
        <f>IF(OR(X1278="估算法",X1278="算法类",X1278="无法识别"),"",IF(W1278="",IF(OR(I1278="ILF",I1278="EIF"),0,""),LEN(W1278)-LEN(SUBSTITUTE(W1278,"、",""))+1))</f>
        <v/>
      </c>
      <c r="N1278" s="83">
        <f>IF(OR(X1278="估算法",X1278="算法类",X1278="无法识别"),"",IF(X1278="",IF(OR(I1278="ILF",I1278="EIF",I1278="EI",I1278="EO",I1278="EQ"),0,""),LEN(X1278)-LEN(SUBSTITUTE(SUBSTITUTE(SUBSTITUTE(SUBSTITUTE(SUBSTITUTE(X1278,"|}","--"),"{|","--"),CHAR(10),""),"、",""),"|",""))+IF(AND(OR(I1278="EI",I1278="EO",I1278="EQ"),$AD$1="NESMA"),2,1)))</f>
        <v/>
      </c>
      <c r="O1278" s="84">
        <f>IF(I1278="EI",IF(OR(X1278="估算法",X1278="算法类"),"中",IF(X1278="无法识别","低",IF(L1278&lt;2,IF(N1278&lt;16,"低","中"),IF(L1278&lt;3,IF(N1278&lt;5,"低",IF(N1278&lt;16,"中","高")),IF(N1278&lt;5,"中","高"))))),IF(OR(I1278="EO",I1278="EQ"),IF(OR(X1278="估算法",X1278="算法类"),"中",IF(X1278="无法识别","低",IF(L1278&lt;2,IF(N1278&lt;20,"低","中"),IF(L1278&lt;4,IF(N1278&lt;6,"低",IF(N1278&lt;20,"中","高")),IF(N1278&lt;6,"中","高"))))),IF(OR(I1278="ILF",I1278="EIF"),IF(OR(X1278="估算法",X1278="算法类",X1278="无法识别"),"低",IF(M1278&lt;2,IF(N1278&lt;51,"低","中"),IF(M1278&lt;6,IF(N1278&lt;20,"低",IF(N1278&lt;51,"中","高")),IF(N1278&lt;20,"中","高")))),"不计算")))</f>
        <v/>
      </c>
      <c r="P1278" s="142">
        <f>IFERROR(IF(I1278="EI",IF(O1278="低",3,IF(O1278="中",4,6)),IF(I1278="EO",IF(O1278="低",4,IF(O1278="中",5,7)),IF(I1278="EQ",IF(O1278="低",3,IF(O1278="中",4,6)),IF(I1278="ILF",IF(O1278="低",7,IF(O1278="中",10,15)),IF(I1278="EIF",IF(O1278="低",5,IF(O1278="中",7,10)),"不计算")))))*Q1278,"不计算")</f>
        <v/>
      </c>
      <c r="Q1278" s="142" t="n">
        <v>1</v>
      </c>
      <c r="R1278" s="143">
        <f>调整因子!$F$13</f>
        <v/>
      </c>
      <c r="S1278" s="76" t="n">
        <v>1</v>
      </c>
      <c r="T1278" s="144">
        <f>IFERROR(P1278*R1278,0)</f>
        <v/>
      </c>
      <c r="U1278" s="145">
        <f>T1278*S1278</f>
        <v/>
      </c>
      <c r="V1278" s="96" t="inlineStr">
        <is>
          <t>加密策略表</t>
        </is>
      </c>
      <c r="W1278" s="96" t="inlineStr"/>
      <c r="X1278" s="111" t="inlineStr">
        <is>
          <t>加密策略表{策略ID、策略名称|策略ID、策略名称、策略类型、策略内容、生效时间}</t>
        </is>
      </c>
      <c r="Y1278" s="88" t="n"/>
      <c r="Z1278" s="88" t="n"/>
    </row>
    <row r="1279" hidden="1" ht="32.4" customHeight="1">
      <c r="A1279" s="69">
        <f>ROW()-1</f>
        <v/>
      </c>
      <c r="B1279" s="53" t="n"/>
      <c r="C1279" s="117" t="n">
        <v>2026</v>
      </c>
      <c r="E1279" s="53" t="n"/>
      <c r="F1279" s="53" t="n"/>
      <c r="G1279" s="53" t="n"/>
      <c r="H1279" s="96" t="inlineStr">
        <is>
          <t>查询应用记录</t>
        </is>
      </c>
      <c r="I1279" s="76" t="inlineStr">
        <is>
          <t>EQ</t>
        </is>
      </c>
      <c r="J1279" s="95" t="n"/>
      <c r="K1279" s="95" t="n"/>
      <c r="L1279" s="83">
        <f>IF(OR(X1279="估算法",X1279="算法类",X1279="无法识别"),"",IF(V1279="",IF(OR(I1279="EI",I1279="EO",I1279="EQ"),0,""),LEN(V1279)-LEN(SUBSTITUTE(V1279,"、",""))+1))</f>
        <v/>
      </c>
      <c r="M1279" s="83">
        <f>IF(OR(X1279="估算法",X1279="算法类",X1279="无法识别"),"",IF(W1279="",IF(OR(I1279="ILF",I1279="EIF"),0,""),LEN(W1279)-LEN(SUBSTITUTE(W1279,"、",""))+1))</f>
        <v/>
      </c>
      <c r="N1279" s="83">
        <f>IF(OR(X1279="估算法",X1279="算法类",X1279="无法识别"),"",IF(X1279="",IF(OR(I1279="ILF",I1279="EIF",I1279="EI",I1279="EO",I1279="EQ"),0,""),LEN(X1279)-LEN(SUBSTITUTE(SUBSTITUTE(SUBSTITUTE(SUBSTITUTE(SUBSTITUTE(X1279,"|}","--"),"{|","--"),CHAR(10),""),"、",""),"|",""))+IF(AND(OR(I1279="EI",I1279="EO",I1279="EQ"),$AD$1="NESMA"),2,1)))</f>
        <v/>
      </c>
      <c r="O1279" s="84">
        <f>IF(I1279="EI",IF(OR(X1279="估算法",X1279="算法类"),"中",IF(X1279="无法识别","低",IF(L1279&lt;2,IF(N1279&lt;16,"低","中"),IF(L1279&lt;3,IF(N1279&lt;5,"低",IF(N1279&lt;16,"中","高")),IF(N1279&lt;5,"中","高"))))),IF(OR(I1279="EO",I1279="EQ"),IF(OR(X1279="估算法",X1279="算法类"),"中",IF(X1279="无法识别","低",IF(L1279&lt;2,IF(N1279&lt;20,"低","中"),IF(L1279&lt;4,IF(N1279&lt;6,"低",IF(N1279&lt;20,"中","高")),IF(N1279&lt;6,"中","高"))))),IF(OR(I1279="ILF",I1279="EIF"),IF(OR(X1279="估算法",X1279="算法类",X1279="无法识别"),"低",IF(M1279&lt;2,IF(N1279&lt;51,"低","中"),IF(M1279&lt;6,IF(N1279&lt;20,"低",IF(N1279&lt;51,"中","高")),IF(N1279&lt;20,"中","高")))),"不计算")))</f>
        <v/>
      </c>
      <c r="P1279" s="142">
        <f>IFERROR(IF(I1279="EI",IF(O1279="低",3,IF(O1279="中",4,6)),IF(I1279="EO",IF(O1279="低",4,IF(O1279="中",5,7)),IF(I1279="EQ",IF(O1279="低",3,IF(O1279="中",4,6)),IF(I1279="ILF",IF(O1279="低",7,IF(O1279="中",10,15)),IF(I1279="EIF",IF(O1279="低",5,IF(O1279="中",7,10)),"不计算")))))*Q1279,"不计算")</f>
        <v/>
      </c>
      <c r="Q1279" s="142" t="n">
        <v>1</v>
      </c>
      <c r="R1279" s="143">
        <f>调整因子!$F$13</f>
        <v/>
      </c>
      <c r="S1279" s="76" t="n">
        <v>1</v>
      </c>
      <c r="T1279" s="144">
        <f>IFERROR(P1279*R1279,0)</f>
        <v/>
      </c>
      <c r="U1279" s="145">
        <f>T1279*S1279</f>
        <v/>
      </c>
      <c r="V1279" s="96" t="inlineStr">
        <is>
          <t>考核指标配置表、处置单关联表</t>
        </is>
      </c>
      <c r="W1279" s="96" t="inlineStr"/>
      <c r="X1279" s="111" t="inlineStr">
        <is>
          <t>考核指标配置表{配置ID、配置名称|配置ID、配置名称、配置类型、配置值、创建时间}
处置单关联表{ID、名称|ID、名称、类型、状态、创建时间、更新时间}</t>
        </is>
      </c>
      <c r="Y1279" s="88" t="n"/>
      <c r="Z1279" s="88" t="n"/>
    </row>
    <row r="1280" hidden="1" ht="21.6" customHeight="1">
      <c r="A1280" s="69">
        <f>ROW()-1</f>
        <v/>
      </c>
      <c r="B1280" s="53" t="n"/>
      <c r="C1280" s="117" t="n">
        <v>2026</v>
      </c>
      <c r="E1280" s="53" t="n"/>
      <c r="F1280" s="54" t="n"/>
      <c r="G1280" s="54" t="n"/>
      <c r="H1280" s="96" t="inlineStr">
        <is>
          <t>查看应用详情</t>
        </is>
      </c>
      <c r="I1280" s="76" t="inlineStr">
        <is>
          <t>EQ</t>
        </is>
      </c>
      <c r="J1280" s="95" t="n"/>
      <c r="K1280" s="95" t="n"/>
      <c r="L1280" s="83">
        <f>IF(OR(X1280="估算法",X1280="算法类",X1280="无法识别"),"",IF(V1280="",IF(OR(I1280="EI",I1280="EO",I1280="EQ"),0,""),LEN(V1280)-LEN(SUBSTITUTE(V1280,"、",""))+1))</f>
        <v/>
      </c>
      <c r="M1280" s="83">
        <f>IF(OR(X1280="估算法",X1280="算法类",X1280="无法识别"),"",IF(W1280="",IF(OR(I1280="ILF",I1280="EIF"),0,""),LEN(W1280)-LEN(SUBSTITUTE(W1280,"、",""))+1))</f>
        <v/>
      </c>
      <c r="N1280" s="83">
        <f>IF(OR(X1280="估算法",X1280="算法类",X1280="无法识别"),"",IF(X1280="",IF(OR(I1280="ILF",I1280="EIF",I1280="EI",I1280="EO",I1280="EQ"),0,""),LEN(X1280)-LEN(SUBSTITUTE(SUBSTITUTE(SUBSTITUTE(SUBSTITUTE(SUBSTITUTE(X1280,"|}","--"),"{|","--"),CHAR(10),""),"、",""),"|",""))+IF(AND(OR(I1280="EI",I1280="EO",I1280="EQ"),$AD$1="NESMA"),2,1)))</f>
        <v/>
      </c>
      <c r="O1280" s="84">
        <f>IF(I1280="EI",IF(OR(X1280="估算法",X1280="算法类"),"中",IF(X1280="无法识别","低",IF(L1280&lt;2,IF(N1280&lt;16,"低","中"),IF(L1280&lt;3,IF(N1280&lt;5,"低",IF(N1280&lt;16,"中","高")),IF(N1280&lt;5,"中","高"))))),IF(OR(I1280="EO",I1280="EQ"),IF(OR(X1280="估算法",X1280="算法类"),"中",IF(X1280="无法识别","低",IF(L1280&lt;2,IF(N1280&lt;20,"低","中"),IF(L1280&lt;4,IF(N1280&lt;6,"低",IF(N1280&lt;20,"中","高")),IF(N1280&lt;6,"中","高"))))),IF(OR(I1280="ILF",I1280="EIF"),IF(OR(X1280="估算法",X1280="算法类",X1280="无法识别"),"低",IF(M1280&lt;2,IF(N1280&lt;51,"低","中"),IF(M1280&lt;6,IF(N1280&lt;20,"低",IF(N1280&lt;51,"中","高")),IF(N1280&lt;20,"中","高")))),"不计算")))</f>
        <v/>
      </c>
      <c r="P1280" s="142">
        <f>IFERROR(IF(I1280="EI",IF(O1280="低",3,IF(O1280="中",4,6)),IF(I1280="EO",IF(O1280="低",4,IF(O1280="中",5,7)),IF(I1280="EQ",IF(O1280="低",3,IF(O1280="中",4,6)),IF(I1280="ILF",IF(O1280="低",7,IF(O1280="中",10,15)),IF(I1280="EIF",IF(O1280="低",5,IF(O1280="中",7,10)),"不计算")))))*Q1280,"不计算")</f>
        <v/>
      </c>
      <c r="Q1280" s="142" t="n">
        <v>1</v>
      </c>
      <c r="R1280" s="143">
        <f>调整因子!$F$13</f>
        <v/>
      </c>
      <c r="S1280" s="70" t="n">
        <v>1</v>
      </c>
      <c r="T1280" s="144">
        <f>IFERROR(P1280*R1280,0)</f>
        <v/>
      </c>
      <c r="U1280" s="145">
        <f>T1280*S1280</f>
        <v/>
      </c>
      <c r="V1280" s="96" t="inlineStr">
        <is>
          <t>数据清洗任务表</t>
        </is>
      </c>
      <c r="W1280" s="96" t="inlineStr"/>
      <c r="X1280" s="111" t="inlineStr">
        <is>
          <t>数据清洗任务表{任务ID、任务名称|任务ID、任务名称、任务类型、任务状态、创建时间、执行时间}</t>
        </is>
      </c>
      <c r="Y1280" s="88" t="n"/>
      <c r="Z1280" s="88" t="n"/>
    </row>
    <row r="1281" hidden="1" ht="43.2" customHeight="1">
      <c r="A1281" s="69">
        <f>ROW()-1</f>
        <v/>
      </c>
      <c r="B1281" s="53" t="n"/>
      <c r="C1281" s="117" t="n">
        <v>2026</v>
      </c>
      <c r="E1281" s="53" t="n"/>
      <c r="F1281" s="111" t="inlineStr">
        <is>
          <t>产品漏洞与资产关联分析</t>
        </is>
      </c>
      <c r="G1281" s="111" t="inlineStr">
        <is>
          <t>情报采集管理</t>
        </is>
      </c>
      <c r="H1281" s="96" t="inlineStr">
        <is>
          <t>编辑情报采集任务</t>
        </is>
      </c>
      <c r="I1281" s="76" t="inlineStr">
        <is>
          <t>EI</t>
        </is>
      </c>
      <c r="J1281" s="95" t="n"/>
      <c r="K1281" s="95" t="n"/>
      <c r="L1281" s="83">
        <f>IF(OR(X1281="估算法",X1281="算法类",X1281="无法识别"),"",IF(V1281="",IF(OR(I1281="EI",I1281="EO",I1281="EQ"),0,""),LEN(V1281)-LEN(SUBSTITUTE(V1281,"、",""))+1))</f>
        <v/>
      </c>
      <c r="M1281" s="83">
        <f>IF(OR(X1281="估算法",X1281="算法类",X1281="无法识别"),"",IF(W1281="",IF(OR(I1281="ILF",I1281="EIF"),0,""),LEN(W1281)-LEN(SUBSTITUTE(W1281,"、",""))+1))</f>
        <v/>
      </c>
      <c r="N1281" s="83">
        <f>IF(OR(X1281="估算法",X1281="算法类",X1281="无法识别"),"",IF(X1281="",IF(OR(I1281="ILF",I1281="EIF",I1281="EI",I1281="EO",I1281="EQ"),0,""),LEN(X1281)-LEN(SUBSTITUTE(SUBSTITUTE(SUBSTITUTE(SUBSTITUTE(SUBSTITUTE(X1281,"|}","--"),"{|","--"),CHAR(10),""),"、",""),"|",""))+IF(AND(OR(I1281="EI",I1281="EO",I1281="EQ"),$AD$1="NESMA"),2,1)))</f>
        <v/>
      </c>
      <c r="O1281" s="84">
        <f>IF(I1281="EI",IF(OR(X1281="估算法",X1281="算法类"),"中",IF(X1281="无法识别","低",IF(L1281&lt;2,IF(N1281&lt;16,"低","中"),IF(L1281&lt;3,IF(N1281&lt;5,"低",IF(N1281&lt;16,"中","高")),IF(N1281&lt;5,"中","高"))))),IF(OR(I1281="EO",I1281="EQ"),IF(OR(X1281="估算法",X1281="算法类"),"中",IF(X1281="无法识别","低",IF(L1281&lt;2,IF(N1281&lt;20,"低","中"),IF(L1281&lt;4,IF(N1281&lt;6,"低",IF(N1281&lt;20,"中","高")),IF(N1281&lt;6,"中","高"))))),IF(OR(I1281="ILF",I1281="EIF"),IF(OR(X1281="估算法",X1281="算法类",X1281="无法识别"),"低",IF(M1281&lt;2,IF(N1281&lt;51,"低","中"),IF(M1281&lt;6,IF(N1281&lt;20,"低",IF(N1281&lt;51,"中","高")),IF(N1281&lt;20,"中","高")))),"不计算")))</f>
        <v/>
      </c>
      <c r="P1281" s="142">
        <f>IFERROR(IF(I1281="EI",IF(O1281="低",3,IF(O1281="中",4,6)),IF(I1281="EO",IF(O1281="低",4,IF(O1281="中",5,7)),IF(I1281="EQ",IF(O1281="低",3,IF(O1281="中",4,6)),IF(I1281="ILF",IF(O1281="低",7,IF(O1281="中",10,15)),IF(I1281="EIF",IF(O1281="低",5,IF(O1281="中",7,10)),"不计算")))))*Q1281,"不计算")</f>
        <v/>
      </c>
      <c r="Q1281" s="142" t="n">
        <v>1</v>
      </c>
      <c r="R1281" s="143">
        <f>调整因子!$F$13</f>
        <v/>
      </c>
      <c r="S1281" s="70" t="n">
        <v>1</v>
      </c>
      <c r="T1281" s="144">
        <f>IFERROR(P1281*R1281,0)</f>
        <v/>
      </c>
      <c r="U1281" s="145">
        <f>T1281*S1281</f>
        <v/>
      </c>
      <c r="V1281" s="96" t="inlineStr">
        <is>
          <t>数据清洗任务表、资产同步任务表</t>
        </is>
      </c>
      <c r="W1281" s="96" t="inlineStr"/>
      <c r="X1281"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281" s="88" t="n"/>
      <c r="Z1281" s="88" t="n"/>
    </row>
    <row r="1282" hidden="1" ht="21.6" customHeight="1">
      <c r="A1282" s="69">
        <f>ROW()-1</f>
        <v/>
      </c>
      <c r="B1282" s="53" t="n"/>
      <c r="C1282" s="117" t="n">
        <v>2026</v>
      </c>
      <c r="E1282" s="53" t="n"/>
      <c r="F1282" s="53" t="n"/>
      <c r="G1282" s="53" t="n"/>
      <c r="H1282" s="96" t="inlineStr">
        <is>
          <t>删除情报采集任务</t>
        </is>
      </c>
      <c r="I1282" s="76" t="inlineStr">
        <is>
          <t>EI</t>
        </is>
      </c>
      <c r="J1282" s="95" t="n"/>
      <c r="K1282" s="95" t="n"/>
      <c r="L1282" s="83">
        <f>IF(OR(X1282="估算法",X1282="算法类",X1282="无法识别"),"",IF(V1282="",IF(OR(I1282="EI",I1282="EO",I1282="EQ"),0,""),LEN(V1282)-LEN(SUBSTITUTE(V1282,"、",""))+1))</f>
        <v/>
      </c>
      <c r="M1282" s="83">
        <f>IF(OR(X1282="估算法",X1282="算法类",X1282="无法识别"),"",IF(W1282="",IF(OR(I1282="ILF",I1282="EIF"),0,""),LEN(W1282)-LEN(SUBSTITUTE(W1282,"、",""))+1))</f>
        <v/>
      </c>
      <c r="N1282" s="83">
        <f>IF(OR(X1282="估算法",X1282="算法类",X1282="无法识别"),"",IF(X1282="",IF(OR(I1282="ILF",I1282="EIF",I1282="EI",I1282="EO",I1282="EQ"),0,""),LEN(X1282)-LEN(SUBSTITUTE(SUBSTITUTE(SUBSTITUTE(SUBSTITUTE(SUBSTITUTE(X1282,"|}","--"),"{|","--"),CHAR(10),""),"、",""),"|",""))+IF(AND(OR(I1282="EI",I1282="EO",I1282="EQ"),$AD$1="NESMA"),2,1)))</f>
        <v/>
      </c>
      <c r="O1282" s="84">
        <f>IF(I1282="EI",IF(OR(X1282="估算法",X1282="算法类"),"中",IF(X1282="无法识别","低",IF(L1282&lt;2,IF(N1282&lt;16,"低","中"),IF(L1282&lt;3,IF(N1282&lt;5,"低",IF(N1282&lt;16,"中","高")),IF(N1282&lt;5,"中","高"))))),IF(OR(I1282="EO",I1282="EQ"),IF(OR(X1282="估算法",X1282="算法类"),"中",IF(X1282="无法识别","低",IF(L1282&lt;2,IF(N1282&lt;20,"低","中"),IF(L1282&lt;4,IF(N1282&lt;6,"低",IF(N1282&lt;20,"中","高")),IF(N1282&lt;6,"中","高"))))),IF(OR(I1282="ILF",I1282="EIF"),IF(OR(X1282="估算法",X1282="算法类",X1282="无法识别"),"低",IF(M1282&lt;2,IF(N1282&lt;51,"低","中"),IF(M1282&lt;6,IF(N1282&lt;20,"低",IF(N1282&lt;51,"中","高")),IF(N1282&lt;20,"中","高")))),"不计算")))</f>
        <v/>
      </c>
      <c r="P1282" s="142">
        <f>IFERROR(IF(I1282="EI",IF(O1282="低",3,IF(O1282="中",4,6)),IF(I1282="EO",IF(O1282="低",4,IF(O1282="中",5,7)),IF(I1282="EQ",IF(O1282="低",3,IF(O1282="中",4,6)),IF(I1282="ILF",IF(O1282="低",7,IF(O1282="中",10,15)),IF(I1282="EIF",IF(O1282="低",5,IF(O1282="中",7,10)),"不计算")))))*Q1282,"不计算")</f>
        <v/>
      </c>
      <c r="Q1282" s="142" t="n">
        <v>0.333333333333333</v>
      </c>
      <c r="R1282" s="143">
        <f>调整因子!$F$13</f>
        <v/>
      </c>
      <c r="S1282" s="76" t="n">
        <v>1</v>
      </c>
      <c r="T1282" s="144">
        <f>IFERROR(P1282*R1282,0)</f>
        <v/>
      </c>
      <c r="U1282" s="145">
        <f>T1282*S1282</f>
        <v/>
      </c>
      <c r="V1282" s="96" t="inlineStr">
        <is>
          <t>数据清洗任务表</t>
        </is>
      </c>
      <c r="W1282" s="96" t="inlineStr"/>
      <c r="X1282" s="111" t="inlineStr">
        <is>
          <t>数据清洗任务表{任务ID、任务名称、任务类型、任务状态、创建时间、执行时间|任务ID、任务名称、任务类型}</t>
        </is>
      </c>
      <c r="Y1282" s="88" t="n"/>
      <c r="Z1282" s="88" t="n"/>
    </row>
    <row r="1283" hidden="1" ht="32.4" customHeight="1">
      <c r="A1283" s="69">
        <f>ROW()-1</f>
        <v/>
      </c>
      <c r="B1283" s="53" t="n"/>
      <c r="C1283" s="117" t="n">
        <v>2026</v>
      </c>
      <c r="E1283" s="53" t="n"/>
      <c r="F1283" s="53" t="n"/>
      <c r="G1283" s="53" t="n"/>
      <c r="H1283" s="96" t="inlineStr">
        <is>
          <t>导出采集记录</t>
        </is>
      </c>
      <c r="I1283" s="76" t="inlineStr">
        <is>
          <t>EO</t>
        </is>
      </c>
      <c r="J1283" s="95" t="n"/>
      <c r="K1283" s="95" t="n"/>
      <c r="L1283" s="83">
        <f>IF(OR(X1283="估算法",X1283="算法类",X1283="无法识别"),"",IF(V1283="",IF(OR(I1283="EI",I1283="EO",I1283="EQ"),0,""),LEN(V1283)-LEN(SUBSTITUTE(V1283,"、",""))+1))</f>
        <v/>
      </c>
      <c r="M1283" s="83">
        <f>IF(OR(X1283="估算法",X1283="算法类",X1283="无法识别"),"",IF(W1283="",IF(OR(I1283="ILF",I1283="EIF"),0,""),LEN(W1283)-LEN(SUBSTITUTE(W1283,"、",""))+1))</f>
        <v/>
      </c>
      <c r="N1283" s="83">
        <f>IF(OR(X1283="估算法",X1283="算法类",X1283="无法识别"),"",IF(X1283="",IF(OR(I1283="ILF",I1283="EIF",I1283="EI",I1283="EO",I1283="EQ"),0,""),LEN(X1283)-LEN(SUBSTITUTE(SUBSTITUTE(SUBSTITUTE(SUBSTITUTE(SUBSTITUTE(X1283,"|}","--"),"{|","--"),CHAR(10),""),"、",""),"|",""))+IF(AND(OR(I1283="EI",I1283="EO",I1283="EQ"),$AD$1="NESMA"),2,1)))</f>
        <v/>
      </c>
      <c r="O1283" s="84">
        <f>IF(I1283="EI",IF(OR(X1283="估算法",X1283="算法类"),"中",IF(X1283="无法识别","低",IF(L1283&lt;2,IF(N1283&lt;16,"低","中"),IF(L1283&lt;3,IF(N1283&lt;5,"低",IF(N1283&lt;16,"中","高")),IF(N1283&lt;5,"中","高"))))),IF(OR(I1283="EO",I1283="EQ"),IF(OR(X1283="估算法",X1283="算法类"),"中",IF(X1283="无法识别","低",IF(L1283&lt;2,IF(N1283&lt;20,"低","中"),IF(L1283&lt;4,IF(N1283&lt;6,"低",IF(N1283&lt;20,"中","高")),IF(N1283&lt;6,"中","高"))))),IF(OR(I1283="ILF",I1283="EIF"),IF(OR(X1283="估算法",X1283="算法类",X1283="无法识别"),"低",IF(M1283&lt;2,IF(N1283&lt;51,"低","中"),IF(M1283&lt;6,IF(N1283&lt;20,"低",IF(N1283&lt;51,"中","高")),IF(N1283&lt;20,"中","高")))),"不计算")))</f>
        <v/>
      </c>
      <c r="P1283" s="142">
        <f>IFERROR(IF(I1283="EI",IF(O1283="低",3,IF(O1283="中",4,6)),IF(I1283="EO",IF(O1283="低",4,IF(O1283="中",5,7)),IF(I1283="EQ",IF(O1283="低",3,IF(O1283="中",4,6)),IF(I1283="ILF",IF(O1283="低",7,IF(O1283="中",10,15)),IF(I1283="EIF",IF(O1283="低",5,IF(O1283="中",7,10)),"不计算")))))*Q1283,"不计算")</f>
        <v/>
      </c>
      <c r="Q1283" s="142" t="n">
        <v>1</v>
      </c>
      <c r="R1283" s="143">
        <f>调整因子!$F$13</f>
        <v/>
      </c>
      <c r="S1283" s="70" t="n">
        <v>1</v>
      </c>
      <c r="T1283" s="144">
        <f>IFERROR(P1283*R1283,0)</f>
        <v/>
      </c>
      <c r="U1283" s="145">
        <f>T1283*S1283</f>
        <v/>
      </c>
      <c r="V1283" s="96" t="inlineStr">
        <is>
          <t>接口参数配置表、模板配置表</t>
        </is>
      </c>
      <c r="W1283" s="96" t="inlineStr"/>
      <c r="X1283" s="111" t="inlineStr">
        <is>
          <t>接口参数配置表{配置ID、配置名称|配置ID、配置名称、配置类型、配置值、创建时间}
模板配置表{配置ID、配置名称|配置ID、配置名称、配置类型、配置值、创建时间}</t>
        </is>
      </c>
      <c r="Y1283" s="88" t="n"/>
      <c r="Z1283" s="88" t="n"/>
    </row>
    <row r="1284" hidden="1" ht="43.2" customHeight="1">
      <c r="A1284" s="69">
        <f>ROW()-1</f>
        <v/>
      </c>
      <c r="B1284" s="53" t="n"/>
      <c r="C1284" s="117" t="n">
        <v>2026</v>
      </c>
      <c r="E1284" s="53" t="n"/>
      <c r="F1284" s="53" t="n"/>
      <c r="G1284" s="53" t="n"/>
      <c r="H1284" s="96" t="inlineStr">
        <is>
          <t>查询采集任务</t>
        </is>
      </c>
      <c r="I1284" s="76" t="inlineStr">
        <is>
          <t>EQ</t>
        </is>
      </c>
      <c r="J1284" s="95" t="n"/>
      <c r="K1284" s="95" t="n"/>
      <c r="L1284" s="83">
        <f>IF(OR(X1284="估算法",X1284="算法类",X1284="无法识别"),"",IF(V1284="",IF(OR(I1284="EI",I1284="EO",I1284="EQ"),0,""),LEN(V1284)-LEN(SUBSTITUTE(V1284,"、",""))+1))</f>
        <v/>
      </c>
      <c r="M1284" s="83">
        <f>IF(OR(X1284="估算法",X1284="算法类",X1284="无法识别"),"",IF(W1284="",IF(OR(I1284="ILF",I1284="EIF"),0,""),LEN(W1284)-LEN(SUBSTITUTE(W1284,"、",""))+1))</f>
        <v/>
      </c>
      <c r="N1284" s="83">
        <f>IF(OR(X1284="估算法",X1284="算法类",X1284="无法识别"),"",IF(X1284="",IF(OR(I1284="ILF",I1284="EIF",I1284="EI",I1284="EO",I1284="EQ"),0,""),LEN(X1284)-LEN(SUBSTITUTE(SUBSTITUTE(SUBSTITUTE(SUBSTITUTE(SUBSTITUTE(X1284,"|}","--"),"{|","--"),CHAR(10),""),"、",""),"|",""))+IF(AND(OR(I1284="EI",I1284="EO",I1284="EQ"),$AD$1="NESMA"),2,1)))</f>
        <v/>
      </c>
      <c r="O1284" s="84">
        <f>IF(I1284="EI",IF(OR(X1284="估算法",X1284="算法类"),"中",IF(X1284="无法识别","低",IF(L1284&lt;2,IF(N1284&lt;16,"低","中"),IF(L1284&lt;3,IF(N1284&lt;5,"低",IF(N1284&lt;16,"中","高")),IF(N1284&lt;5,"中","高"))))),IF(OR(I1284="EO",I1284="EQ"),IF(OR(X1284="估算法",X1284="算法类"),"中",IF(X1284="无法识别","低",IF(L1284&lt;2,IF(N1284&lt;20,"低","中"),IF(L1284&lt;4,IF(N1284&lt;6,"低",IF(N1284&lt;20,"中","高")),IF(N1284&lt;6,"中","高"))))),IF(OR(I1284="ILF",I1284="EIF"),IF(OR(X1284="估算法",X1284="算法类",X1284="无法识别"),"低",IF(M1284&lt;2,IF(N1284&lt;51,"低","中"),IF(M1284&lt;6,IF(N1284&lt;20,"低",IF(N1284&lt;51,"中","高")),IF(N1284&lt;20,"中","高")))),"不计算")))</f>
        <v/>
      </c>
      <c r="P1284" s="142">
        <f>IFERROR(IF(I1284="EI",IF(O1284="低",3,IF(O1284="中",4,6)),IF(I1284="EO",IF(O1284="低",4,IF(O1284="中",5,7)),IF(I1284="EQ",IF(O1284="低",3,IF(O1284="中",4,6)),IF(I1284="ILF",IF(O1284="低",7,IF(O1284="中",10,15)),IF(I1284="EIF",IF(O1284="低",5,IF(O1284="中",7,10)),"不计算")))))*Q1284,"不计算")</f>
        <v/>
      </c>
      <c r="Q1284" s="142" t="n">
        <v>1</v>
      </c>
      <c r="R1284" s="143">
        <f>调整因子!$F$13</f>
        <v/>
      </c>
      <c r="S1284" s="70" t="n">
        <v>1</v>
      </c>
      <c r="T1284" s="144">
        <f>IFERROR(P1284*R1284,0)</f>
        <v/>
      </c>
      <c r="U1284" s="145">
        <f>T1284*S1284</f>
        <v/>
      </c>
      <c r="V1284" s="96" t="inlineStr">
        <is>
          <t>数据清洗任务表、资产同步任务表</t>
        </is>
      </c>
      <c r="W1284" s="96" t="inlineStr"/>
      <c r="X1284" s="111" t="inlineStr">
        <is>
          <t>数据清洗任务表{任务ID、任务名称|任务ID、任务名称、任务类型、任务状态、创建时间、执行时间}
资产同步任务表{资产ID、资产名称|资产ID、资产名称、IP地址、资产类型、资产状态、创建时间、更新时间}</t>
        </is>
      </c>
      <c r="Y1284" s="88" t="n"/>
      <c r="Z1284" s="88" t="n"/>
    </row>
    <row r="1285" hidden="1">
      <c r="A1285" s="69">
        <f>ROW()-1</f>
        <v/>
      </c>
      <c r="B1285" s="53" t="n"/>
      <c r="C1285" s="117" t="n">
        <v>2026</v>
      </c>
      <c r="E1285" s="53" t="n"/>
      <c r="F1285" s="53" t="n"/>
      <c r="G1285" s="54" t="n"/>
      <c r="H1285" s="96" t="inlineStr">
        <is>
          <t>查看采集详情</t>
        </is>
      </c>
      <c r="I1285" s="76" t="inlineStr">
        <is>
          <t>EQ</t>
        </is>
      </c>
      <c r="J1285" s="95" t="n"/>
      <c r="K1285" s="95" t="n"/>
      <c r="L1285" s="83">
        <f>IF(OR(X1285="估算法",X1285="算法类",X1285="无法识别"),"",IF(V1285="",IF(OR(I1285="EI",I1285="EO",I1285="EQ"),0,""),LEN(V1285)-LEN(SUBSTITUTE(V1285,"、",""))+1))</f>
        <v/>
      </c>
      <c r="M1285" s="83">
        <f>IF(OR(X1285="估算法",X1285="算法类",X1285="无法识别"),"",IF(W1285="",IF(OR(I1285="ILF",I1285="EIF"),0,""),LEN(W1285)-LEN(SUBSTITUTE(W1285,"、",""))+1))</f>
        <v/>
      </c>
      <c r="N1285" s="83">
        <f>IF(OR(X1285="估算法",X1285="算法类",X1285="无法识别"),"",IF(X1285="",IF(OR(I1285="ILF",I1285="EIF",I1285="EI",I1285="EO",I1285="EQ"),0,""),LEN(X1285)-LEN(SUBSTITUTE(SUBSTITUTE(SUBSTITUTE(SUBSTITUTE(SUBSTITUTE(X1285,"|}","--"),"{|","--"),CHAR(10),""),"、",""),"|",""))+IF(AND(OR(I1285="EI",I1285="EO",I1285="EQ"),$AD$1="NESMA"),2,1)))</f>
        <v/>
      </c>
      <c r="O1285" s="84">
        <f>IF(I1285="EI",IF(OR(X1285="估算法",X1285="算法类"),"中",IF(X1285="无法识别","低",IF(L1285&lt;2,IF(N1285&lt;16,"低","中"),IF(L1285&lt;3,IF(N1285&lt;5,"低",IF(N1285&lt;16,"中","高")),IF(N1285&lt;5,"中","高"))))),IF(OR(I1285="EO",I1285="EQ"),IF(OR(X1285="估算法",X1285="算法类"),"中",IF(X1285="无法识别","低",IF(L1285&lt;2,IF(N1285&lt;20,"低","中"),IF(L1285&lt;4,IF(N1285&lt;6,"低",IF(N1285&lt;20,"中","高")),IF(N1285&lt;6,"中","高"))))),IF(OR(I1285="ILF",I1285="EIF"),IF(OR(X1285="估算法",X1285="算法类",X1285="无法识别"),"低",IF(M1285&lt;2,IF(N1285&lt;51,"低","中"),IF(M1285&lt;6,IF(N1285&lt;20,"低",IF(N1285&lt;51,"中","高")),IF(N1285&lt;20,"中","高")))),"不计算")))</f>
        <v/>
      </c>
      <c r="P1285" s="142">
        <f>IFERROR(IF(I1285="EI",IF(O1285="低",3,IF(O1285="中",4,6)),IF(I1285="EO",IF(O1285="低",4,IF(O1285="中",5,7)),IF(I1285="EQ",IF(O1285="低",3,IF(O1285="中",4,6)),IF(I1285="ILF",IF(O1285="低",7,IF(O1285="中",10,15)),IF(I1285="EIF",IF(O1285="低",5,IF(O1285="中",7,10)),"不计算")))))*Q1285,"不计算")</f>
        <v/>
      </c>
      <c r="Q1285" s="142" t="n">
        <v>1</v>
      </c>
      <c r="R1285" s="143">
        <f>调整因子!$F$13</f>
        <v/>
      </c>
      <c r="S1285" s="76" t="n">
        <v>1</v>
      </c>
      <c r="T1285" s="144">
        <f>IFERROR(P1285*R1285,0)</f>
        <v/>
      </c>
      <c r="U1285" s="145">
        <f>T1285*S1285</f>
        <v/>
      </c>
      <c r="V1285" s="96" t="inlineStr">
        <is>
          <t>处置流程定义表</t>
        </is>
      </c>
      <c r="W1285" s="96" t="inlineStr"/>
      <c r="X1285" s="111" t="inlineStr">
        <is>
          <t>处置流程定义表{ID、名称|ID、名称、类型、状态、创建时间、更新时间}</t>
        </is>
      </c>
      <c r="Y1285" s="88" t="n"/>
      <c r="Z1285" s="88" t="n"/>
    </row>
    <row r="1286" hidden="1" ht="43.2" customHeight="1">
      <c r="A1286" s="69">
        <f>ROW()-1</f>
        <v/>
      </c>
      <c r="B1286" s="53" t="n"/>
      <c r="C1286" s="117" t="n">
        <v>2026</v>
      </c>
      <c r="E1286" s="53" t="n"/>
      <c r="F1286" s="53" t="n"/>
      <c r="G1286" s="111" t="inlineStr">
        <is>
          <t>情报解析管理</t>
        </is>
      </c>
      <c r="H1286" s="96" t="inlineStr">
        <is>
          <t>编辑解析规则</t>
        </is>
      </c>
      <c r="I1286" s="76" t="inlineStr">
        <is>
          <t>EI</t>
        </is>
      </c>
      <c r="J1286" s="95" t="n"/>
      <c r="K1286" s="95" t="n"/>
      <c r="L1286" s="83">
        <f>IF(OR(X1286="估算法",X1286="算法类",X1286="无法识别"),"",IF(V1286="",IF(OR(I1286="EI",I1286="EO",I1286="EQ"),0,""),LEN(V1286)-LEN(SUBSTITUTE(V1286,"、",""))+1))</f>
        <v/>
      </c>
      <c r="M1286" s="83">
        <f>IF(OR(X1286="估算法",X1286="算法类",X1286="无法识别"),"",IF(W1286="",IF(OR(I1286="ILF",I1286="EIF"),0,""),LEN(W1286)-LEN(SUBSTITUTE(W1286,"、",""))+1))</f>
        <v/>
      </c>
      <c r="N1286" s="83">
        <f>IF(OR(X1286="估算法",X1286="算法类",X1286="无法识别"),"",IF(X1286="",IF(OR(I1286="ILF",I1286="EIF",I1286="EI",I1286="EO",I1286="EQ"),0,""),LEN(X1286)-LEN(SUBSTITUTE(SUBSTITUTE(SUBSTITUTE(SUBSTITUTE(SUBSTITUTE(X1286,"|}","--"),"{|","--"),CHAR(10),""),"、",""),"|",""))+IF(AND(OR(I1286="EI",I1286="EO",I1286="EQ"),$AD$1="NESMA"),2,1)))</f>
        <v/>
      </c>
      <c r="O1286" s="84">
        <f>IF(I1286="EI",IF(OR(X1286="估算法",X1286="算法类"),"中",IF(X1286="无法识别","低",IF(L1286&lt;2,IF(N1286&lt;16,"低","中"),IF(L1286&lt;3,IF(N1286&lt;5,"低",IF(N1286&lt;16,"中","高")),IF(N1286&lt;5,"中","高"))))),IF(OR(I1286="EO",I1286="EQ"),IF(OR(X1286="估算法",X1286="算法类"),"中",IF(X1286="无法识别","低",IF(L1286&lt;2,IF(N1286&lt;20,"低","中"),IF(L1286&lt;4,IF(N1286&lt;6,"低",IF(N1286&lt;20,"中","高")),IF(N1286&lt;6,"中","高"))))),IF(OR(I1286="ILF",I1286="EIF"),IF(OR(X1286="估算法",X1286="算法类",X1286="无法识别"),"低",IF(M1286&lt;2,IF(N1286&lt;51,"低","中"),IF(M1286&lt;6,IF(N1286&lt;20,"低",IF(N1286&lt;51,"中","高")),IF(N1286&lt;20,"中","高")))),"不计算")))</f>
        <v/>
      </c>
      <c r="P1286" s="142">
        <f>IFERROR(IF(I1286="EI",IF(O1286="低",3,IF(O1286="中",4,6)),IF(I1286="EO",IF(O1286="低",4,IF(O1286="中",5,7)),IF(I1286="EQ",IF(O1286="低",3,IF(O1286="中",4,6)),IF(I1286="ILF",IF(O1286="低",7,IF(O1286="中",10,15)),IF(I1286="EIF",IF(O1286="低",5,IF(O1286="中",7,10)),"不计算")))))*Q1286,"不计算")</f>
        <v/>
      </c>
      <c r="Q1286" s="142" t="n">
        <v>1</v>
      </c>
      <c r="R1286" s="143">
        <f>调整因子!$F$13</f>
        <v/>
      </c>
      <c r="S1286" s="76" t="n">
        <v>1</v>
      </c>
      <c r="T1286" s="144">
        <f>IFERROR(P1286*R1286,0)</f>
        <v/>
      </c>
      <c r="U1286" s="145">
        <f>T1286*S1286</f>
        <v/>
      </c>
      <c r="V1286" s="96" t="inlineStr">
        <is>
          <t>推送规则表、提醒规则表</t>
        </is>
      </c>
      <c r="W1286" s="96" t="inlineStr"/>
      <c r="X1286" s="111" t="inlineStr">
        <is>
          <t>推送规则表{规则ID、规则名称、规则类型、规则条件、创建时间|规则ID、规则名称、规则类型}
提醒规则表{规则ID、规则名称、规则类型、规则条件、创建时间|规则ID、规则名称、规则类型}</t>
        </is>
      </c>
      <c r="Y1286" s="88" t="n"/>
      <c r="Z1286" s="88" t="n"/>
    </row>
    <row r="1287" hidden="1" ht="43.2" customHeight="1">
      <c r="A1287" s="69">
        <f>ROW()-1</f>
        <v/>
      </c>
      <c r="B1287" s="53" t="n"/>
      <c r="C1287" s="117" t="n">
        <v>2026</v>
      </c>
      <c r="E1287" s="53" t="n"/>
      <c r="F1287" s="53" t="n"/>
      <c r="G1287" s="53" t="n"/>
      <c r="H1287" s="96" t="inlineStr">
        <is>
          <t>删除解析规则</t>
        </is>
      </c>
      <c r="I1287" s="76" t="inlineStr">
        <is>
          <t>EI</t>
        </is>
      </c>
      <c r="J1287" s="95" t="n"/>
      <c r="K1287" s="95" t="n"/>
      <c r="L1287" s="83">
        <f>IF(OR(X1287="估算法",X1287="算法类",X1287="无法识别"),"",IF(V1287="",IF(OR(I1287="EI",I1287="EO",I1287="EQ"),0,""),LEN(V1287)-LEN(SUBSTITUTE(V1287,"、",""))+1))</f>
        <v/>
      </c>
      <c r="M1287" s="83">
        <f>IF(OR(X1287="估算法",X1287="算法类",X1287="无法识别"),"",IF(W1287="",IF(OR(I1287="ILF",I1287="EIF"),0,""),LEN(W1287)-LEN(SUBSTITUTE(W1287,"、",""))+1))</f>
        <v/>
      </c>
      <c r="N1287" s="83">
        <f>IF(OR(X1287="估算法",X1287="算法类",X1287="无法识别"),"",IF(X1287="",IF(OR(I1287="ILF",I1287="EIF",I1287="EI",I1287="EO",I1287="EQ"),0,""),LEN(X1287)-LEN(SUBSTITUTE(SUBSTITUTE(SUBSTITUTE(SUBSTITUTE(SUBSTITUTE(X1287,"|}","--"),"{|","--"),CHAR(10),""),"、",""),"|",""))+IF(AND(OR(I1287="EI",I1287="EO",I1287="EQ"),$AD$1="NESMA"),2,1)))</f>
        <v/>
      </c>
      <c r="O1287" s="84">
        <f>IF(I1287="EI",IF(OR(X1287="估算法",X1287="算法类"),"中",IF(X1287="无法识别","低",IF(L1287&lt;2,IF(N1287&lt;16,"低","中"),IF(L1287&lt;3,IF(N1287&lt;5,"低",IF(N1287&lt;16,"中","高")),IF(N1287&lt;5,"中","高"))))),IF(OR(I1287="EO",I1287="EQ"),IF(OR(X1287="估算法",X1287="算法类"),"中",IF(X1287="无法识别","低",IF(L1287&lt;2,IF(N1287&lt;20,"低","中"),IF(L1287&lt;4,IF(N1287&lt;6,"低",IF(N1287&lt;20,"中","高")),IF(N1287&lt;6,"中","高"))))),IF(OR(I1287="ILF",I1287="EIF"),IF(OR(X1287="估算法",X1287="算法类",X1287="无法识别"),"低",IF(M1287&lt;2,IF(N1287&lt;51,"低","中"),IF(M1287&lt;6,IF(N1287&lt;20,"低",IF(N1287&lt;51,"中","高")),IF(N1287&lt;20,"中","高")))),"不计算")))</f>
        <v/>
      </c>
      <c r="P1287" s="142">
        <f>IFERROR(IF(I1287="EI",IF(O1287="低",3,IF(O1287="中",4,6)),IF(I1287="EO",IF(O1287="低",4,IF(O1287="中",5,7)),IF(I1287="EQ",IF(O1287="低",3,IF(O1287="中",4,6)),IF(I1287="ILF",IF(O1287="低",7,IF(O1287="中",10,15)),IF(I1287="EIF",IF(O1287="低",5,IF(O1287="中",7,10)),"不计算")))))*Q1287,"不计算")</f>
        <v/>
      </c>
      <c r="Q1287" s="142" t="n">
        <v>0.333333333333333</v>
      </c>
      <c r="R1287" s="143">
        <f>调整因子!$F$13</f>
        <v/>
      </c>
      <c r="S1287" s="70" t="n">
        <v>1</v>
      </c>
      <c r="T1287" s="144">
        <f>IFERROR(P1287*R1287,0)</f>
        <v/>
      </c>
      <c r="U1287" s="145">
        <f>T1287*S1287</f>
        <v/>
      </c>
      <c r="V1287" s="96" t="inlineStr">
        <is>
          <t>推送规则表、提醒规则表</t>
        </is>
      </c>
      <c r="W1287" s="96" t="inlineStr"/>
      <c r="X1287" s="111" t="inlineStr">
        <is>
          <t>推送规则表{规则ID、规则名称、规则类型、规则条件、创建时间|规则ID、规则名称、规则类型}
提醒规则表{规则ID、规则名称、规则类型、规则条件、创建时间|规则ID、规则名称、规则类型}</t>
        </is>
      </c>
      <c r="Y1287" s="88" t="n"/>
      <c r="Z1287" s="88" t="n"/>
    </row>
    <row r="1288" hidden="1" ht="21.6" customHeight="1">
      <c r="A1288" s="69">
        <f>ROW()-1</f>
        <v/>
      </c>
      <c r="B1288" s="53" t="n"/>
      <c r="C1288" s="117" t="n">
        <v>2026</v>
      </c>
      <c r="E1288" s="53" t="n"/>
      <c r="F1288" s="53" t="n"/>
      <c r="G1288" s="53" t="n"/>
      <c r="H1288" s="96" t="inlineStr">
        <is>
          <t>启用解析规则</t>
        </is>
      </c>
      <c r="I1288" s="76" t="inlineStr">
        <is>
          <t>EI</t>
        </is>
      </c>
      <c r="J1288" s="95" t="n"/>
      <c r="K1288" s="95" t="n"/>
      <c r="L1288" s="83">
        <f>IF(OR(X1288="估算法",X1288="算法类",X1288="无法识别"),"",IF(V1288="",IF(OR(I1288="EI",I1288="EO",I1288="EQ"),0,""),LEN(V1288)-LEN(SUBSTITUTE(V1288,"、",""))+1))</f>
        <v/>
      </c>
      <c r="M1288" s="83">
        <f>IF(OR(X1288="估算法",X1288="算法类",X1288="无法识别"),"",IF(W1288="",IF(OR(I1288="ILF",I1288="EIF"),0,""),LEN(W1288)-LEN(SUBSTITUTE(W1288,"、",""))+1))</f>
        <v/>
      </c>
      <c r="N1288" s="83">
        <f>IF(OR(X1288="估算法",X1288="算法类",X1288="无法识别"),"",IF(X1288="",IF(OR(I1288="ILF",I1288="EIF",I1288="EI",I1288="EO",I1288="EQ"),0,""),LEN(X1288)-LEN(SUBSTITUTE(SUBSTITUTE(SUBSTITUTE(SUBSTITUTE(SUBSTITUTE(X1288,"|}","--"),"{|","--"),CHAR(10),""),"、",""),"|",""))+IF(AND(OR(I1288="EI",I1288="EO",I1288="EQ"),$AD$1="NESMA"),2,1)))</f>
        <v/>
      </c>
      <c r="O1288" s="84">
        <f>IF(I1288="EI",IF(OR(X1288="估算法",X1288="算法类"),"中",IF(X1288="无法识别","低",IF(L1288&lt;2,IF(N1288&lt;16,"低","中"),IF(L1288&lt;3,IF(N1288&lt;5,"低",IF(N1288&lt;16,"中","高")),IF(N1288&lt;5,"中","高"))))),IF(OR(I1288="EO",I1288="EQ"),IF(OR(X1288="估算法",X1288="算法类"),"中",IF(X1288="无法识别","低",IF(L1288&lt;2,IF(N1288&lt;20,"低","中"),IF(L1288&lt;4,IF(N1288&lt;6,"低",IF(N1288&lt;20,"中","高")),IF(N1288&lt;6,"中","高"))))),IF(OR(I1288="ILF",I1288="EIF"),IF(OR(X1288="估算法",X1288="算法类",X1288="无法识别"),"低",IF(M1288&lt;2,IF(N1288&lt;51,"低","中"),IF(M1288&lt;6,IF(N1288&lt;20,"低",IF(N1288&lt;51,"中","高")),IF(N1288&lt;20,"中","高")))),"不计算")))</f>
        <v/>
      </c>
      <c r="P1288" s="142">
        <f>IFERROR(IF(I1288="EI",IF(O1288="低",3,IF(O1288="中",4,6)),IF(I1288="EO",IF(O1288="低",4,IF(O1288="中",5,7)),IF(I1288="EQ",IF(O1288="低",3,IF(O1288="中",4,6)),IF(I1288="ILF",IF(O1288="低",7,IF(O1288="中",10,15)),IF(I1288="EIF",IF(O1288="低",5,IF(O1288="中",7,10)),"不计算")))))*Q1288,"不计算")</f>
        <v/>
      </c>
      <c r="Q1288" s="142" t="n">
        <v>1</v>
      </c>
      <c r="R1288" s="143">
        <f>调整因子!$F$13</f>
        <v/>
      </c>
      <c r="S1288" s="70" t="n">
        <v>1</v>
      </c>
      <c r="T1288" s="144">
        <f>IFERROR(P1288*R1288,0)</f>
        <v/>
      </c>
      <c r="U1288" s="145">
        <f>T1288*S1288</f>
        <v/>
      </c>
      <c r="V1288" s="96" t="inlineStr">
        <is>
          <t>推送规则表</t>
        </is>
      </c>
      <c r="W1288" s="96" t="inlineStr"/>
      <c r="X1288" s="111" t="inlineStr">
        <is>
          <t>推送规则表{规则ID、规则名称、规则类型、规则条件、创建时间|规则ID、规则名称、规则类型}</t>
        </is>
      </c>
      <c r="Y1288" s="88" t="n"/>
      <c r="Z1288" s="88" t="n"/>
    </row>
    <row r="1289" hidden="1" ht="21.6" customHeight="1">
      <c r="A1289" s="69">
        <f>ROW()-1</f>
        <v/>
      </c>
      <c r="B1289" s="53" t="n"/>
      <c r="C1289" s="117" t="n">
        <v>2026</v>
      </c>
      <c r="E1289" s="53" t="n"/>
      <c r="F1289" s="53" t="n"/>
      <c r="G1289" s="53" t="n"/>
      <c r="H1289" s="96" t="inlineStr">
        <is>
          <t>停用解析规则</t>
        </is>
      </c>
      <c r="I1289" s="76" t="n"/>
      <c r="J1289" s="95" t="n"/>
      <c r="K1289" s="95" t="inlineStr">
        <is>
          <t>和上行合并，启停为相同功能</t>
        </is>
      </c>
      <c r="L1289" s="83">
        <f>IF(OR(X1289="估算法",X1289="算法类",X1289="无法识别"),"",IF(V1289="",IF(OR(I1289="EI",I1289="EO",I1289="EQ"),0,""),LEN(V1289)-LEN(SUBSTITUTE(V1289,"、",""))+1))</f>
        <v/>
      </c>
      <c r="M1289" s="83">
        <f>IF(OR(X1289="估算法",X1289="算法类",X1289="无法识别"),"",IF(W1289="",IF(OR(I1289="ILF",I1289="EIF"),0,""),LEN(W1289)-LEN(SUBSTITUTE(W1289,"、",""))+1))</f>
        <v/>
      </c>
      <c r="N1289" s="83">
        <f>IF(OR(X1289="估算法",X1289="算法类",X1289="无法识别"),"",IF(X1289="",IF(OR(I1289="ILF",I1289="EIF",I1289="EI",I1289="EO",I1289="EQ"),0,""),LEN(X1289)-LEN(SUBSTITUTE(SUBSTITUTE(SUBSTITUTE(SUBSTITUTE(SUBSTITUTE(X1289,"|}","--"),"{|","--"),CHAR(10),""),"、",""),"|",""))+IF(AND(OR(I1289="EI",I1289="EO",I1289="EQ"),$AD$1="NESMA"),2,1)))</f>
        <v/>
      </c>
      <c r="O1289" s="84">
        <f>IF(I1289="EI",IF(OR(X1289="估算法",X1289="算法类"),"中",IF(X1289="无法识别","低",IF(L1289&lt;2,IF(N1289&lt;16,"低","中"),IF(L1289&lt;3,IF(N1289&lt;5,"低",IF(N1289&lt;16,"中","高")),IF(N1289&lt;5,"中","高"))))),IF(OR(I1289="EO",I1289="EQ"),IF(OR(X1289="估算法",X1289="算法类"),"中",IF(X1289="无法识别","低",IF(L1289&lt;2,IF(N1289&lt;20,"低","中"),IF(L1289&lt;4,IF(N1289&lt;6,"低",IF(N1289&lt;20,"中","高")),IF(N1289&lt;6,"中","高"))))),IF(OR(I1289="ILF",I1289="EIF"),IF(OR(X1289="估算法",X1289="算法类",X1289="无法识别"),"低",IF(M1289&lt;2,IF(N1289&lt;51,"低","中"),IF(M1289&lt;6,IF(N1289&lt;20,"低",IF(N1289&lt;51,"中","高")),IF(N1289&lt;20,"中","高")))),"不计算")))</f>
        <v/>
      </c>
      <c r="P1289" s="142">
        <f>IFERROR(IF(I1289="EI",IF(O1289="低",3,IF(O1289="中",4,6)),IF(I1289="EO",IF(O1289="低",4,IF(O1289="中",5,7)),IF(I1289="EQ",IF(O1289="低",3,IF(O1289="中",4,6)),IF(I1289="ILF",IF(O1289="低",7,IF(O1289="中",10,15)),IF(I1289="EIF",IF(O1289="低",5,IF(O1289="中",7,10)),"不计算")))))*Q1289,"不计算")</f>
        <v/>
      </c>
      <c r="Q1289" s="142" t="n">
        <v>1</v>
      </c>
      <c r="R1289" s="143">
        <f>调整因子!$F$13</f>
        <v/>
      </c>
      <c r="S1289" s="76" t="n">
        <v>1</v>
      </c>
      <c r="T1289" s="144">
        <f>IFERROR(P1289*R1289,0)</f>
        <v/>
      </c>
      <c r="U1289" s="145">
        <f>T1289*S1289</f>
        <v/>
      </c>
      <c r="V1289" s="96" t="inlineStr">
        <is>
          <t>推送规则表</t>
        </is>
      </c>
      <c r="W1289" s="96" t="inlineStr"/>
      <c r="X1289" s="111" t="inlineStr">
        <is>
          <t>推送规则表{规则ID、规则名称、规则类型、规则条件、创建时间|规则ID、规则名称、规则类型}</t>
        </is>
      </c>
      <c r="Y1289" s="88" t="n"/>
      <c r="Z1289" s="88" t="n"/>
    </row>
    <row r="1290" hidden="1">
      <c r="A1290" s="69">
        <f>ROW()-1</f>
        <v/>
      </c>
      <c r="B1290" s="53" t="n"/>
      <c r="C1290" s="117" t="n">
        <v>2026</v>
      </c>
      <c r="E1290" s="53" t="n"/>
      <c r="F1290" s="53" t="n"/>
      <c r="G1290" s="53" t="n"/>
      <c r="H1290" s="96" t="inlineStr">
        <is>
          <t>导出解析结果</t>
        </is>
      </c>
      <c r="I1290" s="76" t="inlineStr">
        <is>
          <t>EO</t>
        </is>
      </c>
      <c r="J1290" s="95" t="n"/>
      <c r="K1290" s="95" t="n"/>
      <c r="L1290" s="83">
        <f>IF(OR(X1290="估算法",X1290="算法类",X1290="无法识别"),"",IF(V1290="",IF(OR(I1290="EI",I1290="EO",I1290="EQ"),0,""),LEN(V1290)-LEN(SUBSTITUTE(V1290,"、",""))+1))</f>
        <v/>
      </c>
      <c r="M1290" s="83">
        <f>IF(OR(X1290="估算法",X1290="算法类",X1290="无法识别"),"",IF(W1290="",IF(OR(I1290="ILF",I1290="EIF"),0,""),LEN(W1290)-LEN(SUBSTITUTE(W1290,"、",""))+1))</f>
        <v/>
      </c>
      <c r="N1290" s="83">
        <f>IF(OR(X1290="估算法",X1290="算法类",X1290="无法识别"),"",IF(X1290="",IF(OR(I1290="ILF",I1290="EIF",I1290="EI",I1290="EO",I1290="EQ"),0,""),LEN(X1290)-LEN(SUBSTITUTE(SUBSTITUTE(SUBSTITUTE(SUBSTITUTE(SUBSTITUTE(X1290,"|}","--"),"{|","--"),CHAR(10),""),"、",""),"|",""))+IF(AND(OR(I1290="EI",I1290="EO",I1290="EQ"),$AD$1="NESMA"),2,1)))</f>
        <v/>
      </c>
      <c r="O1290" s="84">
        <f>IF(I1290="EI",IF(OR(X1290="估算法",X1290="算法类"),"中",IF(X1290="无法识别","低",IF(L1290&lt;2,IF(N1290&lt;16,"低","中"),IF(L1290&lt;3,IF(N1290&lt;5,"低",IF(N1290&lt;16,"中","高")),IF(N1290&lt;5,"中","高"))))),IF(OR(I1290="EO",I1290="EQ"),IF(OR(X1290="估算法",X1290="算法类"),"中",IF(X1290="无法识别","低",IF(L1290&lt;2,IF(N1290&lt;20,"低","中"),IF(L1290&lt;4,IF(N1290&lt;6,"低",IF(N1290&lt;20,"中","高")),IF(N1290&lt;6,"中","高"))))),IF(OR(I1290="ILF",I1290="EIF"),IF(OR(X1290="估算法",X1290="算法类",X1290="无法识别"),"低",IF(M1290&lt;2,IF(N1290&lt;51,"低","中"),IF(M1290&lt;6,IF(N1290&lt;20,"低",IF(N1290&lt;51,"中","高")),IF(N1290&lt;20,"中","高")))),"不计算")))</f>
        <v/>
      </c>
      <c r="P1290" s="142">
        <f>IFERROR(IF(I1290="EI",IF(O1290="低",3,IF(O1290="中",4,6)),IF(I1290="EO",IF(O1290="低",4,IF(O1290="中",5,7)),IF(I1290="EQ",IF(O1290="低",3,IF(O1290="中",4,6)),IF(I1290="ILF",IF(O1290="低",7,IF(O1290="中",10,15)),IF(I1290="EIF",IF(O1290="低",5,IF(O1290="中",7,10)),"不计算")))))*Q1290,"不计算")</f>
        <v/>
      </c>
      <c r="Q1290" s="142" t="n">
        <v>1</v>
      </c>
      <c r="R1290" s="143">
        <f>调整因子!$F$13</f>
        <v/>
      </c>
      <c r="S1290" s="70" t="n">
        <v>1</v>
      </c>
      <c r="T1290" s="144">
        <f>IFERROR(P1290*R1290,0)</f>
        <v/>
      </c>
      <c r="U1290" s="145">
        <f>T1290*S1290</f>
        <v/>
      </c>
      <c r="V1290" s="96" t="inlineStr">
        <is>
          <t>模板分类表</t>
        </is>
      </c>
      <c r="W1290" s="96" t="inlineStr"/>
      <c r="X1290" s="111" t="inlineStr">
        <is>
          <t>模板分类表{ID、名称|ID、名称、类型、状态、创建时间、更新时间}</t>
        </is>
      </c>
      <c r="Y1290" s="88" t="n"/>
      <c r="Z1290" s="88" t="n"/>
    </row>
    <row r="1291" hidden="1">
      <c r="A1291" s="69">
        <f>ROW()-1</f>
        <v/>
      </c>
      <c r="B1291" s="53" t="n"/>
      <c r="C1291" s="117" t="n">
        <v>2026</v>
      </c>
      <c r="E1291" s="53" t="n"/>
      <c r="F1291" s="53" t="n"/>
      <c r="G1291" s="53" t="n"/>
      <c r="H1291" s="96" t="inlineStr">
        <is>
          <t>查询解析规则</t>
        </is>
      </c>
      <c r="I1291" s="76" t="inlineStr">
        <is>
          <t>EQ</t>
        </is>
      </c>
      <c r="J1291" s="95" t="n"/>
      <c r="K1291" s="95" t="n"/>
      <c r="L1291" s="83">
        <f>IF(OR(X1291="估算法",X1291="算法类",X1291="无法识别"),"",IF(V1291="",IF(OR(I1291="EI",I1291="EO",I1291="EQ"),0,""),LEN(V1291)-LEN(SUBSTITUTE(V1291,"、",""))+1))</f>
        <v/>
      </c>
      <c r="M1291" s="83">
        <f>IF(OR(X1291="估算法",X1291="算法类",X1291="无法识别"),"",IF(W1291="",IF(OR(I1291="ILF",I1291="EIF"),0,""),LEN(W1291)-LEN(SUBSTITUTE(W1291,"、",""))+1))</f>
        <v/>
      </c>
      <c r="N1291" s="83">
        <f>IF(OR(X1291="估算法",X1291="算法类",X1291="无法识别"),"",IF(X1291="",IF(OR(I1291="ILF",I1291="EIF",I1291="EI",I1291="EO",I1291="EQ"),0,""),LEN(X1291)-LEN(SUBSTITUTE(SUBSTITUTE(SUBSTITUTE(SUBSTITUTE(SUBSTITUTE(X1291,"|}","--"),"{|","--"),CHAR(10),""),"、",""),"|",""))+IF(AND(OR(I1291="EI",I1291="EO",I1291="EQ"),$AD$1="NESMA"),2,1)))</f>
        <v/>
      </c>
      <c r="O1291" s="84">
        <f>IF(I1291="EI",IF(OR(X1291="估算法",X1291="算法类"),"中",IF(X1291="无法识别","低",IF(L1291&lt;2,IF(N1291&lt;16,"低","中"),IF(L1291&lt;3,IF(N1291&lt;5,"低",IF(N1291&lt;16,"中","高")),IF(N1291&lt;5,"中","高"))))),IF(OR(I1291="EO",I1291="EQ"),IF(OR(X1291="估算法",X1291="算法类"),"中",IF(X1291="无法识别","低",IF(L1291&lt;2,IF(N1291&lt;20,"低","中"),IF(L1291&lt;4,IF(N1291&lt;6,"低",IF(N1291&lt;20,"中","高")),IF(N1291&lt;6,"中","高"))))),IF(OR(I1291="ILF",I1291="EIF"),IF(OR(X1291="估算法",X1291="算法类",X1291="无法识别"),"低",IF(M1291&lt;2,IF(N1291&lt;51,"低","中"),IF(M1291&lt;6,IF(N1291&lt;20,"低",IF(N1291&lt;51,"中","高")),IF(N1291&lt;20,"中","高")))),"不计算")))</f>
        <v/>
      </c>
      <c r="P1291" s="142">
        <f>IFERROR(IF(I1291="EI",IF(O1291="低",3,IF(O1291="中",4,6)),IF(I1291="EO",IF(O1291="低",4,IF(O1291="中",5,7)),IF(I1291="EQ",IF(O1291="低",3,IF(O1291="中",4,6)),IF(I1291="ILF",IF(O1291="低",7,IF(O1291="中",10,15)),IF(I1291="EIF",IF(O1291="低",5,IF(O1291="中",7,10)),"不计算")))))*Q1291,"不计算")</f>
        <v/>
      </c>
      <c r="Q1291" s="142" t="n">
        <v>1</v>
      </c>
      <c r="R1291" s="143">
        <f>调整因子!$F$13</f>
        <v/>
      </c>
      <c r="S1291" s="70" t="n">
        <v>1</v>
      </c>
      <c r="T1291" s="144">
        <f>IFERROR(P1291*R1291,0)</f>
        <v/>
      </c>
      <c r="U1291" s="145">
        <f>T1291*S1291</f>
        <v/>
      </c>
      <c r="V1291" s="96" t="inlineStr">
        <is>
          <t>推送规则表</t>
        </is>
      </c>
      <c r="W1291" s="96" t="inlineStr"/>
      <c r="X1291" s="111" t="inlineStr">
        <is>
          <t>推送规则表{规则ID、规则名称|规则ID、规则名称、规则类型、规则条件、创建时间}</t>
        </is>
      </c>
      <c r="Y1291" s="88" t="n"/>
      <c r="Z1291" s="88" t="n"/>
    </row>
    <row r="1292" hidden="1" ht="21.6" customHeight="1">
      <c r="A1292" s="69">
        <f>ROW()-1</f>
        <v/>
      </c>
      <c r="B1292" s="53" t="n"/>
      <c r="C1292" s="117" t="n">
        <v>2026</v>
      </c>
      <c r="E1292" s="53" t="n"/>
      <c r="F1292" s="53" t="n"/>
      <c r="G1292" s="54" t="n"/>
      <c r="H1292" s="96" t="inlineStr">
        <is>
          <t>查看解析详情</t>
        </is>
      </c>
      <c r="I1292" s="76" t="inlineStr">
        <is>
          <t>EQ</t>
        </is>
      </c>
      <c r="J1292" s="95" t="n"/>
      <c r="K1292" s="95" t="n"/>
      <c r="L1292" s="83">
        <f>IF(OR(X1292="估算法",X1292="算法类",X1292="无法识别"),"",IF(V1292="",IF(OR(I1292="EI",I1292="EO",I1292="EQ"),0,""),LEN(V1292)-LEN(SUBSTITUTE(V1292,"、",""))+1))</f>
        <v/>
      </c>
      <c r="M1292" s="83">
        <f>IF(OR(X1292="估算法",X1292="算法类",X1292="无法识别"),"",IF(W1292="",IF(OR(I1292="ILF",I1292="EIF"),0,""),LEN(W1292)-LEN(SUBSTITUTE(W1292,"、",""))+1))</f>
        <v/>
      </c>
      <c r="N1292" s="83">
        <f>IF(OR(X1292="估算法",X1292="算法类",X1292="无法识别"),"",IF(X1292="",IF(OR(I1292="ILF",I1292="EIF",I1292="EI",I1292="EO",I1292="EQ"),0,""),LEN(X1292)-LEN(SUBSTITUTE(SUBSTITUTE(SUBSTITUTE(SUBSTITUTE(SUBSTITUTE(X1292,"|}","--"),"{|","--"),CHAR(10),""),"、",""),"|",""))+IF(AND(OR(I1292="EI",I1292="EO",I1292="EQ"),$AD$1="NESMA"),2,1)))</f>
        <v/>
      </c>
      <c r="O1292" s="84">
        <f>IF(I1292="EI",IF(OR(X1292="估算法",X1292="算法类"),"中",IF(X1292="无法识别","低",IF(L1292&lt;2,IF(N1292&lt;16,"低","中"),IF(L1292&lt;3,IF(N1292&lt;5,"低",IF(N1292&lt;16,"中","高")),IF(N1292&lt;5,"中","高"))))),IF(OR(I1292="EO",I1292="EQ"),IF(OR(X1292="估算法",X1292="算法类"),"中",IF(X1292="无法识别","低",IF(L1292&lt;2,IF(N1292&lt;20,"低","中"),IF(L1292&lt;4,IF(N1292&lt;6,"低",IF(N1292&lt;20,"中","高")),IF(N1292&lt;6,"中","高"))))),IF(OR(I1292="ILF",I1292="EIF"),IF(OR(X1292="估算法",X1292="算法类",X1292="无法识别"),"低",IF(M1292&lt;2,IF(N1292&lt;51,"低","中"),IF(M1292&lt;6,IF(N1292&lt;20,"低",IF(N1292&lt;51,"中","高")),IF(N1292&lt;20,"中","高")))),"不计算")))</f>
        <v/>
      </c>
      <c r="P1292" s="142">
        <f>IFERROR(IF(I1292="EI",IF(O1292="低",3,IF(O1292="中",4,6)),IF(I1292="EO",IF(O1292="低",4,IF(O1292="中",5,7)),IF(I1292="EQ",IF(O1292="低",3,IF(O1292="中",4,6)),IF(I1292="ILF",IF(O1292="低",7,IF(O1292="中",10,15)),IF(I1292="EIF",IF(O1292="低",5,IF(O1292="中",7,10)),"不计算")))))*Q1292,"不计算")</f>
        <v/>
      </c>
      <c r="Q1292" s="142" t="n">
        <v>1</v>
      </c>
      <c r="R1292" s="143">
        <f>调整因子!$F$13</f>
        <v/>
      </c>
      <c r="S1292" s="76" t="n">
        <v>1</v>
      </c>
      <c r="T1292" s="144">
        <f>IFERROR(P1292*R1292,0)</f>
        <v/>
      </c>
      <c r="U1292" s="145">
        <f>T1292*S1292</f>
        <v/>
      </c>
      <c r="V1292" s="96" t="inlineStr">
        <is>
          <t>考核指标配置表</t>
        </is>
      </c>
      <c r="W1292" s="96" t="inlineStr"/>
      <c r="X1292" s="111" t="inlineStr">
        <is>
          <t>考核指标配置表{配置ID、配置名称|配置ID、配置名称、配置类型、配置值、创建时间}</t>
        </is>
      </c>
      <c r="Y1292" s="88" t="n"/>
      <c r="Z1292" s="88" t="n"/>
    </row>
    <row r="1293" hidden="1" ht="32.4" customHeight="1">
      <c r="A1293" s="69">
        <f>ROW()-1</f>
        <v/>
      </c>
      <c r="B1293" s="53" t="n"/>
      <c r="C1293" s="117" t="n">
        <v>2026</v>
      </c>
      <c r="E1293" s="53" t="n"/>
      <c r="F1293" s="53" t="n"/>
      <c r="G1293" s="111" t="inlineStr">
        <is>
          <t>情报关联管理</t>
        </is>
      </c>
      <c r="H1293" s="96" t="inlineStr">
        <is>
          <t>编辑情报关联</t>
        </is>
      </c>
      <c r="I1293" s="76" t="inlineStr">
        <is>
          <t>EI</t>
        </is>
      </c>
      <c r="J1293" s="95" t="n"/>
      <c r="K1293" s="95" t="n"/>
      <c r="L1293" s="83">
        <f>IF(OR(X1293="估算法",X1293="算法类",X1293="无法识别"),"",IF(V1293="",IF(OR(I1293="EI",I1293="EO",I1293="EQ"),0,""),LEN(V1293)-LEN(SUBSTITUTE(V1293,"、",""))+1))</f>
        <v/>
      </c>
      <c r="M1293" s="83">
        <f>IF(OR(X1293="估算法",X1293="算法类",X1293="无法识别"),"",IF(W1293="",IF(OR(I1293="ILF",I1293="EIF"),0,""),LEN(W1293)-LEN(SUBSTITUTE(W1293,"、",""))+1))</f>
        <v/>
      </c>
      <c r="N1293" s="83">
        <f>IF(OR(X1293="估算法",X1293="算法类",X1293="无法识别"),"",IF(X1293="",IF(OR(I1293="ILF",I1293="EIF",I1293="EI",I1293="EO",I1293="EQ"),0,""),LEN(X1293)-LEN(SUBSTITUTE(SUBSTITUTE(SUBSTITUTE(SUBSTITUTE(SUBSTITUTE(X1293,"|}","--"),"{|","--"),CHAR(10),""),"、",""),"|",""))+IF(AND(OR(I1293="EI",I1293="EO",I1293="EQ"),$AD$1="NESMA"),2,1)))</f>
        <v/>
      </c>
      <c r="O1293" s="84">
        <f>IF(I1293="EI",IF(OR(X1293="估算法",X1293="算法类"),"中",IF(X1293="无法识别","低",IF(L1293&lt;2,IF(N1293&lt;16,"低","中"),IF(L1293&lt;3,IF(N1293&lt;5,"低",IF(N1293&lt;16,"中","高")),IF(N1293&lt;5,"中","高"))))),IF(OR(I1293="EO",I1293="EQ"),IF(OR(X1293="估算法",X1293="算法类"),"中",IF(X1293="无法识别","低",IF(L1293&lt;2,IF(N1293&lt;20,"低","中"),IF(L1293&lt;4,IF(N1293&lt;6,"低",IF(N1293&lt;20,"中","高")),IF(N1293&lt;6,"中","高"))))),IF(OR(I1293="ILF",I1293="EIF"),IF(OR(X1293="估算法",X1293="算法类",X1293="无法识别"),"低",IF(M1293&lt;2,IF(N1293&lt;51,"低","中"),IF(M1293&lt;6,IF(N1293&lt;20,"低",IF(N1293&lt;51,"中","高")),IF(N1293&lt;20,"中","高")))),"不计算")))</f>
        <v/>
      </c>
      <c r="P1293" s="142">
        <f>IFERROR(IF(I1293="EI",IF(O1293="低",3,IF(O1293="中",4,6)),IF(I1293="EO",IF(O1293="低",4,IF(O1293="中",5,7)),IF(I1293="EQ",IF(O1293="低",3,IF(O1293="中",4,6)),IF(I1293="ILF",IF(O1293="低",7,IF(O1293="中",10,15)),IF(I1293="EIF",IF(O1293="低",5,IF(O1293="中",7,10)),"不计算")))))*Q1293,"不计算")</f>
        <v/>
      </c>
      <c r="Q1293" s="142" t="n">
        <v>1</v>
      </c>
      <c r="R1293" s="143">
        <f>调整因子!$F$13</f>
        <v/>
      </c>
      <c r="S1293" s="76" t="n">
        <v>1</v>
      </c>
      <c r="T1293" s="144">
        <f>IFERROR(P1293*R1293,0)</f>
        <v/>
      </c>
      <c r="U1293" s="145">
        <f>T1293*S1293</f>
        <v/>
      </c>
      <c r="V1293" s="96" t="inlineStr">
        <is>
          <t>任务故障记录表、分类层级关系表</t>
        </is>
      </c>
      <c r="W1293" s="96" t="inlineStr"/>
      <c r="X1293" s="111" t="inlineStr">
        <is>
          <t>任务故障记录表{任务ID、任务名称、任务类型、任务状态、创建时间、执行时间|任务ID、任务名称、任务类型}
分类层级关系表{ID、名称、类型、状态、创建时间、更新时间|ID、名称、类型}</t>
        </is>
      </c>
      <c r="Y1293" s="88" t="n"/>
      <c r="Z1293" s="88" t="n"/>
    </row>
    <row r="1294" hidden="1" ht="32.4" customHeight="1">
      <c r="A1294" s="69">
        <f>ROW()-1</f>
        <v/>
      </c>
      <c r="B1294" s="53" t="n"/>
      <c r="C1294" s="117" t="n">
        <v>2026</v>
      </c>
      <c r="E1294" s="53" t="n"/>
      <c r="F1294" s="53" t="n"/>
      <c r="G1294" s="53" t="n"/>
      <c r="H1294" s="96" t="inlineStr">
        <is>
          <t>删除情报关联</t>
        </is>
      </c>
      <c r="I1294" s="76" t="inlineStr">
        <is>
          <t>EI</t>
        </is>
      </c>
      <c r="J1294" s="95" t="n"/>
      <c r="K1294" s="95" t="n"/>
      <c r="L1294" s="83">
        <f>IF(OR(X1294="估算法",X1294="算法类",X1294="无法识别"),"",IF(V1294="",IF(OR(I1294="EI",I1294="EO",I1294="EQ"),0,""),LEN(V1294)-LEN(SUBSTITUTE(V1294,"、",""))+1))</f>
        <v/>
      </c>
      <c r="M1294" s="83">
        <f>IF(OR(X1294="估算法",X1294="算法类",X1294="无法识别"),"",IF(W1294="",IF(OR(I1294="ILF",I1294="EIF"),0,""),LEN(W1294)-LEN(SUBSTITUTE(W1294,"、",""))+1))</f>
        <v/>
      </c>
      <c r="N1294" s="83">
        <f>IF(OR(X1294="估算法",X1294="算法类",X1294="无法识别"),"",IF(X1294="",IF(OR(I1294="ILF",I1294="EIF",I1294="EI",I1294="EO",I1294="EQ"),0,""),LEN(X1294)-LEN(SUBSTITUTE(SUBSTITUTE(SUBSTITUTE(SUBSTITUTE(SUBSTITUTE(X1294,"|}","--"),"{|","--"),CHAR(10),""),"、",""),"|",""))+IF(AND(OR(I1294="EI",I1294="EO",I1294="EQ"),$AD$1="NESMA"),2,1)))</f>
        <v/>
      </c>
      <c r="O1294" s="84">
        <f>IF(I1294="EI",IF(OR(X1294="估算法",X1294="算法类"),"中",IF(X1294="无法识别","低",IF(L1294&lt;2,IF(N1294&lt;16,"低","中"),IF(L1294&lt;3,IF(N1294&lt;5,"低",IF(N1294&lt;16,"中","高")),IF(N1294&lt;5,"中","高"))))),IF(OR(I1294="EO",I1294="EQ"),IF(OR(X1294="估算法",X1294="算法类"),"中",IF(X1294="无法识别","低",IF(L1294&lt;2,IF(N1294&lt;20,"低","中"),IF(L1294&lt;4,IF(N1294&lt;6,"低",IF(N1294&lt;20,"中","高")),IF(N1294&lt;6,"中","高"))))),IF(OR(I1294="ILF",I1294="EIF"),IF(OR(X1294="估算法",X1294="算法类",X1294="无法识别"),"低",IF(M1294&lt;2,IF(N1294&lt;51,"低","中"),IF(M1294&lt;6,IF(N1294&lt;20,"低",IF(N1294&lt;51,"中","高")),IF(N1294&lt;20,"中","高")))),"不计算")))</f>
        <v/>
      </c>
      <c r="P1294" s="142">
        <f>IFERROR(IF(I1294="EI",IF(O1294="低",3,IF(O1294="中",4,6)),IF(I1294="EO",IF(O1294="低",4,IF(O1294="中",5,7)),IF(I1294="EQ",IF(O1294="低",3,IF(O1294="中",4,6)),IF(I1294="ILF",IF(O1294="低",7,IF(O1294="中",10,15)),IF(I1294="EIF",IF(O1294="低",5,IF(O1294="中",7,10)),"不计算")))))*Q1294,"不计算")</f>
        <v/>
      </c>
      <c r="Q1294" s="142" t="n">
        <v>0.333333333333333</v>
      </c>
      <c r="R1294" s="143">
        <f>调整因子!$F$13</f>
        <v/>
      </c>
      <c r="S1294" s="70" t="n">
        <v>1</v>
      </c>
      <c r="T1294" s="144">
        <f>IFERROR(P1294*R1294,0)</f>
        <v/>
      </c>
      <c r="U1294" s="145">
        <f>T1294*S1294</f>
        <v/>
      </c>
      <c r="V1294" s="96" t="inlineStr">
        <is>
          <t>扫描盲区记录表、故障知识库表</t>
        </is>
      </c>
      <c r="W1294" s="96" t="inlineStr"/>
      <c r="X1294" s="111" t="inlineStr">
        <is>
          <t>扫描盲区记录表{任务ID、任务名称、任务状态、扫描器类型、开始时间、结束时间、扫描结果|任务ID、任务名称、任务状态}
故障知识库表{ID、名称、类型、状态、创建时间、更新时间|ID、名称、类型}</t>
        </is>
      </c>
      <c r="Y1294" s="88" t="n"/>
      <c r="Z1294" s="88" t="n"/>
    </row>
    <row r="1295" hidden="1" ht="43.2" customHeight="1">
      <c r="A1295" s="69">
        <f>ROW()-1</f>
        <v/>
      </c>
      <c r="B1295" s="53" t="n"/>
      <c r="C1295" s="117" t="n">
        <v>2026</v>
      </c>
      <c r="E1295" s="53" t="n"/>
      <c r="F1295" s="53" t="n"/>
      <c r="G1295" s="53" t="n"/>
      <c r="H1295" s="96" t="inlineStr">
        <is>
          <t>启用情报关联</t>
        </is>
      </c>
      <c r="I1295" s="76" t="inlineStr">
        <is>
          <t>EI</t>
        </is>
      </c>
      <c r="J1295" s="95" t="n"/>
      <c r="K1295" s="95" t="n"/>
      <c r="L1295" s="83">
        <f>IF(OR(X1295="估算法",X1295="算法类",X1295="无法识别"),"",IF(V1295="",IF(OR(I1295="EI",I1295="EO",I1295="EQ"),0,""),LEN(V1295)-LEN(SUBSTITUTE(V1295,"、",""))+1))</f>
        <v/>
      </c>
      <c r="M1295" s="83">
        <f>IF(OR(X1295="估算法",X1295="算法类",X1295="无法识别"),"",IF(W1295="",IF(OR(I1295="ILF",I1295="EIF"),0,""),LEN(W1295)-LEN(SUBSTITUTE(W1295,"、",""))+1))</f>
        <v/>
      </c>
      <c r="N1295" s="83">
        <f>IF(OR(X1295="估算法",X1295="算法类",X1295="无法识别"),"",IF(X1295="",IF(OR(I1295="ILF",I1295="EIF",I1295="EI",I1295="EO",I1295="EQ"),0,""),LEN(X1295)-LEN(SUBSTITUTE(SUBSTITUTE(SUBSTITUTE(SUBSTITUTE(SUBSTITUTE(X1295,"|}","--"),"{|","--"),CHAR(10),""),"、",""),"|",""))+IF(AND(OR(I1295="EI",I1295="EO",I1295="EQ"),$AD$1="NESMA"),2,1)))</f>
        <v/>
      </c>
      <c r="O1295" s="84">
        <f>IF(I1295="EI",IF(OR(X1295="估算法",X1295="算法类"),"中",IF(X1295="无法识别","低",IF(L1295&lt;2,IF(N1295&lt;16,"低","中"),IF(L1295&lt;3,IF(N1295&lt;5,"低",IF(N1295&lt;16,"中","高")),IF(N1295&lt;5,"中","高"))))),IF(OR(I1295="EO",I1295="EQ"),IF(OR(X1295="估算法",X1295="算法类"),"中",IF(X1295="无法识别","低",IF(L1295&lt;2,IF(N1295&lt;20,"低","中"),IF(L1295&lt;4,IF(N1295&lt;6,"低",IF(N1295&lt;20,"中","高")),IF(N1295&lt;6,"中","高"))))),IF(OR(I1295="ILF",I1295="EIF"),IF(OR(X1295="估算法",X1295="算法类",X1295="无法识别"),"低",IF(M1295&lt;2,IF(N1295&lt;51,"低","中"),IF(M1295&lt;6,IF(N1295&lt;20,"低",IF(N1295&lt;51,"中","高")),IF(N1295&lt;20,"中","高")))),"不计算")))</f>
        <v/>
      </c>
      <c r="P1295" s="142">
        <f>IFERROR(IF(I1295="EI",IF(O1295="低",3,IF(O1295="中",4,6)),IF(I1295="EO",IF(O1295="低",4,IF(O1295="中",5,7)),IF(I1295="EQ",IF(O1295="低",3,IF(O1295="中",4,6)),IF(I1295="ILF",IF(O1295="低",7,IF(O1295="中",10,15)),IF(I1295="EIF",IF(O1295="低",5,IF(O1295="中",7,10)),"不计算")))))*Q1295,"不计算")</f>
        <v/>
      </c>
      <c r="Q1295" s="142" t="n">
        <v>1</v>
      </c>
      <c r="R1295" s="143">
        <f>调整因子!$F$13</f>
        <v/>
      </c>
      <c r="S1295" s="70" t="n">
        <v>1</v>
      </c>
      <c r="T1295" s="144">
        <f>IFERROR(P1295*R1295,0)</f>
        <v/>
      </c>
      <c r="U1295" s="145">
        <f>T1295*S1295</f>
        <v/>
      </c>
      <c r="V1295" s="96" t="inlineStr">
        <is>
          <t>资产查询接口配置表、扫描盲区记录表</t>
        </is>
      </c>
      <c r="W1295" s="96" t="inlineStr"/>
      <c r="X1295" s="111" t="inlineStr">
        <is>
          <t>资产查询接口配置表{资产ID、资产名称、IP地址、资产类型、资产状态、创建时间、更新时间|资产ID、资产名称、IP地址}
扫描盲区记录表{任务ID、任务名称、任务状态、扫描器类型、开始时间、结束时间、扫描结果|任务ID、任务名称、任务状态}</t>
        </is>
      </c>
      <c r="Y1295" s="88" t="n"/>
      <c r="Z1295" s="88" t="n"/>
    </row>
    <row r="1296" hidden="1">
      <c r="A1296" s="69">
        <f>ROW()-1</f>
        <v/>
      </c>
      <c r="B1296" s="53" t="n"/>
      <c r="C1296" s="117" t="n">
        <v>2026</v>
      </c>
      <c r="E1296" s="53" t="n"/>
      <c r="F1296" s="53" t="n"/>
      <c r="G1296" s="53" t="n"/>
      <c r="H1296" s="96" t="inlineStr">
        <is>
          <t>停用情报关联</t>
        </is>
      </c>
      <c r="I1296" s="76" t="n"/>
      <c r="J1296" s="95" t="n"/>
      <c r="K1296" s="95" t="inlineStr">
        <is>
          <t>和上行合并，启停为相同功能</t>
        </is>
      </c>
      <c r="L1296" s="83">
        <f>IF(OR(X1296="估算法",X1296="算法类",X1296="无法识别"),"",IF(V1296="",IF(OR(I1296="EI",I1296="EO",I1296="EQ"),0,""),LEN(V1296)-LEN(SUBSTITUTE(V1296,"、",""))+1))</f>
        <v/>
      </c>
      <c r="M1296" s="83">
        <f>IF(OR(X1296="估算法",X1296="算法类",X1296="无法识别"),"",IF(W1296="",IF(OR(I1296="ILF",I1296="EIF"),0,""),LEN(W1296)-LEN(SUBSTITUTE(W1296,"、",""))+1))</f>
        <v/>
      </c>
      <c r="N1296" s="83">
        <f>IF(OR(X1296="估算法",X1296="算法类",X1296="无法识别"),"",IF(X1296="",IF(OR(I1296="ILF",I1296="EIF",I1296="EI",I1296="EO",I1296="EQ"),0,""),LEN(X1296)-LEN(SUBSTITUTE(SUBSTITUTE(SUBSTITUTE(SUBSTITUTE(SUBSTITUTE(X1296,"|}","--"),"{|","--"),CHAR(10),""),"、",""),"|",""))+IF(AND(OR(I1296="EI",I1296="EO",I1296="EQ"),$AD$1="NESMA"),2,1)))</f>
        <v/>
      </c>
      <c r="O1296" s="84">
        <f>IF(I1296="EI",IF(OR(X1296="估算法",X1296="算法类"),"中",IF(X1296="无法识别","低",IF(L1296&lt;2,IF(N1296&lt;16,"低","中"),IF(L1296&lt;3,IF(N1296&lt;5,"低",IF(N1296&lt;16,"中","高")),IF(N1296&lt;5,"中","高"))))),IF(OR(I1296="EO",I1296="EQ"),IF(OR(X1296="估算法",X1296="算法类"),"中",IF(X1296="无法识别","低",IF(L1296&lt;2,IF(N1296&lt;20,"低","中"),IF(L1296&lt;4,IF(N1296&lt;6,"低",IF(N1296&lt;20,"中","高")),IF(N1296&lt;6,"中","高"))))),IF(OR(I1296="ILF",I1296="EIF"),IF(OR(X1296="估算法",X1296="算法类",X1296="无法识别"),"低",IF(M1296&lt;2,IF(N1296&lt;51,"低","中"),IF(M1296&lt;6,IF(N1296&lt;20,"低",IF(N1296&lt;51,"中","高")),IF(N1296&lt;20,"中","高")))),"不计算")))</f>
        <v/>
      </c>
      <c r="P1296" s="142">
        <f>IFERROR(IF(I1296="EI",IF(O1296="低",3,IF(O1296="中",4,6)),IF(I1296="EO",IF(O1296="低",4,IF(O1296="中",5,7)),IF(I1296="EQ",IF(O1296="低",3,IF(O1296="中",4,6)),IF(I1296="ILF",IF(O1296="低",7,IF(O1296="中",10,15)),IF(I1296="EIF",IF(O1296="低",5,IF(O1296="中",7,10)),"不计算")))))*Q1296,"不计算")</f>
        <v/>
      </c>
      <c r="Q1296" s="142" t="n">
        <v>1</v>
      </c>
      <c r="R1296" s="143">
        <f>调整因子!$F$13</f>
        <v/>
      </c>
      <c r="S1296" s="76" t="n">
        <v>1</v>
      </c>
      <c r="T1296" s="144">
        <f>IFERROR(P1296*R1296,0)</f>
        <v/>
      </c>
      <c r="U1296" s="145">
        <f>T1296*S1296</f>
        <v/>
      </c>
      <c r="V1296" s="96" t="inlineStr">
        <is>
          <t>验证记录表</t>
        </is>
      </c>
      <c r="W1296" s="96" t="inlineStr"/>
      <c r="X1296" s="111" t="inlineStr">
        <is>
          <t>验证记录表{ID、名称、类型、状态、创建时间、更新时间|ID、名称、类型}</t>
        </is>
      </c>
      <c r="Y1296" s="88" t="n"/>
      <c r="Z1296" s="88" t="n"/>
    </row>
    <row r="1297" hidden="1" ht="21.6" customHeight="1">
      <c r="A1297" s="69">
        <f>ROW()-1</f>
        <v/>
      </c>
      <c r="B1297" s="53" t="n"/>
      <c r="C1297" s="117" t="n">
        <v>2026</v>
      </c>
      <c r="E1297" s="53" t="n"/>
      <c r="F1297" s="53" t="n"/>
      <c r="G1297" s="53" t="n"/>
      <c r="H1297" s="96" t="inlineStr">
        <is>
          <t>关联资产信息</t>
        </is>
      </c>
      <c r="I1297" s="76" t="inlineStr">
        <is>
          <t>EI</t>
        </is>
      </c>
      <c r="J1297" s="95" t="n"/>
      <c r="K1297" s="95" t="n"/>
      <c r="L1297" s="83">
        <f>IF(OR(X1297="估算法",X1297="算法类",X1297="无法识别"),"",IF(V1297="",IF(OR(I1297="EI",I1297="EO",I1297="EQ"),0,""),LEN(V1297)-LEN(SUBSTITUTE(V1297,"、",""))+1))</f>
        <v/>
      </c>
      <c r="M1297" s="83">
        <f>IF(OR(X1297="估算法",X1297="算法类",X1297="无法识别"),"",IF(W1297="",IF(OR(I1297="ILF",I1297="EIF"),0,""),LEN(W1297)-LEN(SUBSTITUTE(W1297,"、",""))+1))</f>
        <v/>
      </c>
      <c r="N1297" s="83">
        <f>IF(OR(X1297="估算法",X1297="算法类",X1297="无法识别"),"",IF(X1297="",IF(OR(I1297="ILF",I1297="EIF",I1297="EI",I1297="EO",I1297="EQ"),0,""),LEN(X1297)-LEN(SUBSTITUTE(SUBSTITUTE(SUBSTITUTE(SUBSTITUTE(SUBSTITUTE(X1297,"|}","--"),"{|","--"),CHAR(10),""),"、",""),"|",""))+IF(AND(OR(I1297="EI",I1297="EO",I1297="EQ"),$AD$1="NESMA"),2,1)))</f>
        <v/>
      </c>
      <c r="O1297" s="84">
        <f>IF(I1297="EI",IF(OR(X1297="估算法",X1297="算法类"),"中",IF(X1297="无法识别","低",IF(L1297&lt;2,IF(N1297&lt;16,"低","中"),IF(L1297&lt;3,IF(N1297&lt;5,"低",IF(N1297&lt;16,"中","高")),IF(N1297&lt;5,"中","高"))))),IF(OR(I1297="EO",I1297="EQ"),IF(OR(X1297="估算法",X1297="算法类"),"中",IF(X1297="无法识别","低",IF(L1297&lt;2,IF(N1297&lt;20,"低","中"),IF(L1297&lt;4,IF(N1297&lt;6,"低",IF(N1297&lt;20,"中","高")),IF(N1297&lt;6,"中","高"))))),IF(OR(I1297="ILF",I1297="EIF"),IF(OR(X1297="估算法",X1297="算法类",X1297="无法识别"),"低",IF(M1297&lt;2,IF(N1297&lt;51,"低","中"),IF(M1297&lt;6,IF(N1297&lt;20,"低",IF(N1297&lt;51,"中","高")),IF(N1297&lt;20,"中","高")))),"不计算")))</f>
        <v/>
      </c>
      <c r="P1297" s="142">
        <f>IFERROR(IF(I1297="EI",IF(O1297="低",3,IF(O1297="中",4,6)),IF(I1297="EO",IF(O1297="低",4,IF(O1297="中",5,7)),IF(I1297="EQ",IF(O1297="低",3,IF(O1297="中",4,6)),IF(I1297="ILF",IF(O1297="低",7,IF(O1297="中",10,15)),IF(I1297="EIF",IF(O1297="低",5,IF(O1297="中",7,10)),"不计算")))))*Q1297,"不计算")</f>
        <v/>
      </c>
      <c r="Q1297" s="142" t="n">
        <v>1</v>
      </c>
      <c r="R1297" s="143">
        <f>调整因子!$F$13</f>
        <v/>
      </c>
      <c r="S1297" s="70" t="n">
        <v>1</v>
      </c>
      <c r="T1297" s="144">
        <f>IFERROR(P1297*R1297,0)</f>
        <v/>
      </c>
      <c r="U1297" s="145">
        <f>T1297*S1297</f>
        <v/>
      </c>
      <c r="V1297" s="96" t="inlineStr">
        <is>
          <t>资产同步任务表</t>
        </is>
      </c>
      <c r="W1297" s="96" t="inlineStr"/>
      <c r="X1297" s="111" t="inlineStr">
        <is>
          <t>资产同步任务表{资产ID、资产名称、IP地址、资产类型、资产状态、创建时间、更新时间|资产ID、资产名称、IP地址}</t>
        </is>
      </c>
      <c r="Y1297" s="88" t="n"/>
      <c r="Z1297" s="88" t="n"/>
    </row>
    <row r="1298" hidden="1" ht="21.6" customHeight="1">
      <c r="A1298" s="69">
        <f>ROW()-1</f>
        <v/>
      </c>
      <c r="B1298" s="53" t="n"/>
      <c r="C1298" s="117" t="n">
        <v>2026</v>
      </c>
      <c r="E1298" s="53" t="n"/>
      <c r="F1298" s="53" t="n"/>
      <c r="G1298" s="53" t="n"/>
      <c r="H1298" s="96" t="inlineStr">
        <is>
          <t>推送情报通知</t>
        </is>
      </c>
      <c r="I1298" s="76" t="inlineStr">
        <is>
          <t>EO</t>
        </is>
      </c>
      <c r="J1298" s="95" t="n"/>
      <c r="K1298" s="95" t="n"/>
      <c r="L1298" s="83">
        <f>IF(OR(X1298="估算法",X1298="算法类",X1298="无法识别"),"",IF(V1298="",IF(OR(I1298="EI",I1298="EO",I1298="EQ"),0,""),LEN(V1298)-LEN(SUBSTITUTE(V1298,"、",""))+1))</f>
        <v/>
      </c>
      <c r="M1298" s="83">
        <f>IF(OR(X1298="估算法",X1298="算法类",X1298="无法识别"),"",IF(W1298="",IF(OR(I1298="ILF",I1298="EIF"),0,""),LEN(W1298)-LEN(SUBSTITUTE(W1298,"、",""))+1))</f>
        <v/>
      </c>
      <c r="N1298" s="83">
        <f>IF(OR(X1298="估算法",X1298="算法类",X1298="无法识别"),"",IF(X1298="",IF(OR(I1298="ILF",I1298="EIF",I1298="EI",I1298="EO",I1298="EQ"),0,""),LEN(X1298)-LEN(SUBSTITUTE(SUBSTITUTE(SUBSTITUTE(SUBSTITUTE(SUBSTITUTE(X1298,"|}","--"),"{|","--"),CHAR(10),""),"、",""),"|",""))+IF(AND(OR(I1298="EI",I1298="EO",I1298="EQ"),$AD$1="NESMA"),2,1)))</f>
        <v/>
      </c>
      <c r="O1298" s="84">
        <f>IF(I1298="EI",IF(OR(X1298="估算法",X1298="算法类"),"中",IF(X1298="无法识别","低",IF(L1298&lt;2,IF(N1298&lt;16,"低","中"),IF(L1298&lt;3,IF(N1298&lt;5,"低",IF(N1298&lt;16,"中","高")),IF(N1298&lt;5,"中","高"))))),IF(OR(I1298="EO",I1298="EQ"),IF(OR(X1298="估算法",X1298="算法类"),"中",IF(X1298="无法识别","低",IF(L1298&lt;2,IF(N1298&lt;20,"低","中"),IF(L1298&lt;4,IF(N1298&lt;6,"低",IF(N1298&lt;20,"中","高")),IF(N1298&lt;6,"中","高"))))),IF(OR(I1298="ILF",I1298="EIF"),IF(OR(X1298="估算法",X1298="算法类",X1298="无法识别"),"低",IF(M1298&lt;2,IF(N1298&lt;51,"低","中"),IF(M1298&lt;6,IF(N1298&lt;20,"低",IF(N1298&lt;51,"中","高")),IF(N1298&lt;20,"中","高")))),"不计算")))</f>
        <v/>
      </c>
      <c r="P1298" s="142">
        <f>IFERROR(IF(I1298="EI",IF(O1298="低",3,IF(O1298="中",4,6)),IF(I1298="EO",IF(O1298="低",4,IF(O1298="中",5,7)),IF(I1298="EQ",IF(O1298="低",3,IF(O1298="中",4,6)),IF(I1298="ILF",IF(O1298="低",7,IF(O1298="中",10,15)),IF(I1298="EIF",IF(O1298="低",5,IF(O1298="中",7,10)),"不计算")))))*Q1298,"不计算")</f>
        <v/>
      </c>
      <c r="Q1298" s="142" t="n">
        <v>1</v>
      </c>
      <c r="R1298" s="143">
        <f>调整因子!$F$13</f>
        <v/>
      </c>
      <c r="S1298" s="70" t="n">
        <v>1</v>
      </c>
      <c r="T1298" s="144">
        <f>IFERROR(P1298*R1298,0)</f>
        <v/>
      </c>
      <c r="U1298" s="145">
        <f>T1298*S1298</f>
        <v/>
      </c>
      <c r="V1298" s="96" t="inlineStr">
        <is>
          <t>提醒规则表、报告导入记录表</t>
        </is>
      </c>
      <c r="W1298" s="96" t="inlineStr"/>
      <c r="X1298" s="111" t="inlineStr">
        <is>
          <t>提醒规则表{规则ID、规则名称|规则ID、规则名称、规则类型、规则条件、创建时间}
报告导入记录表{ID、名称|ID、名称、类型、状态、创建时间、更新时间}</t>
        </is>
      </c>
      <c r="Y1298" s="88" t="n"/>
      <c r="Z1298" s="88" t="n"/>
    </row>
    <row r="1299" hidden="1" ht="21.6" customHeight="1">
      <c r="A1299" s="69">
        <f>ROW()-1</f>
        <v/>
      </c>
      <c r="B1299" s="53" t="n"/>
      <c r="C1299" s="117" t="n">
        <v>2026</v>
      </c>
      <c r="E1299" s="53" t="n"/>
      <c r="F1299" s="53" t="n"/>
      <c r="G1299" s="53" t="n"/>
      <c r="H1299" s="96" t="inlineStr">
        <is>
          <t>导出关联关系</t>
        </is>
      </c>
      <c r="I1299" s="76" t="inlineStr">
        <is>
          <t>EO</t>
        </is>
      </c>
      <c r="J1299" s="95" t="n"/>
      <c r="K1299" s="95" t="n"/>
      <c r="L1299" s="83">
        <f>IF(OR(X1299="估算法",X1299="算法类",X1299="无法识别"),"",IF(V1299="",IF(OR(I1299="EI",I1299="EO",I1299="EQ"),0,""),LEN(V1299)-LEN(SUBSTITUTE(V1299,"、",""))+1))</f>
        <v/>
      </c>
      <c r="M1299" s="83">
        <f>IF(OR(X1299="估算法",X1299="算法类",X1299="无法识别"),"",IF(W1299="",IF(OR(I1299="ILF",I1299="EIF"),0,""),LEN(W1299)-LEN(SUBSTITUTE(W1299,"、",""))+1))</f>
        <v/>
      </c>
      <c r="N1299" s="83">
        <f>IF(OR(X1299="估算法",X1299="算法类",X1299="无法识别"),"",IF(X1299="",IF(OR(I1299="ILF",I1299="EIF",I1299="EI",I1299="EO",I1299="EQ"),0,""),LEN(X1299)-LEN(SUBSTITUTE(SUBSTITUTE(SUBSTITUTE(SUBSTITUTE(SUBSTITUTE(X1299,"|}","--"),"{|","--"),CHAR(10),""),"、",""),"|",""))+IF(AND(OR(I1299="EI",I1299="EO",I1299="EQ"),$AD$1="NESMA"),2,1)))</f>
        <v/>
      </c>
      <c r="O1299" s="84">
        <f>IF(I1299="EI",IF(OR(X1299="估算法",X1299="算法类"),"中",IF(X1299="无法识别","低",IF(L1299&lt;2,IF(N1299&lt;16,"低","中"),IF(L1299&lt;3,IF(N1299&lt;5,"低",IF(N1299&lt;16,"中","高")),IF(N1299&lt;5,"中","高"))))),IF(OR(I1299="EO",I1299="EQ"),IF(OR(X1299="估算法",X1299="算法类"),"中",IF(X1299="无法识别","低",IF(L1299&lt;2,IF(N1299&lt;20,"低","中"),IF(L1299&lt;4,IF(N1299&lt;6,"低",IF(N1299&lt;20,"中","高")),IF(N1299&lt;6,"中","高"))))),IF(OR(I1299="ILF",I1299="EIF"),IF(OR(X1299="估算法",X1299="算法类",X1299="无法识别"),"低",IF(M1299&lt;2,IF(N1299&lt;51,"低","中"),IF(M1299&lt;6,IF(N1299&lt;20,"低",IF(N1299&lt;51,"中","高")),IF(N1299&lt;20,"中","高")))),"不计算")))</f>
        <v/>
      </c>
      <c r="P1299" s="142">
        <f>IFERROR(IF(I1299="EI",IF(O1299="低",3,IF(O1299="中",4,6)),IF(I1299="EO",IF(O1299="低",4,IF(O1299="中",5,7)),IF(I1299="EQ",IF(O1299="低",3,IF(O1299="中",4,6)),IF(I1299="ILF",IF(O1299="低",7,IF(O1299="中",10,15)),IF(I1299="EIF",IF(O1299="低",5,IF(O1299="中",7,10)),"不计算")))))*Q1299,"不计算")</f>
        <v/>
      </c>
      <c r="Q1299" s="142" t="n">
        <v>1</v>
      </c>
      <c r="R1299" s="143">
        <f>调整因子!$F$13</f>
        <v/>
      </c>
      <c r="S1299" s="76" t="n">
        <v>1</v>
      </c>
      <c r="T1299" s="144">
        <f>IFERROR(P1299*R1299,0)</f>
        <v/>
      </c>
      <c r="U1299" s="145">
        <f>T1299*S1299</f>
        <v/>
      </c>
      <c r="V1299" s="96" t="inlineStr">
        <is>
          <t>复测任务表</t>
        </is>
      </c>
      <c r="W1299" s="96" t="inlineStr"/>
      <c r="X1299" s="111" t="inlineStr">
        <is>
          <t>复测任务表{任务ID、任务名称|任务ID、任务名称、任务类型、任务状态、创建时间、执行时间}</t>
        </is>
      </c>
      <c r="Y1299" s="88" t="n"/>
      <c r="Z1299" s="88" t="n"/>
    </row>
    <row r="1300" hidden="1" ht="32.4" customHeight="1">
      <c r="A1300" s="69">
        <f>ROW()-1</f>
        <v/>
      </c>
      <c r="B1300" s="53" t="n"/>
      <c r="C1300" s="117" t="n">
        <v>2026</v>
      </c>
      <c r="E1300" s="53" t="n"/>
      <c r="F1300" s="53" t="n"/>
      <c r="G1300" s="53" t="n"/>
      <c r="H1300" s="96" t="inlineStr">
        <is>
          <t>查询关联关系</t>
        </is>
      </c>
      <c r="I1300" s="76" t="inlineStr">
        <is>
          <t>EQ</t>
        </is>
      </c>
      <c r="J1300" s="95" t="n"/>
      <c r="K1300" s="95" t="n"/>
      <c r="L1300" s="83">
        <f>IF(OR(X1300="估算法",X1300="算法类",X1300="无法识别"),"",IF(V1300="",IF(OR(I1300="EI",I1300="EO",I1300="EQ"),0,""),LEN(V1300)-LEN(SUBSTITUTE(V1300,"、",""))+1))</f>
        <v/>
      </c>
      <c r="M1300" s="83">
        <f>IF(OR(X1300="估算法",X1300="算法类",X1300="无法识别"),"",IF(W1300="",IF(OR(I1300="ILF",I1300="EIF"),0,""),LEN(W1300)-LEN(SUBSTITUTE(W1300,"、",""))+1))</f>
        <v/>
      </c>
      <c r="N1300" s="83">
        <f>IF(OR(X1300="估算法",X1300="算法类",X1300="无法识别"),"",IF(X1300="",IF(OR(I1300="ILF",I1300="EIF",I1300="EI",I1300="EO",I1300="EQ"),0,""),LEN(X1300)-LEN(SUBSTITUTE(SUBSTITUTE(SUBSTITUTE(SUBSTITUTE(SUBSTITUTE(X1300,"|}","--"),"{|","--"),CHAR(10),""),"、",""),"|",""))+IF(AND(OR(I1300="EI",I1300="EO",I1300="EQ"),$AD$1="NESMA"),2,1)))</f>
        <v/>
      </c>
      <c r="O1300" s="84">
        <f>IF(I1300="EI",IF(OR(X1300="估算法",X1300="算法类"),"中",IF(X1300="无法识别","低",IF(L1300&lt;2,IF(N1300&lt;16,"低","中"),IF(L1300&lt;3,IF(N1300&lt;5,"低",IF(N1300&lt;16,"中","高")),IF(N1300&lt;5,"中","高"))))),IF(OR(I1300="EO",I1300="EQ"),IF(OR(X1300="估算法",X1300="算法类"),"中",IF(X1300="无法识别","低",IF(L1300&lt;2,IF(N1300&lt;20,"低","中"),IF(L1300&lt;4,IF(N1300&lt;6,"低",IF(N1300&lt;20,"中","高")),IF(N1300&lt;6,"中","高"))))),IF(OR(I1300="ILF",I1300="EIF"),IF(OR(X1300="估算法",X1300="算法类",X1300="无法识别"),"低",IF(M1300&lt;2,IF(N1300&lt;51,"低","中"),IF(M1300&lt;6,IF(N1300&lt;20,"低",IF(N1300&lt;51,"中","高")),IF(N1300&lt;20,"中","高")))),"不计算")))</f>
        <v/>
      </c>
      <c r="P1300" s="142">
        <f>IFERROR(IF(I1300="EI",IF(O1300="低",3,IF(O1300="中",4,6)),IF(I1300="EO",IF(O1300="低",4,IF(O1300="中",5,7)),IF(I1300="EQ",IF(O1300="低",3,IF(O1300="中",4,6)),IF(I1300="ILF",IF(O1300="低",7,IF(O1300="中",10,15)),IF(I1300="EIF",IF(O1300="低",5,IF(O1300="中",7,10)),"不计算")))))*Q1300,"不计算")</f>
        <v/>
      </c>
      <c r="Q1300" s="142" t="n">
        <v>1</v>
      </c>
      <c r="R1300" s="143">
        <f>调整因子!$F$13</f>
        <v/>
      </c>
      <c r="S1300" s="76" t="n">
        <v>1</v>
      </c>
      <c r="T1300" s="144">
        <f>IFERROR(P1300*R1300,0)</f>
        <v/>
      </c>
      <c r="U1300" s="145">
        <f>T1300*S1300</f>
        <v/>
      </c>
      <c r="V1300" s="96" t="inlineStr">
        <is>
          <t>复测任务表、修复步骤表</t>
        </is>
      </c>
      <c r="W1300" s="96" t="inlineStr"/>
      <c r="X1300" s="111" t="inlineStr">
        <is>
          <t>复测任务表{任务ID、任务名称|任务ID、任务名称、任务类型、任务状态、创建时间、执行时间}
修复步骤表{ID、名称|ID、名称、类型、状态、创建时间、更新时间}</t>
        </is>
      </c>
      <c r="Y1300" s="88" t="n"/>
      <c r="Z1300" s="88" t="n"/>
    </row>
    <row r="1301" hidden="1" ht="21.6" customHeight="1">
      <c r="A1301" s="69">
        <f>ROW()-1</f>
        <v/>
      </c>
      <c r="B1301" s="53" t="n"/>
      <c r="C1301" s="117" t="n">
        <v>2026</v>
      </c>
      <c r="E1301" s="53" t="n"/>
      <c r="F1301" s="54" t="n"/>
      <c r="G1301" s="54" t="n"/>
      <c r="H1301" s="96" t="inlineStr">
        <is>
          <t>查看关联详情</t>
        </is>
      </c>
      <c r="I1301" s="76" t="inlineStr">
        <is>
          <t>EQ</t>
        </is>
      </c>
      <c r="J1301" s="95" t="n"/>
      <c r="K1301" s="95" t="n"/>
      <c r="L1301" s="83">
        <f>IF(OR(X1301="估算法",X1301="算法类",X1301="无法识别"),"",IF(V1301="",IF(OR(I1301="EI",I1301="EO",I1301="EQ"),0,""),LEN(V1301)-LEN(SUBSTITUTE(V1301,"、",""))+1))</f>
        <v/>
      </c>
      <c r="M1301" s="83">
        <f>IF(OR(X1301="估算法",X1301="算法类",X1301="无法识别"),"",IF(W1301="",IF(OR(I1301="ILF",I1301="EIF"),0,""),LEN(W1301)-LEN(SUBSTITUTE(W1301,"、",""))+1))</f>
        <v/>
      </c>
      <c r="N1301" s="83">
        <f>IF(OR(X1301="估算法",X1301="算法类",X1301="无法识别"),"",IF(X1301="",IF(OR(I1301="ILF",I1301="EIF",I1301="EI",I1301="EO",I1301="EQ"),0,""),LEN(X1301)-LEN(SUBSTITUTE(SUBSTITUTE(SUBSTITUTE(SUBSTITUTE(SUBSTITUTE(X1301,"|}","--"),"{|","--"),CHAR(10),""),"、",""),"|",""))+IF(AND(OR(I1301="EI",I1301="EO",I1301="EQ"),$AD$1="NESMA"),2,1)))</f>
        <v/>
      </c>
      <c r="O1301" s="84">
        <f>IF(I1301="EI",IF(OR(X1301="估算法",X1301="算法类"),"中",IF(X1301="无法识别","低",IF(L1301&lt;2,IF(N1301&lt;16,"低","中"),IF(L1301&lt;3,IF(N1301&lt;5,"低",IF(N1301&lt;16,"中","高")),IF(N1301&lt;5,"中","高"))))),IF(OR(I1301="EO",I1301="EQ"),IF(OR(X1301="估算法",X1301="算法类"),"中",IF(X1301="无法识别","低",IF(L1301&lt;2,IF(N1301&lt;20,"低","中"),IF(L1301&lt;4,IF(N1301&lt;6,"低",IF(N1301&lt;20,"中","高")),IF(N1301&lt;6,"中","高"))))),IF(OR(I1301="ILF",I1301="EIF"),IF(OR(X1301="估算法",X1301="算法类",X1301="无法识别"),"低",IF(M1301&lt;2,IF(N1301&lt;51,"低","中"),IF(M1301&lt;6,IF(N1301&lt;20,"低",IF(N1301&lt;51,"中","高")),IF(N1301&lt;20,"中","高")))),"不计算")))</f>
        <v/>
      </c>
      <c r="P1301" s="142">
        <f>IFERROR(IF(I1301="EI",IF(O1301="低",3,IF(O1301="中",4,6)),IF(I1301="EO",IF(O1301="低",4,IF(O1301="中",5,7)),IF(I1301="EQ",IF(O1301="低",3,IF(O1301="中",4,6)),IF(I1301="ILF",IF(O1301="低",7,IF(O1301="中",10,15)),IF(I1301="EIF",IF(O1301="低",5,IF(O1301="中",7,10)),"不计算")))))*Q1301,"不计算")</f>
        <v/>
      </c>
      <c r="Q1301" s="142" t="n">
        <v>1</v>
      </c>
      <c r="R1301" s="143">
        <f>调整因子!$F$13</f>
        <v/>
      </c>
      <c r="S1301" s="70" t="n">
        <v>1</v>
      </c>
      <c r="T1301" s="144">
        <f>IFERROR(P1301*R1301,0)</f>
        <v/>
      </c>
      <c r="U1301" s="145">
        <f>T1301*S1301</f>
        <v/>
      </c>
      <c r="V1301" s="96" t="inlineStr">
        <is>
          <t>任务趋势分析表</t>
        </is>
      </c>
      <c r="W1301" s="96" t="inlineStr"/>
      <c r="X1301" s="111" t="inlineStr">
        <is>
          <t>任务趋势分析表{任务ID、任务名称|任务ID、任务名称、任务类型、任务状态、创建时间、执行时间}</t>
        </is>
      </c>
      <c r="Y1301" s="88" t="n"/>
      <c r="Z1301" s="88" t="n"/>
    </row>
    <row r="1302" hidden="1" ht="21.6" customHeight="1">
      <c r="A1302" s="69">
        <f>ROW()-1</f>
        <v/>
      </c>
      <c r="B1302" s="53" t="n"/>
      <c r="C1302" s="117" t="n">
        <v>2026</v>
      </c>
      <c r="E1302" s="53" t="n"/>
      <c r="F1302" s="111" t="inlineStr">
        <is>
          <t>新增产品漏洞自动预警</t>
        </is>
      </c>
      <c r="G1302" s="111" t="inlineStr">
        <is>
          <t>知识分类配置管理</t>
        </is>
      </c>
      <c r="H1302" s="96" t="inlineStr">
        <is>
          <t>编辑知识分类</t>
        </is>
      </c>
      <c r="I1302" s="76" t="inlineStr">
        <is>
          <t>EI</t>
        </is>
      </c>
      <c r="J1302" s="95" t="n"/>
      <c r="K1302" s="95" t="n"/>
      <c r="L1302" s="83">
        <f>IF(OR(X1302="估算法",X1302="算法类",X1302="无法识别"),"",IF(V1302="",IF(OR(I1302="EI",I1302="EO",I1302="EQ"),0,""),LEN(V1302)-LEN(SUBSTITUTE(V1302,"、",""))+1))</f>
        <v/>
      </c>
      <c r="M1302" s="83">
        <f>IF(OR(X1302="估算法",X1302="算法类",X1302="无法识别"),"",IF(W1302="",IF(OR(I1302="ILF",I1302="EIF"),0,""),LEN(W1302)-LEN(SUBSTITUTE(W1302,"、",""))+1))</f>
        <v/>
      </c>
      <c r="N1302" s="83">
        <f>IF(OR(X1302="估算法",X1302="算法类",X1302="无法识别"),"",IF(X1302="",IF(OR(I1302="ILF",I1302="EIF",I1302="EI",I1302="EO",I1302="EQ"),0,""),LEN(X1302)-LEN(SUBSTITUTE(SUBSTITUTE(SUBSTITUTE(SUBSTITUTE(SUBSTITUTE(X1302,"|}","--"),"{|","--"),CHAR(10),""),"、",""),"|",""))+IF(AND(OR(I1302="EI",I1302="EO",I1302="EQ"),$AD$1="NESMA"),2,1)))</f>
        <v/>
      </c>
      <c r="O1302" s="84">
        <f>IF(I1302="EI",IF(OR(X1302="估算法",X1302="算法类"),"中",IF(X1302="无法识别","低",IF(L1302&lt;2,IF(N1302&lt;16,"低","中"),IF(L1302&lt;3,IF(N1302&lt;5,"低",IF(N1302&lt;16,"中","高")),IF(N1302&lt;5,"中","高"))))),IF(OR(I1302="EO",I1302="EQ"),IF(OR(X1302="估算法",X1302="算法类"),"中",IF(X1302="无法识别","低",IF(L1302&lt;2,IF(N1302&lt;20,"低","中"),IF(L1302&lt;4,IF(N1302&lt;6,"低",IF(N1302&lt;20,"中","高")),IF(N1302&lt;6,"中","高"))))),IF(OR(I1302="ILF",I1302="EIF"),IF(OR(X1302="估算法",X1302="算法类",X1302="无法识别"),"低",IF(M1302&lt;2,IF(N1302&lt;51,"低","中"),IF(M1302&lt;6,IF(N1302&lt;20,"低",IF(N1302&lt;51,"中","高")),IF(N1302&lt;20,"中","高")))),"不计算")))</f>
        <v/>
      </c>
      <c r="P1302" s="142">
        <f>IFERROR(IF(I1302="EI",IF(O1302="低",3,IF(O1302="中",4,6)),IF(I1302="EO",IF(O1302="低",4,IF(O1302="中",5,7)),IF(I1302="EQ",IF(O1302="低",3,IF(O1302="中",4,6)),IF(I1302="ILF",IF(O1302="低",7,IF(O1302="中",10,15)),IF(I1302="EIF",IF(O1302="低",5,IF(O1302="中",7,10)),"不计算")))))*Q1302,"不计算")</f>
        <v/>
      </c>
      <c r="Q1302" s="142" t="n">
        <v>1</v>
      </c>
      <c r="R1302" s="143">
        <f>调整因子!$F$13</f>
        <v/>
      </c>
      <c r="S1302" s="70" t="n">
        <v>1</v>
      </c>
      <c r="T1302" s="144">
        <f>IFERROR(P1302*R1302,0)</f>
        <v/>
      </c>
      <c r="U1302" s="145">
        <f>T1302*S1302</f>
        <v/>
      </c>
      <c r="V1302" s="96" t="inlineStr">
        <is>
          <t>扫描策略模板表</t>
        </is>
      </c>
      <c r="W1302" s="96" t="inlineStr"/>
      <c r="X1302" s="111" t="inlineStr">
        <is>
          <t>扫描策略模板表{任务ID、任务名称、任务状态、扫描器类型、开始时间、结束时间、扫描结果|任务ID、任务名称、任务状态}</t>
        </is>
      </c>
      <c r="Y1302" s="88" t="n"/>
      <c r="Z1302" s="88" t="n"/>
    </row>
    <row r="1303" hidden="1">
      <c r="A1303" s="69">
        <f>ROW()-1</f>
        <v/>
      </c>
      <c r="B1303" s="53" t="n"/>
      <c r="C1303" s="117" t="n">
        <v>2026</v>
      </c>
      <c r="E1303" s="53" t="n"/>
      <c r="F1303" s="53" t="n"/>
      <c r="G1303" s="53" t="n"/>
      <c r="H1303" s="96" t="inlineStr">
        <is>
          <t>删除知识分类</t>
        </is>
      </c>
      <c r="I1303" s="76" t="inlineStr">
        <is>
          <t>EI</t>
        </is>
      </c>
      <c r="J1303" s="95" t="n"/>
      <c r="K1303" s="95" t="n"/>
      <c r="L1303" s="83">
        <f>IF(OR(X1303="估算法",X1303="算法类",X1303="无法识别"),"",IF(V1303="",IF(OR(I1303="EI",I1303="EO",I1303="EQ"),0,""),LEN(V1303)-LEN(SUBSTITUTE(V1303,"、",""))+1))</f>
        <v/>
      </c>
      <c r="M1303" s="83">
        <f>IF(OR(X1303="估算法",X1303="算法类",X1303="无法识别"),"",IF(W1303="",IF(OR(I1303="ILF",I1303="EIF"),0,""),LEN(W1303)-LEN(SUBSTITUTE(W1303,"、",""))+1))</f>
        <v/>
      </c>
      <c r="N1303" s="83">
        <f>IF(OR(X1303="估算法",X1303="算法类",X1303="无法识别"),"",IF(X1303="",IF(OR(I1303="ILF",I1303="EIF",I1303="EI",I1303="EO",I1303="EQ"),0,""),LEN(X1303)-LEN(SUBSTITUTE(SUBSTITUTE(SUBSTITUTE(SUBSTITUTE(SUBSTITUTE(X1303,"|}","--"),"{|","--"),CHAR(10),""),"、",""),"|",""))+IF(AND(OR(I1303="EI",I1303="EO",I1303="EQ"),$AD$1="NESMA"),2,1)))</f>
        <v/>
      </c>
      <c r="O1303" s="84">
        <f>IF(I1303="EI",IF(OR(X1303="估算法",X1303="算法类"),"中",IF(X1303="无法识别","低",IF(L1303&lt;2,IF(N1303&lt;16,"低","中"),IF(L1303&lt;3,IF(N1303&lt;5,"低",IF(N1303&lt;16,"中","高")),IF(N1303&lt;5,"中","高"))))),IF(OR(I1303="EO",I1303="EQ"),IF(OR(X1303="估算法",X1303="算法类"),"中",IF(X1303="无法识别","低",IF(L1303&lt;2,IF(N1303&lt;20,"低","中"),IF(L1303&lt;4,IF(N1303&lt;6,"低",IF(N1303&lt;20,"中","高")),IF(N1303&lt;6,"中","高"))))),IF(OR(I1303="ILF",I1303="EIF"),IF(OR(X1303="估算法",X1303="算法类",X1303="无法识别"),"低",IF(M1303&lt;2,IF(N1303&lt;51,"低","中"),IF(M1303&lt;6,IF(N1303&lt;20,"低",IF(N1303&lt;51,"中","高")),IF(N1303&lt;20,"中","高")))),"不计算")))</f>
        <v/>
      </c>
      <c r="P1303" s="142">
        <f>IFERROR(IF(I1303="EI",IF(O1303="低",3,IF(O1303="中",4,6)),IF(I1303="EO",IF(O1303="低",4,IF(O1303="中",5,7)),IF(I1303="EQ",IF(O1303="低",3,IF(O1303="中",4,6)),IF(I1303="ILF",IF(O1303="低",7,IF(O1303="中",10,15)),IF(I1303="EIF",IF(O1303="低",5,IF(O1303="中",7,10)),"不计算")))))*Q1303,"不计算")</f>
        <v/>
      </c>
      <c r="Q1303" s="142" t="n">
        <v>0.333333333333333</v>
      </c>
      <c r="R1303" s="143">
        <f>调整因子!$F$13</f>
        <v/>
      </c>
      <c r="S1303" s="76" t="n">
        <v>1</v>
      </c>
      <c r="T1303" s="144">
        <f>IFERROR(P1303*R1303,0)</f>
        <v/>
      </c>
      <c r="U1303" s="145">
        <f>T1303*S1303</f>
        <v/>
      </c>
      <c r="V1303" s="96" t="inlineStr">
        <is>
          <t>修复步骤表</t>
        </is>
      </c>
      <c r="W1303" s="96" t="inlineStr"/>
      <c r="X1303" s="111" t="inlineStr">
        <is>
          <t>修复步骤表{ID、名称、类型、状态、创建时间、更新时间|ID、名称、类型}</t>
        </is>
      </c>
      <c r="Y1303" s="88" t="n"/>
      <c r="Z1303" s="88" t="n"/>
    </row>
    <row r="1304" hidden="1" ht="21.6" customHeight="1">
      <c r="A1304" s="69">
        <f>ROW()-1</f>
        <v/>
      </c>
      <c r="B1304" s="53" t="n"/>
      <c r="C1304" s="117" t="n">
        <v>2026</v>
      </c>
      <c r="E1304" s="53" t="n"/>
      <c r="F1304" s="53" t="n"/>
      <c r="G1304" s="53" t="n"/>
      <c r="H1304" s="96" t="inlineStr">
        <is>
          <t>启用知识分类</t>
        </is>
      </c>
      <c r="I1304" s="76" t="inlineStr">
        <is>
          <t>EI</t>
        </is>
      </c>
      <c r="J1304" s="95" t="n"/>
      <c r="K1304" s="95" t="n"/>
      <c r="L1304" s="83">
        <f>IF(OR(X1304="估算法",X1304="算法类",X1304="无法识别"),"",IF(V1304="",IF(OR(I1304="EI",I1304="EO",I1304="EQ"),0,""),LEN(V1304)-LEN(SUBSTITUTE(V1304,"、",""))+1))</f>
        <v/>
      </c>
      <c r="M1304" s="83">
        <f>IF(OR(X1304="估算法",X1304="算法类",X1304="无法识别"),"",IF(W1304="",IF(OR(I1304="ILF",I1304="EIF"),0,""),LEN(W1304)-LEN(SUBSTITUTE(W1304,"、",""))+1))</f>
        <v/>
      </c>
      <c r="N1304" s="83">
        <f>IF(OR(X1304="估算法",X1304="算法类",X1304="无法识别"),"",IF(X1304="",IF(OR(I1304="ILF",I1304="EIF",I1304="EI",I1304="EO",I1304="EQ"),0,""),LEN(X1304)-LEN(SUBSTITUTE(SUBSTITUTE(SUBSTITUTE(SUBSTITUTE(SUBSTITUTE(X1304,"|}","--"),"{|","--"),CHAR(10),""),"、",""),"|",""))+IF(AND(OR(I1304="EI",I1304="EO",I1304="EQ"),$AD$1="NESMA"),2,1)))</f>
        <v/>
      </c>
      <c r="O1304" s="84">
        <f>IF(I1304="EI",IF(OR(X1304="估算法",X1304="算法类"),"中",IF(X1304="无法识别","低",IF(L1304&lt;2,IF(N1304&lt;16,"低","中"),IF(L1304&lt;3,IF(N1304&lt;5,"低",IF(N1304&lt;16,"中","高")),IF(N1304&lt;5,"中","高"))))),IF(OR(I1304="EO",I1304="EQ"),IF(OR(X1304="估算法",X1304="算法类"),"中",IF(X1304="无法识别","低",IF(L1304&lt;2,IF(N1304&lt;20,"低","中"),IF(L1304&lt;4,IF(N1304&lt;6,"低",IF(N1304&lt;20,"中","高")),IF(N1304&lt;6,"中","高"))))),IF(OR(I1304="ILF",I1304="EIF"),IF(OR(X1304="估算法",X1304="算法类",X1304="无法识别"),"低",IF(M1304&lt;2,IF(N1304&lt;51,"低","中"),IF(M1304&lt;6,IF(N1304&lt;20,"低",IF(N1304&lt;51,"中","高")),IF(N1304&lt;20,"中","高")))),"不计算")))</f>
        <v/>
      </c>
      <c r="P1304" s="142">
        <f>IFERROR(IF(I1304="EI",IF(O1304="低",3,IF(O1304="中",4,6)),IF(I1304="EO",IF(O1304="低",4,IF(O1304="中",5,7)),IF(I1304="EQ",IF(O1304="低",3,IF(O1304="中",4,6)),IF(I1304="ILF",IF(O1304="低",7,IF(O1304="中",10,15)),IF(I1304="EIF",IF(O1304="低",5,IF(O1304="中",7,10)),"不计算")))))*Q1304,"不计算")</f>
        <v/>
      </c>
      <c r="Q1304" s="142" t="n">
        <v>1</v>
      </c>
      <c r="R1304" s="143">
        <f>调整因子!$F$13</f>
        <v/>
      </c>
      <c r="S1304" s="70" t="n">
        <v>1</v>
      </c>
      <c r="T1304" s="144">
        <f>IFERROR(P1304*R1304,0)</f>
        <v/>
      </c>
      <c r="U1304" s="145">
        <f>T1304*S1304</f>
        <v/>
      </c>
      <c r="V1304" s="96" t="inlineStr">
        <is>
          <t>复测任务表</t>
        </is>
      </c>
      <c r="W1304" s="96" t="inlineStr"/>
      <c r="X1304" s="111" t="inlineStr">
        <is>
          <t>复测任务表{任务ID、任务名称、任务类型、任务状态、创建时间、执行时间|任务ID、任务名称、任务类型}</t>
        </is>
      </c>
      <c r="Y1304" s="88" t="n"/>
      <c r="Z1304" s="88" t="n"/>
    </row>
    <row r="1305" hidden="1" ht="32.4" customHeight="1">
      <c r="A1305" s="69">
        <f>ROW()-1</f>
        <v/>
      </c>
      <c r="B1305" s="53" t="n"/>
      <c r="C1305" s="117" t="n">
        <v>2026</v>
      </c>
      <c r="E1305" s="53" t="n"/>
      <c r="F1305" s="53" t="n"/>
      <c r="G1305" s="53" t="n"/>
      <c r="H1305" s="96" t="inlineStr">
        <is>
          <t>停用知识分类</t>
        </is>
      </c>
      <c r="I1305" s="76" t="n"/>
      <c r="J1305" s="95" t="n"/>
      <c r="K1305" s="95" t="inlineStr">
        <is>
          <t>和上行合并，启停为相同功能</t>
        </is>
      </c>
      <c r="L1305" s="83">
        <f>IF(OR(X1305="估算法",X1305="算法类",X1305="无法识别"),"",IF(V1305="",IF(OR(I1305="EI",I1305="EO",I1305="EQ"),0,""),LEN(V1305)-LEN(SUBSTITUTE(V1305,"、",""))+1))</f>
        <v/>
      </c>
      <c r="M1305" s="83">
        <f>IF(OR(X1305="估算法",X1305="算法类",X1305="无法识别"),"",IF(W1305="",IF(OR(I1305="ILF",I1305="EIF"),0,""),LEN(W1305)-LEN(SUBSTITUTE(W1305,"、",""))+1))</f>
        <v/>
      </c>
      <c r="N1305" s="83">
        <f>IF(OR(X1305="估算法",X1305="算法类",X1305="无法识别"),"",IF(X1305="",IF(OR(I1305="ILF",I1305="EIF",I1305="EI",I1305="EO",I1305="EQ"),0,""),LEN(X1305)-LEN(SUBSTITUTE(SUBSTITUTE(SUBSTITUTE(SUBSTITUTE(SUBSTITUTE(X1305,"|}","--"),"{|","--"),CHAR(10),""),"、",""),"|",""))+IF(AND(OR(I1305="EI",I1305="EO",I1305="EQ"),$AD$1="NESMA"),2,1)))</f>
        <v/>
      </c>
      <c r="O1305" s="84">
        <f>IF(I1305="EI",IF(OR(X1305="估算法",X1305="算法类"),"中",IF(X1305="无法识别","低",IF(L1305&lt;2,IF(N1305&lt;16,"低","中"),IF(L1305&lt;3,IF(N1305&lt;5,"低",IF(N1305&lt;16,"中","高")),IF(N1305&lt;5,"中","高"))))),IF(OR(I1305="EO",I1305="EQ"),IF(OR(X1305="估算法",X1305="算法类"),"中",IF(X1305="无法识别","低",IF(L1305&lt;2,IF(N1305&lt;20,"低","中"),IF(L1305&lt;4,IF(N1305&lt;6,"低",IF(N1305&lt;20,"中","高")),IF(N1305&lt;6,"中","高"))))),IF(OR(I1305="ILF",I1305="EIF"),IF(OR(X1305="估算法",X1305="算法类",X1305="无法识别"),"低",IF(M1305&lt;2,IF(N1305&lt;51,"低","中"),IF(M1305&lt;6,IF(N1305&lt;20,"低",IF(N1305&lt;51,"中","高")),IF(N1305&lt;20,"中","高")))),"不计算")))</f>
        <v/>
      </c>
      <c r="P1305" s="142">
        <f>IFERROR(IF(I1305="EI",IF(O1305="低",3,IF(O1305="中",4,6)),IF(I1305="EO",IF(O1305="低",4,IF(O1305="中",5,7)),IF(I1305="EQ",IF(O1305="低",3,IF(O1305="中",4,6)),IF(I1305="ILF",IF(O1305="低",7,IF(O1305="中",10,15)),IF(I1305="EIF",IF(O1305="低",5,IF(O1305="中",7,10)),"不计算")))))*Q1305,"不计算")</f>
        <v/>
      </c>
      <c r="Q1305" s="142" t="n">
        <v>1</v>
      </c>
      <c r="R1305" s="143">
        <f>调整因子!$F$13</f>
        <v/>
      </c>
      <c r="S1305" s="70" t="n">
        <v>1</v>
      </c>
      <c r="T1305" s="144">
        <f>IFERROR(P1305*R1305,0)</f>
        <v/>
      </c>
      <c r="U1305" s="145">
        <f>T1305*S1305</f>
        <v/>
      </c>
      <c r="V1305" s="96" t="inlineStr">
        <is>
          <t>修复步骤表、接口参数表</t>
        </is>
      </c>
      <c r="W1305" s="96" t="inlineStr"/>
      <c r="X1305" s="111" t="inlineStr">
        <is>
          <t>修复步骤表{ID、名称、类型、状态、创建时间、更新时间|ID、名称、类型}
接口参数表{接口ID、接口名称、接口类型、接口地址、调用时间|接口ID、接口名称、接口类型}</t>
        </is>
      </c>
      <c r="Y1305" s="88" t="n"/>
      <c r="Z1305" s="88" t="n"/>
    </row>
    <row r="1306" hidden="1" ht="21.6" customHeight="1">
      <c r="A1306" s="69">
        <f>ROW()-1</f>
        <v/>
      </c>
      <c r="B1306" s="53" t="n"/>
      <c r="C1306" s="117" t="n">
        <v>2026</v>
      </c>
      <c r="E1306" s="53" t="n"/>
      <c r="F1306" s="53" t="n"/>
      <c r="G1306" s="53" t="n"/>
      <c r="H1306" s="96" t="inlineStr">
        <is>
          <t>导出分类配置</t>
        </is>
      </c>
      <c r="I1306" s="76" t="inlineStr">
        <is>
          <t>EO</t>
        </is>
      </c>
      <c r="J1306" s="95" t="n"/>
      <c r="K1306" s="95" t="n"/>
      <c r="L1306" s="83">
        <f>IF(OR(X1306="估算法",X1306="算法类",X1306="无法识别"),"",IF(V1306="",IF(OR(I1306="EI",I1306="EO",I1306="EQ"),0,""),LEN(V1306)-LEN(SUBSTITUTE(V1306,"、",""))+1))</f>
        <v/>
      </c>
      <c r="M1306" s="83">
        <f>IF(OR(X1306="估算法",X1306="算法类",X1306="无法识别"),"",IF(W1306="",IF(OR(I1306="ILF",I1306="EIF"),0,""),LEN(W1306)-LEN(SUBSTITUTE(W1306,"、",""))+1))</f>
        <v/>
      </c>
      <c r="N1306" s="83">
        <f>IF(OR(X1306="估算法",X1306="算法类",X1306="无法识别"),"",IF(X1306="",IF(OR(I1306="ILF",I1306="EIF",I1306="EI",I1306="EO",I1306="EQ"),0,""),LEN(X1306)-LEN(SUBSTITUTE(SUBSTITUTE(SUBSTITUTE(SUBSTITUTE(SUBSTITUTE(X1306,"|}","--"),"{|","--"),CHAR(10),""),"、",""),"|",""))+IF(AND(OR(I1306="EI",I1306="EO",I1306="EQ"),$AD$1="NESMA"),2,1)))</f>
        <v/>
      </c>
      <c r="O1306" s="84">
        <f>IF(I1306="EI",IF(OR(X1306="估算法",X1306="算法类"),"中",IF(X1306="无法识别","低",IF(L1306&lt;2,IF(N1306&lt;16,"低","中"),IF(L1306&lt;3,IF(N1306&lt;5,"低",IF(N1306&lt;16,"中","高")),IF(N1306&lt;5,"中","高"))))),IF(OR(I1306="EO",I1306="EQ"),IF(OR(X1306="估算法",X1306="算法类"),"中",IF(X1306="无法识别","低",IF(L1306&lt;2,IF(N1306&lt;20,"低","中"),IF(L1306&lt;4,IF(N1306&lt;6,"低",IF(N1306&lt;20,"中","高")),IF(N1306&lt;6,"中","高"))))),IF(OR(I1306="ILF",I1306="EIF"),IF(OR(X1306="估算法",X1306="算法类",X1306="无法识别"),"低",IF(M1306&lt;2,IF(N1306&lt;51,"低","中"),IF(M1306&lt;6,IF(N1306&lt;20,"低",IF(N1306&lt;51,"中","高")),IF(N1306&lt;20,"中","高")))),"不计算")))</f>
        <v/>
      </c>
      <c r="P1306" s="142">
        <f>IFERROR(IF(I1306="EI",IF(O1306="低",3,IF(O1306="中",4,6)),IF(I1306="EO",IF(O1306="低",4,IF(O1306="中",5,7)),IF(I1306="EQ",IF(O1306="低",3,IF(O1306="中",4,6)),IF(I1306="ILF",IF(O1306="低",7,IF(O1306="中",10,15)),IF(I1306="EIF",IF(O1306="低",5,IF(O1306="中",7,10)),"不计算")))))*Q1306,"不计算")</f>
        <v/>
      </c>
      <c r="Q1306" s="142" t="n">
        <v>1</v>
      </c>
      <c r="R1306" s="143">
        <f>调整因子!$F$13</f>
        <v/>
      </c>
      <c r="S1306" s="76" t="n">
        <v>1</v>
      </c>
      <c r="T1306" s="144">
        <f>IFERROR(P1306*R1306,0)</f>
        <v/>
      </c>
      <c r="U1306" s="145">
        <f>T1306*S1306</f>
        <v/>
      </c>
      <c r="V1306" s="96" t="inlineStr">
        <is>
          <t>任务优先级配置表</t>
        </is>
      </c>
      <c r="W1306" s="96" t="inlineStr"/>
      <c r="X1306" s="111" t="inlineStr">
        <is>
          <t>任务优先级配置表{任务ID、任务名称|任务ID、任务名称、任务类型、任务状态、创建时间、执行时间}</t>
        </is>
      </c>
      <c r="Y1306" s="88" t="n"/>
      <c r="Z1306" s="88" t="n"/>
    </row>
    <row r="1307" hidden="1" ht="32.4" customHeight="1">
      <c r="A1307" s="69">
        <f>ROW()-1</f>
        <v/>
      </c>
      <c r="B1307" s="53" t="n"/>
      <c r="C1307" s="117" t="n">
        <v>2026</v>
      </c>
      <c r="E1307" s="53" t="n"/>
      <c r="F1307" s="53" t="n"/>
      <c r="G1307" s="53" t="n"/>
      <c r="H1307" s="96" t="inlineStr">
        <is>
          <t>查询分类列表</t>
        </is>
      </c>
      <c r="I1307" s="76" t="inlineStr">
        <is>
          <t>EO</t>
        </is>
      </c>
      <c r="J1307" s="95" t="n"/>
      <c r="K1307" s="95" t="n"/>
      <c r="L1307" s="83">
        <f>IF(OR(X1307="估算法",X1307="算法类",X1307="无法识别"),"",IF(V1307="",IF(OR(I1307="EI",I1307="EO",I1307="EQ"),0,""),LEN(V1307)-LEN(SUBSTITUTE(V1307,"、",""))+1))</f>
        <v/>
      </c>
      <c r="M1307" s="83">
        <f>IF(OR(X1307="估算法",X1307="算法类",X1307="无法识别"),"",IF(W1307="",IF(OR(I1307="ILF",I1307="EIF"),0,""),LEN(W1307)-LEN(SUBSTITUTE(W1307,"、",""))+1))</f>
        <v/>
      </c>
      <c r="N1307" s="83">
        <f>IF(OR(X1307="估算法",X1307="算法类",X1307="无法识别"),"",IF(X1307="",IF(OR(I1307="ILF",I1307="EIF",I1307="EI",I1307="EO",I1307="EQ"),0,""),LEN(X1307)-LEN(SUBSTITUTE(SUBSTITUTE(SUBSTITUTE(SUBSTITUTE(SUBSTITUTE(X1307,"|}","--"),"{|","--"),CHAR(10),""),"、",""),"|",""))+IF(AND(OR(I1307="EI",I1307="EO",I1307="EQ"),$AD$1="NESMA"),2,1)))</f>
        <v/>
      </c>
      <c r="O1307" s="84">
        <f>IF(I1307="EI",IF(OR(X1307="估算法",X1307="算法类"),"中",IF(X1307="无法识别","低",IF(L1307&lt;2,IF(N1307&lt;16,"低","中"),IF(L1307&lt;3,IF(N1307&lt;5,"低",IF(N1307&lt;16,"中","高")),IF(N1307&lt;5,"中","高"))))),IF(OR(I1307="EO",I1307="EQ"),IF(OR(X1307="估算法",X1307="算法类"),"中",IF(X1307="无法识别","低",IF(L1307&lt;2,IF(N1307&lt;20,"低","中"),IF(L1307&lt;4,IF(N1307&lt;6,"低",IF(N1307&lt;20,"中","高")),IF(N1307&lt;6,"中","高"))))),IF(OR(I1307="ILF",I1307="EIF"),IF(OR(X1307="估算法",X1307="算法类",X1307="无法识别"),"低",IF(M1307&lt;2,IF(N1307&lt;51,"低","中"),IF(M1307&lt;6,IF(N1307&lt;20,"低",IF(N1307&lt;51,"中","高")),IF(N1307&lt;20,"中","高")))),"不计算")))</f>
        <v/>
      </c>
      <c r="P1307" s="142">
        <f>IFERROR(IF(I1307="EI",IF(O1307="低",3,IF(O1307="中",4,6)),IF(I1307="EO",IF(O1307="低",4,IF(O1307="中",5,7)),IF(I1307="EQ",IF(O1307="低",3,IF(O1307="中",4,6)),IF(I1307="ILF",IF(O1307="低",7,IF(O1307="中",10,15)),IF(I1307="EIF",IF(O1307="低",5,IF(O1307="中",7,10)),"不计算")))))*Q1307,"不计算")</f>
        <v/>
      </c>
      <c r="Q1307" s="142" t="n">
        <v>1</v>
      </c>
      <c r="R1307" s="143">
        <f>调整因子!$F$13</f>
        <v/>
      </c>
      <c r="S1307" s="76" t="n">
        <v>1</v>
      </c>
      <c r="T1307" s="144">
        <f>IFERROR(P1307*R1307,0)</f>
        <v/>
      </c>
      <c r="U1307" s="145">
        <f>T1307*S1307</f>
        <v/>
      </c>
      <c r="V1307" s="96" t="inlineStr">
        <is>
          <t>任务优先级配置表、推送配置表</t>
        </is>
      </c>
      <c r="W1307" s="96" t="inlineStr"/>
      <c r="X1307" s="111" t="inlineStr">
        <is>
          <t>任务优先级配置表{任务ID、任务名称|任务ID、任务名称、任务类型、任务状态、创建时间、执行时间}
推送配置表{配置ID、配置名称|配置ID、配置名称、配置类型、配置值、创建时间}</t>
        </is>
      </c>
      <c r="Y1307" s="88" t="n"/>
      <c r="Z1307" s="88" t="n"/>
    </row>
    <row r="1308" hidden="1" ht="21.6" customHeight="1">
      <c r="A1308" s="69">
        <f>ROW()-1</f>
        <v/>
      </c>
      <c r="B1308" s="53" t="n"/>
      <c r="C1308" s="117" t="n">
        <v>2026</v>
      </c>
      <c r="E1308" s="53" t="n"/>
      <c r="F1308" s="53" t="n"/>
      <c r="G1308" s="54" t="n"/>
      <c r="H1308" s="96" t="inlineStr">
        <is>
          <t>查看分类详情</t>
        </is>
      </c>
      <c r="I1308" s="76" t="inlineStr">
        <is>
          <t>EQ</t>
        </is>
      </c>
      <c r="J1308" s="95" t="n"/>
      <c r="K1308" s="95" t="n"/>
      <c r="L1308" s="83">
        <f>IF(OR(X1308="估算法",X1308="算法类",X1308="无法识别"),"",IF(V1308="",IF(OR(I1308="EI",I1308="EO",I1308="EQ"),0,""),LEN(V1308)-LEN(SUBSTITUTE(V1308,"、",""))+1))</f>
        <v/>
      </c>
      <c r="M1308" s="83">
        <f>IF(OR(X1308="估算法",X1308="算法类",X1308="无法识别"),"",IF(W1308="",IF(OR(I1308="ILF",I1308="EIF"),0,""),LEN(W1308)-LEN(SUBSTITUTE(W1308,"、",""))+1))</f>
        <v/>
      </c>
      <c r="N1308" s="83">
        <f>IF(OR(X1308="估算法",X1308="算法类",X1308="无法识别"),"",IF(X1308="",IF(OR(I1308="ILF",I1308="EIF",I1308="EI",I1308="EO",I1308="EQ"),0,""),LEN(X1308)-LEN(SUBSTITUTE(SUBSTITUTE(SUBSTITUTE(SUBSTITUTE(SUBSTITUTE(X1308,"|}","--"),"{|","--"),CHAR(10),""),"、",""),"|",""))+IF(AND(OR(I1308="EI",I1308="EO",I1308="EQ"),$AD$1="NESMA"),2,1)))</f>
        <v/>
      </c>
      <c r="O1308" s="84">
        <f>IF(I1308="EI",IF(OR(X1308="估算法",X1308="算法类"),"中",IF(X1308="无法识别","低",IF(L1308&lt;2,IF(N1308&lt;16,"低","中"),IF(L1308&lt;3,IF(N1308&lt;5,"低",IF(N1308&lt;16,"中","高")),IF(N1308&lt;5,"中","高"))))),IF(OR(I1308="EO",I1308="EQ"),IF(OR(X1308="估算法",X1308="算法类"),"中",IF(X1308="无法识别","低",IF(L1308&lt;2,IF(N1308&lt;20,"低","中"),IF(L1308&lt;4,IF(N1308&lt;6,"低",IF(N1308&lt;20,"中","高")),IF(N1308&lt;6,"中","高"))))),IF(OR(I1308="ILF",I1308="EIF"),IF(OR(X1308="估算法",X1308="算法类",X1308="无法识别"),"低",IF(M1308&lt;2,IF(N1308&lt;51,"低","中"),IF(M1308&lt;6,IF(N1308&lt;20,"低",IF(N1308&lt;51,"中","高")),IF(N1308&lt;20,"中","高")))),"不计算")))</f>
        <v/>
      </c>
      <c r="P1308" s="142">
        <f>IFERROR(IF(I1308="EI",IF(O1308="低",3,IF(O1308="中",4,6)),IF(I1308="EO",IF(O1308="低",4,IF(O1308="中",5,7)),IF(I1308="EQ",IF(O1308="低",3,IF(O1308="中",4,6)),IF(I1308="ILF",IF(O1308="低",7,IF(O1308="中",10,15)),IF(I1308="EIF",IF(O1308="低",5,IF(O1308="中",7,10)),"不计算")))))*Q1308,"不计算")</f>
        <v/>
      </c>
      <c r="Q1308" s="142" t="n">
        <v>1</v>
      </c>
      <c r="R1308" s="143">
        <f>调整因子!$F$13</f>
        <v/>
      </c>
      <c r="S1308" s="70" t="n">
        <v>1</v>
      </c>
      <c r="T1308" s="144">
        <f>IFERROR(P1308*R1308,0)</f>
        <v/>
      </c>
      <c r="U1308" s="145">
        <f>T1308*S1308</f>
        <v/>
      </c>
      <c r="V1308" s="96" t="inlineStr">
        <is>
          <t>故障知识库表、推送配置表</t>
        </is>
      </c>
      <c r="W1308" s="96" t="inlineStr"/>
      <c r="X1308" s="111" t="inlineStr">
        <is>
          <t>故障知识库表{ID、名称|ID、名称、类型、状态、创建时间、更新时间}
推送配置表{配置ID、配置名称|配置ID、配置名称、配置类型、配置值、创建时间}</t>
        </is>
      </c>
      <c r="Y1308" s="88" t="n"/>
      <c r="Z1308" s="88" t="n"/>
    </row>
    <row r="1309" hidden="1" ht="21.6" customHeight="1">
      <c r="A1309" s="69">
        <f>ROW()-1</f>
        <v/>
      </c>
      <c r="B1309" s="53" t="n"/>
      <c r="C1309" s="117" t="n">
        <v>2026</v>
      </c>
      <c r="E1309" s="53" t="n"/>
      <c r="F1309" s="53" t="n"/>
      <c r="G1309" s="111" t="inlineStr">
        <is>
          <t>知识标签配置管理</t>
        </is>
      </c>
      <c r="H1309" s="96" t="inlineStr">
        <is>
          <t>编辑知识标签</t>
        </is>
      </c>
      <c r="I1309" s="76" t="inlineStr">
        <is>
          <t>EI</t>
        </is>
      </c>
      <c r="J1309" s="95" t="n"/>
      <c r="K1309" s="95" t="n"/>
      <c r="L1309" s="83">
        <f>IF(OR(X1309="估算法",X1309="算法类",X1309="无法识别"),"",IF(V1309="",IF(OR(I1309="EI",I1309="EO",I1309="EQ"),0,""),LEN(V1309)-LEN(SUBSTITUTE(V1309,"、",""))+1))</f>
        <v/>
      </c>
      <c r="M1309" s="83">
        <f>IF(OR(X1309="估算法",X1309="算法类",X1309="无法识别"),"",IF(W1309="",IF(OR(I1309="ILF",I1309="EIF"),0,""),LEN(W1309)-LEN(SUBSTITUTE(W1309,"、",""))+1))</f>
        <v/>
      </c>
      <c r="N1309" s="83">
        <f>IF(OR(X1309="估算法",X1309="算法类",X1309="无法识别"),"",IF(X1309="",IF(OR(I1309="ILF",I1309="EIF",I1309="EI",I1309="EO",I1309="EQ"),0,""),LEN(X1309)-LEN(SUBSTITUTE(SUBSTITUTE(SUBSTITUTE(SUBSTITUTE(SUBSTITUTE(X1309,"|}","--"),"{|","--"),CHAR(10),""),"、",""),"|",""))+IF(AND(OR(I1309="EI",I1309="EO",I1309="EQ"),$AD$1="NESMA"),2,1)))</f>
        <v/>
      </c>
      <c r="O1309" s="84">
        <f>IF(I1309="EI",IF(OR(X1309="估算法",X1309="算法类"),"中",IF(X1309="无法识别","低",IF(L1309&lt;2,IF(N1309&lt;16,"低","中"),IF(L1309&lt;3,IF(N1309&lt;5,"低",IF(N1309&lt;16,"中","高")),IF(N1309&lt;5,"中","高"))))),IF(OR(I1309="EO",I1309="EQ"),IF(OR(X1309="估算法",X1309="算法类"),"中",IF(X1309="无法识别","低",IF(L1309&lt;2,IF(N1309&lt;20,"低","中"),IF(L1309&lt;4,IF(N1309&lt;6,"低",IF(N1309&lt;20,"中","高")),IF(N1309&lt;6,"中","高"))))),IF(OR(I1309="ILF",I1309="EIF"),IF(OR(X1309="估算法",X1309="算法类",X1309="无法识别"),"低",IF(M1309&lt;2,IF(N1309&lt;51,"低","中"),IF(M1309&lt;6,IF(N1309&lt;20,"低",IF(N1309&lt;51,"中","高")),IF(N1309&lt;20,"中","高")))),"不计算")))</f>
        <v/>
      </c>
      <c r="P1309" s="142">
        <f>IFERROR(IF(I1309="EI",IF(O1309="低",3,IF(O1309="中",4,6)),IF(I1309="EO",IF(O1309="低",4,IF(O1309="中",5,7)),IF(I1309="EQ",IF(O1309="低",3,IF(O1309="中",4,6)),IF(I1309="ILF",IF(O1309="低",7,IF(O1309="中",10,15)),IF(I1309="EIF",IF(O1309="低",5,IF(O1309="中",7,10)),"不计算")))))*Q1309,"不计算")</f>
        <v/>
      </c>
      <c r="Q1309" s="142" t="n">
        <v>1</v>
      </c>
      <c r="R1309" s="143">
        <f>调整因子!$F$13</f>
        <v/>
      </c>
      <c r="S1309" s="70" t="n">
        <v>1</v>
      </c>
      <c r="T1309" s="144">
        <f>IFERROR(P1309*R1309,0)</f>
        <v/>
      </c>
      <c r="U1309" s="145">
        <f>T1309*S1309</f>
        <v/>
      </c>
      <c r="V1309" s="96" t="inlineStr">
        <is>
          <t>通报对象表、分布分析表</t>
        </is>
      </c>
      <c r="W1309" s="96" t="inlineStr"/>
      <c r="X1309" s="111" t="inlineStr">
        <is>
          <t>通报对象表{ID、名称、类型、状态、创建时间、更新时间|ID、名称、类型}
分布分析表{ID、名称、类型、状态、创建时间、更新时间|ID、名称、类型}</t>
        </is>
      </c>
      <c r="Y1309" s="88" t="n"/>
      <c r="Z1309" s="88" t="n"/>
    </row>
    <row r="1310" hidden="1" ht="43.2" customHeight="1">
      <c r="A1310" s="69">
        <f>ROW()-1</f>
        <v/>
      </c>
      <c r="B1310" s="53" t="n"/>
      <c r="C1310" s="117" t="n">
        <v>2026</v>
      </c>
      <c r="E1310" s="53" t="n"/>
      <c r="F1310" s="53" t="n"/>
      <c r="G1310" s="53" t="n"/>
      <c r="H1310" s="96" t="inlineStr">
        <is>
          <t>删除知识标签</t>
        </is>
      </c>
      <c r="I1310" s="76" t="inlineStr">
        <is>
          <t>EI</t>
        </is>
      </c>
      <c r="J1310" s="95" t="n"/>
      <c r="K1310" s="95" t="n"/>
      <c r="L1310" s="83">
        <f>IF(OR(X1310="估算法",X1310="算法类",X1310="无法识别"),"",IF(V1310="",IF(OR(I1310="EI",I1310="EO",I1310="EQ"),0,""),LEN(V1310)-LEN(SUBSTITUTE(V1310,"、",""))+1))</f>
        <v/>
      </c>
      <c r="M1310" s="83">
        <f>IF(OR(X1310="估算法",X1310="算法类",X1310="无法识别"),"",IF(W1310="",IF(OR(I1310="ILF",I1310="EIF"),0,""),LEN(W1310)-LEN(SUBSTITUTE(W1310,"、",""))+1))</f>
        <v/>
      </c>
      <c r="N1310" s="83">
        <f>IF(OR(X1310="估算法",X1310="算法类",X1310="无法识别"),"",IF(X1310="",IF(OR(I1310="ILF",I1310="EIF",I1310="EI",I1310="EO",I1310="EQ"),0,""),LEN(X1310)-LEN(SUBSTITUTE(SUBSTITUTE(SUBSTITUTE(SUBSTITUTE(SUBSTITUTE(X1310,"|}","--"),"{|","--"),CHAR(10),""),"、",""),"|",""))+IF(AND(OR(I1310="EI",I1310="EO",I1310="EQ"),$AD$1="NESMA"),2,1)))</f>
        <v/>
      </c>
      <c r="O1310" s="84">
        <f>IF(I1310="EI",IF(OR(X1310="估算法",X1310="算法类"),"中",IF(X1310="无法识别","低",IF(L1310&lt;2,IF(N1310&lt;16,"低","中"),IF(L1310&lt;3,IF(N1310&lt;5,"低",IF(N1310&lt;16,"中","高")),IF(N1310&lt;5,"中","高"))))),IF(OR(I1310="EO",I1310="EQ"),IF(OR(X1310="估算法",X1310="算法类"),"中",IF(X1310="无法识别","低",IF(L1310&lt;2,IF(N1310&lt;20,"低","中"),IF(L1310&lt;4,IF(N1310&lt;6,"低",IF(N1310&lt;20,"中","高")),IF(N1310&lt;6,"中","高"))))),IF(OR(I1310="ILF",I1310="EIF"),IF(OR(X1310="估算法",X1310="算法类",X1310="无法识别"),"低",IF(M1310&lt;2,IF(N1310&lt;51,"低","中"),IF(M1310&lt;6,IF(N1310&lt;20,"低",IF(N1310&lt;51,"中","高")),IF(N1310&lt;20,"中","高")))),"不计算")))</f>
        <v/>
      </c>
      <c r="P1310" s="142">
        <f>IFERROR(IF(I1310="EI",IF(O1310="低",3,IF(O1310="中",4,6)),IF(I1310="EO",IF(O1310="低",4,IF(O1310="中",5,7)),IF(I1310="EQ",IF(O1310="低",3,IF(O1310="中",4,6)),IF(I1310="ILF",IF(O1310="低",7,IF(O1310="中",10,15)),IF(I1310="EIF",IF(O1310="低",5,IF(O1310="中",7,10)),"不计算")))))*Q1310,"不计算")</f>
        <v/>
      </c>
      <c r="Q1310" s="142" t="n">
        <v>0.333333333333333</v>
      </c>
      <c r="R1310" s="143">
        <f>调整因子!$F$13</f>
        <v/>
      </c>
      <c r="S1310" s="76" t="n">
        <v>1</v>
      </c>
      <c r="T1310" s="144">
        <f>IFERROR(P1310*R1310,0)</f>
        <v/>
      </c>
      <c r="U1310" s="145">
        <f>T1310*S1310</f>
        <v/>
      </c>
      <c r="V1310" s="96" t="inlineStr">
        <is>
          <t>接口参数配置表、处置单配置表</t>
        </is>
      </c>
      <c r="W1310" s="96" t="inlineStr"/>
      <c r="X1310" s="111" t="inlineStr">
        <is>
          <t>接口参数配置表{配置ID、配置名称、配置类型、配置值、创建时间|配置ID、配置名称、配置类型}
处置单配置表{配置ID、配置名称、配置类型、配置值、创建时间|配置ID、配置名称、配置类型}</t>
        </is>
      </c>
      <c r="Y1310" s="88" t="n"/>
      <c r="Z1310" s="88" t="n"/>
    </row>
    <row r="1311" hidden="1" ht="21.6" customHeight="1">
      <c r="A1311" s="69">
        <f>ROW()-1</f>
        <v/>
      </c>
      <c r="B1311" s="53" t="n"/>
      <c r="C1311" s="117" t="n">
        <v>2026</v>
      </c>
      <c r="E1311" s="53" t="n"/>
      <c r="F1311" s="53" t="n"/>
      <c r="G1311" s="53" t="n"/>
      <c r="H1311" s="96" t="inlineStr">
        <is>
          <t>启用知识标签</t>
        </is>
      </c>
      <c r="I1311" s="76" t="inlineStr">
        <is>
          <t>EI</t>
        </is>
      </c>
      <c r="J1311" s="95" t="n"/>
      <c r="K1311" s="95" t="n"/>
      <c r="L1311" s="83">
        <f>IF(OR(X1311="估算法",X1311="算法类",X1311="无法识别"),"",IF(V1311="",IF(OR(I1311="EI",I1311="EO",I1311="EQ"),0,""),LEN(V1311)-LEN(SUBSTITUTE(V1311,"、",""))+1))</f>
        <v/>
      </c>
      <c r="M1311" s="83">
        <f>IF(OR(X1311="估算法",X1311="算法类",X1311="无法识别"),"",IF(W1311="",IF(OR(I1311="ILF",I1311="EIF"),0,""),LEN(W1311)-LEN(SUBSTITUTE(W1311,"、",""))+1))</f>
        <v/>
      </c>
      <c r="N1311" s="83">
        <f>IF(OR(X1311="估算法",X1311="算法类",X1311="无法识别"),"",IF(X1311="",IF(OR(I1311="ILF",I1311="EIF",I1311="EI",I1311="EO",I1311="EQ"),0,""),LEN(X1311)-LEN(SUBSTITUTE(SUBSTITUTE(SUBSTITUTE(SUBSTITUTE(SUBSTITUTE(X1311,"|}","--"),"{|","--"),CHAR(10),""),"、",""),"|",""))+IF(AND(OR(I1311="EI",I1311="EO",I1311="EQ"),$AD$1="NESMA"),2,1)))</f>
        <v/>
      </c>
      <c r="O1311" s="84">
        <f>IF(I1311="EI",IF(OR(X1311="估算法",X1311="算法类"),"中",IF(X1311="无法识别","低",IF(L1311&lt;2,IF(N1311&lt;16,"低","中"),IF(L1311&lt;3,IF(N1311&lt;5,"低",IF(N1311&lt;16,"中","高")),IF(N1311&lt;5,"中","高"))))),IF(OR(I1311="EO",I1311="EQ"),IF(OR(X1311="估算法",X1311="算法类"),"中",IF(X1311="无法识别","低",IF(L1311&lt;2,IF(N1311&lt;20,"低","中"),IF(L1311&lt;4,IF(N1311&lt;6,"低",IF(N1311&lt;20,"中","高")),IF(N1311&lt;6,"中","高"))))),IF(OR(I1311="ILF",I1311="EIF"),IF(OR(X1311="估算法",X1311="算法类",X1311="无法识别"),"低",IF(M1311&lt;2,IF(N1311&lt;51,"低","中"),IF(M1311&lt;6,IF(N1311&lt;20,"低",IF(N1311&lt;51,"中","高")),IF(N1311&lt;20,"中","高")))),"不计算")))</f>
        <v/>
      </c>
      <c r="P1311" s="142">
        <f>IFERROR(IF(I1311="EI",IF(O1311="低",3,IF(O1311="中",4,6)),IF(I1311="EO",IF(O1311="低",4,IF(O1311="中",5,7)),IF(I1311="EQ",IF(O1311="低",3,IF(O1311="中",4,6)),IF(I1311="ILF",IF(O1311="低",7,IF(O1311="中",10,15)),IF(I1311="EIF",IF(O1311="低",5,IF(O1311="中",7,10)),"不计算")))))*Q1311,"不计算")</f>
        <v/>
      </c>
      <c r="Q1311" s="142" t="n">
        <v>1</v>
      </c>
      <c r="R1311" s="143">
        <f>调整因子!$F$13</f>
        <v/>
      </c>
      <c r="S1311" s="70" t="n">
        <v>1</v>
      </c>
      <c r="T1311" s="144">
        <f>IFERROR(P1311*R1311,0)</f>
        <v/>
      </c>
      <c r="U1311" s="145">
        <f>T1311*S1311</f>
        <v/>
      </c>
      <c r="V1311" s="96" t="inlineStr">
        <is>
          <t>日志采集配置表</t>
        </is>
      </c>
      <c r="W1311" s="96" t="inlineStr"/>
      <c r="X1311" s="111" t="inlineStr">
        <is>
          <t>日志采集配置表{配置ID、配置名称、配置类型、配置值、创建时间|配置ID、配置名称、配置类型}</t>
        </is>
      </c>
      <c r="Y1311" s="88" t="n"/>
      <c r="Z1311" s="88" t="n"/>
    </row>
    <row r="1312" hidden="1">
      <c r="A1312" s="69">
        <f>ROW()-1</f>
        <v/>
      </c>
      <c r="B1312" s="53" t="n"/>
      <c r="C1312" s="117" t="n">
        <v>2026</v>
      </c>
      <c r="E1312" s="53" t="n"/>
      <c r="F1312" s="53" t="n"/>
      <c r="G1312" s="53" t="n"/>
      <c r="H1312" s="96" t="inlineStr">
        <is>
          <t>停用知识标签</t>
        </is>
      </c>
      <c r="I1312" s="76" t="n"/>
      <c r="J1312" s="95" t="n"/>
      <c r="K1312" s="95" t="inlineStr">
        <is>
          <t>和上行合并，启停为相同功能</t>
        </is>
      </c>
      <c r="L1312" s="83">
        <f>IF(OR(X1312="估算法",X1312="算法类",X1312="无法识别"),"",IF(V1312="",IF(OR(I1312="EI",I1312="EO",I1312="EQ"),0,""),LEN(V1312)-LEN(SUBSTITUTE(V1312,"、",""))+1))</f>
        <v/>
      </c>
      <c r="M1312" s="83">
        <f>IF(OR(X1312="估算法",X1312="算法类",X1312="无法识别"),"",IF(W1312="",IF(OR(I1312="ILF",I1312="EIF"),0,""),LEN(W1312)-LEN(SUBSTITUTE(W1312,"、",""))+1))</f>
        <v/>
      </c>
      <c r="N1312" s="83">
        <f>IF(OR(X1312="估算法",X1312="算法类",X1312="无法识别"),"",IF(X1312="",IF(OR(I1312="ILF",I1312="EIF",I1312="EI",I1312="EO",I1312="EQ"),0,""),LEN(X1312)-LEN(SUBSTITUTE(SUBSTITUTE(SUBSTITUTE(SUBSTITUTE(SUBSTITUTE(X1312,"|}","--"),"{|","--"),CHAR(10),""),"、",""),"|",""))+IF(AND(OR(I1312="EI",I1312="EO",I1312="EQ"),$AD$1="NESMA"),2,1)))</f>
        <v/>
      </c>
      <c r="O1312" s="84">
        <f>IF(I1312="EI",IF(OR(X1312="估算法",X1312="算法类"),"中",IF(X1312="无法识别","低",IF(L1312&lt;2,IF(N1312&lt;16,"低","中"),IF(L1312&lt;3,IF(N1312&lt;5,"低",IF(N1312&lt;16,"中","高")),IF(N1312&lt;5,"中","高"))))),IF(OR(I1312="EO",I1312="EQ"),IF(OR(X1312="估算法",X1312="算法类"),"中",IF(X1312="无法识别","低",IF(L1312&lt;2,IF(N1312&lt;20,"低","中"),IF(L1312&lt;4,IF(N1312&lt;6,"低",IF(N1312&lt;20,"中","高")),IF(N1312&lt;6,"中","高"))))),IF(OR(I1312="ILF",I1312="EIF"),IF(OR(X1312="估算法",X1312="算法类",X1312="无法识别"),"低",IF(M1312&lt;2,IF(N1312&lt;51,"低","中"),IF(M1312&lt;6,IF(N1312&lt;20,"低",IF(N1312&lt;51,"中","高")),IF(N1312&lt;20,"中","高")))),"不计算")))</f>
        <v/>
      </c>
      <c r="P1312" s="142">
        <f>IFERROR(IF(I1312="EI",IF(O1312="低",3,IF(O1312="中",4,6)),IF(I1312="EO",IF(O1312="低",4,IF(O1312="中",5,7)),IF(I1312="EQ",IF(O1312="低",3,IF(O1312="中",4,6)),IF(I1312="ILF",IF(O1312="低",7,IF(O1312="中",10,15)),IF(I1312="EIF",IF(O1312="低",5,IF(O1312="中",7,10)),"不计算")))))*Q1312,"不计算")</f>
        <v/>
      </c>
      <c r="Q1312" s="142" t="n">
        <v>1</v>
      </c>
      <c r="R1312" s="143">
        <f>调整因子!$F$13</f>
        <v/>
      </c>
      <c r="S1312" s="70" t="n">
        <v>1</v>
      </c>
      <c r="T1312" s="144">
        <f>IFERROR(P1312*R1312,0)</f>
        <v/>
      </c>
      <c r="U1312" s="145">
        <f>T1312*S1312</f>
        <v/>
      </c>
      <c r="V1312" s="96" t="inlineStr">
        <is>
          <t>指标阈值表</t>
        </is>
      </c>
      <c r="W1312" s="96" t="inlineStr"/>
      <c r="X1312" s="111" t="inlineStr">
        <is>
          <t>指标阈值表{ID、名称、类型、状态、创建时间、更新时间|ID、名称、类型}</t>
        </is>
      </c>
      <c r="Y1312" s="88" t="n"/>
      <c r="Z1312" s="88" t="n"/>
    </row>
    <row r="1313" hidden="1" ht="21.6" customHeight="1">
      <c r="A1313" s="69">
        <f>ROW()-1</f>
        <v/>
      </c>
      <c r="B1313" s="53" t="n"/>
      <c r="C1313" s="117" t="n">
        <v>2026</v>
      </c>
      <c r="E1313" s="53" t="n"/>
      <c r="F1313" s="53" t="n"/>
      <c r="G1313" s="53" t="n"/>
      <c r="H1313" s="96" t="inlineStr">
        <is>
          <t>导出标签配置</t>
        </is>
      </c>
      <c r="I1313" s="76" t="inlineStr">
        <is>
          <t>EO</t>
        </is>
      </c>
      <c r="J1313" s="95" t="n"/>
      <c r="K1313" s="95" t="n"/>
      <c r="L1313" s="83">
        <f>IF(OR(X1313="估算法",X1313="算法类",X1313="无法识别"),"",IF(V1313="",IF(OR(I1313="EI",I1313="EO",I1313="EQ"),0,""),LEN(V1313)-LEN(SUBSTITUTE(V1313,"、",""))+1))</f>
        <v/>
      </c>
      <c r="M1313" s="83">
        <f>IF(OR(X1313="估算法",X1313="算法类",X1313="无法识别"),"",IF(W1313="",IF(OR(I1313="ILF",I1313="EIF"),0,""),LEN(W1313)-LEN(SUBSTITUTE(W1313,"、",""))+1))</f>
        <v/>
      </c>
      <c r="N1313" s="83">
        <f>IF(OR(X1313="估算法",X1313="算法类",X1313="无法识别"),"",IF(X1313="",IF(OR(I1313="ILF",I1313="EIF",I1313="EI",I1313="EO",I1313="EQ"),0,""),LEN(X1313)-LEN(SUBSTITUTE(SUBSTITUTE(SUBSTITUTE(SUBSTITUTE(SUBSTITUTE(X1313,"|}","--"),"{|","--"),CHAR(10),""),"、",""),"|",""))+IF(AND(OR(I1313="EI",I1313="EO",I1313="EQ"),$AD$1="NESMA"),2,1)))</f>
        <v/>
      </c>
      <c r="O1313" s="84">
        <f>IF(I1313="EI",IF(OR(X1313="估算法",X1313="算法类"),"中",IF(X1313="无法识别","低",IF(L1313&lt;2,IF(N1313&lt;16,"低","中"),IF(L1313&lt;3,IF(N1313&lt;5,"低",IF(N1313&lt;16,"中","高")),IF(N1313&lt;5,"中","高"))))),IF(OR(I1313="EO",I1313="EQ"),IF(OR(X1313="估算法",X1313="算法类"),"中",IF(X1313="无法识别","低",IF(L1313&lt;2,IF(N1313&lt;20,"低","中"),IF(L1313&lt;4,IF(N1313&lt;6,"低",IF(N1313&lt;20,"中","高")),IF(N1313&lt;6,"中","高"))))),IF(OR(I1313="ILF",I1313="EIF"),IF(OR(X1313="估算法",X1313="算法类",X1313="无法识别"),"低",IF(M1313&lt;2,IF(N1313&lt;51,"低","中"),IF(M1313&lt;6,IF(N1313&lt;20,"低",IF(N1313&lt;51,"中","高")),IF(N1313&lt;20,"中","高")))),"不计算")))</f>
        <v/>
      </c>
      <c r="P1313" s="142">
        <f>IFERROR(IF(I1313="EI",IF(O1313="低",3,IF(O1313="中",4,6)),IF(I1313="EO",IF(O1313="低",4,IF(O1313="中",5,7)),IF(I1313="EQ",IF(O1313="低",3,IF(O1313="中",4,6)),IF(I1313="ILF",IF(O1313="低",7,IF(O1313="中",10,15)),IF(I1313="EIF",IF(O1313="低",5,IF(O1313="中",7,10)),"不计算")))))*Q1313,"不计算")</f>
        <v/>
      </c>
      <c r="Q1313" s="142" t="n">
        <v>1</v>
      </c>
      <c r="R1313" s="143">
        <f>调整因子!$F$13</f>
        <v/>
      </c>
      <c r="S1313" s="76" t="n">
        <v>1</v>
      </c>
      <c r="T1313" s="144">
        <f>IFERROR(P1313*R1313,0)</f>
        <v/>
      </c>
      <c r="U1313" s="145">
        <f>T1313*S1313</f>
        <v/>
      </c>
      <c r="V1313" s="96" t="inlineStr">
        <is>
          <t>任务优先级配置表</t>
        </is>
      </c>
      <c r="W1313" s="96" t="inlineStr"/>
      <c r="X1313" s="111" t="inlineStr">
        <is>
          <t>任务优先级配置表{任务ID、任务名称|任务ID、任务名称、任务类型、任务状态、创建时间、执行时间}</t>
        </is>
      </c>
      <c r="Y1313" s="88" t="n"/>
      <c r="Z1313" s="88" t="n"/>
    </row>
    <row r="1314" hidden="1">
      <c r="A1314" s="69">
        <f>ROW()-1</f>
        <v/>
      </c>
      <c r="B1314" s="53" t="n"/>
      <c r="C1314" s="117" t="n">
        <v>2026</v>
      </c>
      <c r="E1314" s="53" t="n"/>
      <c r="F1314" s="53" t="n"/>
      <c r="G1314" s="53" t="n"/>
      <c r="H1314" s="96" t="inlineStr">
        <is>
          <t>查询标签列表</t>
        </is>
      </c>
      <c r="I1314" s="76" t="inlineStr">
        <is>
          <t>EO</t>
        </is>
      </c>
      <c r="J1314" s="95" t="n"/>
      <c r="K1314" s="95" t="n"/>
      <c r="L1314" s="83">
        <f>IF(OR(X1314="估算法",X1314="算法类",X1314="无法识别"),"",IF(V1314="",IF(OR(I1314="EI",I1314="EO",I1314="EQ"),0,""),LEN(V1314)-LEN(SUBSTITUTE(V1314,"、",""))+1))</f>
        <v/>
      </c>
      <c r="M1314" s="83">
        <f>IF(OR(X1314="估算法",X1314="算法类",X1314="无法识别"),"",IF(W1314="",IF(OR(I1314="ILF",I1314="EIF"),0,""),LEN(W1314)-LEN(SUBSTITUTE(W1314,"、",""))+1))</f>
        <v/>
      </c>
      <c r="N1314" s="83">
        <f>IF(OR(X1314="估算法",X1314="算法类",X1314="无法识别"),"",IF(X1314="",IF(OR(I1314="ILF",I1314="EIF",I1314="EI",I1314="EO",I1314="EQ"),0,""),LEN(X1314)-LEN(SUBSTITUTE(SUBSTITUTE(SUBSTITUTE(SUBSTITUTE(SUBSTITUTE(X1314,"|}","--"),"{|","--"),CHAR(10),""),"、",""),"|",""))+IF(AND(OR(I1314="EI",I1314="EO",I1314="EQ"),$AD$1="NESMA"),2,1)))</f>
        <v/>
      </c>
      <c r="O1314" s="84">
        <f>IF(I1314="EI",IF(OR(X1314="估算法",X1314="算法类"),"中",IF(X1314="无法识别","低",IF(L1314&lt;2,IF(N1314&lt;16,"低","中"),IF(L1314&lt;3,IF(N1314&lt;5,"低",IF(N1314&lt;16,"中","高")),IF(N1314&lt;5,"中","高"))))),IF(OR(I1314="EO",I1314="EQ"),IF(OR(X1314="估算法",X1314="算法类"),"中",IF(X1314="无法识别","低",IF(L1314&lt;2,IF(N1314&lt;20,"低","中"),IF(L1314&lt;4,IF(N1314&lt;6,"低",IF(N1314&lt;20,"中","高")),IF(N1314&lt;6,"中","高"))))),IF(OR(I1314="ILF",I1314="EIF"),IF(OR(X1314="估算法",X1314="算法类",X1314="无法识别"),"低",IF(M1314&lt;2,IF(N1314&lt;51,"低","中"),IF(M1314&lt;6,IF(N1314&lt;20,"低",IF(N1314&lt;51,"中","高")),IF(N1314&lt;20,"中","高")))),"不计算")))</f>
        <v/>
      </c>
      <c r="P1314" s="142">
        <f>IFERROR(IF(I1314="EI",IF(O1314="低",3,IF(O1314="中",4,6)),IF(I1314="EO",IF(O1314="低",4,IF(O1314="中",5,7)),IF(I1314="EQ",IF(O1314="低",3,IF(O1314="中",4,6)),IF(I1314="ILF",IF(O1314="低",7,IF(O1314="中",10,15)),IF(I1314="EIF",IF(O1314="低",5,IF(O1314="中",7,10)),"不计算")))))*Q1314,"不计算")</f>
        <v/>
      </c>
      <c r="Q1314" s="142" t="n">
        <v>1</v>
      </c>
      <c r="R1314" s="143">
        <f>调整因子!$F$13</f>
        <v/>
      </c>
      <c r="S1314" s="76" t="n">
        <v>1</v>
      </c>
      <c r="T1314" s="144">
        <f>IFERROR(P1314*R1314,0)</f>
        <v/>
      </c>
      <c r="U1314" s="145">
        <f>T1314*S1314</f>
        <v/>
      </c>
      <c r="V1314" s="96" t="inlineStr">
        <is>
          <t>推送对象表</t>
        </is>
      </c>
      <c r="W1314" s="96" t="inlineStr"/>
      <c r="X1314" s="111" t="inlineStr">
        <is>
          <t>推送对象表{ID、名称|ID、名称、类型、状态、创建时间、更新时间}</t>
        </is>
      </c>
      <c r="Y1314" s="88" t="n"/>
      <c r="Z1314" s="88" t="n"/>
    </row>
    <row r="1315" hidden="1">
      <c r="A1315" s="69">
        <f>ROW()-1</f>
        <v/>
      </c>
      <c r="B1315" s="53" t="n"/>
      <c r="C1315" s="117" t="n">
        <v>2026</v>
      </c>
      <c r="E1315" s="53" t="n"/>
      <c r="F1315" s="53" t="n"/>
      <c r="G1315" s="54" t="n"/>
      <c r="H1315" s="96" t="inlineStr">
        <is>
          <t>查看标签详情</t>
        </is>
      </c>
      <c r="I1315" s="76" t="inlineStr">
        <is>
          <t>EQ</t>
        </is>
      </c>
      <c r="J1315" s="95" t="n"/>
      <c r="K1315" s="95" t="n"/>
      <c r="L1315" s="83">
        <f>IF(OR(X1315="估算法",X1315="算法类",X1315="无法识别"),"",IF(V1315="",IF(OR(I1315="EI",I1315="EO",I1315="EQ"),0,""),LEN(V1315)-LEN(SUBSTITUTE(V1315,"、",""))+1))</f>
        <v/>
      </c>
      <c r="M1315" s="83">
        <f>IF(OR(X1315="估算法",X1315="算法类",X1315="无法识别"),"",IF(W1315="",IF(OR(I1315="ILF",I1315="EIF"),0,""),LEN(W1315)-LEN(SUBSTITUTE(W1315,"、",""))+1))</f>
        <v/>
      </c>
      <c r="N1315" s="83">
        <f>IF(OR(X1315="估算法",X1315="算法类",X1315="无法识别"),"",IF(X1315="",IF(OR(I1315="ILF",I1315="EIF",I1315="EI",I1315="EO",I1315="EQ"),0,""),LEN(X1315)-LEN(SUBSTITUTE(SUBSTITUTE(SUBSTITUTE(SUBSTITUTE(SUBSTITUTE(X1315,"|}","--"),"{|","--"),CHAR(10),""),"、",""),"|",""))+IF(AND(OR(I1315="EI",I1315="EO",I1315="EQ"),$AD$1="NESMA"),2,1)))</f>
        <v/>
      </c>
      <c r="O1315" s="84">
        <f>IF(I1315="EI",IF(OR(X1315="估算法",X1315="算法类"),"中",IF(X1315="无法识别","低",IF(L1315&lt;2,IF(N1315&lt;16,"低","中"),IF(L1315&lt;3,IF(N1315&lt;5,"低",IF(N1315&lt;16,"中","高")),IF(N1315&lt;5,"中","高"))))),IF(OR(I1315="EO",I1315="EQ"),IF(OR(X1315="估算法",X1315="算法类"),"中",IF(X1315="无法识别","低",IF(L1315&lt;2,IF(N1315&lt;20,"低","中"),IF(L1315&lt;4,IF(N1315&lt;6,"低",IF(N1315&lt;20,"中","高")),IF(N1315&lt;6,"中","高"))))),IF(OR(I1315="ILF",I1315="EIF"),IF(OR(X1315="估算法",X1315="算法类",X1315="无法识别"),"低",IF(M1315&lt;2,IF(N1315&lt;51,"低","中"),IF(M1315&lt;6,IF(N1315&lt;20,"低",IF(N1315&lt;51,"中","高")),IF(N1315&lt;20,"中","高")))),"不计算")))</f>
        <v/>
      </c>
      <c r="P1315" s="142">
        <f>IFERROR(IF(I1315="EI",IF(O1315="低",3,IF(O1315="中",4,6)),IF(I1315="EO",IF(O1315="低",4,IF(O1315="中",5,7)),IF(I1315="EQ",IF(O1315="低",3,IF(O1315="中",4,6)),IF(I1315="ILF",IF(O1315="低",7,IF(O1315="中",10,15)),IF(I1315="EIF",IF(O1315="低",5,IF(O1315="中",7,10)),"不计算")))))*Q1315,"不计算")</f>
        <v/>
      </c>
      <c r="Q1315" s="142" t="n">
        <v>1</v>
      </c>
      <c r="R1315" s="143">
        <f>调整因子!$F$13</f>
        <v/>
      </c>
      <c r="S1315" s="70" t="n">
        <v>1</v>
      </c>
      <c r="T1315" s="144">
        <f>IFERROR(P1315*R1315,0)</f>
        <v/>
      </c>
      <c r="U1315" s="145">
        <f>T1315*S1315</f>
        <v/>
      </c>
      <c r="V1315" s="96" t="inlineStr">
        <is>
          <t>分布分析表</t>
        </is>
      </c>
      <c r="W1315" s="96" t="inlineStr"/>
      <c r="X1315" s="111" t="inlineStr">
        <is>
          <t>分布分析表{ID、名称|ID、名称、类型、状态、创建时间、更新时间}</t>
        </is>
      </c>
      <c r="Y1315" s="88" t="n"/>
      <c r="Z1315" s="88" t="n"/>
    </row>
    <row r="1316" hidden="1" ht="43.2" customHeight="1">
      <c r="A1316" s="69">
        <f>ROW()-1</f>
        <v/>
      </c>
      <c r="B1316" s="53" t="n"/>
      <c r="C1316" s="117" t="n">
        <v>2026</v>
      </c>
      <c r="E1316" s="53" t="n"/>
      <c r="F1316" s="53" t="n"/>
      <c r="G1316" s="111" t="inlineStr">
        <is>
          <t>知识权限配置管理</t>
        </is>
      </c>
      <c r="H1316" s="96" t="inlineStr">
        <is>
          <t>编辑知识权限</t>
        </is>
      </c>
      <c r="I1316" s="76" t="inlineStr">
        <is>
          <t>EI</t>
        </is>
      </c>
      <c r="J1316" s="95" t="n"/>
      <c r="K1316" s="95" t="n"/>
      <c r="L1316" s="83">
        <f>IF(OR(X1316="估算法",X1316="算法类",X1316="无法识别"),"",IF(V1316="",IF(OR(I1316="EI",I1316="EO",I1316="EQ"),0,""),LEN(V1316)-LEN(SUBSTITUTE(V1316,"、",""))+1))</f>
        <v/>
      </c>
      <c r="M1316" s="83">
        <f>IF(OR(X1316="估算法",X1316="算法类",X1316="无法识别"),"",IF(W1316="",IF(OR(I1316="ILF",I1316="EIF"),0,""),LEN(W1316)-LEN(SUBSTITUTE(W1316,"、",""))+1))</f>
        <v/>
      </c>
      <c r="N1316" s="83">
        <f>IF(OR(X1316="估算法",X1316="算法类",X1316="无法识别"),"",IF(X1316="",IF(OR(I1316="ILF",I1316="EIF",I1316="EI",I1316="EO",I1316="EQ"),0,""),LEN(X1316)-LEN(SUBSTITUTE(SUBSTITUTE(SUBSTITUTE(SUBSTITUTE(SUBSTITUTE(X1316,"|}","--"),"{|","--"),CHAR(10),""),"、",""),"|",""))+IF(AND(OR(I1316="EI",I1316="EO",I1316="EQ"),$AD$1="NESMA"),2,1)))</f>
        <v/>
      </c>
      <c r="O1316" s="84">
        <f>IF(I1316="EI",IF(OR(X1316="估算法",X1316="算法类"),"中",IF(X1316="无法识别","低",IF(L1316&lt;2,IF(N1316&lt;16,"低","中"),IF(L1316&lt;3,IF(N1316&lt;5,"低",IF(N1316&lt;16,"中","高")),IF(N1316&lt;5,"中","高"))))),IF(OR(I1316="EO",I1316="EQ"),IF(OR(X1316="估算法",X1316="算法类"),"中",IF(X1316="无法识别","低",IF(L1316&lt;2,IF(N1316&lt;20,"低","中"),IF(L1316&lt;4,IF(N1316&lt;6,"低",IF(N1316&lt;20,"中","高")),IF(N1316&lt;6,"中","高"))))),IF(OR(I1316="ILF",I1316="EIF"),IF(OR(X1316="估算法",X1316="算法类",X1316="无法识别"),"低",IF(M1316&lt;2,IF(N1316&lt;51,"低","中"),IF(M1316&lt;6,IF(N1316&lt;20,"低",IF(N1316&lt;51,"中","高")),IF(N1316&lt;20,"中","高")))),"不计算")))</f>
        <v/>
      </c>
      <c r="P1316" s="142">
        <f>IFERROR(IF(I1316="EI",IF(O1316="低",3,IF(O1316="中",4,6)),IF(I1316="EO",IF(O1316="低",4,IF(O1316="中",5,7)),IF(I1316="EQ",IF(O1316="低",3,IF(O1316="中",4,6)),IF(I1316="ILF",IF(O1316="低",7,IF(O1316="中",10,15)),IF(I1316="EIF",IF(O1316="低",5,IF(O1316="中",7,10)),"不计算")))))*Q1316,"不计算")</f>
        <v/>
      </c>
      <c r="Q1316" s="142" t="n">
        <v>1</v>
      </c>
      <c r="R1316" s="143">
        <f>调整因子!$F$13</f>
        <v/>
      </c>
      <c r="S1316" s="70" t="n">
        <v>1</v>
      </c>
      <c r="T1316" s="144">
        <f>IFERROR(P1316*R1316,0)</f>
        <v/>
      </c>
      <c r="U1316" s="145">
        <f>T1316*S1316</f>
        <v/>
      </c>
      <c r="V1316" s="96" t="inlineStr">
        <is>
          <t>态势大屏配置表、同步任务调度表</t>
        </is>
      </c>
      <c r="W1316" s="96" t="inlineStr"/>
      <c r="X1316" s="111" t="inlineStr">
        <is>
          <t>态势大屏配置表{配置ID、配置名称、配置类型、配置值、创建时间|配置ID、配置名称、配置类型}
同步任务调度表{任务ID、任务名称、任务类型、任务状态、创建时间、执行时间|任务ID、任务名称、任务类型}</t>
        </is>
      </c>
      <c r="Y1316" s="88" t="n"/>
      <c r="Z1316" s="88" t="n"/>
    </row>
    <row r="1317" hidden="1" ht="43.2" customHeight="1">
      <c r="A1317" s="69">
        <f>ROW()-1</f>
        <v/>
      </c>
      <c r="B1317" s="53" t="n"/>
      <c r="C1317" s="117" t="n">
        <v>2026</v>
      </c>
      <c r="E1317" s="53" t="n"/>
      <c r="F1317" s="53" t="n"/>
      <c r="G1317" s="53" t="n"/>
      <c r="H1317" s="96" t="inlineStr">
        <is>
          <t>删除知识权限</t>
        </is>
      </c>
      <c r="I1317" s="76" t="inlineStr">
        <is>
          <t>EI</t>
        </is>
      </c>
      <c r="J1317" s="95" t="n"/>
      <c r="K1317" s="95" t="n"/>
      <c r="L1317" s="83">
        <f>IF(OR(X1317="估算法",X1317="算法类",X1317="无法识别"),"",IF(V1317="",IF(OR(I1317="EI",I1317="EO",I1317="EQ"),0,""),LEN(V1317)-LEN(SUBSTITUTE(V1317,"、",""))+1))</f>
        <v/>
      </c>
      <c r="M1317" s="83">
        <f>IF(OR(X1317="估算法",X1317="算法类",X1317="无法识别"),"",IF(W1317="",IF(OR(I1317="ILF",I1317="EIF"),0,""),LEN(W1317)-LEN(SUBSTITUTE(W1317,"、",""))+1))</f>
        <v/>
      </c>
      <c r="N1317" s="83">
        <f>IF(OR(X1317="估算法",X1317="算法类",X1317="无法识别"),"",IF(X1317="",IF(OR(I1317="ILF",I1317="EIF",I1317="EI",I1317="EO",I1317="EQ"),0,""),LEN(X1317)-LEN(SUBSTITUTE(SUBSTITUTE(SUBSTITUTE(SUBSTITUTE(SUBSTITUTE(X1317,"|}","--"),"{|","--"),CHAR(10),""),"、",""),"|",""))+IF(AND(OR(I1317="EI",I1317="EO",I1317="EQ"),$AD$1="NESMA"),2,1)))</f>
        <v/>
      </c>
      <c r="O1317" s="84">
        <f>IF(I1317="EI",IF(OR(X1317="估算法",X1317="算法类"),"中",IF(X1317="无法识别","低",IF(L1317&lt;2,IF(N1317&lt;16,"低","中"),IF(L1317&lt;3,IF(N1317&lt;5,"低",IF(N1317&lt;16,"中","高")),IF(N1317&lt;5,"中","高"))))),IF(OR(I1317="EO",I1317="EQ"),IF(OR(X1317="估算法",X1317="算法类"),"中",IF(X1317="无法识别","低",IF(L1317&lt;2,IF(N1317&lt;20,"低","中"),IF(L1317&lt;4,IF(N1317&lt;6,"低",IF(N1317&lt;20,"中","高")),IF(N1317&lt;6,"中","高"))))),IF(OR(I1317="ILF",I1317="EIF"),IF(OR(X1317="估算法",X1317="算法类",X1317="无法识别"),"低",IF(M1317&lt;2,IF(N1317&lt;51,"低","中"),IF(M1317&lt;6,IF(N1317&lt;20,"低",IF(N1317&lt;51,"中","高")),IF(N1317&lt;20,"中","高")))),"不计算")))</f>
        <v/>
      </c>
      <c r="P1317" s="142">
        <f>IFERROR(IF(I1317="EI",IF(O1317="低",3,IF(O1317="中",4,6)),IF(I1317="EO",IF(O1317="低",4,IF(O1317="中",5,7)),IF(I1317="EQ",IF(O1317="低",3,IF(O1317="中",4,6)),IF(I1317="ILF",IF(O1317="低",7,IF(O1317="中",10,15)),IF(I1317="EIF",IF(O1317="低",5,IF(O1317="中",7,10)),"不计算")))))*Q1317,"不计算")</f>
        <v/>
      </c>
      <c r="Q1317" s="142" t="n">
        <v>0.333333333333333</v>
      </c>
      <c r="R1317" s="143">
        <f>调整因子!$F$13</f>
        <v/>
      </c>
      <c r="S1317" s="76" t="n">
        <v>1</v>
      </c>
      <c r="T1317" s="144">
        <f>IFERROR(P1317*R1317,0)</f>
        <v/>
      </c>
      <c r="U1317" s="145">
        <f>T1317*S1317</f>
        <v/>
      </c>
      <c r="V1317" s="96" t="inlineStr">
        <is>
          <t>任务优先级配置表、接口参数表</t>
        </is>
      </c>
      <c r="W1317" s="96" t="inlineStr"/>
      <c r="X1317" s="111" t="inlineStr">
        <is>
          <t>任务优先级配置表{任务ID、任务名称、任务类型、任务状态、创建时间、执行时间|任务ID、任务名称、任务类型}
接口参数表{接口ID、接口名称、接口类型、接口地址、调用时间|接口ID、接口名称、接口类型}</t>
        </is>
      </c>
      <c r="Y1317" s="88" t="n"/>
      <c r="Z1317" s="88" t="n"/>
    </row>
    <row r="1318" hidden="1" ht="21.6" customHeight="1">
      <c r="A1318" s="69">
        <f>ROW()-1</f>
        <v/>
      </c>
      <c r="B1318" s="53" t="n"/>
      <c r="C1318" s="117" t="n">
        <v>2026</v>
      </c>
      <c r="E1318" s="53" t="n"/>
      <c r="F1318" s="53" t="n"/>
      <c r="G1318" s="53" t="n"/>
      <c r="H1318" s="96" t="inlineStr">
        <is>
          <t>导出权限配置</t>
        </is>
      </c>
      <c r="I1318" s="76" t="inlineStr">
        <is>
          <t>EO</t>
        </is>
      </c>
      <c r="J1318" s="95" t="n"/>
      <c r="K1318" s="95" t="n"/>
      <c r="L1318" s="83">
        <f>IF(OR(X1318="估算法",X1318="算法类",X1318="无法识别"),"",IF(V1318="",IF(OR(I1318="EI",I1318="EO",I1318="EQ"),0,""),LEN(V1318)-LEN(SUBSTITUTE(V1318,"、",""))+1))</f>
        <v/>
      </c>
      <c r="M1318" s="83">
        <f>IF(OR(X1318="估算法",X1318="算法类",X1318="无法识别"),"",IF(W1318="",IF(OR(I1318="ILF",I1318="EIF"),0,""),LEN(W1318)-LEN(SUBSTITUTE(W1318,"、",""))+1))</f>
        <v/>
      </c>
      <c r="N1318" s="83">
        <f>IF(OR(X1318="估算法",X1318="算法类",X1318="无法识别"),"",IF(X1318="",IF(OR(I1318="ILF",I1318="EIF",I1318="EI",I1318="EO",I1318="EQ"),0,""),LEN(X1318)-LEN(SUBSTITUTE(SUBSTITUTE(SUBSTITUTE(SUBSTITUTE(SUBSTITUTE(X1318,"|}","--"),"{|","--"),CHAR(10),""),"、",""),"|",""))+IF(AND(OR(I1318="EI",I1318="EO",I1318="EQ"),$AD$1="NESMA"),2,1)))</f>
        <v/>
      </c>
      <c r="O1318" s="84">
        <f>IF(I1318="EI",IF(OR(X1318="估算法",X1318="算法类"),"中",IF(X1318="无法识别","低",IF(L1318&lt;2,IF(N1318&lt;16,"低","中"),IF(L1318&lt;3,IF(N1318&lt;5,"低",IF(N1318&lt;16,"中","高")),IF(N1318&lt;5,"中","高"))))),IF(OR(I1318="EO",I1318="EQ"),IF(OR(X1318="估算法",X1318="算法类"),"中",IF(X1318="无法识别","低",IF(L1318&lt;2,IF(N1318&lt;20,"低","中"),IF(L1318&lt;4,IF(N1318&lt;6,"低",IF(N1318&lt;20,"中","高")),IF(N1318&lt;6,"中","高"))))),IF(OR(I1318="ILF",I1318="EIF"),IF(OR(X1318="估算法",X1318="算法类",X1318="无法识别"),"低",IF(M1318&lt;2,IF(N1318&lt;51,"低","中"),IF(M1318&lt;6,IF(N1318&lt;20,"低",IF(N1318&lt;51,"中","高")),IF(N1318&lt;20,"中","高")))),"不计算")))</f>
        <v/>
      </c>
      <c r="P1318" s="142">
        <f>IFERROR(IF(I1318="EI",IF(O1318="低",3,IF(O1318="中",4,6)),IF(I1318="EO",IF(O1318="低",4,IF(O1318="中",5,7)),IF(I1318="EQ",IF(O1318="低",3,IF(O1318="中",4,6)),IF(I1318="ILF",IF(O1318="低",7,IF(O1318="中",10,15)),IF(I1318="EIF",IF(O1318="低",5,IF(O1318="中",7,10)),"不计算")))))*Q1318,"不计算")</f>
        <v/>
      </c>
      <c r="Q1318" s="142" t="n">
        <v>1</v>
      </c>
      <c r="R1318" s="143">
        <f>调整因子!$F$13</f>
        <v/>
      </c>
      <c r="S1318" s="70" t="n">
        <v>1</v>
      </c>
      <c r="T1318" s="144">
        <f>IFERROR(P1318*R1318,0)</f>
        <v/>
      </c>
      <c r="U1318" s="145">
        <f>T1318*S1318</f>
        <v/>
      </c>
      <c r="V1318" s="96" t="inlineStr">
        <is>
          <t>任务优先级配置表</t>
        </is>
      </c>
      <c r="W1318" s="96" t="inlineStr"/>
      <c r="X1318" s="111" t="inlineStr">
        <is>
          <t>任务优先级配置表{任务ID、任务名称|任务ID、任务名称、任务类型、任务状态、创建时间、执行时间}</t>
        </is>
      </c>
      <c r="Y1318" s="88" t="n"/>
      <c r="Z1318" s="88" t="n"/>
    </row>
    <row r="1319" hidden="1" ht="21.6" customHeight="1">
      <c r="A1319" s="69">
        <f>ROW()-1</f>
        <v/>
      </c>
      <c r="B1319" s="53" t="n"/>
      <c r="C1319" s="117" t="n">
        <v>2026</v>
      </c>
      <c r="E1319" s="53" t="n"/>
      <c r="F1319" s="53" t="n"/>
      <c r="G1319" s="53" t="n"/>
      <c r="H1319" s="96" t="inlineStr">
        <is>
          <t>查询权限配置</t>
        </is>
      </c>
      <c r="I1319" s="76" t="inlineStr">
        <is>
          <t>EQ</t>
        </is>
      </c>
      <c r="J1319" s="95" t="n"/>
      <c r="K1319" s="95" t="n"/>
      <c r="L1319" s="83">
        <f>IF(OR(X1319="估算法",X1319="算法类",X1319="无法识别"),"",IF(V1319="",IF(OR(I1319="EI",I1319="EO",I1319="EQ"),0,""),LEN(V1319)-LEN(SUBSTITUTE(V1319,"、",""))+1))</f>
        <v/>
      </c>
      <c r="M1319" s="83">
        <f>IF(OR(X1319="估算法",X1319="算法类",X1319="无法识别"),"",IF(W1319="",IF(OR(I1319="ILF",I1319="EIF"),0,""),LEN(W1319)-LEN(SUBSTITUTE(W1319,"、",""))+1))</f>
        <v/>
      </c>
      <c r="N1319" s="83">
        <f>IF(OR(X1319="估算法",X1319="算法类",X1319="无法识别"),"",IF(X1319="",IF(OR(I1319="ILF",I1319="EIF",I1319="EI",I1319="EO",I1319="EQ"),0,""),LEN(X1319)-LEN(SUBSTITUTE(SUBSTITUTE(SUBSTITUTE(SUBSTITUTE(SUBSTITUTE(X1319,"|}","--"),"{|","--"),CHAR(10),""),"、",""),"|",""))+IF(AND(OR(I1319="EI",I1319="EO",I1319="EQ"),$AD$1="NESMA"),2,1)))</f>
        <v/>
      </c>
      <c r="O1319" s="84">
        <f>IF(I1319="EI",IF(OR(X1319="估算法",X1319="算法类"),"中",IF(X1319="无法识别","低",IF(L1319&lt;2,IF(N1319&lt;16,"低","中"),IF(L1319&lt;3,IF(N1319&lt;5,"低",IF(N1319&lt;16,"中","高")),IF(N1319&lt;5,"中","高"))))),IF(OR(I1319="EO",I1319="EQ"),IF(OR(X1319="估算法",X1319="算法类"),"中",IF(X1319="无法识别","低",IF(L1319&lt;2,IF(N1319&lt;20,"低","中"),IF(L1319&lt;4,IF(N1319&lt;6,"低",IF(N1319&lt;20,"中","高")),IF(N1319&lt;6,"中","高"))))),IF(OR(I1319="ILF",I1319="EIF"),IF(OR(X1319="估算法",X1319="算法类",X1319="无法识别"),"低",IF(M1319&lt;2,IF(N1319&lt;51,"低","中"),IF(M1319&lt;6,IF(N1319&lt;20,"低",IF(N1319&lt;51,"中","高")),IF(N1319&lt;20,"中","高")))),"不计算")))</f>
        <v/>
      </c>
      <c r="P1319" s="142">
        <f>IFERROR(IF(I1319="EI",IF(O1319="低",3,IF(O1319="中",4,6)),IF(I1319="EO",IF(O1319="低",4,IF(O1319="中",5,7)),IF(I1319="EQ",IF(O1319="低",3,IF(O1319="中",4,6)),IF(I1319="ILF",IF(O1319="低",7,IF(O1319="中",10,15)),IF(I1319="EIF",IF(O1319="低",5,IF(O1319="中",7,10)),"不计算")))))*Q1319,"不计算")</f>
        <v/>
      </c>
      <c r="Q1319" s="142" t="n">
        <v>1</v>
      </c>
      <c r="R1319" s="143">
        <f>调整因子!$F$13</f>
        <v/>
      </c>
      <c r="S1319" s="70" t="n">
        <v>1</v>
      </c>
      <c r="T1319" s="144">
        <f>IFERROR(P1319*R1319,0)</f>
        <v/>
      </c>
      <c r="U1319" s="145">
        <f>T1319*S1319</f>
        <v/>
      </c>
      <c r="V1319" s="96" t="inlineStr">
        <is>
          <t>任务优先级配置表</t>
        </is>
      </c>
      <c r="W1319" s="96" t="inlineStr"/>
      <c r="X1319" s="111" t="inlineStr">
        <is>
          <t>任务优先级配置表{任务ID、任务名称|任务ID、任务名称、任务类型、任务状态、创建时间、执行时间}</t>
        </is>
      </c>
      <c r="Y1319" s="88" t="n"/>
      <c r="Z1319" s="88" t="n"/>
    </row>
    <row r="1320" hidden="1" ht="32.4" customHeight="1">
      <c r="A1320" s="69">
        <f>ROW()-1</f>
        <v/>
      </c>
      <c r="B1320" s="53" t="n"/>
      <c r="C1320" s="117" t="n">
        <v>2026</v>
      </c>
      <c r="E1320" s="54" t="n"/>
      <c r="F1320" s="54" t="n"/>
      <c r="G1320" s="54" t="n"/>
      <c r="H1320" s="96" t="inlineStr">
        <is>
          <t>查看权限详情</t>
        </is>
      </c>
      <c r="I1320" s="76" t="inlineStr">
        <is>
          <t>EQ</t>
        </is>
      </c>
      <c r="J1320" s="95" t="n"/>
      <c r="K1320" s="95" t="n"/>
      <c r="L1320" s="83">
        <f>IF(OR(X1320="估算法",X1320="算法类",X1320="无法识别"),"",IF(V1320="",IF(OR(I1320="EI",I1320="EO",I1320="EQ"),0,""),LEN(V1320)-LEN(SUBSTITUTE(V1320,"、",""))+1))</f>
        <v/>
      </c>
      <c r="M1320" s="83">
        <f>IF(OR(X1320="估算法",X1320="算法类",X1320="无法识别"),"",IF(W1320="",IF(OR(I1320="ILF",I1320="EIF"),0,""),LEN(W1320)-LEN(SUBSTITUTE(W1320,"、",""))+1))</f>
        <v/>
      </c>
      <c r="N1320" s="83">
        <f>IF(OR(X1320="估算法",X1320="算法类",X1320="无法识别"),"",IF(X1320="",IF(OR(I1320="ILF",I1320="EIF",I1320="EI",I1320="EO",I1320="EQ"),0,""),LEN(X1320)-LEN(SUBSTITUTE(SUBSTITUTE(SUBSTITUTE(SUBSTITUTE(SUBSTITUTE(X1320,"|}","--"),"{|","--"),CHAR(10),""),"、",""),"|",""))+IF(AND(OR(I1320="EI",I1320="EO",I1320="EQ"),$AD$1="NESMA"),2,1)))</f>
        <v/>
      </c>
      <c r="O1320" s="84">
        <f>IF(I1320="EI",IF(OR(X1320="估算法",X1320="算法类"),"中",IF(X1320="无法识别","低",IF(L1320&lt;2,IF(N1320&lt;16,"低","中"),IF(L1320&lt;3,IF(N1320&lt;5,"低",IF(N1320&lt;16,"中","高")),IF(N1320&lt;5,"中","高"))))),IF(OR(I1320="EO",I1320="EQ"),IF(OR(X1320="估算法",X1320="算法类"),"中",IF(X1320="无法识别","低",IF(L1320&lt;2,IF(N1320&lt;20,"低","中"),IF(L1320&lt;4,IF(N1320&lt;6,"低",IF(N1320&lt;20,"中","高")),IF(N1320&lt;6,"中","高"))))),IF(OR(I1320="ILF",I1320="EIF"),IF(OR(X1320="估算法",X1320="算法类",X1320="无法识别"),"低",IF(M1320&lt;2,IF(N1320&lt;51,"低","中"),IF(M1320&lt;6,IF(N1320&lt;20,"低",IF(N1320&lt;51,"中","高")),IF(N1320&lt;20,"中","高")))),"不计算")))</f>
        <v/>
      </c>
      <c r="P1320" s="142">
        <f>IFERROR(IF(I1320="EI",IF(O1320="低",3,IF(O1320="中",4,6)),IF(I1320="EO",IF(O1320="低",4,IF(O1320="中",5,7)),IF(I1320="EQ",IF(O1320="低",3,IF(O1320="中",4,6)),IF(I1320="ILF",IF(O1320="低",7,IF(O1320="中",10,15)),IF(I1320="EIF",IF(O1320="低",5,IF(O1320="中",7,10)),"不计算")))))*Q1320,"不计算")</f>
        <v/>
      </c>
      <c r="Q1320" s="142" t="n">
        <v>1</v>
      </c>
      <c r="R1320" s="143">
        <f>调整因子!$F$13</f>
        <v/>
      </c>
      <c r="S1320" s="76" t="n">
        <v>1</v>
      </c>
      <c r="T1320" s="144">
        <f>IFERROR(P1320*R1320,0)</f>
        <v/>
      </c>
      <c r="U1320" s="145">
        <f>T1320*S1320</f>
        <v/>
      </c>
      <c r="V1320" s="96" t="inlineStr">
        <is>
          <t>任务优先级配置表、验证记录表</t>
        </is>
      </c>
      <c r="W1320" s="96" t="inlineStr"/>
      <c r="X1320" s="111" t="inlineStr">
        <is>
          <t>任务优先级配置表{任务ID、任务名称|任务ID、任务名称、任务类型、任务状态、创建时间}
验证记录表{ID、名称|ID、名称、类型、状态、创建时间}</t>
        </is>
      </c>
      <c r="Y1320" s="88" t="n"/>
      <c r="Z1320" s="88" t="n"/>
    </row>
    <row r="1321" hidden="1" ht="21.6" customHeight="1">
      <c r="A1321" s="69">
        <f>ROW()-1</f>
        <v/>
      </c>
      <c r="B1321" s="53" t="n"/>
      <c r="C1321" s="117" t="n">
        <v>2026</v>
      </c>
      <c r="E1321" s="111" t="inlineStr">
        <is>
          <t>漏洞闭环处置</t>
        </is>
      </c>
      <c r="F1321" s="111" t="inlineStr">
        <is>
          <t>多源漏洞数据统一汇聚</t>
        </is>
      </c>
      <c r="G1321" s="111" t="inlineStr">
        <is>
          <t>处置单创建管理</t>
        </is>
      </c>
      <c r="H1321" s="96" t="inlineStr">
        <is>
          <t>漏洞处置单表</t>
        </is>
      </c>
      <c r="I1321" s="76" t="inlineStr">
        <is>
          <t>ILF</t>
        </is>
      </c>
      <c r="J1321" s="95" t="n"/>
      <c r="K1321" s="95" t="n"/>
      <c r="L1321" s="83">
        <f>IF(OR(X1321="估算法",X1321="算法类",X1321="无法识别"),"",IF(V1321="",IF(OR(I1321="EI",I1321="EO",I1321="EQ"),0,""),LEN(V1321)-LEN(SUBSTITUTE(V1321,"、",""))+1))</f>
        <v/>
      </c>
      <c r="M1321" s="83">
        <f>IF(OR(X1321="估算法",X1321="算法类",X1321="无法识别"),"",IF(W1321="",IF(OR(I1321="ILF",I1321="EIF"),0,""),LEN(W1321)-LEN(SUBSTITUTE(W1321,"、",""))+1))</f>
        <v/>
      </c>
      <c r="N1321" s="83">
        <f>IF(OR(X1321="估算法",X1321="算法类",X1321="无法识别"),"",IF(X1321="",IF(OR(I1321="ILF",I1321="EIF",I1321="EI",I1321="EO",I1321="EQ"),0,""),LEN(X1321)-LEN(SUBSTITUTE(SUBSTITUTE(SUBSTITUTE(SUBSTITUTE(SUBSTITUTE(X1321,"|}","--"),"{|","--"),CHAR(10),""),"、",""),"|",""))+IF(AND(OR(I1321="EI",I1321="EO",I1321="EQ"),$AD$1="NESMA"),2,1)))</f>
        <v/>
      </c>
      <c r="O1321" s="84">
        <f>IF(I1321="EI",IF(OR(X1321="估算法",X1321="算法类"),"中",IF(X1321="无法识别","低",IF(L1321&lt;2,IF(N1321&lt;16,"低","中"),IF(L1321&lt;3,IF(N1321&lt;5,"低",IF(N1321&lt;16,"中","高")),IF(N1321&lt;5,"中","高"))))),IF(OR(I1321="EO",I1321="EQ"),IF(OR(X1321="估算法",X1321="算法类"),"中",IF(X1321="无法识别","低",IF(L1321&lt;2,IF(N1321&lt;20,"低","中"),IF(L1321&lt;4,IF(N1321&lt;6,"低",IF(N1321&lt;20,"中","高")),IF(N1321&lt;6,"中","高"))))),IF(OR(I1321="ILF",I1321="EIF"),IF(OR(X1321="估算法",X1321="算法类",X1321="无法识别"),"低",IF(M1321&lt;2,IF(N1321&lt;51,"低","中"),IF(M1321&lt;6,IF(N1321&lt;20,"低",IF(N1321&lt;51,"中","高")),IF(N1321&lt;20,"中","高")))),"不计算")))</f>
        <v/>
      </c>
      <c r="P1321" s="142">
        <f>IFERROR(IF(I1321="EI",IF(O1321="低",3,IF(O1321="中",4,6)),IF(I1321="EO",IF(O1321="低",4,IF(O1321="中",5,7)),IF(I1321="EQ",IF(O1321="低",3,IF(O1321="中",4,6)),IF(I1321="ILF",IF(O1321="低",7,IF(O1321="中",10,15)),IF(I1321="EIF",IF(O1321="低",5,IF(O1321="中",7,10)),"不计算")))))*Q1321,"不计算")</f>
        <v/>
      </c>
      <c r="Q1321" s="142" t="n">
        <v>1</v>
      </c>
      <c r="R1321" s="143">
        <f>调整因子!$F$13</f>
        <v/>
      </c>
      <c r="S1321" s="76" t="n">
        <v>1</v>
      </c>
      <c r="T1321" s="144">
        <f>IFERROR(P1321*R1321,0)</f>
        <v/>
      </c>
      <c r="U1321" s="145">
        <f>T1321*S1321</f>
        <v/>
      </c>
      <c r="V1321" s="96" t="inlineStr"/>
      <c r="W1321" s="96" t="inlineStr">
        <is>
          <t>系统漏洞、Web漏洞</t>
        </is>
      </c>
      <c r="X1321" s="111" t="inlineStr">
        <is>
          <t>漏洞处置单表{漏洞ID、漏洞名称、漏洞等级|漏洞ID、漏洞名称、漏洞等级、漏洞类型、CVE编号、发现时间、修复状态}</t>
        </is>
      </c>
      <c r="Y1321" s="88">
        <f>IF(COUNTIFS(V:V,"*"&amp;H1321&amp;"*")&gt;0,"存在","不存在")</f>
        <v/>
      </c>
      <c r="Z1321" s="88">
        <f>IF(COUNTIFS(AA:AA,"*"&amp;H1321&amp;"*")&gt;0,"存在","不存在")</f>
        <v/>
      </c>
    </row>
    <row r="1322" hidden="1" ht="21.6" customHeight="1">
      <c r="A1322" s="69">
        <f>ROW()-1</f>
        <v/>
      </c>
      <c r="B1322" s="53" t="n"/>
      <c r="C1322" s="117" t="n">
        <v>2026</v>
      </c>
      <c r="E1322" s="53" t="n"/>
      <c r="F1322" s="53" t="n"/>
      <c r="G1322" s="53" t="n"/>
      <c r="H1322" s="96" t="inlineStr">
        <is>
          <t>处置单配置表</t>
        </is>
      </c>
      <c r="I1322" s="76" t="inlineStr">
        <is>
          <t>ILF</t>
        </is>
      </c>
      <c r="J1322" s="95" t="n"/>
      <c r="K1322" s="95" t="n"/>
      <c r="L1322" s="83">
        <f>IF(OR(X1322="估算法",X1322="算法类",X1322="无法识别"),"",IF(V1322="",IF(OR(I1322="EI",I1322="EO",I1322="EQ"),0,""),LEN(V1322)-LEN(SUBSTITUTE(V1322,"、",""))+1))</f>
        <v/>
      </c>
      <c r="M1322" s="83">
        <f>IF(OR(X1322="估算法",X1322="算法类",X1322="无法识别"),"",IF(W1322="",IF(OR(I1322="ILF",I1322="EIF"),0,""),LEN(W1322)-LEN(SUBSTITUTE(W1322,"、",""))+1))</f>
        <v/>
      </c>
      <c r="N1322" s="83">
        <f>IF(OR(X1322="估算法",X1322="算法类",X1322="无法识别"),"",IF(X1322="",IF(OR(I1322="ILF",I1322="EIF",I1322="EI",I1322="EO",I1322="EQ"),0,""),LEN(X1322)-LEN(SUBSTITUTE(SUBSTITUTE(SUBSTITUTE(SUBSTITUTE(SUBSTITUTE(X1322,"|}","--"),"{|","--"),CHAR(10),""),"、",""),"|",""))+IF(AND(OR(I1322="EI",I1322="EO",I1322="EQ"),$AD$1="NESMA"),2,1)))</f>
        <v/>
      </c>
      <c r="O1322" s="84">
        <f>IF(I1322="EI",IF(OR(X1322="估算法",X1322="算法类"),"中",IF(X1322="无法识别","低",IF(L1322&lt;2,IF(N1322&lt;16,"低","中"),IF(L1322&lt;3,IF(N1322&lt;5,"低",IF(N1322&lt;16,"中","高")),IF(N1322&lt;5,"中","高"))))),IF(OR(I1322="EO",I1322="EQ"),IF(OR(X1322="估算法",X1322="算法类"),"中",IF(X1322="无法识别","低",IF(L1322&lt;2,IF(N1322&lt;20,"低","中"),IF(L1322&lt;4,IF(N1322&lt;6,"低",IF(N1322&lt;20,"中","高")),IF(N1322&lt;6,"中","高"))))),IF(OR(I1322="ILF",I1322="EIF"),IF(OR(X1322="估算法",X1322="算法类",X1322="无法识别"),"低",IF(M1322&lt;2,IF(N1322&lt;51,"低","中"),IF(M1322&lt;6,IF(N1322&lt;20,"低",IF(N1322&lt;51,"中","高")),IF(N1322&lt;20,"中","高")))),"不计算")))</f>
        <v/>
      </c>
      <c r="P1322" s="142">
        <f>IFERROR(IF(I1322="EI",IF(O1322="低",3,IF(O1322="中",4,6)),IF(I1322="EO",IF(O1322="低",4,IF(O1322="中",5,7)),IF(I1322="EQ",IF(O1322="低",3,IF(O1322="中",4,6)),IF(I1322="ILF",IF(O1322="低",7,IF(O1322="中",10,15)),IF(I1322="EIF",IF(O1322="低",5,IF(O1322="中",7,10)),"不计算")))))*Q1322,"不计算")</f>
        <v/>
      </c>
      <c r="Q1322" s="142" t="n">
        <v>1</v>
      </c>
      <c r="R1322" s="143">
        <f>调整因子!$F$13</f>
        <v/>
      </c>
      <c r="S1322" s="70" t="n">
        <v>1</v>
      </c>
      <c r="T1322" s="144">
        <f>IFERROR(P1322*R1322,0)</f>
        <v/>
      </c>
      <c r="U1322" s="145">
        <f>T1322*S1322</f>
        <v/>
      </c>
      <c r="V1322" s="96" t="inlineStr"/>
      <c r="W1322" s="96" t="inlineStr">
        <is>
          <t>配置项</t>
        </is>
      </c>
      <c r="X1322" s="111" t="inlineStr">
        <is>
          <t>处置单配置表{配置ID、配置名称、配置类型|配置ID、配置名称、配置类型、配置值、创建时间}</t>
        </is>
      </c>
      <c r="Y1322" s="88">
        <f>IF(COUNTIFS(V:V,"*"&amp;H1322&amp;"*")&gt;0,"存在","不存在")</f>
        <v/>
      </c>
      <c r="Z1322" s="88">
        <f>IF(COUNTIFS(AA:AA,"*"&amp;H1322&amp;"*")&gt;0,"存在","不存在")</f>
        <v/>
      </c>
    </row>
    <row r="1323" hidden="1">
      <c r="A1323" s="69">
        <f>ROW()-1</f>
        <v/>
      </c>
      <c r="B1323" s="53" t="n"/>
      <c r="C1323" s="117" t="n">
        <v>2026</v>
      </c>
      <c r="E1323" s="53" t="n"/>
      <c r="F1323" s="53" t="n"/>
      <c r="G1323" s="53" t="n"/>
      <c r="H1323" s="96" t="inlineStr">
        <is>
          <t>处置单关联表</t>
        </is>
      </c>
      <c r="I1323" s="76" t="inlineStr">
        <is>
          <t>ILF</t>
        </is>
      </c>
      <c r="J1323" s="95" t="n"/>
      <c r="K1323" s="95" t="n"/>
      <c r="L1323" s="83">
        <f>IF(OR(X1323="估算法",X1323="算法类",X1323="无法识别"),"",IF(V1323="",IF(OR(I1323="EI",I1323="EO",I1323="EQ"),0,""),LEN(V1323)-LEN(SUBSTITUTE(V1323,"、",""))+1))</f>
        <v/>
      </c>
      <c r="M1323" s="83">
        <f>IF(OR(X1323="估算法",X1323="算法类",X1323="无法识别"),"",IF(W1323="",IF(OR(I1323="ILF",I1323="EIF"),0,""),LEN(W1323)-LEN(SUBSTITUTE(W1323,"、",""))+1))</f>
        <v/>
      </c>
      <c r="N1323" s="83">
        <f>IF(OR(X1323="估算法",X1323="算法类",X1323="无法识别"),"",IF(X1323="",IF(OR(I1323="ILF",I1323="EIF",I1323="EI",I1323="EO",I1323="EQ"),0,""),LEN(X1323)-LEN(SUBSTITUTE(SUBSTITUTE(SUBSTITUTE(SUBSTITUTE(SUBSTITUTE(X1323,"|}","--"),"{|","--"),CHAR(10),""),"、",""),"|",""))+IF(AND(OR(I1323="EI",I1323="EO",I1323="EQ"),$AD$1="NESMA"),2,1)))</f>
        <v/>
      </c>
      <c r="O1323" s="84">
        <f>IF(I1323="EI",IF(OR(X1323="估算法",X1323="算法类"),"中",IF(X1323="无法识别","低",IF(L1323&lt;2,IF(N1323&lt;16,"低","中"),IF(L1323&lt;3,IF(N1323&lt;5,"低",IF(N1323&lt;16,"中","高")),IF(N1323&lt;5,"中","高"))))),IF(OR(I1323="EO",I1323="EQ"),IF(OR(X1323="估算法",X1323="算法类"),"中",IF(X1323="无法识别","低",IF(L1323&lt;2,IF(N1323&lt;20,"低","中"),IF(L1323&lt;4,IF(N1323&lt;6,"低",IF(N1323&lt;20,"中","高")),IF(N1323&lt;6,"中","高"))))),IF(OR(I1323="ILF",I1323="EIF"),IF(OR(X1323="估算法",X1323="算法类",X1323="无法识别"),"低",IF(M1323&lt;2,IF(N1323&lt;51,"低","中"),IF(M1323&lt;6,IF(N1323&lt;20,"低",IF(N1323&lt;51,"中","高")),IF(N1323&lt;20,"中","高")))),"不计算")))</f>
        <v/>
      </c>
      <c r="P1323" s="142">
        <f>IFERROR(IF(I1323="EI",IF(O1323="低",3,IF(O1323="中",4,6)),IF(I1323="EO",IF(O1323="低",4,IF(O1323="中",5,7)),IF(I1323="EQ",IF(O1323="低",3,IF(O1323="中",4,6)),IF(I1323="ILF",IF(O1323="低",7,IF(O1323="中",10,15)),IF(I1323="EIF",IF(O1323="低",5,IF(O1323="中",7,10)),"不计算")))))*Q1323,"不计算")</f>
        <v/>
      </c>
      <c r="Q1323" s="142" t="n">
        <v>1</v>
      </c>
      <c r="R1323" s="143">
        <f>调整因子!$F$13</f>
        <v/>
      </c>
      <c r="S1323" s="70" t="n">
        <v>1</v>
      </c>
      <c r="T1323" s="144">
        <f>IFERROR(P1323*R1323,0)</f>
        <v/>
      </c>
      <c r="U1323" s="145">
        <f>T1323*S1323</f>
        <v/>
      </c>
      <c r="V1323" s="96" t="inlineStr"/>
      <c r="W1323" s="96" t="inlineStr">
        <is>
          <t>数据记录</t>
        </is>
      </c>
      <c r="X1323" s="111" t="inlineStr">
        <is>
          <t>处置单关联表{ID、名称、类型|ID、名称、类型、状态、创建时间、更新时间}</t>
        </is>
      </c>
      <c r="Y1323" s="88">
        <f>IF(COUNTIFS(V:V,"*"&amp;H1323&amp;"*")&gt;0,"存在","不存在")</f>
        <v/>
      </c>
      <c r="Z1323" s="88">
        <f>IF(COUNTIFS(AA:AA,"*"&amp;H1323&amp;"*")&gt;0,"存在","不存在")</f>
        <v/>
      </c>
    </row>
    <row r="1324" hidden="1" ht="43.2" customHeight="1">
      <c r="A1324" s="69">
        <f>ROW()-1</f>
        <v/>
      </c>
      <c r="B1324" s="53" t="n"/>
      <c r="C1324" s="117" t="n">
        <v>2026</v>
      </c>
      <c r="E1324" s="53" t="n"/>
      <c r="F1324" s="53" t="n"/>
      <c r="G1324" s="53" t="n"/>
      <c r="H1324" s="96" t="inlineStr">
        <is>
          <t>编辑处置单</t>
        </is>
      </c>
      <c r="I1324" s="76" t="inlineStr">
        <is>
          <t>EI</t>
        </is>
      </c>
      <c r="J1324" s="95" t="n"/>
      <c r="K1324" s="95" t="n"/>
      <c r="L1324" s="83">
        <f>IF(OR(X1324="估算法",X1324="算法类",X1324="无法识别"),"",IF(V1324="",IF(OR(I1324="EI",I1324="EO",I1324="EQ"),0,""),LEN(V1324)-LEN(SUBSTITUTE(V1324,"、",""))+1))</f>
        <v/>
      </c>
      <c r="M1324" s="83">
        <f>IF(OR(X1324="估算法",X1324="算法类",X1324="无法识别"),"",IF(W1324="",IF(OR(I1324="ILF",I1324="EIF"),0,""),LEN(W1324)-LEN(SUBSTITUTE(W1324,"、",""))+1))</f>
        <v/>
      </c>
      <c r="N1324" s="83">
        <f>IF(OR(X1324="估算法",X1324="算法类",X1324="无法识别"),"",IF(X1324="",IF(OR(I1324="ILF",I1324="EIF",I1324="EI",I1324="EO",I1324="EQ"),0,""),LEN(X1324)-LEN(SUBSTITUTE(SUBSTITUTE(SUBSTITUTE(SUBSTITUTE(SUBSTITUTE(X1324,"|}","--"),"{|","--"),CHAR(10),""),"、",""),"|",""))+IF(AND(OR(I1324="EI",I1324="EO",I1324="EQ"),$AD$1="NESMA"),2,1)))</f>
        <v/>
      </c>
      <c r="O1324" s="84">
        <f>IF(I1324="EI",IF(OR(X1324="估算法",X1324="算法类"),"中",IF(X1324="无法识别","低",IF(L1324&lt;2,IF(N1324&lt;16,"低","中"),IF(L1324&lt;3,IF(N1324&lt;5,"低",IF(N1324&lt;16,"中","高")),IF(N1324&lt;5,"中","高"))))),IF(OR(I1324="EO",I1324="EQ"),IF(OR(X1324="估算法",X1324="算法类"),"中",IF(X1324="无法识别","低",IF(L1324&lt;2,IF(N1324&lt;20,"低","中"),IF(L1324&lt;4,IF(N1324&lt;6,"低",IF(N1324&lt;20,"中","高")),IF(N1324&lt;6,"中","高"))))),IF(OR(I1324="ILF",I1324="EIF"),IF(OR(X1324="估算法",X1324="算法类",X1324="无法识别"),"低",IF(M1324&lt;2,IF(N1324&lt;51,"低","中"),IF(M1324&lt;6,IF(N1324&lt;20,"低",IF(N1324&lt;51,"中","高")),IF(N1324&lt;20,"中","高")))),"不计算")))</f>
        <v/>
      </c>
      <c r="P1324" s="142">
        <f>IFERROR(IF(I1324="EI",IF(O1324="低",3,IF(O1324="中",4,6)),IF(I1324="EO",IF(O1324="低",4,IF(O1324="中",5,7)),IF(I1324="EQ",IF(O1324="低",3,IF(O1324="中",4,6)),IF(I1324="ILF",IF(O1324="低",7,IF(O1324="中",10,15)),IF(I1324="EIF",IF(O1324="低",5,IF(O1324="中",7,10)),"不计算")))))*Q1324,"不计算")</f>
        <v/>
      </c>
      <c r="Q1324" s="142" t="n">
        <v>1</v>
      </c>
      <c r="R1324" s="143">
        <f>调整因子!$F$13</f>
        <v/>
      </c>
      <c r="S1324" s="76" t="n">
        <v>1</v>
      </c>
      <c r="T1324" s="144">
        <f>IFERROR(P1324*R1324,0)</f>
        <v/>
      </c>
      <c r="U1324" s="145">
        <f>T1324*S1324</f>
        <v/>
      </c>
      <c r="V1324" s="96" t="inlineStr">
        <is>
          <t>考核指标配置表、任务趋势分析表</t>
        </is>
      </c>
      <c r="W1324" s="96" t="inlineStr"/>
      <c r="X1324" s="111" t="inlineStr">
        <is>
          <t>考核指标配置表{配置ID、配置名称、配置类型、配置值、创建时间|配置ID、配置名称、配置类型}
任务趋势分析表{任务ID、任务名称、任务类型、任务状态、创建时间、执行时间|任务ID、任务名称、任务类型}</t>
        </is>
      </c>
      <c r="Y1324" s="88" t="n"/>
      <c r="Z1324" s="88" t="n"/>
    </row>
    <row r="1325" hidden="1">
      <c r="A1325" s="69">
        <f>ROW()-1</f>
        <v/>
      </c>
      <c r="B1325" s="53" t="n"/>
      <c r="C1325" s="117" t="n">
        <v>2026</v>
      </c>
      <c r="E1325" s="53" t="n"/>
      <c r="F1325" s="53" t="n"/>
      <c r="G1325" s="53" t="n"/>
      <c r="H1325" s="96" t="inlineStr">
        <is>
          <t>删除处置单</t>
        </is>
      </c>
      <c r="I1325" s="76" t="inlineStr">
        <is>
          <t>EI</t>
        </is>
      </c>
      <c r="J1325" s="95" t="n"/>
      <c r="K1325" s="95" t="n"/>
      <c r="L1325" s="83">
        <f>IF(OR(X1325="估算法",X1325="算法类",X1325="无法识别"),"",IF(V1325="",IF(OR(I1325="EI",I1325="EO",I1325="EQ"),0,""),LEN(V1325)-LEN(SUBSTITUTE(V1325,"、",""))+1))</f>
        <v/>
      </c>
      <c r="M1325" s="83">
        <f>IF(OR(X1325="估算法",X1325="算法类",X1325="无法识别"),"",IF(W1325="",IF(OR(I1325="ILF",I1325="EIF"),0,""),LEN(W1325)-LEN(SUBSTITUTE(W1325,"、",""))+1))</f>
        <v/>
      </c>
      <c r="N1325" s="83">
        <f>IF(OR(X1325="估算法",X1325="算法类",X1325="无法识别"),"",IF(X1325="",IF(OR(I1325="ILF",I1325="EIF",I1325="EI",I1325="EO",I1325="EQ"),0,""),LEN(X1325)-LEN(SUBSTITUTE(SUBSTITUTE(SUBSTITUTE(SUBSTITUTE(SUBSTITUTE(X1325,"|}","--"),"{|","--"),CHAR(10),""),"、",""),"|",""))+IF(AND(OR(I1325="EI",I1325="EO",I1325="EQ"),$AD$1="NESMA"),2,1)))</f>
        <v/>
      </c>
      <c r="O1325" s="84">
        <f>IF(I1325="EI",IF(OR(X1325="估算法",X1325="算法类"),"中",IF(X1325="无法识别","低",IF(L1325&lt;2,IF(N1325&lt;16,"低","中"),IF(L1325&lt;3,IF(N1325&lt;5,"低",IF(N1325&lt;16,"中","高")),IF(N1325&lt;5,"中","高"))))),IF(OR(I1325="EO",I1325="EQ"),IF(OR(X1325="估算法",X1325="算法类"),"中",IF(X1325="无法识别","低",IF(L1325&lt;2,IF(N1325&lt;20,"低","中"),IF(L1325&lt;4,IF(N1325&lt;6,"低",IF(N1325&lt;20,"中","高")),IF(N1325&lt;6,"中","高"))))),IF(OR(I1325="ILF",I1325="EIF"),IF(OR(X1325="估算法",X1325="算法类",X1325="无法识别"),"低",IF(M1325&lt;2,IF(N1325&lt;51,"低","中"),IF(M1325&lt;6,IF(N1325&lt;20,"低",IF(N1325&lt;51,"中","高")),IF(N1325&lt;20,"中","高")))),"不计算")))</f>
        <v/>
      </c>
      <c r="P1325" s="142">
        <f>IFERROR(IF(I1325="EI",IF(O1325="低",3,IF(O1325="中",4,6)),IF(I1325="EO",IF(O1325="低",4,IF(O1325="中",5,7)),IF(I1325="EQ",IF(O1325="低",3,IF(O1325="中",4,6)),IF(I1325="ILF",IF(O1325="低",7,IF(O1325="中",10,15)),IF(I1325="EIF",IF(O1325="低",5,IF(O1325="中",7,10)),"不计算")))))*Q1325,"不计算")</f>
        <v/>
      </c>
      <c r="Q1325" s="142" t="n">
        <v>0.333333333333333</v>
      </c>
      <c r="R1325" s="143">
        <f>调整因子!$F$13</f>
        <v/>
      </c>
      <c r="S1325" s="70" t="n">
        <v>1</v>
      </c>
      <c r="T1325" s="144">
        <f>IFERROR(P1325*R1325,0)</f>
        <v/>
      </c>
      <c r="U1325" s="145">
        <f>T1325*S1325</f>
        <v/>
      </c>
      <c r="V1325" s="96" t="inlineStr">
        <is>
          <t>方案审批表</t>
        </is>
      </c>
      <c r="W1325" s="96" t="inlineStr"/>
      <c r="X1325" s="111" t="inlineStr">
        <is>
          <t>方案审批表{ID、名称、类型、状态、创建时间、更新时间|ID、名称、类型}</t>
        </is>
      </c>
      <c r="Y1325" s="88" t="n"/>
      <c r="Z1325" s="88" t="n"/>
    </row>
    <row r="1326" hidden="1" ht="43.2" customHeight="1">
      <c r="A1326" s="69">
        <f>ROW()-1</f>
        <v/>
      </c>
      <c r="B1326" s="53" t="n"/>
      <c r="C1326" s="117" t="n">
        <v>2026</v>
      </c>
      <c r="E1326" s="53" t="n"/>
      <c r="F1326" s="53" t="n"/>
      <c r="G1326" s="53" t="n"/>
      <c r="H1326" s="96" t="inlineStr">
        <is>
          <t>关联漏洞信息</t>
        </is>
      </c>
      <c r="I1326" s="76" t="n"/>
      <c r="J1326" s="95" t="n"/>
      <c r="K1326" s="95" t="inlineStr">
        <is>
          <t>功能描述不清楚</t>
        </is>
      </c>
      <c r="L1326" s="83">
        <f>IF(OR(X1326="估算法",X1326="算法类",X1326="无法识别"),"",IF(V1326="",IF(OR(I1326="EI",I1326="EO",I1326="EQ"),0,""),LEN(V1326)-LEN(SUBSTITUTE(V1326,"、",""))+1))</f>
        <v/>
      </c>
      <c r="M1326" s="83">
        <f>IF(OR(X1326="估算法",X1326="算法类",X1326="无法识别"),"",IF(W1326="",IF(OR(I1326="ILF",I1326="EIF"),0,""),LEN(W1326)-LEN(SUBSTITUTE(W1326,"、",""))+1))</f>
        <v/>
      </c>
      <c r="N1326" s="83">
        <f>IF(OR(X1326="估算法",X1326="算法类",X1326="无法识别"),"",IF(X1326="",IF(OR(I1326="ILF",I1326="EIF",I1326="EI",I1326="EO",I1326="EQ"),0,""),LEN(X1326)-LEN(SUBSTITUTE(SUBSTITUTE(SUBSTITUTE(SUBSTITUTE(SUBSTITUTE(X1326,"|}","--"),"{|","--"),CHAR(10),""),"、",""),"|",""))+IF(AND(OR(I1326="EI",I1326="EO",I1326="EQ"),$AD$1="NESMA"),2,1)))</f>
        <v/>
      </c>
      <c r="O1326" s="84">
        <f>IF(I1326="EI",IF(OR(X1326="估算法",X1326="算法类"),"中",IF(X1326="无法识别","低",IF(L1326&lt;2,IF(N1326&lt;16,"低","中"),IF(L1326&lt;3,IF(N1326&lt;5,"低",IF(N1326&lt;16,"中","高")),IF(N1326&lt;5,"中","高"))))),IF(OR(I1326="EO",I1326="EQ"),IF(OR(X1326="估算法",X1326="算法类"),"中",IF(X1326="无法识别","低",IF(L1326&lt;2,IF(N1326&lt;20,"低","中"),IF(L1326&lt;4,IF(N1326&lt;6,"低",IF(N1326&lt;20,"中","高")),IF(N1326&lt;6,"中","高"))))),IF(OR(I1326="ILF",I1326="EIF"),IF(OR(X1326="估算法",X1326="算法类",X1326="无法识别"),"低",IF(M1326&lt;2,IF(N1326&lt;51,"低","中"),IF(M1326&lt;6,IF(N1326&lt;20,"低",IF(N1326&lt;51,"中","高")),IF(N1326&lt;20,"中","高")))),"不计算")))</f>
        <v/>
      </c>
      <c r="P1326" s="142">
        <f>IFERROR(IF(I1326="EI",IF(O1326="低",3,IF(O1326="中",4,6)),IF(I1326="EO",IF(O1326="低",4,IF(O1326="中",5,7)),IF(I1326="EQ",IF(O1326="低",3,IF(O1326="中",4,6)),IF(I1326="ILF",IF(O1326="低",7,IF(O1326="中",10,15)),IF(I1326="EIF",IF(O1326="低",5,IF(O1326="中",7,10)),"不计算")))))*Q1326,"不计算")</f>
        <v/>
      </c>
      <c r="Q1326" s="142" t="n">
        <v>1</v>
      </c>
      <c r="R1326" s="143">
        <f>调整因子!$F$13</f>
        <v/>
      </c>
      <c r="S1326" s="70" t="n">
        <v>1</v>
      </c>
      <c r="T1326" s="144">
        <f>IFERROR(P1326*R1326,0)</f>
        <v/>
      </c>
      <c r="U1326" s="145">
        <f>T1326*S1326</f>
        <v/>
      </c>
      <c r="V1326" s="96" t="inlineStr">
        <is>
          <t>漏洞处置单表、漏洞统计数据表</t>
        </is>
      </c>
      <c r="W1326" s="96" t="inlineStr"/>
      <c r="X1326" s="111"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Y1326" s="88" t="n"/>
      <c r="Z1326" s="88" t="n"/>
    </row>
    <row r="1327" hidden="1" ht="21.6" customHeight="1">
      <c r="A1327" s="69">
        <f>ROW()-1</f>
        <v/>
      </c>
      <c r="B1327" s="53" t="n"/>
      <c r="C1327" s="117" t="n">
        <v>2026</v>
      </c>
      <c r="E1327" s="53" t="n"/>
      <c r="F1327" s="53" t="n"/>
      <c r="G1327" s="53" t="n"/>
      <c r="H1327" s="96" t="inlineStr">
        <is>
          <t>关联资产信息</t>
        </is>
      </c>
      <c r="I1327" s="76" t="n"/>
      <c r="J1327" s="95" t="n"/>
      <c r="K1327" s="95" t="inlineStr">
        <is>
          <t>功能描述不清楚</t>
        </is>
      </c>
      <c r="L1327" s="83">
        <f>IF(OR(X1327="估算法",X1327="算法类",X1327="无法识别"),"",IF(V1327="",IF(OR(I1327="EI",I1327="EO",I1327="EQ"),0,""),LEN(V1327)-LEN(SUBSTITUTE(V1327,"、",""))+1))</f>
        <v/>
      </c>
      <c r="M1327" s="83">
        <f>IF(OR(X1327="估算法",X1327="算法类",X1327="无法识别"),"",IF(W1327="",IF(OR(I1327="ILF",I1327="EIF"),0,""),LEN(W1327)-LEN(SUBSTITUTE(W1327,"、",""))+1))</f>
        <v/>
      </c>
      <c r="N1327" s="83">
        <f>IF(OR(X1327="估算法",X1327="算法类",X1327="无法识别"),"",IF(X1327="",IF(OR(I1327="ILF",I1327="EIF",I1327="EI",I1327="EO",I1327="EQ"),0,""),LEN(X1327)-LEN(SUBSTITUTE(SUBSTITUTE(SUBSTITUTE(SUBSTITUTE(SUBSTITUTE(X1327,"|}","--"),"{|","--"),CHAR(10),""),"、",""),"|",""))+IF(AND(OR(I1327="EI",I1327="EO",I1327="EQ"),$AD$1="NESMA"),2,1)))</f>
        <v/>
      </c>
      <c r="O1327" s="84">
        <f>IF(I1327="EI",IF(OR(X1327="估算法",X1327="算法类"),"中",IF(X1327="无法识别","低",IF(L1327&lt;2,IF(N1327&lt;16,"低","中"),IF(L1327&lt;3,IF(N1327&lt;5,"低",IF(N1327&lt;16,"中","高")),IF(N1327&lt;5,"中","高"))))),IF(OR(I1327="EO",I1327="EQ"),IF(OR(X1327="估算法",X1327="算法类"),"中",IF(X1327="无法识别","低",IF(L1327&lt;2,IF(N1327&lt;20,"低","中"),IF(L1327&lt;4,IF(N1327&lt;6,"低",IF(N1327&lt;20,"中","高")),IF(N1327&lt;6,"中","高"))))),IF(OR(I1327="ILF",I1327="EIF"),IF(OR(X1327="估算法",X1327="算法类",X1327="无法识别"),"低",IF(M1327&lt;2,IF(N1327&lt;51,"低","中"),IF(M1327&lt;6,IF(N1327&lt;20,"低",IF(N1327&lt;51,"中","高")),IF(N1327&lt;20,"中","高")))),"不计算")))</f>
        <v/>
      </c>
      <c r="P1327" s="142">
        <f>IFERROR(IF(I1327="EI",IF(O1327="低",3,IF(O1327="中",4,6)),IF(I1327="EO",IF(O1327="低",4,IF(O1327="中",5,7)),IF(I1327="EQ",IF(O1327="低",3,IF(O1327="中",4,6)),IF(I1327="ILF",IF(O1327="低",7,IF(O1327="中",10,15)),IF(I1327="EIF",IF(O1327="低",5,IF(O1327="中",7,10)),"不计算")))))*Q1327,"不计算")</f>
        <v/>
      </c>
      <c r="Q1327" s="142" t="n">
        <v>1</v>
      </c>
      <c r="R1327" s="143">
        <f>调整因子!$F$13</f>
        <v/>
      </c>
      <c r="S1327" s="76" t="n">
        <v>1</v>
      </c>
      <c r="T1327" s="144">
        <f>IFERROR(P1327*R1327,0)</f>
        <v/>
      </c>
      <c r="U1327" s="145">
        <f>T1327*S1327</f>
        <v/>
      </c>
      <c r="V1327" s="96" t="inlineStr">
        <is>
          <t>资产同步任务表</t>
        </is>
      </c>
      <c r="W1327" s="96" t="inlineStr"/>
      <c r="X1327" s="111" t="inlineStr">
        <is>
          <t>资产同步任务表{资产ID、资产名称、IP地址、资产类型、资产状态、创建时间、更新时间|资产ID、资产名称、IP地址}</t>
        </is>
      </c>
      <c r="Y1327" s="88" t="n"/>
      <c r="Z1327" s="88" t="n"/>
    </row>
    <row r="1328" hidden="1" ht="21.6" customHeight="1">
      <c r="A1328" s="69">
        <f>ROW()-1</f>
        <v/>
      </c>
      <c r="B1328" s="53" t="n"/>
      <c r="C1328" s="117" t="n">
        <v>2026</v>
      </c>
      <c r="E1328" s="53" t="n"/>
      <c r="F1328" s="53" t="n"/>
      <c r="G1328" s="53" t="n"/>
      <c r="H1328" s="96" t="inlineStr">
        <is>
          <t>导出处置单</t>
        </is>
      </c>
      <c r="I1328" s="76" t="inlineStr">
        <is>
          <t>EO</t>
        </is>
      </c>
      <c r="J1328" s="95" t="n"/>
      <c r="K1328" s="95" t="n"/>
      <c r="L1328" s="83">
        <f>IF(OR(X1328="估算法",X1328="算法类",X1328="无法识别"),"",IF(V1328="",IF(OR(I1328="EI",I1328="EO",I1328="EQ"),0,""),LEN(V1328)-LEN(SUBSTITUTE(V1328,"、",""))+1))</f>
        <v/>
      </c>
      <c r="M1328" s="83">
        <f>IF(OR(X1328="估算法",X1328="算法类",X1328="无法识别"),"",IF(W1328="",IF(OR(I1328="ILF",I1328="EIF"),0,""),LEN(W1328)-LEN(SUBSTITUTE(W1328,"、",""))+1))</f>
        <v/>
      </c>
      <c r="N1328" s="83">
        <f>IF(OR(X1328="估算法",X1328="算法类",X1328="无法识别"),"",IF(X1328="",IF(OR(I1328="ILF",I1328="EIF",I1328="EI",I1328="EO",I1328="EQ"),0,""),LEN(X1328)-LEN(SUBSTITUTE(SUBSTITUTE(SUBSTITUTE(SUBSTITUTE(SUBSTITUTE(X1328,"|}","--"),"{|","--"),CHAR(10),""),"、",""),"|",""))+IF(AND(OR(I1328="EI",I1328="EO",I1328="EQ"),$AD$1="NESMA"),2,1)))</f>
        <v/>
      </c>
      <c r="O1328" s="84">
        <f>IF(I1328="EI",IF(OR(X1328="估算法",X1328="算法类"),"中",IF(X1328="无法识别","低",IF(L1328&lt;2,IF(N1328&lt;16,"低","中"),IF(L1328&lt;3,IF(N1328&lt;5,"低",IF(N1328&lt;16,"中","高")),IF(N1328&lt;5,"中","高"))))),IF(OR(I1328="EO",I1328="EQ"),IF(OR(X1328="估算法",X1328="算法类"),"中",IF(X1328="无法识别","低",IF(L1328&lt;2,IF(N1328&lt;20,"低","中"),IF(L1328&lt;4,IF(N1328&lt;6,"低",IF(N1328&lt;20,"中","高")),IF(N1328&lt;6,"中","高"))))),IF(OR(I1328="ILF",I1328="EIF"),IF(OR(X1328="估算法",X1328="算法类",X1328="无法识别"),"低",IF(M1328&lt;2,IF(N1328&lt;51,"低","中"),IF(M1328&lt;6,IF(N1328&lt;20,"低",IF(N1328&lt;51,"中","高")),IF(N1328&lt;20,"中","高")))),"不计算")))</f>
        <v/>
      </c>
      <c r="P1328" s="142">
        <f>IFERROR(IF(I1328="EI",IF(O1328="低",3,IF(O1328="中",4,6)),IF(I1328="EO",IF(O1328="低",4,IF(O1328="中",5,7)),IF(I1328="EQ",IF(O1328="低",3,IF(O1328="中",4,6)),IF(I1328="ILF",IF(O1328="低",7,IF(O1328="中",10,15)),IF(I1328="EIF",IF(O1328="低",5,IF(O1328="中",7,10)),"不计算")))))*Q1328,"不计算")</f>
        <v/>
      </c>
      <c r="Q1328" s="142" t="n">
        <v>1</v>
      </c>
      <c r="R1328" s="143">
        <f>调整因子!$F$13</f>
        <v/>
      </c>
      <c r="S1328" s="76" t="n">
        <v>1</v>
      </c>
      <c r="T1328" s="144">
        <f>IFERROR(P1328*R1328,0)</f>
        <v/>
      </c>
      <c r="U1328" s="145">
        <f>T1328*S1328</f>
        <v/>
      </c>
      <c r="V1328" s="96" t="inlineStr">
        <is>
          <t>日志加密配置表</t>
        </is>
      </c>
      <c r="W1328" s="96" t="inlineStr"/>
      <c r="X1328" s="111" t="inlineStr">
        <is>
          <t>日志加密配置表{配置ID、配置名称|配置ID、配置名称、配置类型、配置值、创建时间}</t>
        </is>
      </c>
      <c r="Y1328" s="88" t="n"/>
      <c r="Z1328" s="88" t="n"/>
    </row>
    <row r="1329" hidden="1" ht="32.4" customHeight="1">
      <c r="A1329" s="69">
        <f>ROW()-1</f>
        <v/>
      </c>
      <c r="B1329" s="53" t="n"/>
      <c r="C1329" s="117" t="n">
        <v>2026</v>
      </c>
      <c r="E1329" s="53" t="n"/>
      <c r="F1329" s="53" t="n"/>
      <c r="G1329" s="53" t="n"/>
      <c r="H1329" s="96" t="inlineStr">
        <is>
          <t>查询处置单列表</t>
        </is>
      </c>
      <c r="I1329" s="76" t="inlineStr">
        <is>
          <t>EO</t>
        </is>
      </c>
      <c r="J1329" s="95" t="n"/>
      <c r="K1329" s="95" t="n"/>
      <c r="L1329" s="83">
        <f>IF(OR(X1329="估算法",X1329="算法类",X1329="无法识别"),"",IF(V1329="",IF(OR(I1329="EI",I1329="EO",I1329="EQ"),0,""),LEN(V1329)-LEN(SUBSTITUTE(V1329,"、",""))+1))</f>
        <v/>
      </c>
      <c r="M1329" s="83">
        <f>IF(OR(X1329="估算法",X1329="算法类",X1329="无法识别"),"",IF(W1329="",IF(OR(I1329="ILF",I1329="EIF"),0,""),LEN(W1329)-LEN(SUBSTITUTE(W1329,"、",""))+1))</f>
        <v/>
      </c>
      <c r="N1329" s="83">
        <f>IF(OR(X1329="估算法",X1329="算法类",X1329="无法识别"),"",IF(X1329="",IF(OR(I1329="ILF",I1329="EIF",I1329="EI",I1329="EO",I1329="EQ"),0,""),LEN(X1329)-LEN(SUBSTITUTE(SUBSTITUTE(SUBSTITUTE(SUBSTITUTE(SUBSTITUTE(X1329,"|}","--"),"{|","--"),CHAR(10),""),"、",""),"|",""))+IF(AND(OR(I1329="EI",I1329="EO",I1329="EQ"),$AD$1="NESMA"),2,1)))</f>
        <v/>
      </c>
      <c r="O1329" s="84">
        <f>IF(I1329="EI",IF(OR(X1329="估算法",X1329="算法类"),"中",IF(X1329="无法识别","低",IF(L1329&lt;2,IF(N1329&lt;16,"低","中"),IF(L1329&lt;3,IF(N1329&lt;5,"低",IF(N1329&lt;16,"中","高")),IF(N1329&lt;5,"中","高"))))),IF(OR(I1329="EO",I1329="EQ"),IF(OR(X1329="估算法",X1329="算法类"),"中",IF(X1329="无法识别","低",IF(L1329&lt;2,IF(N1329&lt;20,"低","中"),IF(L1329&lt;4,IF(N1329&lt;6,"低",IF(N1329&lt;20,"中","高")),IF(N1329&lt;6,"中","高"))))),IF(OR(I1329="ILF",I1329="EIF"),IF(OR(X1329="估算法",X1329="算法类",X1329="无法识别"),"低",IF(M1329&lt;2,IF(N1329&lt;51,"低","中"),IF(M1329&lt;6,IF(N1329&lt;20,"低",IF(N1329&lt;51,"中","高")),IF(N1329&lt;20,"中","高")))),"不计算")))</f>
        <v/>
      </c>
      <c r="P1329" s="142">
        <f>IFERROR(IF(I1329="EI",IF(O1329="低",3,IF(O1329="中",4,6)),IF(I1329="EO",IF(O1329="低",4,IF(O1329="中",5,7)),IF(I1329="EQ",IF(O1329="低",3,IF(O1329="中",4,6)),IF(I1329="ILF",IF(O1329="低",7,IF(O1329="中",10,15)),IF(I1329="EIF",IF(O1329="低",5,IF(O1329="中",7,10)),"不计算")))))*Q1329,"不计算")</f>
        <v/>
      </c>
      <c r="Q1329" s="142" t="n">
        <v>1</v>
      </c>
      <c r="R1329" s="143">
        <f>调整因子!$F$13</f>
        <v/>
      </c>
      <c r="S1329" s="70" t="n">
        <v>1</v>
      </c>
      <c r="T1329" s="144">
        <f>IFERROR(P1329*R1329,0)</f>
        <v/>
      </c>
      <c r="U1329" s="145">
        <f>T1329*S1329</f>
        <v/>
      </c>
      <c r="V1329" s="96" t="inlineStr">
        <is>
          <t>任务日志表、态势数据采集表</t>
        </is>
      </c>
      <c r="W1329" s="96" t="inlineStr"/>
      <c r="X1329" s="111" t="inlineStr">
        <is>
          <t>任务日志表{任务ID、任务名称|任务ID、任务名称、任务类型、任务状态、创建时间、执行时间}
态势数据采集表{ID、名称|ID、名称、类型、状态、创建时间、更新时间}</t>
        </is>
      </c>
      <c r="Y1329" s="88" t="n"/>
      <c r="Z1329" s="88" t="n"/>
    </row>
    <row r="1330" hidden="1">
      <c r="A1330" s="69">
        <f>ROW()-1</f>
        <v/>
      </c>
      <c r="B1330" s="53" t="n"/>
      <c r="C1330" s="117" t="n">
        <v>2026</v>
      </c>
      <c r="E1330" s="53" t="n"/>
      <c r="F1330" s="53" t="n"/>
      <c r="G1330" s="54" t="n"/>
      <c r="H1330" s="96" t="inlineStr">
        <is>
          <t>查看处置单详情</t>
        </is>
      </c>
      <c r="I1330" s="76" t="inlineStr">
        <is>
          <t>EQ</t>
        </is>
      </c>
      <c r="J1330" s="95" t="n"/>
      <c r="K1330" s="95" t="n"/>
      <c r="L1330" s="83">
        <f>IF(OR(X1330="估算法",X1330="算法类",X1330="无法识别"),"",IF(V1330="",IF(OR(I1330="EI",I1330="EO",I1330="EQ"),0,""),LEN(V1330)-LEN(SUBSTITUTE(V1330,"、",""))+1))</f>
        <v/>
      </c>
      <c r="M1330" s="83">
        <f>IF(OR(X1330="估算法",X1330="算法类",X1330="无法识别"),"",IF(W1330="",IF(OR(I1330="ILF",I1330="EIF"),0,""),LEN(W1330)-LEN(SUBSTITUTE(W1330,"、",""))+1))</f>
        <v/>
      </c>
      <c r="N1330" s="83">
        <f>IF(OR(X1330="估算法",X1330="算法类",X1330="无法识别"),"",IF(X1330="",IF(OR(I1330="ILF",I1330="EIF",I1330="EI",I1330="EO",I1330="EQ"),0,""),LEN(X1330)-LEN(SUBSTITUTE(SUBSTITUTE(SUBSTITUTE(SUBSTITUTE(SUBSTITUTE(X1330,"|}","--"),"{|","--"),CHAR(10),""),"、",""),"|",""))+IF(AND(OR(I1330="EI",I1330="EO",I1330="EQ"),$AD$1="NESMA"),2,1)))</f>
        <v/>
      </c>
      <c r="O1330" s="84">
        <f>IF(I1330="EI",IF(OR(X1330="估算法",X1330="算法类"),"中",IF(X1330="无法识别","低",IF(L1330&lt;2,IF(N1330&lt;16,"低","中"),IF(L1330&lt;3,IF(N1330&lt;5,"低",IF(N1330&lt;16,"中","高")),IF(N1330&lt;5,"中","高"))))),IF(OR(I1330="EO",I1330="EQ"),IF(OR(X1330="估算法",X1330="算法类"),"中",IF(X1330="无法识别","低",IF(L1330&lt;2,IF(N1330&lt;20,"低","中"),IF(L1330&lt;4,IF(N1330&lt;6,"低",IF(N1330&lt;20,"中","高")),IF(N1330&lt;6,"中","高"))))),IF(OR(I1330="ILF",I1330="EIF"),IF(OR(X1330="估算法",X1330="算法类",X1330="无法识别"),"低",IF(M1330&lt;2,IF(N1330&lt;51,"低","中"),IF(M1330&lt;6,IF(N1330&lt;20,"低",IF(N1330&lt;51,"中","高")),IF(N1330&lt;20,"中","高")))),"不计算")))</f>
        <v/>
      </c>
      <c r="P1330" s="142">
        <f>IFERROR(IF(I1330="EI",IF(O1330="低",3,IF(O1330="中",4,6)),IF(I1330="EO",IF(O1330="低",4,IF(O1330="中",5,7)),IF(I1330="EQ",IF(O1330="低",3,IF(O1330="中",4,6)),IF(I1330="ILF",IF(O1330="低",7,IF(O1330="中",10,15)),IF(I1330="EIF",IF(O1330="低",5,IF(O1330="中",7,10)),"不计算")))))*Q1330,"不计算")</f>
        <v/>
      </c>
      <c r="Q1330" s="142" t="n">
        <v>1</v>
      </c>
      <c r="R1330" s="143">
        <f>调整因子!$F$13</f>
        <v/>
      </c>
      <c r="S1330" s="70" t="n">
        <v>1</v>
      </c>
      <c r="T1330" s="144">
        <f>IFERROR(P1330*R1330,0)</f>
        <v/>
      </c>
      <c r="U1330" s="145">
        <f>T1330*S1330</f>
        <v/>
      </c>
      <c r="V1330" s="96" t="inlineStr">
        <is>
          <t>指标权重表</t>
        </is>
      </c>
      <c r="W1330" s="96" t="inlineStr"/>
      <c r="X1330" s="111" t="inlineStr">
        <is>
          <t>指标权重表{ID、名称|ID、名称、类型、状态、创建时间、更新时间}</t>
        </is>
      </c>
      <c r="Y1330" s="88" t="n"/>
      <c r="Z1330" s="88" t="n"/>
    </row>
    <row r="1331" hidden="1">
      <c r="A1331" s="69">
        <f>ROW()-1</f>
        <v/>
      </c>
      <c r="B1331" s="53" t="n"/>
      <c r="C1331" s="117" t="n">
        <v>2026</v>
      </c>
      <c r="E1331" s="53" t="n"/>
      <c r="F1331" s="53" t="n"/>
      <c r="G1331" s="111" t="inlineStr">
        <is>
          <t>处置单分配管理</t>
        </is>
      </c>
      <c r="H1331" s="96" t="inlineStr">
        <is>
          <t>导出分配记录</t>
        </is>
      </c>
      <c r="I1331" s="76" t="inlineStr">
        <is>
          <t>EO</t>
        </is>
      </c>
      <c r="J1331" s="95" t="n"/>
      <c r="K1331" s="95" t="n"/>
      <c r="L1331" s="83">
        <f>IF(OR(X1331="估算法",X1331="算法类",X1331="无法识别"),"",IF(V1331="",IF(OR(I1331="EI",I1331="EO",I1331="EQ"),0,""),LEN(V1331)-LEN(SUBSTITUTE(V1331,"、",""))+1))</f>
        <v/>
      </c>
      <c r="M1331" s="83">
        <f>IF(OR(X1331="估算法",X1331="算法类",X1331="无法识别"),"",IF(W1331="",IF(OR(I1331="ILF",I1331="EIF"),0,""),LEN(W1331)-LEN(SUBSTITUTE(W1331,"、",""))+1))</f>
        <v/>
      </c>
      <c r="N1331" s="83">
        <f>IF(OR(X1331="估算法",X1331="算法类",X1331="无法识别"),"",IF(X1331="",IF(OR(I1331="ILF",I1331="EIF",I1331="EI",I1331="EO",I1331="EQ"),0,""),LEN(X1331)-LEN(SUBSTITUTE(SUBSTITUTE(SUBSTITUTE(SUBSTITUTE(SUBSTITUTE(X1331,"|}","--"),"{|","--"),CHAR(10),""),"、",""),"|",""))+IF(AND(OR(I1331="EI",I1331="EO",I1331="EQ"),$AD$1="NESMA"),2,1)))</f>
        <v/>
      </c>
      <c r="O1331" s="84">
        <f>IF(I1331="EI",IF(OR(X1331="估算法",X1331="算法类"),"中",IF(X1331="无法识别","低",IF(L1331&lt;2,IF(N1331&lt;16,"低","中"),IF(L1331&lt;3,IF(N1331&lt;5,"低",IF(N1331&lt;16,"中","高")),IF(N1331&lt;5,"中","高"))))),IF(OR(I1331="EO",I1331="EQ"),IF(OR(X1331="估算法",X1331="算法类"),"中",IF(X1331="无法识别","低",IF(L1331&lt;2,IF(N1331&lt;20,"低","中"),IF(L1331&lt;4,IF(N1331&lt;6,"低",IF(N1331&lt;20,"中","高")),IF(N1331&lt;6,"中","高"))))),IF(OR(I1331="ILF",I1331="EIF"),IF(OR(X1331="估算法",X1331="算法类",X1331="无法识别"),"低",IF(M1331&lt;2,IF(N1331&lt;51,"低","中"),IF(M1331&lt;6,IF(N1331&lt;20,"低",IF(N1331&lt;51,"中","高")),IF(N1331&lt;20,"中","高")))),"不计算")))</f>
        <v/>
      </c>
      <c r="P1331" s="142">
        <f>IFERROR(IF(I1331="EI",IF(O1331="低",3,IF(O1331="中",4,6)),IF(I1331="EO",IF(O1331="低",4,IF(O1331="中",5,7)),IF(I1331="EQ",IF(O1331="低",3,IF(O1331="中",4,6)),IF(I1331="ILF",IF(O1331="低",7,IF(O1331="中",10,15)),IF(I1331="EIF",IF(O1331="低",5,IF(O1331="中",7,10)),"不计算")))))*Q1331,"不计算")</f>
        <v/>
      </c>
      <c r="Q1331" s="142" t="n">
        <v>1</v>
      </c>
      <c r="R1331" s="143">
        <f>调整因子!$F$13</f>
        <v/>
      </c>
      <c r="S1331" s="76" t="n">
        <v>1</v>
      </c>
      <c r="T1331" s="144">
        <f>IFERROR(P1331*R1331,0)</f>
        <v/>
      </c>
      <c r="U1331" s="145">
        <f>T1331*S1331</f>
        <v/>
      </c>
      <c r="V1331" s="96" t="inlineStr">
        <is>
          <t>分类层级关系表</t>
        </is>
      </c>
      <c r="W1331" s="96" t="inlineStr"/>
      <c r="X1331" s="111" t="inlineStr">
        <is>
          <t>分类层级关系表{ID、名称|ID、名称、类型、状态、创建时间、更新时间}</t>
        </is>
      </c>
      <c r="Y1331" s="88" t="n"/>
      <c r="Z1331" s="88" t="n"/>
    </row>
    <row r="1332" hidden="1" ht="21.6" customHeight="1">
      <c r="A1332" s="69">
        <f>ROW()-1</f>
        <v/>
      </c>
      <c r="B1332" s="53" t="n"/>
      <c r="C1332" s="117" t="n">
        <v>2026</v>
      </c>
      <c r="E1332" s="53" t="n"/>
      <c r="F1332" s="53" t="n"/>
      <c r="G1332" s="53" t="n"/>
      <c r="H1332" s="96" t="inlineStr">
        <is>
          <t>查询分配列表</t>
        </is>
      </c>
      <c r="I1332" s="76" t="inlineStr">
        <is>
          <t>EO</t>
        </is>
      </c>
      <c r="J1332" s="95" t="n"/>
      <c r="K1332" s="95" t="n"/>
      <c r="L1332" s="83">
        <f>IF(OR(X1332="估算法",X1332="算法类",X1332="无法识别"),"",IF(V1332="",IF(OR(I1332="EI",I1332="EO",I1332="EQ"),0,""),LEN(V1332)-LEN(SUBSTITUTE(V1332,"、",""))+1))</f>
        <v/>
      </c>
      <c r="M1332" s="83">
        <f>IF(OR(X1332="估算法",X1332="算法类",X1332="无法识别"),"",IF(W1332="",IF(OR(I1332="ILF",I1332="EIF"),0,""),LEN(W1332)-LEN(SUBSTITUTE(W1332,"、",""))+1))</f>
        <v/>
      </c>
      <c r="N1332" s="83">
        <f>IF(OR(X1332="估算法",X1332="算法类",X1332="无法识别"),"",IF(X1332="",IF(OR(I1332="ILF",I1332="EIF",I1332="EI",I1332="EO",I1332="EQ"),0,""),LEN(X1332)-LEN(SUBSTITUTE(SUBSTITUTE(SUBSTITUTE(SUBSTITUTE(SUBSTITUTE(X1332,"|}","--"),"{|","--"),CHAR(10),""),"、",""),"|",""))+IF(AND(OR(I1332="EI",I1332="EO",I1332="EQ"),$AD$1="NESMA"),2,1)))</f>
        <v/>
      </c>
      <c r="O1332" s="84">
        <f>IF(I1332="EI",IF(OR(X1332="估算法",X1332="算法类"),"中",IF(X1332="无法识别","低",IF(L1332&lt;2,IF(N1332&lt;16,"低","中"),IF(L1332&lt;3,IF(N1332&lt;5,"低",IF(N1332&lt;16,"中","高")),IF(N1332&lt;5,"中","高"))))),IF(OR(I1332="EO",I1332="EQ"),IF(OR(X1332="估算法",X1332="算法类"),"中",IF(X1332="无法识别","低",IF(L1332&lt;2,IF(N1332&lt;20,"低","中"),IF(L1332&lt;4,IF(N1332&lt;6,"低",IF(N1332&lt;20,"中","高")),IF(N1332&lt;6,"中","高"))))),IF(OR(I1332="ILF",I1332="EIF"),IF(OR(X1332="估算法",X1332="算法类",X1332="无法识别"),"低",IF(M1332&lt;2,IF(N1332&lt;51,"低","中"),IF(M1332&lt;6,IF(N1332&lt;20,"低",IF(N1332&lt;51,"中","高")),IF(N1332&lt;20,"中","高")))),"不计算")))</f>
        <v/>
      </c>
      <c r="P1332" s="142">
        <f>IFERROR(IF(I1332="EI",IF(O1332="低",3,IF(O1332="中",4,6)),IF(I1332="EO",IF(O1332="低",4,IF(O1332="中",5,7)),IF(I1332="EQ",IF(O1332="低",3,IF(O1332="中",4,6)),IF(I1332="ILF",IF(O1332="低",7,IF(O1332="中",10,15)),IF(I1332="EIF",IF(O1332="低",5,IF(O1332="中",7,10)),"不计算")))))*Q1332,"不计算")</f>
        <v/>
      </c>
      <c r="Q1332" s="142" t="n">
        <v>1</v>
      </c>
      <c r="R1332" s="143">
        <f>调整因子!$F$13</f>
        <v/>
      </c>
      <c r="S1332" s="70" t="n">
        <v>1</v>
      </c>
      <c r="T1332" s="144">
        <f>IFERROR(P1332*R1332,0)</f>
        <v/>
      </c>
      <c r="U1332" s="145">
        <f>T1332*S1332</f>
        <v/>
      </c>
      <c r="V1332" s="96" t="inlineStr">
        <is>
          <t>指标阈值表、脱敏规则表</t>
        </is>
      </c>
      <c r="W1332" s="96" t="inlineStr"/>
      <c r="X1332" s="111" t="inlineStr">
        <is>
          <t>指标阈值表{ID、名称|ID、名称、类型、状态、创建时间、更新时间}
脱敏规则表{规则ID、规则名称|规则ID、规则名称、规则类型、规则条件、创建时间}</t>
        </is>
      </c>
      <c r="Y1332" s="88" t="n"/>
      <c r="Z1332" s="88" t="n"/>
    </row>
    <row r="1333" hidden="1" ht="21.6" customHeight="1">
      <c r="A1333" s="69">
        <f>ROW()-1</f>
        <v/>
      </c>
      <c r="B1333" s="53" t="n"/>
      <c r="C1333" s="117" t="n">
        <v>2026</v>
      </c>
      <c r="E1333" s="53" t="n"/>
      <c r="F1333" s="53" t="n"/>
      <c r="G1333" s="54" t="n"/>
      <c r="H1333" s="96" t="inlineStr">
        <is>
          <t>查看分配详情</t>
        </is>
      </c>
      <c r="I1333" s="76" t="inlineStr">
        <is>
          <t>EQ</t>
        </is>
      </c>
      <c r="J1333" s="95" t="n"/>
      <c r="K1333" s="95" t="n"/>
      <c r="L1333" s="83">
        <f>IF(OR(X1333="估算法",X1333="算法类",X1333="无法识别"),"",IF(V1333="",IF(OR(I1333="EI",I1333="EO",I1333="EQ"),0,""),LEN(V1333)-LEN(SUBSTITUTE(V1333,"、",""))+1))</f>
        <v/>
      </c>
      <c r="M1333" s="83">
        <f>IF(OR(X1333="估算法",X1333="算法类",X1333="无法识别"),"",IF(W1333="",IF(OR(I1333="ILF",I1333="EIF"),0,""),LEN(W1333)-LEN(SUBSTITUTE(W1333,"、",""))+1))</f>
        <v/>
      </c>
      <c r="N1333" s="83">
        <f>IF(OR(X1333="估算法",X1333="算法类",X1333="无法识别"),"",IF(X1333="",IF(OR(I1333="ILF",I1333="EIF",I1333="EI",I1333="EO",I1333="EQ"),0,""),LEN(X1333)-LEN(SUBSTITUTE(SUBSTITUTE(SUBSTITUTE(SUBSTITUTE(SUBSTITUTE(X1333,"|}","--"),"{|","--"),CHAR(10),""),"、",""),"|",""))+IF(AND(OR(I1333="EI",I1333="EO",I1333="EQ"),$AD$1="NESMA"),2,1)))</f>
        <v/>
      </c>
      <c r="O1333" s="84">
        <f>IF(I1333="EI",IF(OR(X1333="估算法",X1333="算法类"),"中",IF(X1333="无法识别","低",IF(L1333&lt;2,IF(N1333&lt;16,"低","中"),IF(L1333&lt;3,IF(N1333&lt;5,"低",IF(N1333&lt;16,"中","高")),IF(N1333&lt;5,"中","高"))))),IF(OR(I1333="EO",I1333="EQ"),IF(OR(X1333="估算法",X1333="算法类"),"中",IF(X1333="无法识别","低",IF(L1333&lt;2,IF(N1333&lt;20,"低","中"),IF(L1333&lt;4,IF(N1333&lt;6,"低",IF(N1333&lt;20,"中","高")),IF(N1333&lt;6,"中","高"))))),IF(OR(I1333="ILF",I1333="EIF"),IF(OR(X1333="估算法",X1333="算法类",X1333="无法识别"),"低",IF(M1333&lt;2,IF(N1333&lt;51,"低","中"),IF(M1333&lt;6,IF(N1333&lt;20,"低",IF(N1333&lt;51,"中","高")),IF(N1333&lt;20,"中","高")))),"不计算")))</f>
        <v/>
      </c>
      <c r="P1333" s="142">
        <f>IFERROR(IF(I1333="EI",IF(O1333="低",3,IF(O1333="中",4,6)),IF(I1333="EO",IF(O1333="低",4,IF(O1333="中",5,7)),IF(I1333="EQ",IF(O1333="低",3,IF(O1333="中",4,6)),IF(I1333="ILF",IF(O1333="低",7,IF(O1333="中",10,15)),IF(I1333="EIF",IF(O1333="低",5,IF(O1333="中",7,10)),"不计算")))))*Q1333,"不计算")</f>
        <v/>
      </c>
      <c r="Q1333" s="142" t="n">
        <v>1</v>
      </c>
      <c r="R1333" s="143">
        <f>调整因子!$F$13</f>
        <v/>
      </c>
      <c r="S1333" s="70" t="n">
        <v>1</v>
      </c>
      <c r="T1333" s="144">
        <f>IFERROR(P1333*R1333,0)</f>
        <v/>
      </c>
      <c r="U1333" s="145">
        <f>T1333*S1333</f>
        <v/>
      </c>
      <c r="V1333" s="96" t="inlineStr">
        <is>
          <t>扫描盲区记录表</t>
        </is>
      </c>
      <c r="W1333" s="96" t="inlineStr"/>
      <c r="X1333" s="111" t="inlineStr">
        <is>
          <t>扫描盲区记录表{任务ID、任务名称|任务ID、任务名称、任务状态、扫描器类型、开始时间、结束时间、扫描结果}</t>
        </is>
      </c>
      <c r="Y1333" s="88" t="n"/>
      <c r="Z1333" s="88" t="n"/>
    </row>
    <row r="1334" hidden="1">
      <c r="A1334" s="69">
        <f>ROW()-1</f>
        <v/>
      </c>
      <c r="B1334" s="53" t="n"/>
      <c r="C1334" s="117" t="n">
        <v>2026</v>
      </c>
      <c r="E1334" s="53" t="n"/>
      <c r="F1334" s="53" t="n"/>
      <c r="G1334" s="111" t="inlineStr">
        <is>
          <t>处置单状态管理</t>
        </is>
      </c>
      <c r="H1334" s="96" t="inlineStr">
        <is>
          <t>导出状态记录</t>
        </is>
      </c>
      <c r="I1334" s="76" t="inlineStr">
        <is>
          <t>EO</t>
        </is>
      </c>
      <c r="J1334" s="95" t="n"/>
      <c r="K1334" s="95" t="n"/>
      <c r="L1334" s="83">
        <f>IF(OR(X1334="估算法",X1334="算法类",X1334="无法识别"),"",IF(V1334="",IF(OR(I1334="EI",I1334="EO",I1334="EQ"),0,""),LEN(V1334)-LEN(SUBSTITUTE(V1334,"、",""))+1))</f>
        <v/>
      </c>
      <c r="M1334" s="83">
        <f>IF(OR(X1334="估算法",X1334="算法类",X1334="无法识别"),"",IF(W1334="",IF(OR(I1334="ILF",I1334="EIF"),0,""),LEN(W1334)-LEN(SUBSTITUTE(W1334,"、",""))+1))</f>
        <v/>
      </c>
      <c r="N1334" s="83">
        <f>IF(OR(X1334="估算法",X1334="算法类",X1334="无法识别"),"",IF(X1334="",IF(OR(I1334="ILF",I1334="EIF",I1334="EI",I1334="EO",I1334="EQ"),0,""),LEN(X1334)-LEN(SUBSTITUTE(SUBSTITUTE(SUBSTITUTE(SUBSTITUTE(SUBSTITUTE(X1334,"|}","--"),"{|","--"),CHAR(10),""),"、",""),"|",""))+IF(AND(OR(I1334="EI",I1334="EO",I1334="EQ"),$AD$1="NESMA"),2,1)))</f>
        <v/>
      </c>
      <c r="O1334" s="84">
        <f>IF(I1334="EI",IF(OR(X1334="估算法",X1334="算法类"),"中",IF(X1334="无法识别","低",IF(L1334&lt;2,IF(N1334&lt;16,"低","中"),IF(L1334&lt;3,IF(N1334&lt;5,"低",IF(N1334&lt;16,"中","高")),IF(N1334&lt;5,"中","高"))))),IF(OR(I1334="EO",I1334="EQ"),IF(OR(X1334="估算法",X1334="算法类"),"中",IF(X1334="无法识别","低",IF(L1334&lt;2,IF(N1334&lt;20,"低","中"),IF(L1334&lt;4,IF(N1334&lt;6,"低",IF(N1334&lt;20,"中","高")),IF(N1334&lt;6,"中","高"))))),IF(OR(I1334="ILF",I1334="EIF"),IF(OR(X1334="估算法",X1334="算法类",X1334="无法识别"),"低",IF(M1334&lt;2,IF(N1334&lt;51,"低","中"),IF(M1334&lt;6,IF(N1334&lt;20,"低",IF(N1334&lt;51,"中","高")),IF(N1334&lt;20,"中","高")))),"不计算")))</f>
        <v/>
      </c>
      <c r="P1334" s="142">
        <f>IFERROR(IF(I1334="EI",IF(O1334="低",3,IF(O1334="中",4,6)),IF(I1334="EO",IF(O1334="低",4,IF(O1334="中",5,7)),IF(I1334="EQ",IF(O1334="低",3,IF(O1334="中",4,6)),IF(I1334="ILF",IF(O1334="低",7,IF(O1334="中",10,15)),IF(I1334="EIF",IF(O1334="低",5,IF(O1334="中",7,10)),"不计算")))))*Q1334,"不计算")</f>
        <v/>
      </c>
      <c r="Q1334" s="142" t="n">
        <v>1</v>
      </c>
      <c r="R1334" s="143">
        <f>调整因子!$F$13</f>
        <v/>
      </c>
      <c r="S1334" s="76" t="n">
        <v>1</v>
      </c>
      <c r="T1334" s="144">
        <f>IFERROR(P1334*R1334,0)</f>
        <v/>
      </c>
      <c r="U1334" s="145">
        <f>T1334*S1334</f>
        <v/>
      </c>
      <c r="V1334" s="96" t="inlineStr">
        <is>
          <t>通报配置表</t>
        </is>
      </c>
      <c r="W1334" s="96" t="inlineStr"/>
      <c r="X1334" s="111" t="inlineStr">
        <is>
          <t>通报配置表{配置ID、配置名称|配置ID、配置名称、配置类型、配置值、创建时间}</t>
        </is>
      </c>
      <c r="Y1334" s="88" t="n"/>
      <c r="Z1334" s="88" t="n"/>
    </row>
    <row r="1335" hidden="1" ht="32.4" customHeight="1">
      <c r="A1335" s="69">
        <f>ROW()-1</f>
        <v/>
      </c>
      <c r="B1335" s="53" t="n"/>
      <c r="C1335" s="117" t="n">
        <v>2026</v>
      </c>
      <c r="E1335" s="53" t="n"/>
      <c r="F1335" s="53" t="n"/>
      <c r="G1335" s="53" t="n"/>
      <c r="H1335" s="96" t="inlineStr">
        <is>
          <t>查询状态历史</t>
        </is>
      </c>
      <c r="I1335" s="76" t="inlineStr">
        <is>
          <t>EQ</t>
        </is>
      </c>
      <c r="J1335" s="95" t="n"/>
      <c r="K1335" s="95" t="n"/>
      <c r="L1335" s="83">
        <f>IF(OR(X1335="估算法",X1335="算法类",X1335="无法识别"),"",IF(V1335="",IF(OR(I1335="EI",I1335="EO",I1335="EQ"),0,""),LEN(V1335)-LEN(SUBSTITUTE(V1335,"、",""))+1))</f>
        <v/>
      </c>
      <c r="M1335" s="83">
        <f>IF(OR(X1335="估算法",X1335="算法类",X1335="无法识别"),"",IF(W1335="",IF(OR(I1335="ILF",I1335="EIF"),0,""),LEN(W1335)-LEN(SUBSTITUTE(W1335,"、",""))+1))</f>
        <v/>
      </c>
      <c r="N1335" s="83">
        <f>IF(OR(X1335="估算法",X1335="算法类",X1335="无法识别"),"",IF(X1335="",IF(OR(I1335="ILF",I1335="EIF",I1335="EI",I1335="EO",I1335="EQ"),0,""),LEN(X1335)-LEN(SUBSTITUTE(SUBSTITUTE(SUBSTITUTE(SUBSTITUTE(SUBSTITUTE(X1335,"|}","--"),"{|","--"),CHAR(10),""),"、",""),"|",""))+IF(AND(OR(I1335="EI",I1335="EO",I1335="EQ"),$AD$1="NESMA"),2,1)))</f>
        <v/>
      </c>
      <c r="O1335" s="84">
        <f>IF(I1335="EI",IF(OR(X1335="估算法",X1335="算法类"),"中",IF(X1335="无法识别","低",IF(L1335&lt;2,IF(N1335&lt;16,"低","中"),IF(L1335&lt;3,IF(N1335&lt;5,"低",IF(N1335&lt;16,"中","高")),IF(N1335&lt;5,"中","高"))))),IF(OR(I1335="EO",I1335="EQ"),IF(OR(X1335="估算法",X1335="算法类"),"中",IF(X1335="无法识别","低",IF(L1335&lt;2,IF(N1335&lt;20,"低","中"),IF(L1335&lt;4,IF(N1335&lt;6,"低",IF(N1335&lt;20,"中","高")),IF(N1335&lt;6,"中","高"))))),IF(OR(I1335="ILF",I1335="EIF"),IF(OR(X1335="估算法",X1335="算法类",X1335="无法识别"),"低",IF(M1335&lt;2,IF(N1335&lt;51,"低","中"),IF(M1335&lt;6,IF(N1335&lt;20,"低",IF(N1335&lt;51,"中","高")),IF(N1335&lt;20,"中","高")))),"不计算")))</f>
        <v/>
      </c>
      <c r="P1335" s="142">
        <f>IFERROR(IF(I1335="EI",IF(O1335="低",3,IF(O1335="中",4,6)),IF(I1335="EO",IF(O1335="低",4,IF(O1335="中",5,7)),IF(I1335="EQ",IF(O1335="低",3,IF(O1335="中",4,6)),IF(I1335="ILF",IF(O1335="低",7,IF(O1335="中",10,15)),IF(I1335="EIF",IF(O1335="低",5,IF(O1335="中",7,10)),"不计算")))))*Q1335,"不计算")</f>
        <v/>
      </c>
      <c r="Q1335" s="142" t="n">
        <v>1</v>
      </c>
      <c r="R1335" s="143">
        <f>调整因子!$F$13</f>
        <v/>
      </c>
      <c r="S1335" s="76" t="n">
        <v>1</v>
      </c>
      <c r="T1335" s="144">
        <f>IFERROR(P1335*R1335,0)</f>
        <v/>
      </c>
      <c r="U1335" s="145">
        <f>T1335*S1335</f>
        <v/>
      </c>
      <c r="V1335" s="96" t="inlineStr">
        <is>
          <t>修复方案表、漏洞统计数据表</t>
        </is>
      </c>
      <c r="W1335" s="96" t="n"/>
      <c r="X1335" s="111" t="inlineStr">
        <is>
          <t>修复方案表{ID、名称|ID、名称、类型、状态、创建时间、更新时间}
漏洞统计数据表{漏洞ID、漏洞名称|漏洞ID、漏洞名称、漏洞等级、漏洞类型、CVE编号、发现时间、修复状态}</t>
        </is>
      </c>
      <c r="Y1335" s="88" t="n"/>
      <c r="Z1335" s="88" t="n"/>
    </row>
    <row r="1336" hidden="1" ht="21.6" customHeight="1">
      <c r="A1336" s="69">
        <f>ROW()-1</f>
        <v/>
      </c>
      <c r="B1336" s="53" t="n"/>
      <c r="C1336" s="117" t="n">
        <v>2026</v>
      </c>
      <c r="E1336" s="53" t="n"/>
      <c r="F1336" s="54" t="n"/>
      <c r="G1336" s="54" t="n"/>
      <c r="H1336" s="96" t="inlineStr">
        <is>
          <t>查看状态详情</t>
        </is>
      </c>
      <c r="I1336" s="76" t="inlineStr">
        <is>
          <t>EQ</t>
        </is>
      </c>
      <c r="J1336" s="95" t="n"/>
      <c r="K1336" s="95" t="n"/>
      <c r="L1336" s="83">
        <f>IF(OR(X1336="估算法",X1336="算法类",X1336="无法识别"),"",IF(V1336="",IF(OR(I1336="EI",I1336="EO",I1336="EQ"),0,""),LEN(V1336)-LEN(SUBSTITUTE(V1336,"、",""))+1))</f>
        <v/>
      </c>
      <c r="M1336" s="83">
        <f>IF(OR(X1336="估算法",X1336="算法类",X1336="无法识别"),"",IF(W1336="",IF(OR(I1336="ILF",I1336="EIF"),0,""),LEN(W1336)-LEN(SUBSTITUTE(W1336,"、",""))+1))</f>
        <v/>
      </c>
      <c r="N1336" s="83">
        <f>IF(OR(X1336="估算法",X1336="算法类",X1336="无法识别"),"",IF(X1336="",IF(OR(I1336="ILF",I1336="EIF",I1336="EI",I1336="EO",I1336="EQ"),0,""),LEN(X1336)-LEN(SUBSTITUTE(SUBSTITUTE(SUBSTITUTE(SUBSTITUTE(SUBSTITUTE(X1336,"|}","--"),"{|","--"),CHAR(10),""),"、",""),"|",""))+IF(AND(OR(I1336="EI",I1336="EO",I1336="EQ"),$AD$1="NESMA"),2,1)))</f>
        <v/>
      </c>
      <c r="O1336" s="84">
        <f>IF(I1336="EI",IF(OR(X1336="估算法",X1336="算法类"),"中",IF(X1336="无法识别","低",IF(L1336&lt;2,IF(N1336&lt;16,"低","中"),IF(L1336&lt;3,IF(N1336&lt;5,"低",IF(N1336&lt;16,"中","高")),IF(N1336&lt;5,"中","高"))))),IF(OR(I1336="EO",I1336="EQ"),IF(OR(X1336="估算法",X1336="算法类"),"中",IF(X1336="无法识别","低",IF(L1336&lt;2,IF(N1336&lt;20,"低","中"),IF(L1336&lt;4,IF(N1336&lt;6,"低",IF(N1336&lt;20,"中","高")),IF(N1336&lt;6,"中","高"))))),IF(OR(I1336="ILF",I1336="EIF"),IF(OR(X1336="估算法",X1336="算法类",X1336="无法识别"),"低",IF(M1336&lt;2,IF(N1336&lt;51,"低","中"),IF(M1336&lt;6,IF(N1336&lt;20,"低",IF(N1336&lt;51,"中","高")),IF(N1336&lt;20,"中","高")))),"不计算")))</f>
        <v/>
      </c>
      <c r="P1336" s="142">
        <f>IFERROR(IF(I1336="EI",IF(O1336="低",3,IF(O1336="中",4,6)),IF(I1336="EO",IF(O1336="低",4,IF(O1336="中",5,7)),IF(I1336="EQ",IF(O1336="低",3,IF(O1336="中",4,6)),IF(I1336="ILF",IF(O1336="低",7,IF(O1336="中",10,15)),IF(I1336="EIF",IF(O1336="低",5,IF(O1336="中",7,10)),"不计算")))))*Q1336,"不计算")</f>
        <v/>
      </c>
      <c r="Q1336" s="142" t="n">
        <v>1</v>
      </c>
      <c r="R1336" s="143">
        <f>调整因子!$F$13</f>
        <v/>
      </c>
      <c r="S1336" s="70" t="n">
        <v>1</v>
      </c>
      <c r="T1336" s="144">
        <f>IFERROR(P1336*R1336,0)</f>
        <v/>
      </c>
      <c r="U1336" s="145">
        <f>T1336*S1336</f>
        <v/>
      </c>
      <c r="V1336" s="96" t="inlineStr">
        <is>
          <t>数据清洗任务表</t>
        </is>
      </c>
      <c r="W1336" s="96" t="n"/>
      <c r="X1336" s="111" t="inlineStr">
        <is>
          <t>数据清洗任务表{任务ID、任务名称|任务ID、任务名称、任务类型、任务状态、创建时间、执行时间}</t>
        </is>
      </c>
      <c r="Y1336" s="88" t="n"/>
      <c r="Z1336" s="88" t="n"/>
    </row>
    <row r="1337" hidden="1" ht="21.6" customHeight="1">
      <c r="A1337" s="69">
        <f>ROW()-1</f>
        <v/>
      </c>
      <c r="B1337" s="53" t="n"/>
      <c r="C1337" s="117" t="n">
        <v>2026</v>
      </c>
      <c r="E1337" s="53" t="n"/>
      <c r="F1337" s="111" t="inlineStr">
        <is>
          <t>漏洞降噪与误报处理</t>
        </is>
      </c>
      <c r="G1337" s="111" t="inlineStr">
        <is>
          <t>验证任务管理</t>
        </is>
      </c>
      <c r="H1337" s="96" t="inlineStr">
        <is>
          <t>验证任务表</t>
        </is>
      </c>
      <c r="I1337" s="76" t="inlineStr">
        <is>
          <t>ILF</t>
        </is>
      </c>
      <c r="J1337" s="95" t="n"/>
      <c r="K1337" s="95" t="n"/>
      <c r="L1337" s="83">
        <f>IF(OR(X1337="估算法",X1337="算法类",X1337="无法识别"),"",IF(V1337="",IF(OR(I1337="EI",I1337="EO",I1337="EQ"),0,""),LEN(V1337)-LEN(SUBSTITUTE(V1337,"、",""))+1))</f>
        <v/>
      </c>
      <c r="M1337" s="83">
        <f>IF(OR(X1337="估算法",X1337="算法类",X1337="无法识别"),"",IF(W1337="",IF(OR(I1337="ILF",I1337="EIF"),0,""),LEN(W1337)-LEN(SUBSTITUTE(W1337,"、",""))+1))</f>
        <v/>
      </c>
      <c r="N1337" s="83">
        <f>IF(OR(X1337="估算法",X1337="算法类",X1337="无法识别"),"",IF(X1337="",IF(OR(I1337="ILF",I1337="EIF",I1337="EI",I1337="EO",I1337="EQ"),0,""),LEN(X1337)-LEN(SUBSTITUTE(SUBSTITUTE(SUBSTITUTE(SUBSTITUTE(SUBSTITUTE(X1337,"|}","--"),"{|","--"),CHAR(10),""),"、",""),"|",""))+IF(AND(OR(I1337="EI",I1337="EO",I1337="EQ"),$AD$1="NESMA"),2,1)))</f>
        <v/>
      </c>
      <c r="O1337" s="84">
        <f>IF(I1337="EI",IF(OR(X1337="估算法",X1337="算法类"),"中",IF(X1337="无法识别","低",IF(L1337&lt;2,IF(N1337&lt;16,"低","中"),IF(L1337&lt;3,IF(N1337&lt;5,"低",IF(N1337&lt;16,"中","高")),IF(N1337&lt;5,"中","高"))))),IF(OR(I1337="EO",I1337="EQ"),IF(OR(X1337="估算法",X1337="算法类"),"中",IF(X1337="无法识别","低",IF(L1337&lt;2,IF(N1337&lt;20,"低","中"),IF(L1337&lt;4,IF(N1337&lt;6,"低",IF(N1337&lt;20,"中","高")),IF(N1337&lt;6,"中","高"))))),IF(OR(I1337="ILF",I1337="EIF"),IF(OR(X1337="估算法",X1337="算法类",X1337="无法识别"),"低",IF(M1337&lt;2,IF(N1337&lt;51,"低","中"),IF(M1337&lt;6,IF(N1337&lt;20,"低",IF(N1337&lt;51,"中","高")),IF(N1337&lt;20,"中","高")))),"不计算")))</f>
        <v/>
      </c>
      <c r="P1337" s="142">
        <f>IFERROR(IF(I1337="EI",IF(O1337="低",3,IF(O1337="中",4,6)),IF(I1337="EO",IF(O1337="低",4,IF(O1337="中",5,7)),IF(I1337="EQ",IF(O1337="低",3,IF(O1337="中",4,6)),IF(I1337="ILF",IF(O1337="低",7,IF(O1337="中",10,15)),IF(I1337="EIF",IF(O1337="低",5,IF(O1337="中",7,10)),"不计算")))))*Q1337,"不计算")</f>
        <v/>
      </c>
      <c r="Q1337" s="142" t="n">
        <v>1</v>
      </c>
      <c r="R1337" s="143">
        <f>调整因子!$F$13</f>
        <v/>
      </c>
      <c r="S1337" s="70" t="n">
        <v>1</v>
      </c>
      <c r="T1337" s="144">
        <f>IFERROR(P1337*R1337,0)</f>
        <v/>
      </c>
      <c r="U1337" s="145">
        <f>T1337*S1337</f>
        <v/>
      </c>
      <c r="V1337" s="96" t="inlineStr"/>
      <c r="W1337" s="96" t="inlineStr">
        <is>
          <t>扫描任务、发现任务、口令猜测任务</t>
        </is>
      </c>
      <c r="X1337" s="111" t="inlineStr">
        <is>
          <t>验证任务表{任务ID、任务名称、任务类型|任务ID、任务名称、任务类型、任务状态、创建时间、执行时间}</t>
        </is>
      </c>
      <c r="Y1337" s="88">
        <f>IF(COUNTIFS(V:V,"*"&amp;H1337&amp;"*")&gt;0,"存在","不存在")</f>
        <v/>
      </c>
      <c r="Z1337" s="88">
        <f>IF(COUNTIFS(AA:AA,"*"&amp;H1337&amp;"*")&gt;0,"存在","不存在")</f>
        <v/>
      </c>
    </row>
    <row r="1338" hidden="1" ht="21.6" customHeight="1">
      <c r="A1338" s="69">
        <f>ROW()-1</f>
        <v/>
      </c>
      <c r="B1338" s="53" t="n"/>
      <c r="C1338" s="117" t="n">
        <v>2026</v>
      </c>
      <c r="E1338" s="53" t="n"/>
      <c r="F1338" s="53" t="n"/>
      <c r="G1338" s="53" t="n"/>
      <c r="H1338" s="96" t="inlineStr">
        <is>
          <t>验证配置表</t>
        </is>
      </c>
      <c r="I1338" s="76" t="inlineStr">
        <is>
          <t>ILF</t>
        </is>
      </c>
      <c r="J1338" s="95" t="n"/>
      <c r="K1338" s="95" t="n"/>
      <c r="L1338" s="83">
        <f>IF(OR(X1338="估算法",X1338="算法类",X1338="无法识别"),"",IF(V1338="",IF(OR(I1338="EI",I1338="EO",I1338="EQ"),0,""),LEN(V1338)-LEN(SUBSTITUTE(V1338,"、",""))+1))</f>
        <v/>
      </c>
      <c r="M1338" s="83">
        <f>IF(OR(X1338="估算法",X1338="算法类",X1338="无法识别"),"",IF(W1338="",IF(OR(I1338="ILF",I1338="EIF"),0,""),LEN(W1338)-LEN(SUBSTITUTE(W1338,"、",""))+1))</f>
        <v/>
      </c>
      <c r="N1338" s="83">
        <f>IF(OR(X1338="估算法",X1338="算法类",X1338="无法识别"),"",IF(X1338="",IF(OR(I1338="ILF",I1338="EIF",I1338="EI",I1338="EO",I1338="EQ"),0,""),LEN(X1338)-LEN(SUBSTITUTE(SUBSTITUTE(SUBSTITUTE(SUBSTITUTE(SUBSTITUTE(X1338,"|}","--"),"{|","--"),CHAR(10),""),"、",""),"|",""))+IF(AND(OR(I1338="EI",I1338="EO",I1338="EQ"),$AD$1="NESMA"),2,1)))</f>
        <v/>
      </c>
      <c r="O1338" s="84">
        <f>IF(I1338="EI",IF(OR(X1338="估算法",X1338="算法类"),"中",IF(X1338="无法识别","低",IF(L1338&lt;2,IF(N1338&lt;16,"低","中"),IF(L1338&lt;3,IF(N1338&lt;5,"低",IF(N1338&lt;16,"中","高")),IF(N1338&lt;5,"中","高"))))),IF(OR(I1338="EO",I1338="EQ"),IF(OR(X1338="估算法",X1338="算法类"),"中",IF(X1338="无法识别","低",IF(L1338&lt;2,IF(N1338&lt;20,"低","中"),IF(L1338&lt;4,IF(N1338&lt;6,"低",IF(N1338&lt;20,"中","高")),IF(N1338&lt;6,"中","高"))))),IF(OR(I1338="ILF",I1338="EIF"),IF(OR(X1338="估算法",X1338="算法类",X1338="无法识别"),"低",IF(M1338&lt;2,IF(N1338&lt;51,"低","中"),IF(M1338&lt;6,IF(N1338&lt;20,"低",IF(N1338&lt;51,"中","高")),IF(N1338&lt;20,"中","高")))),"不计算")))</f>
        <v/>
      </c>
      <c r="P1338" s="142">
        <f>IFERROR(IF(I1338="EI",IF(O1338="低",3,IF(O1338="中",4,6)),IF(I1338="EO",IF(O1338="低",4,IF(O1338="中",5,7)),IF(I1338="EQ",IF(O1338="低",3,IF(O1338="中",4,6)),IF(I1338="ILF",IF(O1338="低",7,IF(O1338="中",10,15)),IF(I1338="EIF",IF(O1338="低",5,IF(O1338="中",7,10)),"不计算")))))*Q1338,"不计算")</f>
        <v/>
      </c>
      <c r="Q1338" s="142" t="n">
        <v>1</v>
      </c>
      <c r="R1338" s="143">
        <f>调整因子!$F$13</f>
        <v/>
      </c>
      <c r="S1338" s="76" t="n">
        <v>1</v>
      </c>
      <c r="T1338" s="144">
        <f>IFERROR(P1338*R1338,0)</f>
        <v/>
      </c>
      <c r="U1338" s="145">
        <f>T1338*S1338</f>
        <v/>
      </c>
      <c r="V1338" s="96" t="inlineStr"/>
      <c r="W1338" s="96" t="inlineStr">
        <is>
          <t>配置项</t>
        </is>
      </c>
      <c r="X1338" s="111" t="inlineStr">
        <is>
          <t>验证配置表{配置ID、配置名称、配置类型|配置ID、配置名称、配置类型、配置值、创建时间}</t>
        </is>
      </c>
      <c r="Y1338" s="88">
        <f>IF(COUNTIFS(V:V,"*"&amp;H1338&amp;"*")&gt;0,"存在","不存在")</f>
        <v/>
      </c>
      <c r="Z1338" s="88">
        <f>IF(COUNTIFS(AA:AA,"*"&amp;H1338&amp;"*")&gt;0,"存在","不存在")</f>
        <v/>
      </c>
    </row>
    <row r="1339" hidden="1">
      <c r="A1339" s="69">
        <f>ROW()-1</f>
        <v/>
      </c>
      <c r="B1339" s="53" t="n"/>
      <c r="C1339" s="117" t="n">
        <v>2026</v>
      </c>
      <c r="E1339" s="53" t="n"/>
      <c r="F1339" s="53" t="n"/>
      <c r="G1339" s="53" t="n"/>
      <c r="H1339" s="96" t="inlineStr">
        <is>
          <t>验证记录表</t>
        </is>
      </c>
      <c r="I1339" s="76" t="inlineStr">
        <is>
          <t>ILF</t>
        </is>
      </c>
      <c r="J1339" s="95" t="n"/>
      <c r="K1339" s="95" t="n"/>
      <c r="L1339" s="83">
        <f>IF(OR(X1339="估算法",X1339="算法类",X1339="无法识别"),"",IF(V1339="",IF(OR(I1339="EI",I1339="EO",I1339="EQ"),0,""),LEN(V1339)-LEN(SUBSTITUTE(V1339,"、",""))+1))</f>
        <v/>
      </c>
      <c r="M1339" s="83">
        <f>IF(OR(X1339="估算法",X1339="算法类",X1339="无法识别"),"",IF(W1339="",IF(OR(I1339="ILF",I1339="EIF"),0,""),LEN(W1339)-LEN(SUBSTITUTE(W1339,"、",""))+1))</f>
        <v/>
      </c>
      <c r="N1339" s="83">
        <f>IF(OR(X1339="估算法",X1339="算法类",X1339="无法识别"),"",IF(X1339="",IF(OR(I1339="ILF",I1339="EIF",I1339="EI",I1339="EO",I1339="EQ"),0,""),LEN(X1339)-LEN(SUBSTITUTE(SUBSTITUTE(SUBSTITUTE(SUBSTITUTE(SUBSTITUTE(X1339,"|}","--"),"{|","--"),CHAR(10),""),"、",""),"|",""))+IF(AND(OR(I1339="EI",I1339="EO",I1339="EQ"),$AD$1="NESMA"),2,1)))</f>
        <v/>
      </c>
      <c r="O1339" s="84">
        <f>IF(I1339="EI",IF(OR(X1339="估算法",X1339="算法类"),"中",IF(X1339="无法识别","低",IF(L1339&lt;2,IF(N1339&lt;16,"低","中"),IF(L1339&lt;3,IF(N1339&lt;5,"低",IF(N1339&lt;16,"中","高")),IF(N1339&lt;5,"中","高"))))),IF(OR(I1339="EO",I1339="EQ"),IF(OR(X1339="估算法",X1339="算法类"),"中",IF(X1339="无法识别","低",IF(L1339&lt;2,IF(N1339&lt;20,"低","中"),IF(L1339&lt;4,IF(N1339&lt;6,"低",IF(N1339&lt;20,"中","高")),IF(N1339&lt;6,"中","高"))))),IF(OR(I1339="ILF",I1339="EIF"),IF(OR(X1339="估算法",X1339="算法类",X1339="无法识别"),"低",IF(M1339&lt;2,IF(N1339&lt;51,"低","中"),IF(M1339&lt;6,IF(N1339&lt;20,"低",IF(N1339&lt;51,"中","高")),IF(N1339&lt;20,"中","高")))),"不计算")))</f>
        <v/>
      </c>
      <c r="P1339" s="142">
        <f>IFERROR(IF(I1339="EI",IF(O1339="低",3,IF(O1339="中",4,6)),IF(I1339="EO",IF(O1339="低",4,IF(O1339="中",5,7)),IF(I1339="EQ",IF(O1339="低",3,IF(O1339="中",4,6)),IF(I1339="ILF",IF(O1339="低",7,IF(O1339="中",10,15)),IF(I1339="EIF",IF(O1339="低",5,IF(O1339="中",7,10)),"不计算")))))*Q1339,"不计算")</f>
        <v/>
      </c>
      <c r="Q1339" s="142" t="n">
        <v>1</v>
      </c>
      <c r="R1339" s="143">
        <f>调整因子!$F$13</f>
        <v/>
      </c>
      <c r="S1339" s="70" t="n">
        <v>1</v>
      </c>
      <c r="T1339" s="144">
        <f>IFERROR(P1339*R1339,0)</f>
        <v/>
      </c>
      <c r="U1339" s="145">
        <f>T1339*S1339</f>
        <v/>
      </c>
      <c r="V1339" s="96" t="inlineStr"/>
      <c r="W1339" s="96" t="inlineStr">
        <is>
          <t>数据记录</t>
        </is>
      </c>
      <c r="X1339" s="111" t="inlineStr">
        <is>
          <t>验证记录表{ID、名称、类型|ID、名称、类型、状态、创建时间、更新时间}</t>
        </is>
      </c>
      <c r="Y1339" s="88">
        <f>IF(COUNTIFS(V:V,"*"&amp;H1339&amp;"*")&gt;0,"存在","不存在")</f>
        <v/>
      </c>
      <c r="Z1339" s="88">
        <f>IF(COUNTIFS(AA:AA,"*"&amp;H1339&amp;"*")&gt;0,"存在","不存在")</f>
        <v/>
      </c>
    </row>
    <row r="1340" hidden="1" ht="21.6" customHeight="1">
      <c r="A1340" s="69">
        <f>ROW()-1</f>
        <v/>
      </c>
      <c r="B1340" s="53" t="n"/>
      <c r="C1340" s="117" t="n">
        <v>2026</v>
      </c>
      <c r="E1340" s="53" t="n"/>
      <c r="F1340" s="53" t="n"/>
      <c r="G1340" s="53" t="n"/>
      <c r="H1340" s="96" t="inlineStr">
        <is>
          <t>创建验证任务</t>
        </is>
      </c>
      <c r="I1340" s="76" t="inlineStr">
        <is>
          <t>EI</t>
        </is>
      </c>
      <c r="J1340" s="95" t="n"/>
      <c r="K1340" s="95" t="n"/>
      <c r="L1340" s="83">
        <f>IF(OR(X1340="估算法",X1340="算法类",X1340="无法识别"),"",IF(V1340="",IF(OR(I1340="EI",I1340="EO",I1340="EQ"),0,""),LEN(V1340)-LEN(SUBSTITUTE(V1340,"、",""))+1))</f>
        <v/>
      </c>
      <c r="M1340" s="83">
        <f>IF(OR(X1340="估算法",X1340="算法类",X1340="无法识别"),"",IF(W1340="",IF(OR(I1340="ILF",I1340="EIF"),0,""),LEN(W1340)-LEN(SUBSTITUTE(W1340,"、",""))+1))</f>
        <v/>
      </c>
      <c r="N1340" s="83">
        <f>IF(OR(X1340="估算法",X1340="算法类",X1340="无法识别"),"",IF(X1340="",IF(OR(I1340="ILF",I1340="EIF",I1340="EI",I1340="EO",I1340="EQ"),0,""),LEN(X1340)-LEN(SUBSTITUTE(SUBSTITUTE(SUBSTITUTE(SUBSTITUTE(SUBSTITUTE(X1340,"|}","--"),"{|","--"),CHAR(10),""),"、",""),"|",""))+IF(AND(OR(I1340="EI",I1340="EO",I1340="EQ"),$AD$1="NESMA"),2,1)))</f>
        <v/>
      </c>
      <c r="O1340" s="84">
        <f>IF(I1340="EI",IF(OR(X1340="估算法",X1340="算法类"),"中",IF(X1340="无法识别","低",IF(L1340&lt;2,IF(N1340&lt;16,"低","中"),IF(L1340&lt;3,IF(N1340&lt;5,"低",IF(N1340&lt;16,"中","高")),IF(N1340&lt;5,"中","高"))))),IF(OR(I1340="EO",I1340="EQ"),IF(OR(X1340="估算法",X1340="算法类"),"中",IF(X1340="无法识别","低",IF(L1340&lt;2,IF(N1340&lt;20,"低","中"),IF(L1340&lt;4,IF(N1340&lt;6,"低",IF(N1340&lt;20,"中","高")),IF(N1340&lt;6,"中","高"))))),IF(OR(I1340="ILF",I1340="EIF"),IF(OR(X1340="估算法",X1340="算法类",X1340="无法识别"),"低",IF(M1340&lt;2,IF(N1340&lt;51,"低","中"),IF(M1340&lt;6,IF(N1340&lt;20,"低",IF(N1340&lt;51,"中","高")),IF(N1340&lt;20,"中","高")))),"不计算")))</f>
        <v/>
      </c>
      <c r="P1340" s="142">
        <f>IFERROR(IF(I1340="EI",IF(O1340="低",3,IF(O1340="中",4,6)),IF(I1340="EO",IF(O1340="低",4,IF(O1340="中",5,7)),IF(I1340="EQ",IF(O1340="低",3,IF(O1340="中",4,6)),IF(I1340="ILF",IF(O1340="低",7,IF(O1340="中",10,15)),IF(I1340="EIF",IF(O1340="低",5,IF(O1340="中",7,10)),"不计算")))))*Q1340,"不计算")</f>
        <v/>
      </c>
      <c r="Q1340" s="142" t="n">
        <v>1</v>
      </c>
      <c r="R1340" s="143">
        <f>调整因子!$F$13</f>
        <v/>
      </c>
      <c r="S1340" s="70" t="n">
        <v>1</v>
      </c>
      <c r="T1340" s="144">
        <f>IFERROR(P1340*R1340,0)</f>
        <v/>
      </c>
      <c r="U1340" s="145">
        <f>T1340*S1340</f>
        <v/>
      </c>
      <c r="V1340" s="96" t="inlineStr">
        <is>
          <t>数据清洗任务表</t>
        </is>
      </c>
      <c r="W1340" s="96" t="n"/>
      <c r="X1340" s="111" t="inlineStr">
        <is>
          <t>数据清洗任务表{任务ID、任务名称、任务类型、任务状态、创建时间、执行时间|任务ID、任务名称}</t>
        </is>
      </c>
      <c r="Y1340" s="88" t="n"/>
      <c r="Z1340" s="88" t="n"/>
    </row>
    <row r="1341" hidden="1" ht="21.6" customHeight="1">
      <c r="A1341" s="69">
        <f>ROW()-1</f>
        <v/>
      </c>
      <c r="B1341" s="53" t="n"/>
      <c r="C1341" s="117" t="n">
        <v>2026</v>
      </c>
      <c r="E1341" s="53" t="n"/>
      <c r="F1341" s="53" t="n"/>
      <c r="G1341" s="53" t="n"/>
      <c r="H1341" s="96" t="inlineStr">
        <is>
          <t>编辑验证任务</t>
        </is>
      </c>
      <c r="I1341" s="76" t="inlineStr">
        <is>
          <t>EI</t>
        </is>
      </c>
      <c r="J1341" s="95" t="n"/>
      <c r="K1341" s="95" t="n"/>
      <c r="L1341" s="83">
        <f>IF(OR(X1341="估算法",X1341="算法类",X1341="无法识别"),"",IF(V1341="",IF(OR(I1341="EI",I1341="EO",I1341="EQ"),0,""),LEN(V1341)-LEN(SUBSTITUTE(V1341,"、",""))+1))</f>
        <v/>
      </c>
      <c r="M1341" s="83">
        <f>IF(OR(X1341="估算法",X1341="算法类",X1341="无法识别"),"",IF(W1341="",IF(OR(I1341="ILF",I1341="EIF"),0,""),LEN(W1341)-LEN(SUBSTITUTE(W1341,"、",""))+1))</f>
        <v/>
      </c>
      <c r="N1341" s="83">
        <f>IF(OR(X1341="估算法",X1341="算法类",X1341="无法识别"),"",IF(X1341="",IF(OR(I1341="ILF",I1341="EIF",I1341="EI",I1341="EO",I1341="EQ"),0,""),LEN(X1341)-LEN(SUBSTITUTE(SUBSTITUTE(SUBSTITUTE(SUBSTITUTE(SUBSTITUTE(X1341,"|}","--"),"{|","--"),CHAR(10),""),"、",""),"|",""))+IF(AND(OR(I1341="EI",I1341="EO",I1341="EQ"),$AD$1="NESMA"),2,1)))</f>
        <v/>
      </c>
      <c r="O1341" s="84">
        <f>IF(I1341="EI",IF(OR(X1341="估算法",X1341="算法类"),"中",IF(X1341="无法识别","低",IF(L1341&lt;2,IF(N1341&lt;16,"低","中"),IF(L1341&lt;3,IF(N1341&lt;5,"低",IF(N1341&lt;16,"中","高")),IF(N1341&lt;5,"中","高"))))),IF(OR(I1341="EO",I1341="EQ"),IF(OR(X1341="估算法",X1341="算法类"),"中",IF(X1341="无法识别","低",IF(L1341&lt;2,IF(N1341&lt;20,"低","中"),IF(L1341&lt;4,IF(N1341&lt;6,"低",IF(N1341&lt;20,"中","高")),IF(N1341&lt;6,"中","高"))))),IF(OR(I1341="ILF",I1341="EIF"),IF(OR(X1341="估算法",X1341="算法类",X1341="无法识别"),"低",IF(M1341&lt;2,IF(N1341&lt;51,"低","中"),IF(M1341&lt;6,IF(N1341&lt;20,"低",IF(N1341&lt;51,"中","高")),IF(N1341&lt;20,"中","高")))),"不计算")))</f>
        <v/>
      </c>
      <c r="P1341" s="142">
        <f>IFERROR(IF(I1341="EI",IF(O1341="低",3,IF(O1341="中",4,6)),IF(I1341="EO",IF(O1341="低",4,IF(O1341="中",5,7)),IF(I1341="EQ",IF(O1341="低",3,IF(O1341="中",4,6)),IF(I1341="ILF",IF(O1341="低",7,IF(O1341="中",10,15)),IF(I1341="EIF",IF(O1341="低",5,IF(O1341="中",7,10)),"不计算")))))*Q1341,"不计算")</f>
        <v/>
      </c>
      <c r="Q1341" s="142" t="n">
        <v>1</v>
      </c>
      <c r="R1341" s="143">
        <f>调整因子!$F$13</f>
        <v/>
      </c>
      <c r="S1341" s="76" t="n">
        <v>1</v>
      </c>
      <c r="T1341" s="144">
        <f>IFERROR(P1341*R1341,0)</f>
        <v/>
      </c>
      <c r="U1341" s="145">
        <f>T1341*S1341</f>
        <v/>
      </c>
      <c r="V1341" s="96" t="inlineStr">
        <is>
          <t>数据清洗任务表</t>
        </is>
      </c>
      <c r="W1341" s="96" t="n"/>
      <c r="X1341" s="111" t="inlineStr">
        <is>
          <t>数据清洗任务表{任务ID、任务名称、任务类型、任务状态、创建时间、执行时间|任务ID、任务名称、任务类型}</t>
        </is>
      </c>
      <c r="Y1341" s="88" t="n"/>
      <c r="Z1341" s="88" t="n"/>
    </row>
    <row r="1342" hidden="1" ht="43.2" customHeight="1">
      <c r="A1342" s="69">
        <f>ROW()-1</f>
        <v/>
      </c>
      <c r="B1342" s="53" t="n"/>
      <c r="C1342" s="117" t="n">
        <v>2026</v>
      </c>
      <c r="E1342" s="53" t="n"/>
      <c r="F1342" s="53" t="n"/>
      <c r="G1342" s="53" t="n"/>
      <c r="H1342" s="96" t="inlineStr">
        <is>
          <t>删除验证任务</t>
        </is>
      </c>
      <c r="I1342" s="76" t="inlineStr">
        <is>
          <t>EI</t>
        </is>
      </c>
      <c r="J1342" s="95" t="n"/>
      <c r="K1342" s="95" t="n"/>
      <c r="L1342" s="83">
        <f>IF(OR(X1342="估算法",X1342="算法类",X1342="无法识别"),"",IF(V1342="",IF(OR(I1342="EI",I1342="EO",I1342="EQ"),0,""),LEN(V1342)-LEN(SUBSTITUTE(V1342,"、",""))+1))</f>
        <v/>
      </c>
      <c r="M1342" s="83">
        <f>IF(OR(X1342="估算法",X1342="算法类",X1342="无法识别"),"",IF(W1342="",IF(OR(I1342="ILF",I1342="EIF"),0,""),LEN(W1342)-LEN(SUBSTITUTE(W1342,"、",""))+1))</f>
        <v/>
      </c>
      <c r="N1342" s="83">
        <f>IF(OR(X1342="估算法",X1342="算法类",X1342="无法识别"),"",IF(X1342="",IF(OR(I1342="ILF",I1342="EIF",I1342="EI",I1342="EO",I1342="EQ"),0,""),LEN(X1342)-LEN(SUBSTITUTE(SUBSTITUTE(SUBSTITUTE(SUBSTITUTE(SUBSTITUTE(X1342,"|}","--"),"{|","--"),CHAR(10),""),"、",""),"|",""))+IF(AND(OR(I1342="EI",I1342="EO",I1342="EQ"),$AD$1="NESMA"),2,1)))</f>
        <v/>
      </c>
      <c r="O1342" s="84">
        <f>IF(I1342="EI",IF(OR(X1342="估算法",X1342="算法类"),"中",IF(X1342="无法识别","低",IF(L1342&lt;2,IF(N1342&lt;16,"低","中"),IF(L1342&lt;3,IF(N1342&lt;5,"低",IF(N1342&lt;16,"中","高")),IF(N1342&lt;5,"中","高"))))),IF(OR(I1342="EO",I1342="EQ"),IF(OR(X1342="估算法",X1342="算法类"),"中",IF(X1342="无法识别","低",IF(L1342&lt;2,IF(N1342&lt;20,"低","中"),IF(L1342&lt;4,IF(N1342&lt;6,"低",IF(N1342&lt;20,"中","高")),IF(N1342&lt;6,"中","高"))))),IF(OR(I1342="ILF",I1342="EIF"),IF(OR(X1342="估算法",X1342="算法类",X1342="无法识别"),"低",IF(M1342&lt;2,IF(N1342&lt;51,"低","中"),IF(M1342&lt;6,IF(N1342&lt;20,"低",IF(N1342&lt;51,"中","高")),IF(N1342&lt;20,"中","高")))),"不计算")))</f>
        <v/>
      </c>
      <c r="P1342" s="142">
        <f>IFERROR(IF(I1342="EI",IF(O1342="低",3,IF(O1342="中",4,6)),IF(I1342="EO",IF(O1342="低",4,IF(O1342="中",5,7)),IF(I1342="EQ",IF(O1342="低",3,IF(O1342="中",4,6)),IF(I1342="ILF",IF(O1342="低",7,IF(O1342="中",10,15)),IF(I1342="EIF",IF(O1342="低",5,IF(O1342="中",7,10)),"不计算")))))*Q1342,"不计算")</f>
        <v/>
      </c>
      <c r="Q1342" s="142" t="n">
        <v>0.333333333333333</v>
      </c>
      <c r="R1342" s="143">
        <f>调整因子!$F$13</f>
        <v/>
      </c>
      <c r="S1342" s="76" t="n">
        <v>1</v>
      </c>
      <c r="T1342" s="144">
        <f>IFERROR(P1342*R1342,0)</f>
        <v/>
      </c>
      <c r="U1342" s="145">
        <f>T1342*S1342</f>
        <v/>
      </c>
      <c r="V1342" s="96" t="inlineStr">
        <is>
          <t>数据清洗任务表、资产同步任务表</t>
        </is>
      </c>
      <c r="W1342" s="96" t="n"/>
      <c r="X1342"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342" s="88" t="n"/>
      <c r="Z1342" s="88" t="n"/>
    </row>
    <row r="1343" hidden="1" ht="21.6" customHeight="1">
      <c r="A1343" s="69">
        <f>ROW()-1</f>
        <v/>
      </c>
      <c r="B1343" s="53" t="n"/>
      <c r="C1343" s="117" t="n">
        <v>2026</v>
      </c>
      <c r="E1343" s="53" t="n"/>
      <c r="F1343" s="53" t="n"/>
      <c r="G1343" s="53" t="n"/>
      <c r="H1343" s="96" t="inlineStr">
        <is>
          <t>启动验证任务</t>
        </is>
      </c>
      <c r="I1343" s="76" t="inlineStr">
        <is>
          <t>EI</t>
        </is>
      </c>
      <c r="J1343" s="95" t="n"/>
      <c r="K1343" s="95" t="n"/>
      <c r="L1343" s="83">
        <f>IF(OR(X1343="估算法",X1343="算法类",X1343="无法识别"),"",IF(V1343="",IF(OR(I1343="EI",I1343="EO",I1343="EQ"),0,""),LEN(V1343)-LEN(SUBSTITUTE(V1343,"、",""))+1))</f>
        <v/>
      </c>
      <c r="M1343" s="83">
        <f>IF(OR(X1343="估算法",X1343="算法类",X1343="无法识别"),"",IF(W1343="",IF(OR(I1343="ILF",I1343="EIF"),0,""),LEN(W1343)-LEN(SUBSTITUTE(W1343,"、",""))+1))</f>
        <v/>
      </c>
      <c r="N1343" s="83">
        <f>IF(OR(X1343="估算法",X1343="算法类",X1343="无法识别"),"",IF(X1343="",IF(OR(I1343="ILF",I1343="EIF",I1343="EI",I1343="EO",I1343="EQ"),0,""),LEN(X1343)-LEN(SUBSTITUTE(SUBSTITUTE(SUBSTITUTE(SUBSTITUTE(SUBSTITUTE(X1343,"|}","--"),"{|","--"),CHAR(10),""),"、",""),"|",""))+IF(AND(OR(I1343="EI",I1343="EO",I1343="EQ"),$AD$1="NESMA"),2,1)))</f>
        <v/>
      </c>
      <c r="O1343" s="84">
        <f>IF(I1343="EI",IF(OR(X1343="估算法",X1343="算法类"),"中",IF(X1343="无法识别","低",IF(L1343&lt;2,IF(N1343&lt;16,"低","中"),IF(L1343&lt;3,IF(N1343&lt;5,"低",IF(N1343&lt;16,"中","高")),IF(N1343&lt;5,"中","高"))))),IF(OR(I1343="EO",I1343="EQ"),IF(OR(X1343="估算法",X1343="算法类"),"中",IF(X1343="无法识别","低",IF(L1343&lt;2,IF(N1343&lt;20,"低","中"),IF(L1343&lt;4,IF(N1343&lt;6,"低",IF(N1343&lt;20,"中","高")),IF(N1343&lt;6,"中","高"))))),IF(OR(I1343="ILF",I1343="EIF"),IF(OR(X1343="估算法",X1343="算法类",X1343="无法识别"),"低",IF(M1343&lt;2,IF(N1343&lt;51,"低","中"),IF(M1343&lt;6,IF(N1343&lt;20,"低",IF(N1343&lt;51,"中","高")),IF(N1343&lt;20,"中","高")))),"不计算")))</f>
        <v/>
      </c>
      <c r="P1343" s="142">
        <f>IFERROR(IF(I1343="EI",IF(O1343="低",3,IF(O1343="中",4,6)),IF(I1343="EO",IF(O1343="低",4,IF(O1343="中",5,7)),IF(I1343="EQ",IF(O1343="低",3,IF(O1343="中",4,6)),IF(I1343="ILF",IF(O1343="低",7,IF(O1343="中",10,15)),IF(I1343="EIF",IF(O1343="低",5,IF(O1343="中",7,10)),"不计算")))))*Q1343,"不计算")</f>
        <v/>
      </c>
      <c r="Q1343" s="142" t="n">
        <v>1</v>
      </c>
      <c r="R1343" s="143">
        <f>调整因子!$F$13</f>
        <v/>
      </c>
      <c r="S1343" s="70" t="n">
        <v>1</v>
      </c>
      <c r="T1343" s="144">
        <f>IFERROR(P1343*R1343,0)</f>
        <v/>
      </c>
      <c r="U1343" s="145">
        <f>T1343*S1343</f>
        <v/>
      </c>
      <c r="V1343" s="96" t="inlineStr">
        <is>
          <t>数据清洗任务表</t>
        </is>
      </c>
      <c r="W1343" s="96" t="n"/>
      <c r="X1343" s="111" t="inlineStr">
        <is>
          <t>数据清洗任务表{任务ID、任务名称、任务状态、创建时间、执行时间|任务ID、任务名称、任务类型}</t>
        </is>
      </c>
      <c r="Y1343" s="88" t="n"/>
      <c r="Z1343" s="88" t="n"/>
    </row>
    <row r="1344" hidden="1" ht="43.2" customHeight="1">
      <c r="A1344" s="69">
        <f>ROW()-1</f>
        <v/>
      </c>
      <c r="B1344" s="53" t="n"/>
      <c r="C1344" s="117" t="n">
        <v>2026</v>
      </c>
      <c r="E1344" s="53" t="n"/>
      <c r="F1344" s="53" t="n"/>
      <c r="G1344" s="53" t="n"/>
      <c r="H1344" s="96" t="inlineStr">
        <is>
          <t>停止验证任务</t>
        </is>
      </c>
      <c r="I1344" s="76" t="n"/>
      <c r="J1344" s="95" t="n"/>
      <c r="K1344" s="95" t="inlineStr">
        <is>
          <t>和上行合并，启停为相同功能</t>
        </is>
      </c>
      <c r="L1344" s="83">
        <f>IF(OR(X1344="估算法",X1344="算法类",X1344="无法识别"),"",IF(V1344="",IF(OR(I1344="EI",I1344="EO",I1344="EQ"),0,""),LEN(V1344)-LEN(SUBSTITUTE(V1344,"、",""))+1))</f>
        <v/>
      </c>
      <c r="M1344" s="83">
        <f>IF(OR(X1344="估算法",X1344="算法类",X1344="无法识别"),"",IF(W1344="",IF(OR(I1344="ILF",I1344="EIF"),0,""),LEN(W1344)-LEN(SUBSTITUTE(W1344,"、",""))+1))</f>
        <v/>
      </c>
      <c r="N1344" s="83">
        <f>IF(OR(X1344="估算法",X1344="算法类",X1344="无法识别"),"",IF(X1344="",IF(OR(I1344="ILF",I1344="EIF",I1344="EI",I1344="EO",I1344="EQ"),0,""),LEN(X1344)-LEN(SUBSTITUTE(SUBSTITUTE(SUBSTITUTE(SUBSTITUTE(SUBSTITUTE(X1344,"|}","--"),"{|","--"),CHAR(10),""),"、",""),"|",""))+IF(AND(OR(I1344="EI",I1344="EO",I1344="EQ"),$AD$1="NESMA"),2,1)))</f>
        <v/>
      </c>
      <c r="O1344" s="84">
        <f>IF(I1344="EI",IF(OR(X1344="估算法",X1344="算法类"),"中",IF(X1344="无法识别","低",IF(L1344&lt;2,IF(N1344&lt;16,"低","中"),IF(L1344&lt;3,IF(N1344&lt;5,"低",IF(N1344&lt;16,"中","高")),IF(N1344&lt;5,"中","高"))))),IF(OR(I1344="EO",I1344="EQ"),IF(OR(X1344="估算法",X1344="算法类"),"中",IF(X1344="无法识别","低",IF(L1344&lt;2,IF(N1344&lt;20,"低","中"),IF(L1344&lt;4,IF(N1344&lt;6,"低",IF(N1344&lt;20,"中","高")),IF(N1344&lt;6,"中","高"))))),IF(OR(I1344="ILF",I1344="EIF"),IF(OR(X1344="估算法",X1344="算法类",X1344="无法识别"),"低",IF(M1344&lt;2,IF(N1344&lt;51,"低","中"),IF(M1344&lt;6,IF(N1344&lt;20,"低",IF(N1344&lt;51,"中","高")),IF(N1344&lt;20,"中","高")))),"不计算")))</f>
        <v/>
      </c>
      <c r="P1344" s="142">
        <f>IFERROR(IF(I1344="EI",IF(O1344="低",3,IF(O1344="中",4,6)),IF(I1344="EO",IF(O1344="低",4,IF(O1344="中",5,7)),IF(I1344="EQ",IF(O1344="低",3,IF(O1344="中",4,6)),IF(I1344="ILF",IF(O1344="低",7,IF(O1344="中",10,15)),IF(I1344="EIF",IF(O1344="低",5,IF(O1344="中",7,10)),"不计算")))))*Q1344,"不计算")</f>
        <v/>
      </c>
      <c r="Q1344" s="142" t="n">
        <v>1</v>
      </c>
      <c r="R1344" s="143">
        <f>调整因子!$F$13</f>
        <v/>
      </c>
      <c r="S1344" s="70" t="n">
        <v>1</v>
      </c>
      <c r="T1344" s="144">
        <f>IFERROR(P1344*R1344,0)</f>
        <v/>
      </c>
      <c r="U1344" s="145">
        <f>T1344*S1344</f>
        <v/>
      </c>
      <c r="V1344" s="96" t="inlineStr">
        <is>
          <t>数据清洗任务表、资产同步任务表</t>
        </is>
      </c>
      <c r="W1344" s="96" t="n"/>
      <c r="X1344" s="111" t="inlineStr">
        <is>
          <t>数据清洗任务表{任务ID、任务名称、任务类型、任务状态、执行时间|任务ID、任务名称、任务类型}
资产同步任务表{资产ID、资产名称、IP地址、资产类型、资产状态、创建时间、更新时间|资产ID、资产名称、IP地址}</t>
        </is>
      </c>
      <c r="Y1344" s="88" t="n"/>
      <c r="Z1344" s="88" t="n"/>
    </row>
    <row r="1345" hidden="1" ht="43.2" customHeight="1">
      <c r="A1345" s="69">
        <f>ROW()-1</f>
        <v/>
      </c>
      <c r="B1345" s="53" t="n"/>
      <c r="C1345" s="117" t="n">
        <v>2026</v>
      </c>
      <c r="E1345" s="53" t="n"/>
      <c r="F1345" s="53" t="n"/>
      <c r="G1345" s="53" t="n"/>
      <c r="H1345" s="96" t="inlineStr">
        <is>
          <t>批量创建验证任务</t>
        </is>
      </c>
      <c r="I1345" s="76" t="inlineStr">
        <is>
          <t>EI</t>
        </is>
      </c>
      <c r="J1345" s="108" t="n"/>
      <c r="K1345" s="108" t="inlineStr">
        <is>
          <t>批量操作</t>
        </is>
      </c>
      <c r="L1345" s="83">
        <f>IF(OR(X1345="估算法",X1345="算法类",X1345="无法识别"),"",IF(V1345="",IF(OR(I1345="EI",I1345="EO",I1345="EQ"),0,""),LEN(V1345)-LEN(SUBSTITUTE(V1345,"、",""))+1))</f>
        <v/>
      </c>
      <c r="M1345" s="83">
        <f>IF(OR(X1345="估算法",X1345="算法类",X1345="无法识别"),"",IF(W1345="",IF(OR(I1345="ILF",I1345="EIF"),0,""),LEN(W1345)-LEN(SUBSTITUTE(W1345,"、",""))+1))</f>
        <v/>
      </c>
      <c r="N1345" s="83">
        <f>IF(OR(X1345="估算法",X1345="算法类",X1345="无法识别"),"",IF(X1345="",IF(OR(I1345="ILF",I1345="EIF",I1345="EI",I1345="EO",I1345="EQ"),0,""),LEN(X1345)-LEN(SUBSTITUTE(SUBSTITUTE(SUBSTITUTE(SUBSTITUTE(SUBSTITUTE(X1345,"|}","--"),"{|","--"),CHAR(10),""),"、",""),"|",""))+IF(AND(OR(I1345="EI",I1345="EO",I1345="EQ"),$AD$1="NESMA"),2,1)))</f>
        <v/>
      </c>
      <c r="O1345" s="84">
        <f>IF(I1345="EI",IF(OR(X1345="估算法",X1345="算法类"),"中",IF(X1345="无法识别","低",IF(L1345&lt;2,IF(N1345&lt;16,"低","中"),IF(L1345&lt;3,IF(N1345&lt;5,"低",IF(N1345&lt;16,"中","高")),IF(N1345&lt;5,"中","高"))))),IF(OR(I1345="EO",I1345="EQ"),IF(OR(X1345="估算法",X1345="算法类"),"中",IF(X1345="无法识别","低",IF(L1345&lt;2,IF(N1345&lt;20,"低","中"),IF(L1345&lt;4,IF(N1345&lt;6,"低",IF(N1345&lt;20,"中","高")),IF(N1345&lt;6,"中","高"))))),IF(OR(I1345="ILF",I1345="EIF"),IF(OR(X1345="估算法",X1345="算法类",X1345="无法识别"),"低",IF(M1345&lt;2,IF(N1345&lt;51,"低","中"),IF(M1345&lt;6,IF(N1345&lt;20,"低",IF(N1345&lt;51,"中","高")),IF(N1345&lt;20,"中","高")))),"不计算")))</f>
        <v/>
      </c>
      <c r="P1345" s="142">
        <f>IFERROR(IF(I1345="EI",IF(O1345="低",3,IF(O1345="中",4,6)),IF(I1345="EO",IF(O1345="低",4,IF(O1345="中",5,7)),IF(I1345="EQ",IF(O1345="低",3,IF(O1345="中",4,6)),IF(I1345="ILF",IF(O1345="低",7,IF(O1345="中",10,15)),IF(I1345="EIF",IF(O1345="低",5,IF(O1345="中",7,10)),"不计算")))))*Q1345,"不计算")</f>
        <v/>
      </c>
      <c r="Q1345" s="142" t="n">
        <v>0.333333333333333</v>
      </c>
      <c r="R1345" s="143">
        <f>调整因子!$F$13</f>
        <v/>
      </c>
      <c r="S1345" s="76" t="n">
        <v>1</v>
      </c>
      <c r="T1345" s="144">
        <f>IFERROR(P1345*R1345,0)</f>
        <v/>
      </c>
      <c r="U1345" s="145">
        <f>T1345*S1345</f>
        <v/>
      </c>
      <c r="V1345" s="96" t="inlineStr">
        <is>
          <t>数据清洗任务表、资产同步任务表</t>
        </is>
      </c>
      <c r="W1345" s="96" t="n"/>
      <c r="X1345" s="111" t="inlineStr">
        <is>
          <t>数据清洗任务表{任务ID、任务名称、任务类型、任务状态、创建时间、|任务ID、任务名称、任务类型}
资产同步任务表{资产ID、资产名称、IP地址、资产类型、资产状态、创建时间、更新时间|资产ID、资产名称、IP地址}</t>
        </is>
      </c>
      <c r="Y1345" s="88" t="n"/>
      <c r="Z1345" s="88" t="n"/>
    </row>
    <row r="1346" hidden="1" ht="43.2" customHeight="1">
      <c r="A1346" s="69">
        <f>ROW()-1</f>
        <v/>
      </c>
      <c r="B1346" s="53" t="n"/>
      <c r="C1346" s="117" t="n">
        <v>2026</v>
      </c>
      <c r="E1346" s="53" t="n"/>
      <c r="F1346" s="53" t="n"/>
      <c r="G1346" s="53" t="n"/>
      <c r="H1346" s="96" t="inlineStr">
        <is>
          <t>导出验证任务</t>
        </is>
      </c>
      <c r="I1346" s="76" t="inlineStr">
        <is>
          <t>EO</t>
        </is>
      </c>
      <c r="J1346" s="95" t="n"/>
      <c r="K1346" s="95" t="n"/>
      <c r="L1346" s="83">
        <f>IF(OR(X1346="估算法",X1346="算法类",X1346="无法识别"),"",IF(V1346="",IF(OR(I1346="EI",I1346="EO",I1346="EQ"),0,""),LEN(V1346)-LEN(SUBSTITUTE(V1346,"、",""))+1))</f>
        <v/>
      </c>
      <c r="M1346" s="83">
        <f>IF(OR(X1346="估算法",X1346="算法类",X1346="无法识别"),"",IF(W1346="",IF(OR(I1346="ILF",I1346="EIF"),0,""),LEN(W1346)-LEN(SUBSTITUTE(W1346,"、",""))+1))</f>
        <v/>
      </c>
      <c r="N1346" s="83">
        <f>IF(OR(X1346="估算法",X1346="算法类",X1346="无法识别"),"",IF(X1346="",IF(OR(I1346="ILF",I1346="EIF",I1346="EI",I1346="EO",I1346="EQ"),0,""),LEN(X1346)-LEN(SUBSTITUTE(SUBSTITUTE(SUBSTITUTE(SUBSTITUTE(SUBSTITUTE(X1346,"|}","--"),"{|","--"),CHAR(10),""),"、",""),"|",""))+IF(AND(OR(I1346="EI",I1346="EO",I1346="EQ"),$AD$1="NESMA"),2,1)))</f>
        <v/>
      </c>
      <c r="O1346" s="84">
        <f>IF(I1346="EI",IF(OR(X1346="估算法",X1346="算法类"),"中",IF(X1346="无法识别","低",IF(L1346&lt;2,IF(N1346&lt;16,"低","中"),IF(L1346&lt;3,IF(N1346&lt;5,"低",IF(N1346&lt;16,"中","高")),IF(N1346&lt;5,"中","高"))))),IF(OR(I1346="EO",I1346="EQ"),IF(OR(X1346="估算法",X1346="算法类"),"中",IF(X1346="无法识别","低",IF(L1346&lt;2,IF(N1346&lt;20,"低","中"),IF(L1346&lt;4,IF(N1346&lt;6,"低",IF(N1346&lt;20,"中","高")),IF(N1346&lt;6,"中","高"))))),IF(OR(I1346="ILF",I1346="EIF"),IF(OR(X1346="估算法",X1346="算法类",X1346="无法识别"),"低",IF(M1346&lt;2,IF(N1346&lt;51,"低","中"),IF(M1346&lt;6,IF(N1346&lt;20,"低",IF(N1346&lt;51,"中","高")),IF(N1346&lt;20,"中","高")))),"不计算")))</f>
        <v/>
      </c>
      <c r="P1346" s="142">
        <f>IFERROR(IF(I1346="EI",IF(O1346="低",3,IF(O1346="中",4,6)),IF(I1346="EO",IF(O1346="低",4,IF(O1346="中",5,7)),IF(I1346="EQ",IF(O1346="低",3,IF(O1346="中",4,6)),IF(I1346="ILF",IF(O1346="低",7,IF(O1346="中",10,15)),IF(I1346="EIF",IF(O1346="低",5,IF(O1346="中",7,10)),"不计算")))))*Q1346,"不计算")</f>
        <v/>
      </c>
      <c r="Q1346" s="142" t="n">
        <v>1</v>
      </c>
      <c r="R1346" s="143">
        <f>调整因子!$F$13</f>
        <v/>
      </c>
      <c r="S1346" s="70" t="n">
        <v>1</v>
      </c>
      <c r="T1346" s="144">
        <f>IFERROR(P1346*R1346,0)</f>
        <v/>
      </c>
      <c r="U1346" s="145">
        <f>T1346*S1346</f>
        <v/>
      </c>
      <c r="V1346" s="96" t="inlineStr">
        <is>
          <t>数据清洗任务表、资产同步任务表</t>
        </is>
      </c>
      <c r="W1346" s="96" t="inlineStr"/>
      <c r="X1346" s="111" t="inlineStr">
        <is>
          <t>数据清洗任务表{任务ID、任务名称|任务ID、任务名称、任务类型、任务状态、创建时间、执行时间}
资产同步任务表{资产ID、资产名称|资产ID、资产名称、IP地址、资产类型、资产状态、创建时间、更新时间}</t>
        </is>
      </c>
      <c r="Y1346" s="88" t="n"/>
      <c r="Z1346" s="88" t="n"/>
    </row>
    <row r="1347" hidden="1" ht="43.2" customHeight="1">
      <c r="A1347" s="69">
        <f>ROW()-1</f>
        <v/>
      </c>
      <c r="B1347" s="53" t="n"/>
      <c r="C1347" s="117" t="n">
        <v>2026</v>
      </c>
      <c r="E1347" s="53" t="n"/>
      <c r="F1347" s="53" t="n"/>
      <c r="G1347" s="53" t="n"/>
      <c r="H1347" s="96" t="inlineStr">
        <is>
          <t>查询验证任务列表</t>
        </is>
      </c>
      <c r="I1347" s="76" t="inlineStr">
        <is>
          <t>EO</t>
        </is>
      </c>
      <c r="J1347" s="95" t="n"/>
      <c r="K1347" s="95" t="n"/>
      <c r="L1347" s="83">
        <f>IF(OR(X1347="估算法",X1347="算法类",X1347="无法识别"),"",IF(V1347="",IF(OR(I1347="EI",I1347="EO",I1347="EQ"),0,""),LEN(V1347)-LEN(SUBSTITUTE(V1347,"、",""))+1))</f>
        <v/>
      </c>
      <c r="M1347" s="83">
        <f>IF(OR(X1347="估算法",X1347="算法类",X1347="无法识别"),"",IF(W1347="",IF(OR(I1347="ILF",I1347="EIF"),0,""),LEN(W1347)-LEN(SUBSTITUTE(W1347,"、",""))+1))</f>
        <v/>
      </c>
      <c r="N1347" s="83">
        <f>IF(OR(X1347="估算法",X1347="算法类",X1347="无法识别"),"",IF(X1347="",IF(OR(I1347="ILF",I1347="EIF",I1347="EI",I1347="EO",I1347="EQ"),0,""),LEN(X1347)-LEN(SUBSTITUTE(SUBSTITUTE(SUBSTITUTE(SUBSTITUTE(SUBSTITUTE(X1347,"|}","--"),"{|","--"),CHAR(10),""),"、",""),"|",""))+IF(AND(OR(I1347="EI",I1347="EO",I1347="EQ"),$AD$1="NESMA"),2,1)))</f>
        <v/>
      </c>
      <c r="O1347" s="84">
        <f>IF(I1347="EI",IF(OR(X1347="估算法",X1347="算法类"),"中",IF(X1347="无法识别","低",IF(L1347&lt;2,IF(N1347&lt;16,"低","中"),IF(L1347&lt;3,IF(N1347&lt;5,"低",IF(N1347&lt;16,"中","高")),IF(N1347&lt;5,"中","高"))))),IF(OR(I1347="EO",I1347="EQ"),IF(OR(X1347="估算法",X1347="算法类"),"中",IF(X1347="无法识别","低",IF(L1347&lt;2,IF(N1347&lt;20,"低","中"),IF(L1347&lt;4,IF(N1347&lt;6,"低",IF(N1347&lt;20,"中","高")),IF(N1347&lt;6,"中","高"))))),IF(OR(I1347="ILF",I1347="EIF"),IF(OR(X1347="估算法",X1347="算法类",X1347="无法识别"),"低",IF(M1347&lt;2,IF(N1347&lt;51,"低","中"),IF(M1347&lt;6,IF(N1347&lt;20,"低",IF(N1347&lt;51,"中","高")),IF(N1347&lt;20,"中","高")))),"不计算")))</f>
        <v/>
      </c>
      <c r="P1347" s="142">
        <f>IFERROR(IF(I1347="EI",IF(O1347="低",3,IF(O1347="中",4,6)),IF(I1347="EO",IF(O1347="低",4,IF(O1347="中",5,7)),IF(I1347="EQ",IF(O1347="低",3,IF(O1347="中",4,6)),IF(I1347="ILF",IF(O1347="低",7,IF(O1347="中",10,15)),IF(I1347="EIF",IF(O1347="低",5,IF(O1347="中",7,10)),"不计算")))))*Q1347,"不计算")</f>
        <v/>
      </c>
      <c r="Q1347" s="142" t="n">
        <v>1</v>
      </c>
      <c r="R1347" s="143">
        <f>调整因子!$F$13</f>
        <v/>
      </c>
      <c r="S1347" s="70" t="n">
        <v>1</v>
      </c>
      <c r="T1347" s="144">
        <f>IFERROR(P1347*R1347,0)</f>
        <v/>
      </c>
      <c r="U1347" s="145">
        <f>T1347*S1347</f>
        <v/>
      </c>
      <c r="V1347" s="96" t="inlineStr">
        <is>
          <t>数据清洗任务表、资产同步任务表</t>
        </is>
      </c>
      <c r="W1347" s="96" t="inlineStr"/>
      <c r="X1347" s="111" t="inlineStr">
        <is>
          <t>数据清洗任务表{任务ID、任务名称|任务ID、任务名称、任务类型、任务状态、创建时间、执行时间}
资产同步任务表{资产ID、资产名称|资产ID、资产名称、IP地址、资产类型、资产状态、创建时间、更新时间}</t>
        </is>
      </c>
      <c r="Y1347" s="88" t="n"/>
      <c r="Z1347" s="88" t="n"/>
    </row>
    <row r="1348" hidden="1" ht="43.2" customHeight="1">
      <c r="A1348" s="69">
        <f>ROW()-1</f>
        <v/>
      </c>
      <c r="B1348" s="53" t="n"/>
      <c r="C1348" s="117" t="n">
        <v>2026</v>
      </c>
      <c r="E1348" s="53" t="n"/>
      <c r="F1348" s="53" t="n"/>
      <c r="G1348" s="54" t="n"/>
      <c r="H1348" s="96" t="inlineStr">
        <is>
          <t>查看验证任务详情</t>
        </is>
      </c>
      <c r="I1348" s="76" t="inlineStr">
        <is>
          <t>EQ</t>
        </is>
      </c>
      <c r="J1348" s="95" t="n"/>
      <c r="K1348" s="95" t="n"/>
      <c r="L1348" s="83">
        <f>IF(OR(X1348="估算法",X1348="算法类",X1348="无法识别"),"",IF(V1348="",IF(OR(I1348="EI",I1348="EO",I1348="EQ"),0,""),LEN(V1348)-LEN(SUBSTITUTE(V1348,"、",""))+1))</f>
        <v/>
      </c>
      <c r="M1348" s="83">
        <f>IF(OR(X1348="估算法",X1348="算法类",X1348="无法识别"),"",IF(W1348="",IF(OR(I1348="ILF",I1348="EIF"),0,""),LEN(W1348)-LEN(SUBSTITUTE(W1348,"、",""))+1))</f>
        <v/>
      </c>
      <c r="N1348" s="83">
        <f>IF(OR(X1348="估算法",X1348="算法类",X1348="无法识别"),"",IF(X1348="",IF(OR(I1348="ILF",I1348="EIF",I1348="EI",I1348="EO",I1348="EQ"),0,""),LEN(X1348)-LEN(SUBSTITUTE(SUBSTITUTE(SUBSTITUTE(SUBSTITUTE(SUBSTITUTE(X1348,"|}","--"),"{|","--"),CHAR(10),""),"、",""),"|",""))+IF(AND(OR(I1348="EI",I1348="EO",I1348="EQ"),$AD$1="NESMA"),2,1)))</f>
        <v/>
      </c>
      <c r="O1348" s="84">
        <f>IF(I1348="EI",IF(OR(X1348="估算法",X1348="算法类"),"中",IF(X1348="无法识别","低",IF(L1348&lt;2,IF(N1348&lt;16,"低","中"),IF(L1348&lt;3,IF(N1348&lt;5,"低",IF(N1348&lt;16,"中","高")),IF(N1348&lt;5,"中","高"))))),IF(OR(I1348="EO",I1348="EQ"),IF(OR(X1348="估算法",X1348="算法类"),"中",IF(X1348="无法识别","低",IF(L1348&lt;2,IF(N1348&lt;20,"低","中"),IF(L1348&lt;4,IF(N1348&lt;6,"低",IF(N1348&lt;20,"中","高")),IF(N1348&lt;6,"中","高"))))),IF(OR(I1348="ILF",I1348="EIF"),IF(OR(X1348="估算法",X1348="算法类",X1348="无法识别"),"低",IF(M1348&lt;2,IF(N1348&lt;51,"低","中"),IF(M1348&lt;6,IF(N1348&lt;20,"低",IF(N1348&lt;51,"中","高")),IF(N1348&lt;20,"中","高")))),"不计算")))</f>
        <v/>
      </c>
      <c r="P1348" s="142">
        <f>IFERROR(IF(I1348="EI",IF(O1348="低",3,IF(O1348="中",4,6)),IF(I1348="EO",IF(O1348="低",4,IF(O1348="中",5,7)),IF(I1348="EQ",IF(O1348="低",3,IF(O1348="中",4,6)),IF(I1348="ILF",IF(O1348="低",7,IF(O1348="中",10,15)),IF(I1348="EIF",IF(O1348="低",5,IF(O1348="中",7,10)),"不计算")))))*Q1348,"不计算")</f>
        <v/>
      </c>
      <c r="Q1348" s="142" t="n">
        <v>1</v>
      </c>
      <c r="R1348" s="143">
        <f>调整因子!$F$13</f>
        <v/>
      </c>
      <c r="S1348" s="76" t="n">
        <v>1</v>
      </c>
      <c r="T1348" s="144">
        <f>IFERROR(P1348*R1348,0)</f>
        <v/>
      </c>
      <c r="U1348" s="145">
        <f>T1348*S1348</f>
        <v/>
      </c>
      <c r="V1348" s="96" t="inlineStr">
        <is>
          <t>数据清洗任务表、资产同步任务表</t>
        </is>
      </c>
      <c r="W1348" s="96" t="n"/>
      <c r="X1348" s="111" t="inlineStr">
        <is>
          <t>数据清洗任务表{任务ID、任务名称|任务ID、任务名称、任务类型、任务状态、创建时间、执行时间}
资产同步任务表{资产ID、资产名称|资产ID、资产名称、IP地址、资产类型、资产状态、创建时间}</t>
        </is>
      </c>
      <c r="Y1348" s="88" t="n"/>
      <c r="Z1348" s="88" t="n"/>
    </row>
    <row r="1349" hidden="1">
      <c r="A1349" s="69">
        <f>ROW()-1</f>
        <v/>
      </c>
      <c r="B1349" s="53" t="n"/>
      <c r="C1349" s="117" t="n">
        <v>2026</v>
      </c>
      <c r="E1349" s="53" t="n"/>
      <c r="F1349" s="53" t="n"/>
      <c r="G1349" s="111" t="inlineStr">
        <is>
          <t>验证执行管理</t>
        </is>
      </c>
      <c r="H1349" s="96" t="inlineStr">
        <is>
          <t>导出验证结果</t>
        </is>
      </c>
      <c r="I1349" s="76" t="inlineStr">
        <is>
          <t>EO</t>
        </is>
      </c>
      <c r="J1349" s="95" t="n"/>
      <c r="K1349" s="95" t="n"/>
      <c r="L1349" s="83">
        <f>IF(OR(X1349="估算法",X1349="算法类",X1349="无法识别"),"",IF(V1349="",IF(OR(I1349="EI",I1349="EO",I1349="EQ"),0,""),LEN(V1349)-LEN(SUBSTITUTE(V1349,"、",""))+1))</f>
        <v/>
      </c>
      <c r="M1349" s="83">
        <f>IF(OR(X1349="估算法",X1349="算法类",X1349="无法识别"),"",IF(W1349="",IF(OR(I1349="ILF",I1349="EIF"),0,""),LEN(W1349)-LEN(SUBSTITUTE(W1349,"、",""))+1))</f>
        <v/>
      </c>
      <c r="N1349" s="83">
        <f>IF(OR(X1349="估算法",X1349="算法类",X1349="无法识别"),"",IF(X1349="",IF(OR(I1349="ILF",I1349="EIF",I1349="EI",I1349="EO",I1349="EQ"),0,""),LEN(X1349)-LEN(SUBSTITUTE(SUBSTITUTE(SUBSTITUTE(SUBSTITUTE(SUBSTITUTE(X1349,"|}","--"),"{|","--"),CHAR(10),""),"、",""),"|",""))+IF(AND(OR(I1349="EI",I1349="EO",I1349="EQ"),$AD$1="NESMA"),2,1)))</f>
        <v/>
      </c>
      <c r="O1349" s="84">
        <f>IF(I1349="EI",IF(OR(X1349="估算法",X1349="算法类"),"中",IF(X1349="无法识别","低",IF(L1349&lt;2,IF(N1349&lt;16,"低","中"),IF(L1349&lt;3,IF(N1349&lt;5,"低",IF(N1349&lt;16,"中","高")),IF(N1349&lt;5,"中","高"))))),IF(OR(I1349="EO",I1349="EQ"),IF(OR(X1349="估算法",X1349="算法类"),"中",IF(X1349="无法识别","低",IF(L1349&lt;2,IF(N1349&lt;20,"低","中"),IF(L1349&lt;4,IF(N1349&lt;6,"低",IF(N1349&lt;20,"中","高")),IF(N1349&lt;6,"中","高"))))),IF(OR(I1349="ILF",I1349="EIF"),IF(OR(X1349="估算法",X1349="算法类",X1349="无法识别"),"低",IF(M1349&lt;2,IF(N1349&lt;51,"低","中"),IF(M1349&lt;6,IF(N1349&lt;20,"低",IF(N1349&lt;51,"中","高")),IF(N1349&lt;20,"中","高")))),"不计算")))</f>
        <v/>
      </c>
      <c r="P1349" s="142">
        <f>IFERROR(IF(I1349="EI",IF(O1349="低",3,IF(O1349="中",4,6)),IF(I1349="EO",IF(O1349="低",4,IF(O1349="中",5,7)),IF(I1349="EQ",IF(O1349="低",3,IF(O1349="中",4,6)),IF(I1349="ILF",IF(O1349="低",7,IF(O1349="中",10,15)),IF(I1349="EIF",IF(O1349="低",5,IF(O1349="中",7,10)),"不计算")))))*Q1349,"不计算")</f>
        <v/>
      </c>
      <c r="Q1349" s="142" t="n">
        <v>1</v>
      </c>
      <c r="R1349" s="143">
        <f>调整因子!$F$13</f>
        <v/>
      </c>
      <c r="S1349" s="76" t="n">
        <v>1</v>
      </c>
      <c r="T1349" s="144">
        <f>IFERROR(P1349*R1349,0)</f>
        <v/>
      </c>
      <c r="U1349" s="145">
        <f>T1349*S1349</f>
        <v/>
      </c>
      <c r="V1349" s="96" t="inlineStr">
        <is>
          <t>脱敏规则表</t>
        </is>
      </c>
      <c r="W1349" s="96" t="n"/>
      <c r="X1349" s="111" t="inlineStr">
        <is>
          <t>脱敏规则表{规则ID、规则名称|规则ID、规则名称、规则类型、规则条件、创建时间}</t>
        </is>
      </c>
      <c r="Y1349" s="88" t="n"/>
      <c r="Z1349" s="88" t="n"/>
    </row>
    <row r="1350" hidden="1" ht="21.6" customHeight="1">
      <c r="A1350" s="69">
        <f>ROW()-1</f>
        <v/>
      </c>
      <c r="B1350" s="53" t="n"/>
      <c r="C1350" s="117" t="n">
        <v>2026</v>
      </c>
      <c r="E1350" s="53" t="n"/>
      <c r="F1350" s="53" t="n"/>
      <c r="G1350" s="53" t="n"/>
      <c r="H1350" s="96" t="inlineStr">
        <is>
          <t>下载验证报告</t>
        </is>
      </c>
      <c r="I1350" s="76" t="inlineStr">
        <is>
          <t>EO</t>
        </is>
      </c>
      <c r="J1350" s="95" t="n"/>
      <c r="K1350" s="95" t="n"/>
      <c r="L1350" s="83">
        <f>IF(OR(X1350="估算法",X1350="算法类",X1350="无法识别"),"",IF(V1350="",IF(OR(I1350="EI",I1350="EO",I1350="EQ"),0,""),LEN(V1350)-LEN(SUBSTITUTE(V1350,"、",""))+1))</f>
        <v/>
      </c>
      <c r="M1350" s="83">
        <f>IF(OR(X1350="估算法",X1350="算法类",X1350="无法识别"),"",IF(W1350="",IF(OR(I1350="ILF",I1350="EIF"),0,""),LEN(W1350)-LEN(SUBSTITUTE(W1350,"、",""))+1))</f>
        <v/>
      </c>
      <c r="N1350" s="83">
        <f>IF(OR(X1350="估算法",X1350="算法类",X1350="无法识别"),"",IF(X1350="",IF(OR(I1350="ILF",I1350="EIF",I1350="EI",I1350="EO",I1350="EQ"),0,""),LEN(X1350)-LEN(SUBSTITUTE(SUBSTITUTE(SUBSTITUTE(SUBSTITUTE(SUBSTITUTE(X1350,"|}","--"),"{|","--"),CHAR(10),""),"、",""),"|",""))+IF(AND(OR(I1350="EI",I1350="EO",I1350="EQ"),$AD$1="NESMA"),2,1)))</f>
        <v/>
      </c>
      <c r="O1350" s="84">
        <f>IF(I1350="EI",IF(OR(X1350="估算法",X1350="算法类"),"中",IF(X1350="无法识别","低",IF(L1350&lt;2,IF(N1350&lt;16,"低","中"),IF(L1350&lt;3,IF(N1350&lt;5,"低",IF(N1350&lt;16,"中","高")),IF(N1350&lt;5,"中","高"))))),IF(OR(I1350="EO",I1350="EQ"),IF(OR(X1350="估算法",X1350="算法类"),"中",IF(X1350="无法识别","低",IF(L1350&lt;2,IF(N1350&lt;20,"低","中"),IF(L1350&lt;4,IF(N1350&lt;6,"低",IF(N1350&lt;20,"中","高")),IF(N1350&lt;6,"中","高"))))),IF(OR(I1350="ILF",I1350="EIF"),IF(OR(X1350="估算法",X1350="算法类",X1350="无法识别"),"低",IF(M1350&lt;2,IF(N1350&lt;51,"低","中"),IF(M1350&lt;6,IF(N1350&lt;20,"低",IF(N1350&lt;51,"中","高")),IF(N1350&lt;20,"中","高")))),"不计算")))</f>
        <v/>
      </c>
      <c r="P1350" s="142">
        <f>IFERROR(IF(I1350="EI",IF(O1350="低",3,IF(O1350="中",4,6)),IF(I1350="EO",IF(O1350="低",4,IF(O1350="中",5,7)),IF(I1350="EQ",IF(O1350="低",3,IF(O1350="中",4,6)),IF(I1350="ILF",IF(O1350="低",7,IF(O1350="中",10,15)),IF(I1350="EIF",IF(O1350="低",5,IF(O1350="中",7,10)),"不计算")))))*Q1350,"不计算")</f>
        <v/>
      </c>
      <c r="Q1350" s="142" t="n">
        <v>1</v>
      </c>
      <c r="R1350" s="143">
        <f>调整因子!$F$13</f>
        <v/>
      </c>
      <c r="S1350" s="70" t="n">
        <v>1</v>
      </c>
      <c r="T1350" s="144">
        <f>IFERROR(P1350*R1350,0)</f>
        <v/>
      </c>
      <c r="U1350" s="145">
        <f>T1350*S1350</f>
        <v/>
      </c>
      <c r="V1350" s="96" t="inlineStr">
        <is>
          <t>加密规则表、标签定义表</t>
        </is>
      </c>
      <c r="W1350" s="96" t="n"/>
      <c r="X1350" s="111" t="inlineStr">
        <is>
          <t>加密规则表{规则ID、规则名称|规则ID、规则名称、规则类型、规则条件、创建时间}
标签定义表{ID、名称|ID、名称、类型、状态、创建时间、更新时间}</t>
        </is>
      </c>
      <c r="Y1350" s="88" t="n"/>
      <c r="Z1350" s="88" t="n"/>
    </row>
    <row r="1351" hidden="1">
      <c r="A1351" s="69">
        <f>ROW()-1</f>
        <v/>
      </c>
      <c r="B1351" s="53" t="n"/>
      <c r="C1351" s="117" t="n">
        <v>2026</v>
      </c>
      <c r="E1351" s="53" t="n"/>
      <c r="F1351" s="53" t="n"/>
      <c r="G1351" s="53" t="n"/>
      <c r="H1351" s="96" t="inlineStr">
        <is>
          <t>查询验证进度</t>
        </is>
      </c>
      <c r="I1351" s="76" t="inlineStr">
        <is>
          <t>EQ</t>
        </is>
      </c>
      <c r="J1351" s="95" t="n"/>
      <c r="K1351" s="95" t="n"/>
      <c r="L1351" s="83">
        <f>IF(OR(X1351="估算法",X1351="算法类",X1351="无法识别"),"",IF(V1351="",IF(OR(I1351="EI",I1351="EO",I1351="EQ"),0,""),LEN(V1351)-LEN(SUBSTITUTE(V1351,"、",""))+1))</f>
        <v/>
      </c>
      <c r="M1351" s="83">
        <f>IF(OR(X1351="估算法",X1351="算法类",X1351="无法识别"),"",IF(W1351="",IF(OR(I1351="ILF",I1351="EIF"),0,""),LEN(W1351)-LEN(SUBSTITUTE(W1351,"、",""))+1))</f>
        <v/>
      </c>
      <c r="N1351" s="83">
        <f>IF(OR(X1351="估算法",X1351="算法类",X1351="无法识别"),"",IF(X1351="",IF(OR(I1351="ILF",I1351="EIF",I1351="EI",I1351="EO",I1351="EQ"),0,""),LEN(X1351)-LEN(SUBSTITUTE(SUBSTITUTE(SUBSTITUTE(SUBSTITUTE(SUBSTITUTE(X1351,"|}","--"),"{|","--"),CHAR(10),""),"、",""),"|",""))+IF(AND(OR(I1351="EI",I1351="EO",I1351="EQ"),$AD$1="NESMA"),2,1)))</f>
        <v/>
      </c>
      <c r="O1351" s="84">
        <f>IF(I1351="EI",IF(OR(X1351="估算法",X1351="算法类"),"中",IF(X1351="无法识别","低",IF(L1351&lt;2,IF(N1351&lt;16,"低","中"),IF(L1351&lt;3,IF(N1351&lt;5,"低",IF(N1351&lt;16,"中","高")),IF(N1351&lt;5,"中","高"))))),IF(OR(I1351="EO",I1351="EQ"),IF(OR(X1351="估算法",X1351="算法类"),"中",IF(X1351="无法识别","低",IF(L1351&lt;2,IF(N1351&lt;20,"低","中"),IF(L1351&lt;4,IF(N1351&lt;6,"低",IF(N1351&lt;20,"中","高")),IF(N1351&lt;6,"中","高"))))),IF(OR(I1351="ILF",I1351="EIF"),IF(OR(X1351="估算法",X1351="算法类",X1351="无法识别"),"低",IF(M1351&lt;2,IF(N1351&lt;51,"低","中"),IF(M1351&lt;6,IF(N1351&lt;20,"低",IF(N1351&lt;51,"中","高")),IF(N1351&lt;20,"中","高")))),"不计算")))</f>
        <v/>
      </c>
      <c r="P1351" s="142">
        <f>IFERROR(IF(I1351="EI",IF(O1351="低",3,IF(O1351="中",4,6)),IF(I1351="EO",IF(O1351="低",4,IF(O1351="中",5,7)),IF(I1351="EQ",IF(O1351="低",3,IF(O1351="中",4,6)),IF(I1351="ILF",IF(O1351="低",7,IF(O1351="中",10,15)),IF(I1351="EIF",IF(O1351="低",5,IF(O1351="中",7,10)),"不计算")))))*Q1351,"不计算")</f>
        <v/>
      </c>
      <c r="Q1351" s="142" t="n">
        <v>1</v>
      </c>
      <c r="R1351" s="143">
        <f>调整因子!$F$13</f>
        <v/>
      </c>
      <c r="S1351" s="70" t="n">
        <v>1</v>
      </c>
      <c r="T1351" s="144">
        <f>IFERROR(P1351*R1351,0)</f>
        <v/>
      </c>
      <c r="U1351" s="145">
        <f>T1351*S1351</f>
        <v/>
      </c>
      <c r="V1351" s="96" t="inlineStr">
        <is>
          <t>验证记录表</t>
        </is>
      </c>
      <c r="W1351" s="96" t="inlineStr"/>
      <c r="X1351" s="111" t="inlineStr">
        <is>
          <t>验证记录表{ID、名称|ID、名称、类型、状态、创建时间、更新时间}</t>
        </is>
      </c>
      <c r="Y1351" s="88" t="n"/>
      <c r="Z1351" s="88" t="n"/>
    </row>
    <row r="1352" hidden="1">
      <c r="A1352" s="69">
        <f>ROW()-1</f>
        <v/>
      </c>
      <c r="B1352" s="53" t="n"/>
      <c r="C1352" s="117" t="n">
        <v>2026</v>
      </c>
      <c r="E1352" s="53" t="n"/>
      <c r="F1352" s="54" t="n"/>
      <c r="G1352" s="54" t="n"/>
      <c r="H1352" s="96" t="inlineStr">
        <is>
          <t>查看验证结果</t>
        </is>
      </c>
      <c r="I1352" s="76" t="inlineStr">
        <is>
          <t>EQ</t>
        </is>
      </c>
      <c r="J1352" s="95" t="n"/>
      <c r="K1352" s="95" t="n"/>
      <c r="L1352" s="83">
        <f>IF(OR(X1352="估算法",X1352="算法类",X1352="无法识别"),"",IF(V1352="",IF(OR(I1352="EI",I1352="EO",I1352="EQ"),0,""),LEN(V1352)-LEN(SUBSTITUTE(V1352,"、",""))+1))</f>
        <v/>
      </c>
      <c r="M1352" s="83">
        <f>IF(OR(X1352="估算法",X1352="算法类",X1352="无法识别"),"",IF(W1352="",IF(OR(I1352="ILF",I1352="EIF"),0,""),LEN(W1352)-LEN(SUBSTITUTE(W1352,"、",""))+1))</f>
        <v/>
      </c>
      <c r="N1352" s="83">
        <f>IF(OR(X1352="估算法",X1352="算法类",X1352="无法识别"),"",IF(X1352="",IF(OR(I1352="ILF",I1352="EIF",I1352="EI",I1352="EO",I1352="EQ"),0,""),LEN(X1352)-LEN(SUBSTITUTE(SUBSTITUTE(SUBSTITUTE(SUBSTITUTE(SUBSTITUTE(X1352,"|}","--"),"{|","--"),CHAR(10),""),"、",""),"|",""))+IF(AND(OR(I1352="EI",I1352="EO",I1352="EQ"),$AD$1="NESMA"),2,1)))</f>
        <v/>
      </c>
      <c r="O1352" s="84">
        <f>IF(I1352="EI",IF(OR(X1352="估算法",X1352="算法类"),"中",IF(X1352="无法识别","低",IF(L1352&lt;2,IF(N1352&lt;16,"低","中"),IF(L1352&lt;3,IF(N1352&lt;5,"低",IF(N1352&lt;16,"中","高")),IF(N1352&lt;5,"中","高"))))),IF(OR(I1352="EO",I1352="EQ"),IF(OR(X1352="估算法",X1352="算法类"),"中",IF(X1352="无法识别","低",IF(L1352&lt;2,IF(N1352&lt;20,"低","中"),IF(L1352&lt;4,IF(N1352&lt;6,"低",IF(N1352&lt;20,"中","高")),IF(N1352&lt;6,"中","高"))))),IF(OR(I1352="ILF",I1352="EIF"),IF(OR(X1352="估算法",X1352="算法类",X1352="无法识别"),"低",IF(M1352&lt;2,IF(N1352&lt;51,"低","中"),IF(M1352&lt;6,IF(N1352&lt;20,"低",IF(N1352&lt;51,"中","高")),IF(N1352&lt;20,"中","高")))),"不计算")))</f>
        <v/>
      </c>
      <c r="P1352" s="142">
        <f>IFERROR(IF(I1352="EI",IF(O1352="低",3,IF(O1352="中",4,6)),IF(I1352="EO",IF(O1352="低",4,IF(O1352="中",5,7)),IF(I1352="EQ",IF(O1352="低",3,IF(O1352="中",4,6)),IF(I1352="ILF",IF(O1352="低",7,IF(O1352="中",10,15)),IF(I1352="EIF",IF(O1352="低",5,IF(O1352="中",7,10)),"不计算")))))*Q1352,"不计算")</f>
        <v/>
      </c>
      <c r="Q1352" s="142" t="n">
        <v>1</v>
      </c>
      <c r="R1352" s="143">
        <f>调整因子!$F$13</f>
        <v/>
      </c>
      <c r="S1352" s="76" t="n">
        <v>1</v>
      </c>
      <c r="T1352" s="144">
        <f>IFERROR(P1352*R1352,0)</f>
        <v/>
      </c>
      <c r="U1352" s="145">
        <f>T1352*S1352</f>
        <v/>
      </c>
      <c r="V1352" s="96" t="inlineStr">
        <is>
          <t>修复方案表</t>
        </is>
      </c>
      <c r="W1352" s="96" t="inlineStr"/>
      <c r="X1352" s="111" t="inlineStr">
        <is>
          <t>修复方案表{ID、名称|ID、名称、类型、状态、创建时间、更新时间}</t>
        </is>
      </c>
      <c r="Y1352" s="88" t="n"/>
      <c r="Z1352" s="88" t="n"/>
    </row>
    <row r="1353" hidden="1">
      <c r="A1353" s="69">
        <f>ROW()-1</f>
        <v/>
      </c>
      <c r="B1353" s="53" t="n"/>
      <c r="C1353" s="117" t="n">
        <v>2026</v>
      </c>
      <c r="E1353" s="53" t="n"/>
      <c r="F1353" s="111" t="inlineStr">
        <is>
          <t>漏洞处置工单管理</t>
        </is>
      </c>
      <c r="G1353" s="111" t="inlineStr">
        <is>
          <t>修复方案制定管理</t>
        </is>
      </c>
      <c r="H1353" s="96" t="inlineStr">
        <is>
          <t>修复方案表</t>
        </is>
      </c>
      <c r="I1353" s="76" t="n"/>
      <c r="J1353" s="95" t="n"/>
      <c r="K1353" s="95" t="inlineStr">
        <is>
          <t>重复数据库表</t>
        </is>
      </c>
      <c r="L1353" s="83">
        <f>IF(OR(X1353="估算法",X1353="算法类",X1353="无法识别"),"",IF(V1353="",IF(OR(I1353="EI",I1353="EO",I1353="EQ"),0,""),LEN(V1353)-LEN(SUBSTITUTE(V1353,"、",""))+1))</f>
        <v/>
      </c>
      <c r="M1353" s="83">
        <f>IF(OR(X1353="估算法",X1353="算法类",X1353="无法识别"),"",IF(W1353="",IF(OR(I1353="ILF",I1353="EIF"),0,""),LEN(W1353)-LEN(SUBSTITUTE(W1353,"、",""))+1))</f>
        <v/>
      </c>
      <c r="N1353" s="83">
        <f>IF(OR(X1353="估算法",X1353="算法类",X1353="无法识别"),"",IF(X1353="",IF(OR(I1353="ILF",I1353="EIF",I1353="EI",I1353="EO",I1353="EQ"),0,""),LEN(X1353)-LEN(SUBSTITUTE(SUBSTITUTE(SUBSTITUTE(SUBSTITUTE(SUBSTITUTE(X1353,"|}","--"),"{|","--"),CHAR(10),""),"、",""),"|",""))+IF(AND(OR(I1353="EI",I1353="EO",I1353="EQ"),$AD$1="NESMA"),2,1)))</f>
        <v/>
      </c>
      <c r="O1353" s="84">
        <f>IF(I1353="EI",IF(OR(X1353="估算法",X1353="算法类"),"中",IF(X1353="无法识别","低",IF(L1353&lt;2,IF(N1353&lt;16,"低","中"),IF(L1353&lt;3,IF(N1353&lt;5,"低",IF(N1353&lt;16,"中","高")),IF(N1353&lt;5,"中","高"))))),IF(OR(I1353="EO",I1353="EQ"),IF(OR(X1353="估算法",X1353="算法类"),"中",IF(X1353="无法识别","低",IF(L1353&lt;2,IF(N1353&lt;20,"低","中"),IF(L1353&lt;4,IF(N1353&lt;6,"低",IF(N1353&lt;20,"中","高")),IF(N1353&lt;6,"中","高"))))),IF(OR(I1353="ILF",I1353="EIF"),IF(OR(X1353="估算法",X1353="算法类",X1353="无法识别"),"低",IF(M1353&lt;2,IF(N1353&lt;51,"低","中"),IF(M1353&lt;6,IF(N1353&lt;20,"低",IF(N1353&lt;51,"中","高")),IF(N1353&lt;20,"中","高")))),"不计算")))</f>
        <v/>
      </c>
      <c r="P1353" s="142">
        <f>IFERROR(IF(I1353="EI",IF(O1353="低",3,IF(O1353="中",4,6)),IF(I1353="EO",IF(O1353="低",4,IF(O1353="中",5,7)),IF(I1353="EQ",IF(O1353="低",3,IF(O1353="中",4,6)),IF(I1353="ILF",IF(O1353="低",7,IF(O1353="中",10,15)),IF(I1353="EIF",IF(O1353="低",5,IF(O1353="中",7,10)),"不计算")))))*Q1353,"不计算")</f>
        <v/>
      </c>
      <c r="Q1353" s="142" t="n">
        <v>1</v>
      </c>
      <c r="R1353" s="143">
        <f>调整因子!$F$13</f>
        <v/>
      </c>
      <c r="S1353" s="70" t="n">
        <v>1</v>
      </c>
      <c r="T1353" s="144">
        <f>IFERROR(P1353*R1353,0)</f>
        <v/>
      </c>
      <c r="U1353" s="145">
        <f>T1353*S1353</f>
        <v/>
      </c>
      <c r="V1353" s="96" t="inlineStr"/>
      <c r="W1353" s="96" t="inlineStr">
        <is>
          <t>数据记录</t>
        </is>
      </c>
      <c r="X1353" s="111" t="inlineStr">
        <is>
          <t>修复方案表{ID、名称、类型|ID、名称、类型、状态、创建时间、更新时间}</t>
        </is>
      </c>
      <c r="Y1353" s="88">
        <f>IF(COUNTIFS(V:V,"*"&amp;H1353&amp;"*")&gt;0,"存在","不存在")</f>
        <v/>
      </c>
      <c r="Z1353" s="88">
        <f>IF(COUNTIFS(AA:AA,"*"&amp;H1353&amp;"*")&gt;0,"存在","不存在")</f>
        <v/>
      </c>
    </row>
    <row r="1354" hidden="1">
      <c r="A1354" s="69">
        <f>ROW()-1</f>
        <v/>
      </c>
      <c r="B1354" s="53" t="n"/>
      <c r="C1354" s="117" t="n">
        <v>2026</v>
      </c>
      <c r="E1354" s="53" t="n"/>
      <c r="F1354" s="53" t="n"/>
      <c r="G1354" s="53" t="n"/>
      <c r="H1354" s="96" t="inlineStr">
        <is>
          <t>修复步骤表</t>
        </is>
      </c>
      <c r="I1354" s="76" t="n"/>
      <c r="J1354" s="95" t="n"/>
      <c r="K1354" s="95" t="inlineStr">
        <is>
          <t>重复数据库表</t>
        </is>
      </c>
      <c r="L1354" s="83">
        <f>IF(OR(X1354="估算法",X1354="算法类",X1354="无法识别"),"",IF(V1354="",IF(OR(I1354="EI",I1354="EO",I1354="EQ"),0,""),LEN(V1354)-LEN(SUBSTITUTE(V1354,"、",""))+1))</f>
        <v/>
      </c>
      <c r="M1354" s="83">
        <f>IF(OR(X1354="估算法",X1354="算法类",X1354="无法识别"),"",IF(W1354="",IF(OR(I1354="ILF",I1354="EIF"),0,""),LEN(W1354)-LEN(SUBSTITUTE(W1354,"、",""))+1))</f>
        <v/>
      </c>
      <c r="N1354" s="83">
        <f>IF(OR(X1354="估算法",X1354="算法类",X1354="无法识别"),"",IF(X1354="",IF(OR(I1354="ILF",I1354="EIF",I1354="EI",I1354="EO",I1354="EQ"),0,""),LEN(X1354)-LEN(SUBSTITUTE(SUBSTITUTE(SUBSTITUTE(SUBSTITUTE(SUBSTITUTE(X1354,"|}","--"),"{|","--"),CHAR(10),""),"、",""),"|",""))+IF(AND(OR(I1354="EI",I1354="EO",I1354="EQ"),$AD$1="NESMA"),2,1)))</f>
        <v/>
      </c>
      <c r="O1354" s="84">
        <f>IF(I1354="EI",IF(OR(X1354="估算法",X1354="算法类"),"中",IF(X1354="无法识别","低",IF(L1354&lt;2,IF(N1354&lt;16,"低","中"),IF(L1354&lt;3,IF(N1354&lt;5,"低",IF(N1354&lt;16,"中","高")),IF(N1354&lt;5,"中","高"))))),IF(OR(I1354="EO",I1354="EQ"),IF(OR(X1354="估算法",X1354="算法类"),"中",IF(X1354="无法识别","低",IF(L1354&lt;2,IF(N1354&lt;20,"低","中"),IF(L1354&lt;4,IF(N1354&lt;6,"低",IF(N1354&lt;20,"中","高")),IF(N1354&lt;6,"中","高"))))),IF(OR(I1354="ILF",I1354="EIF"),IF(OR(X1354="估算法",X1354="算法类",X1354="无法识别"),"低",IF(M1354&lt;2,IF(N1354&lt;51,"低","中"),IF(M1354&lt;6,IF(N1354&lt;20,"低",IF(N1354&lt;51,"中","高")),IF(N1354&lt;20,"中","高")))),"不计算")))</f>
        <v/>
      </c>
      <c r="P1354" s="142">
        <f>IFERROR(IF(I1354="EI",IF(O1354="低",3,IF(O1354="中",4,6)),IF(I1354="EO",IF(O1354="低",4,IF(O1354="中",5,7)),IF(I1354="EQ",IF(O1354="低",3,IF(O1354="中",4,6)),IF(I1354="ILF",IF(O1354="低",7,IF(O1354="中",10,15)),IF(I1354="EIF",IF(O1354="低",5,IF(O1354="中",7,10)),"不计算")))))*Q1354,"不计算")</f>
        <v/>
      </c>
      <c r="Q1354" s="142" t="n">
        <v>1</v>
      </c>
      <c r="R1354" s="143">
        <f>调整因子!$F$13</f>
        <v/>
      </c>
      <c r="S1354" s="70" t="n">
        <v>1</v>
      </c>
      <c r="T1354" s="144">
        <f>IFERROR(P1354*R1354,0)</f>
        <v/>
      </c>
      <c r="U1354" s="145">
        <f>T1354*S1354</f>
        <v/>
      </c>
      <c r="V1354" s="96" t="inlineStr"/>
      <c r="W1354" s="96" t="inlineStr">
        <is>
          <t>数据记录</t>
        </is>
      </c>
      <c r="X1354" s="111" t="inlineStr">
        <is>
          <t>修复步骤表{ID、名称、类型|ID、名称、类型、状态、创建时间、更新时间}</t>
        </is>
      </c>
      <c r="Y1354" s="88">
        <f>IF(COUNTIFS(V:V,"*"&amp;H1354&amp;"*")&gt;0,"存在","不存在")</f>
        <v/>
      </c>
      <c r="Z1354" s="88">
        <f>IF(COUNTIFS(AA:AA,"*"&amp;H1354&amp;"*")&gt;0,"存在","不存在")</f>
        <v/>
      </c>
    </row>
    <row r="1355" hidden="1">
      <c r="A1355" s="69">
        <f>ROW()-1</f>
        <v/>
      </c>
      <c r="B1355" s="53" t="n"/>
      <c r="C1355" s="117" t="n">
        <v>2026</v>
      </c>
      <c r="E1355" s="53" t="n"/>
      <c r="F1355" s="53" t="n"/>
      <c r="G1355" s="53" t="n"/>
      <c r="H1355" s="96" t="inlineStr">
        <is>
          <t>方案审批表</t>
        </is>
      </c>
      <c r="I1355" s="76" t="inlineStr">
        <is>
          <t>ILF</t>
        </is>
      </c>
      <c r="J1355" s="95" t="n"/>
      <c r="K1355" s="95" t="n"/>
      <c r="L1355" s="83">
        <f>IF(OR(X1355="估算法",X1355="算法类",X1355="无法识别"),"",IF(V1355="",IF(OR(I1355="EI",I1355="EO",I1355="EQ"),0,""),LEN(V1355)-LEN(SUBSTITUTE(V1355,"、",""))+1))</f>
        <v/>
      </c>
      <c r="M1355" s="83">
        <f>IF(OR(X1355="估算法",X1355="算法类",X1355="无法识别"),"",IF(W1355="",IF(OR(I1355="ILF",I1355="EIF"),0,""),LEN(W1355)-LEN(SUBSTITUTE(W1355,"、",""))+1))</f>
        <v/>
      </c>
      <c r="N1355" s="83">
        <f>IF(OR(X1355="估算法",X1355="算法类",X1355="无法识别"),"",IF(X1355="",IF(OR(I1355="ILF",I1355="EIF",I1355="EI",I1355="EO",I1355="EQ"),0,""),LEN(X1355)-LEN(SUBSTITUTE(SUBSTITUTE(SUBSTITUTE(SUBSTITUTE(SUBSTITUTE(X1355,"|}","--"),"{|","--"),CHAR(10),""),"、",""),"|",""))+IF(AND(OR(I1355="EI",I1355="EO",I1355="EQ"),$AD$1="NESMA"),2,1)))</f>
        <v/>
      </c>
      <c r="O1355" s="84">
        <f>IF(I1355="EI",IF(OR(X1355="估算法",X1355="算法类"),"中",IF(X1355="无法识别","低",IF(L1355&lt;2,IF(N1355&lt;16,"低","中"),IF(L1355&lt;3,IF(N1355&lt;5,"低",IF(N1355&lt;16,"中","高")),IF(N1355&lt;5,"中","高"))))),IF(OR(I1355="EO",I1355="EQ"),IF(OR(X1355="估算法",X1355="算法类"),"中",IF(X1355="无法识别","低",IF(L1355&lt;2,IF(N1355&lt;20,"低","中"),IF(L1355&lt;4,IF(N1355&lt;6,"低",IF(N1355&lt;20,"中","高")),IF(N1355&lt;6,"中","高"))))),IF(OR(I1355="ILF",I1355="EIF"),IF(OR(X1355="估算法",X1355="算法类",X1355="无法识别"),"低",IF(M1355&lt;2,IF(N1355&lt;51,"低","中"),IF(M1355&lt;6,IF(N1355&lt;20,"低",IF(N1355&lt;51,"中","高")),IF(N1355&lt;20,"中","高")))),"不计算")))</f>
        <v/>
      </c>
      <c r="P1355" s="142">
        <f>IFERROR(IF(I1355="EI",IF(O1355="低",3,IF(O1355="中",4,6)),IF(I1355="EO",IF(O1355="低",4,IF(O1355="中",5,7)),IF(I1355="EQ",IF(O1355="低",3,IF(O1355="中",4,6)),IF(I1355="ILF",IF(O1355="低",7,IF(O1355="中",10,15)),IF(I1355="EIF",IF(O1355="低",5,IF(O1355="中",7,10)),"不计算")))))*Q1355,"不计算")</f>
        <v/>
      </c>
      <c r="Q1355" s="142" t="n">
        <v>1</v>
      </c>
      <c r="R1355" s="143">
        <f>调整因子!$F$13</f>
        <v/>
      </c>
      <c r="S1355" s="76" t="n">
        <v>1</v>
      </c>
      <c r="T1355" s="144">
        <f>IFERROR(P1355*R1355,0)</f>
        <v/>
      </c>
      <c r="U1355" s="145">
        <f>T1355*S1355</f>
        <v/>
      </c>
      <c r="V1355" s="96" t="inlineStr"/>
      <c r="W1355" s="96" t="inlineStr">
        <is>
          <t>数据记录</t>
        </is>
      </c>
      <c r="X1355" s="111" t="inlineStr">
        <is>
          <t>方案审批表{ID、名称、类型|ID、名称、类型、状态、创建时间、更新时间}</t>
        </is>
      </c>
      <c r="Y1355" s="88">
        <f>IF(COUNTIFS(V:V,"*"&amp;H1355&amp;"*")&gt;0,"存在","不存在")</f>
        <v/>
      </c>
      <c r="Z1355" s="88">
        <f>IF(COUNTIFS(AA:AA,"*"&amp;H1355&amp;"*")&gt;0,"存在","不存在")</f>
        <v/>
      </c>
    </row>
    <row r="1356" hidden="1">
      <c r="A1356" s="69">
        <f>ROW()-1</f>
        <v/>
      </c>
      <c r="B1356" s="53" t="n"/>
      <c r="C1356" s="117" t="n">
        <v>2026</v>
      </c>
      <c r="E1356" s="53" t="n"/>
      <c r="F1356" s="53" t="n"/>
      <c r="G1356" s="53" t="n"/>
      <c r="H1356" s="96" t="inlineStr">
        <is>
          <t>制定修复方案</t>
        </is>
      </c>
      <c r="I1356" s="76" t="inlineStr">
        <is>
          <t>EI</t>
        </is>
      </c>
      <c r="J1356" s="95" t="n"/>
      <c r="K1356" s="95" t="n"/>
      <c r="L1356" s="83">
        <f>IF(OR(X1356="估算法",X1356="算法类",X1356="无法识别"),"",IF(V1356="",IF(OR(I1356="EI",I1356="EO",I1356="EQ"),0,""),LEN(V1356)-LEN(SUBSTITUTE(V1356,"、",""))+1))</f>
        <v/>
      </c>
      <c r="M1356" s="83">
        <f>IF(OR(X1356="估算法",X1356="算法类",X1356="无法识别"),"",IF(W1356="",IF(OR(I1356="ILF",I1356="EIF"),0,""),LEN(W1356)-LEN(SUBSTITUTE(W1356,"、",""))+1))</f>
        <v/>
      </c>
      <c r="N1356" s="83">
        <f>IF(OR(X1356="估算法",X1356="算法类",X1356="无法识别"),"",IF(X1356="",IF(OR(I1356="ILF",I1356="EIF",I1356="EI",I1356="EO",I1356="EQ"),0,""),LEN(X1356)-LEN(SUBSTITUTE(SUBSTITUTE(SUBSTITUTE(SUBSTITUTE(SUBSTITUTE(X1356,"|}","--"),"{|","--"),CHAR(10),""),"、",""),"|",""))+IF(AND(OR(I1356="EI",I1356="EO",I1356="EQ"),$AD$1="NESMA"),2,1)))</f>
        <v/>
      </c>
      <c r="O1356" s="84">
        <f>IF(I1356="EI",IF(OR(X1356="估算法",X1356="算法类"),"中",IF(X1356="无法识别","低",IF(L1356&lt;2,IF(N1356&lt;16,"低","中"),IF(L1356&lt;3,IF(N1356&lt;5,"低",IF(N1356&lt;16,"中","高")),IF(N1356&lt;5,"中","高"))))),IF(OR(I1356="EO",I1356="EQ"),IF(OR(X1356="估算法",X1356="算法类"),"中",IF(X1356="无法识别","低",IF(L1356&lt;2,IF(N1356&lt;20,"低","中"),IF(L1356&lt;4,IF(N1356&lt;6,"低",IF(N1356&lt;20,"中","高")),IF(N1356&lt;6,"中","高"))))),IF(OR(I1356="ILF",I1356="EIF"),IF(OR(X1356="估算法",X1356="算法类",X1356="无法识别"),"低",IF(M1356&lt;2,IF(N1356&lt;51,"低","中"),IF(M1356&lt;6,IF(N1356&lt;20,"低",IF(N1356&lt;51,"中","高")),IF(N1356&lt;20,"中","高")))),"不计算")))</f>
        <v/>
      </c>
      <c r="P1356" s="142">
        <f>IFERROR(IF(I1356="EI",IF(O1356="低",3,IF(O1356="中",4,6)),IF(I1356="EO",IF(O1356="低",4,IF(O1356="中",5,7)),IF(I1356="EQ",IF(O1356="低",3,IF(O1356="中",4,6)),IF(I1356="ILF",IF(O1356="低",7,IF(O1356="中",10,15)),IF(I1356="EIF",IF(O1356="低",5,IF(O1356="中",7,10)),"不计算")))))*Q1356,"不计算")</f>
        <v/>
      </c>
      <c r="Q1356" s="142" t="n">
        <v>1</v>
      </c>
      <c r="R1356" s="143">
        <f>调整因子!$F$13</f>
        <v/>
      </c>
      <c r="S1356" s="76" t="n">
        <v>1</v>
      </c>
      <c r="T1356" s="144">
        <f>IFERROR(P1356*R1356,0)</f>
        <v/>
      </c>
      <c r="U1356" s="145">
        <f>T1356*S1356</f>
        <v/>
      </c>
      <c r="V1356" s="96" t="inlineStr">
        <is>
          <t>同步失败重试记录表</t>
        </is>
      </c>
      <c r="W1356" s="96" t="inlineStr"/>
      <c r="X1356" s="111" t="inlineStr">
        <is>
          <t>同步失败重试记录表{ID、名称、类型、状态、创建时间、更新时间|ID、名称、类型}</t>
        </is>
      </c>
      <c r="Y1356" s="88" t="n"/>
      <c r="Z1356" s="88" t="n"/>
    </row>
    <row r="1357" hidden="1" ht="21.6" customHeight="1">
      <c r="A1357" s="69">
        <f>ROW()-1</f>
        <v/>
      </c>
      <c r="B1357" s="53" t="n"/>
      <c r="C1357" s="117" t="n">
        <v>2026</v>
      </c>
      <c r="E1357" s="53" t="n"/>
      <c r="F1357" s="53" t="n"/>
      <c r="G1357" s="53" t="n"/>
      <c r="H1357" s="96" t="inlineStr">
        <is>
          <t>编辑修复方案</t>
        </is>
      </c>
      <c r="I1357" s="76" t="inlineStr">
        <is>
          <t>EI</t>
        </is>
      </c>
      <c r="J1357" s="95" t="n"/>
      <c r="K1357" s="95" t="n"/>
      <c r="L1357" s="83">
        <f>IF(OR(X1357="估算法",X1357="算法类",X1357="无法识别"),"",IF(V1357="",IF(OR(I1357="EI",I1357="EO",I1357="EQ"),0,""),LEN(V1357)-LEN(SUBSTITUTE(V1357,"、",""))+1))</f>
        <v/>
      </c>
      <c r="M1357" s="83">
        <f>IF(OR(X1357="估算法",X1357="算法类",X1357="无法识别"),"",IF(W1357="",IF(OR(I1357="ILF",I1357="EIF"),0,""),LEN(W1357)-LEN(SUBSTITUTE(W1357,"、",""))+1))</f>
        <v/>
      </c>
      <c r="N1357" s="83">
        <f>IF(OR(X1357="估算法",X1357="算法类",X1357="无法识别"),"",IF(X1357="",IF(OR(I1357="ILF",I1357="EIF",I1357="EI",I1357="EO",I1357="EQ"),0,""),LEN(X1357)-LEN(SUBSTITUTE(SUBSTITUTE(SUBSTITUTE(SUBSTITUTE(SUBSTITUTE(X1357,"|}","--"),"{|","--"),CHAR(10),""),"、",""),"|",""))+IF(AND(OR(I1357="EI",I1357="EO",I1357="EQ"),$AD$1="NESMA"),2,1)))</f>
        <v/>
      </c>
      <c r="O1357" s="84">
        <f>IF(I1357="EI",IF(OR(X1357="估算法",X1357="算法类"),"中",IF(X1357="无法识别","低",IF(L1357&lt;2,IF(N1357&lt;16,"低","中"),IF(L1357&lt;3,IF(N1357&lt;5,"低",IF(N1357&lt;16,"中","高")),IF(N1357&lt;5,"中","高"))))),IF(OR(I1357="EO",I1357="EQ"),IF(OR(X1357="估算法",X1357="算法类"),"中",IF(X1357="无法识别","低",IF(L1357&lt;2,IF(N1357&lt;20,"低","中"),IF(L1357&lt;4,IF(N1357&lt;6,"低",IF(N1357&lt;20,"中","高")),IF(N1357&lt;6,"中","高"))))),IF(OR(I1357="ILF",I1357="EIF"),IF(OR(X1357="估算法",X1357="算法类",X1357="无法识别"),"低",IF(M1357&lt;2,IF(N1357&lt;51,"低","中"),IF(M1357&lt;6,IF(N1357&lt;20,"低",IF(N1357&lt;51,"中","高")),IF(N1357&lt;20,"中","高")))),"不计算")))</f>
        <v/>
      </c>
      <c r="P1357" s="142">
        <f>IFERROR(IF(I1357="EI",IF(O1357="低",3,IF(O1357="中",4,6)),IF(I1357="EO",IF(O1357="低",4,IF(O1357="中",5,7)),IF(I1357="EQ",IF(O1357="低",3,IF(O1357="中",4,6)),IF(I1357="ILF",IF(O1357="低",7,IF(O1357="中",10,15)),IF(I1357="EIF",IF(O1357="低",5,IF(O1357="中",7,10)),"不计算")))))*Q1357,"不计算")</f>
        <v/>
      </c>
      <c r="Q1357" s="142" t="n">
        <v>1</v>
      </c>
      <c r="R1357" s="143">
        <f>调整因子!$F$13</f>
        <v/>
      </c>
      <c r="S1357" s="70" t="n">
        <v>1</v>
      </c>
      <c r="T1357" s="144">
        <f>IFERROR(P1357*R1357,0)</f>
        <v/>
      </c>
      <c r="U1357" s="145">
        <f>T1357*S1357</f>
        <v/>
      </c>
      <c r="V1357" s="96" t="inlineStr">
        <is>
          <t>资产扫描覆盖表</t>
        </is>
      </c>
      <c r="W1357" s="96" t="inlineStr"/>
      <c r="X1357" s="111" t="inlineStr">
        <is>
          <t>资产扫描覆盖表{资产ID、资产名称、IP地址、资产类型、资产状态、创建时间、更新时间|资产ID、资产名称、IP地址}</t>
        </is>
      </c>
      <c r="Y1357" s="88" t="n"/>
      <c r="Z1357" s="88" t="n"/>
    </row>
    <row r="1358" hidden="1" ht="43.2" customHeight="1">
      <c r="A1358" s="69">
        <f>ROW()-1</f>
        <v/>
      </c>
      <c r="B1358" s="53" t="n"/>
      <c r="C1358" s="117" t="n">
        <v>2026</v>
      </c>
      <c r="E1358" s="53" t="n"/>
      <c r="F1358" s="53" t="n"/>
      <c r="G1358" s="53" t="n"/>
      <c r="H1358" s="96" t="inlineStr">
        <is>
          <t>删除修复方案</t>
        </is>
      </c>
      <c r="I1358" s="76" t="inlineStr">
        <is>
          <t>EI</t>
        </is>
      </c>
      <c r="J1358" s="95" t="n"/>
      <c r="K1358" s="95" t="n"/>
      <c r="L1358" s="83">
        <f>IF(OR(X1358="估算法",X1358="算法类",X1358="无法识别"),"",IF(V1358="",IF(OR(I1358="EI",I1358="EO",I1358="EQ"),0,""),LEN(V1358)-LEN(SUBSTITUTE(V1358,"、",""))+1))</f>
        <v/>
      </c>
      <c r="M1358" s="83">
        <f>IF(OR(X1358="估算法",X1358="算法类",X1358="无法识别"),"",IF(W1358="",IF(OR(I1358="ILF",I1358="EIF"),0,""),LEN(W1358)-LEN(SUBSTITUTE(W1358,"、",""))+1))</f>
        <v/>
      </c>
      <c r="N1358" s="83">
        <f>IF(OR(X1358="估算法",X1358="算法类",X1358="无法识别"),"",IF(X1358="",IF(OR(I1358="ILF",I1358="EIF",I1358="EI",I1358="EO",I1358="EQ"),0,""),LEN(X1358)-LEN(SUBSTITUTE(SUBSTITUTE(SUBSTITUTE(SUBSTITUTE(SUBSTITUTE(X1358,"|}","--"),"{|","--"),CHAR(10),""),"、",""),"|",""))+IF(AND(OR(I1358="EI",I1358="EO",I1358="EQ"),$AD$1="NESMA"),2,1)))</f>
        <v/>
      </c>
      <c r="O1358" s="84">
        <f>IF(I1358="EI",IF(OR(X1358="估算法",X1358="算法类"),"中",IF(X1358="无法识别","低",IF(L1358&lt;2,IF(N1358&lt;16,"低","中"),IF(L1358&lt;3,IF(N1358&lt;5,"低",IF(N1358&lt;16,"中","高")),IF(N1358&lt;5,"中","高"))))),IF(OR(I1358="EO",I1358="EQ"),IF(OR(X1358="估算法",X1358="算法类"),"中",IF(X1358="无法识别","低",IF(L1358&lt;2,IF(N1358&lt;20,"低","中"),IF(L1358&lt;4,IF(N1358&lt;6,"低",IF(N1358&lt;20,"中","高")),IF(N1358&lt;6,"中","高"))))),IF(OR(I1358="ILF",I1358="EIF"),IF(OR(X1358="估算法",X1358="算法类",X1358="无法识别"),"低",IF(M1358&lt;2,IF(N1358&lt;51,"低","中"),IF(M1358&lt;6,IF(N1358&lt;20,"低",IF(N1358&lt;51,"中","高")),IF(N1358&lt;20,"中","高")))),"不计算")))</f>
        <v/>
      </c>
      <c r="P1358" s="142">
        <f>IFERROR(IF(I1358="EI",IF(O1358="低",3,IF(O1358="中",4,6)),IF(I1358="EO",IF(O1358="低",4,IF(O1358="中",5,7)),IF(I1358="EQ",IF(O1358="低",3,IF(O1358="中",4,6)),IF(I1358="ILF",IF(O1358="低",7,IF(O1358="中",10,15)),IF(I1358="EIF",IF(O1358="低",5,IF(O1358="中",7,10)),"不计算")))))*Q1358,"不计算")</f>
        <v/>
      </c>
      <c r="Q1358" s="142" t="n">
        <v>0.333333333333333</v>
      </c>
      <c r="R1358" s="143">
        <f>调整因子!$F$13</f>
        <v/>
      </c>
      <c r="S1358" s="70" t="n">
        <v>1</v>
      </c>
      <c r="T1358" s="144">
        <f>IFERROR(P1358*R1358,0)</f>
        <v/>
      </c>
      <c r="U1358" s="145">
        <f>T1358*S1358</f>
        <v/>
      </c>
      <c r="V1358" s="96" t="inlineStr">
        <is>
          <t>复测配置表、漏洞处置单表</t>
        </is>
      </c>
      <c r="W1358" s="96" t="inlineStr"/>
      <c r="X1358" s="111" t="inlineStr">
        <is>
          <t>复测配置表{配置ID、配置名称、配置类型、配置值、创建时间|配置ID、配置名称、配置类型}
漏洞处置单表{漏洞ID、漏洞名称、漏洞等级、漏洞类型、CVE编号、发现时间、修复状态|漏洞ID、漏洞名称、漏洞等级}</t>
        </is>
      </c>
      <c r="Y1358" s="88" t="n"/>
      <c r="Z1358" s="88" t="n"/>
    </row>
    <row r="1359" hidden="1" ht="32.4" customHeight="1">
      <c r="A1359" s="69">
        <f>ROW()-1</f>
        <v/>
      </c>
      <c r="B1359" s="53" t="n"/>
      <c r="C1359" s="117" t="n">
        <v>2026</v>
      </c>
      <c r="E1359" s="53" t="n"/>
      <c r="F1359" s="53" t="n"/>
      <c r="G1359" s="53" t="n"/>
      <c r="H1359" s="96" t="inlineStr">
        <is>
          <t>提交方案审批</t>
        </is>
      </c>
      <c r="I1359" s="76" t="inlineStr">
        <is>
          <t>EI</t>
        </is>
      </c>
      <c r="J1359" s="95" t="n"/>
      <c r="K1359" s="95" t="n"/>
      <c r="L1359" s="83">
        <f>IF(OR(X1359="估算法",X1359="算法类",X1359="无法识别"),"",IF(V1359="",IF(OR(I1359="EI",I1359="EO",I1359="EQ"),0,""),LEN(V1359)-LEN(SUBSTITUTE(V1359,"、",""))+1))</f>
        <v/>
      </c>
      <c r="M1359" s="83">
        <f>IF(OR(X1359="估算法",X1359="算法类",X1359="无法识别"),"",IF(W1359="",IF(OR(I1359="ILF",I1359="EIF"),0,""),LEN(W1359)-LEN(SUBSTITUTE(W1359,"、",""))+1))</f>
        <v/>
      </c>
      <c r="N1359" s="83">
        <f>IF(OR(X1359="估算法",X1359="算法类",X1359="无法识别"),"",IF(X1359="",IF(OR(I1359="ILF",I1359="EIF",I1359="EI",I1359="EO",I1359="EQ"),0,""),LEN(X1359)-LEN(SUBSTITUTE(SUBSTITUTE(SUBSTITUTE(SUBSTITUTE(SUBSTITUTE(X1359,"|}","--"),"{|","--"),CHAR(10),""),"、",""),"|",""))+IF(AND(OR(I1359="EI",I1359="EO",I1359="EQ"),$AD$1="NESMA"),2,1)))</f>
        <v/>
      </c>
      <c r="O1359" s="84">
        <f>IF(I1359="EI",IF(OR(X1359="估算法",X1359="算法类"),"中",IF(X1359="无法识别","低",IF(L1359&lt;2,IF(N1359&lt;16,"低","中"),IF(L1359&lt;3,IF(N1359&lt;5,"低",IF(N1359&lt;16,"中","高")),IF(N1359&lt;5,"中","高"))))),IF(OR(I1359="EO",I1359="EQ"),IF(OR(X1359="估算法",X1359="算法类"),"中",IF(X1359="无法识别","低",IF(L1359&lt;2,IF(N1359&lt;20,"低","中"),IF(L1359&lt;4,IF(N1359&lt;6,"低",IF(N1359&lt;20,"中","高")),IF(N1359&lt;6,"中","高"))))),IF(OR(I1359="ILF",I1359="EIF"),IF(OR(X1359="估算法",X1359="算法类",X1359="无法识别"),"低",IF(M1359&lt;2,IF(N1359&lt;51,"低","中"),IF(M1359&lt;6,IF(N1359&lt;20,"低",IF(N1359&lt;51,"中","高")),IF(N1359&lt;20,"中","高")))),"不计算")))</f>
        <v/>
      </c>
      <c r="P1359" s="142">
        <f>IFERROR(IF(I1359="EI",IF(O1359="低",3,IF(O1359="中",4,6)),IF(I1359="EO",IF(O1359="低",4,IF(O1359="中",5,7)),IF(I1359="EQ",IF(O1359="低",3,IF(O1359="中",4,6)),IF(I1359="ILF",IF(O1359="低",7,IF(O1359="中",10,15)),IF(I1359="EIF",IF(O1359="低",5,IF(O1359="中",7,10)),"不计算")))))*Q1359,"不计算")</f>
        <v/>
      </c>
      <c r="Q1359" s="142" t="n">
        <v>1</v>
      </c>
      <c r="R1359" s="143">
        <f>调整因子!$F$13</f>
        <v/>
      </c>
      <c r="S1359" s="76" t="n">
        <v>1</v>
      </c>
      <c r="T1359" s="144">
        <f>IFERROR(P1359*R1359,0)</f>
        <v/>
      </c>
      <c r="U1359" s="145">
        <f>T1359*S1359</f>
        <v/>
      </c>
      <c r="V1359" s="96" t="inlineStr">
        <is>
          <t>报告解析结果表、离线扫描报告表</t>
        </is>
      </c>
      <c r="W1359" s="96" t="inlineStr"/>
      <c r="X1359" s="111" t="inlineStr">
        <is>
          <t>报告解析结果表{ID、名称、类型、状态、创建时间、更新时间|ID、名称、类型}
离线扫描报告表{任务ID、任务名称、任务状态、扫描器类型、开始时间、结束时间、扫描结果|任务ID、任务名称、任务状态}</t>
        </is>
      </c>
      <c r="Y1359" s="88" t="n"/>
      <c r="Z1359" s="88" t="n"/>
    </row>
    <row r="1360" hidden="1" ht="21.6" customHeight="1">
      <c r="A1360" s="69">
        <f>ROW()-1</f>
        <v/>
      </c>
      <c r="B1360" s="53" t="n"/>
      <c r="C1360" s="117" t="n">
        <v>2026</v>
      </c>
      <c r="E1360" s="53" t="n"/>
      <c r="F1360" s="53" t="n"/>
      <c r="G1360" s="53" t="n"/>
      <c r="H1360" s="96" t="inlineStr">
        <is>
          <t>导出修复方案</t>
        </is>
      </c>
      <c r="I1360" s="76" t="inlineStr">
        <is>
          <t>EO</t>
        </is>
      </c>
      <c r="J1360" s="95" t="n"/>
      <c r="K1360" s="95" t="n"/>
      <c r="L1360" s="83">
        <f>IF(OR(X1360="估算法",X1360="算法类",X1360="无法识别"),"",IF(V1360="",IF(OR(I1360="EI",I1360="EO",I1360="EQ"),0,""),LEN(V1360)-LEN(SUBSTITUTE(V1360,"、",""))+1))</f>
        <v/>
      </c>
      <c r="M1360" s="83">
        <f>IF(OR(X1360="估算法",X1360="算法类",X1360="无法识别"),"",IF(W1360="",IF(OR(I1360="ILF",I1360="EIF"),0,""),LEN(W1360)-LEN(SUBSTITUTE(W1360,"、",""))+1))</f>
        <v/>
      </c>
      <c r="N1360" s="83">
        <f>IF(OR(X1360="估算法",X1360="算法类",X1360="无法识别"),"",IF(X1360="",IF(OR(I1360="ILF",I1360="EIF",I1360="EI",I1360="EO",I1360="EQ"),0,""),LEN(X1360)-LEN(SUBSTITUTE(SUBSTITUTE(SUBSTITUTE(SUBSTITUTE(SUBSTITUTE(X1360,"|}","--"),"{|","--"),CHAR(10),""),"、",""),"|",""))+IF(AND(OR(I1360="EI",I1360="EO",I1360="EQ"),$AD$1="NESMA"),2,1)))</f>
        <v/>
      </c>
      <c r="O1360" s="84">
        <f>IF(I1360="EI",IF(OR(X1360="估算法",X1360="算法类"),"中",IF(X1360="无法识别","低",IF(L1360&lt;2,IF(N1360&lt;16,"低","中"),IF(L1360&lt;3,IF(N1360&lt;5,"低",IF(N1360&lt;16,"中","高")),IF(N1360&lt;5,"中","高"))))),IF(OR(I1360="EO",I1360="EQ"),IF(OR(X1360="估算法",X1360="算法类"),"中",IF(X1360="无法识别","低",IF(L1360&lt;2,IF(N1360&lt;20,"低","中"),IF(L1360&lt;4,IF(N1360&lt;6,"低",IF(N1360&lt;20,"中","高")),IF(N1360&lt;6,"中","高"))))),IF(OR(I1360="ILF",I1360="EIF"),IF(OR(X1360="估算法",X1360="算法类",X1360="无法识别"),"低",IF(M1360&lt;2,IF(N1360&lt;51,"低","中"),IF(M1360&lt;6,IF(N1360&lt;20,"低",IF(N1360&lt;51,"中","高")),IF(N1360&lt;20,"中","高")))),"不计算")))</f>
        <v/>
      </c>
      <c r="P1360" s="142">
        <f>IFERROR(IF(I1360="EI",IF(O1360="低",3,IF(O1360="中",4,6)),IF(I1360="EO",IF(O1360="低",4,IF(O1360="中",5,7)),IF(I1360="EQ",IF(O1360="低",3,IF(O1360="中",4,6)),IF(I1360="ILF",IF(O1360="低",7,IF(O1360="中",10,15)),IF(I1360="EIF",IF(O1360="低",5,IF(O1360="中",7,10)),"不计算")))))*Q1360,"不计算")</f>
        <v/>
      </c>
      <c r="Q1360" s="142" t="n">
        <v>1</v>
      </c>
      <c r="R1360" s="143">
        <f>调整因子!$F$13</f>
        <v/>
      </c>
      <c r="S1360" s="70" t="n">
        <v>1</v>
      </c>
      <c r="T1360" s="144">
        <f>IFERROR(P1360*R1360,0)</f>
        <v/>
      </c>
      <c r="U1360" s="145">
        <f>T1360*S1360</f>
        <v/>
      </c>
      <c r="V1360" s="96" t="inlineStr">
        <is>
          <t>推送日志表、推送规则表</t>
        </is>
      </c>
      <c r="W1360" s="96" t="inlineStr"/>
      <c r="X1360" s="111" t="inlineStr">
        <is>
          <t>推送日志表{日志ID、操作人|日志ID、操作人、操作类型、操作时间、操作内容}
推送规则表{规则ID、规则名称|规则ID、规则名称、规则类型、规则条件、创建时间}</t>
        </is>
      </c>
      <c r="Y1360" s="88" t="n"/>
      <c r="Z1360" s="88" t="n"/>
    </row>
    <row r="1361" hidden="1" ht="32.4" customHeight="1">
      <c r="A1361" s="69">
        <f>ROW()-1</f>
        <v/>
      </c>
      <c r="B1361" s="53" t="n"/>
      <c r="C1361" s="117" t="n">
        <v>2026</v>
      </c>
      <c r="E1361" s="53" t="n"/>
      <c r="F1361" s="53" t="n"/>
      <c r="G1361" s="53" t="n"/>
      <c r="H1361" s="96" t="inlineStr">
        <is>
          <t>查询方案列表</t>
        </is>
      </c>
      <c r="I1361" s="76" t="inlineStr">
        <is>
          <t>EO</t>
        </is>
      </c>
      <c r="J1361" s="95" t="n"/>
      <c r="K1361" s="95" t="n"/>
      <c r="L1361" s="83">
        <f>IF(OR(X1361="估算法",X1361="算法类",X1361="无法识别"),"",IF(V1361="",IF(OR(I1361="EI",I1361="EO",I1361="EQ"),0,""),LEN(V1361)-LEN(SUBSTITUTE(V1361,"、",""))+1))</f>
        <v/>
      </c>
      <c r="M1361" s="83">
        <f>IF(OR(X1361="估算法",X1361="算法类",X1361="无法识别"),"",IF(W1361="",IF(OR(I1361="ILF",I1361="EIF"),0,""),LEN(W1361)-LEN(SUBSTITUTE(W1361,"、",""))+1))</f>
        <v/>
      </c>
      <c r="N1361" s="83">
        <f>IF(OR(X1361="估算法",X1361="算法类",X1361="无法识别"),"",IF(X1361="",IF(OR(I1361="ILF",I1361="EIF",I1361="EI",I1361="EO",I1361="EQ"),0,""),LEN(X1361)-LEN(SUBSTITUTE(SUBSTITUTE(SUBSTITUTE(SUBSTITUTE(SUBSTITUTE(X1361,"|}","--"),"{|","--"),CHAR(10),""),"、",""),"|",""))+IF(AND(OR(I1361="EI",I1361="EO",I1361="EQ"),$AD$1="NESMA"),2,1)))</f>
        <v/>
      </c>
      <c r="O1361" s="84">
        <f>IF(I1361="EI",IF(OR(X1361="估算法",X1361="算法类"),"中",IF(X1361="无法识别","低",IF(L1361&lt;2,IF(N1361&lt;16,"低","中"),IF(L1361&lt;3,IF(N1361&lt;5,"低",IF(N1361&lt;16,"中","高")),IF(N1361&lt;5,"中","高"))))),IF(OR(I1361="EO",I1361="EQ"),IF(OR(X1361="估算法",X1361="算法类"),"中",IF(X1361="无法识别","低",IF(L1361&lt;2,IF(N1361&lt;20,"低","中"),IF(L1361&lt;4,IF(N1361&lt;6,"低",IF(N1361&lt;20,"中","高")),IF(N1361&lt;6,"中","高"))))),IF(OR(I1361="ILF",I1361="EIF"),IF(OR(X1361="估算法",X1361="算法类",X1361="无法识别"),"低",IF(M1361&lt;2,IF(N1361&lt;51,"低","中"),IF(M1361&lt;6,IF(N1361&lt;20,"低",IF(N1361&lt;51,"中","高")),IF(N1361&lt;20,"中","高")))),"不计算")))</f>
        <v/>
      </c>
      <c r="P1361" s="142">
        <f>IFERROR(IF(I1361="EI",IF(O1361="低",3,IF(O1361="中",4,6)),IF(I1361="EO",IF(O1361="低",4,IF(O1361="中",5,7)),IF(I1361="EQ",IF(O1361="低",3,IF(O1361="中",4,6)),IF(I1361="ILF",IF(O1361="低",7,IF(O1361="中",10,15)),IF(I1361="EIF",IF(O1361="低",5,IF(O1361="中",7,10)),"不计算")))))*Q1361,"不计算")</f>
        <v/>
      </c>
      <c r="Q1361" s="142" t="n">
        <v>1</v>
      </c>
      <c r="R1361" s="143">
        <f>调整因子!$F$13</f>
        <v/>
      </c>
      <c r="S1361" s="70" t="n">
        <v>1</v>
      </c>
      <c r="T1361" s="144">
        <f>IFERROR(P1361*R1361,0)</f>
        <v/>
      </c>
      <c r="U1361" s="145">
        <f>T1361*S1361</f>
        <v/>
      </c>
      <c r="V1361" s="96" t="inlineStr">
        <is>
          <t>接口参数表、复测任务表</t>
        </is>
      </c>
      <c r="W1361" s="96" t="inlineStr"/>
      <c r="X1361" s="111" t="inlineStr">
        <is>
          <t>接口参数表{接口ID、接口名称|接口ID、接口名称、接口类型、接口地址、调用时间}
复测任务表{任务ID、任务名称|任务ID、任务名称、任务类型、任务状态、创建时间、执行时间}</t>
        </is>
      </c>
      <c r="Y1361" s="88" t="n"/>
      <c r="Z1361" s="88" t="n"/>
    </row>
    <row r="1362" hidden="1" ht="32.4" customHeight="1">
      <c r="A1362" s="69">
        <f>ROW()-1</f>
        <v/>
      </c>
      <c r="B1362" s="53" t="n"/>
      <c r="C1362" s="117" t="n">
        <v>2026</v>
      </c>
      <c r="E1362" s="53" t="n"/>
      <c r="F1362" s="53" t="n"/>
      <c r="G1362" s="54" t="n"/>
      <c r="H1362" s="96" t="inlineStr">
        <is>
          <t>查看方案详情</t>
        </is>
      </c>
      <c r="I1362" s="76" t="inlineStr">
        <is>
          <t>EQ</t>
        </is>
      </c>
      <c r="J1362" s="95" t="n"/>
      <c r="K1362" s="95" t="n"/>
      <c r="L1362" s="83">
        <f>IF(OR(X1362="估算法",X1362="算法类",X1362="无法识别"),"",IF(V1362="",IF(OR(I1362="EI",I1362="EO",I1362="EQ"),0,""),LEN(V1362)-LEN(SUBSTITUTE(V1362,"、",""))+1))</f>
        <v/>
      </c>
      <c r="M1362" s="83">
        <f>IF(OR(X1362="估算法",X1362="算法类",X1362="无法识别"),"",IF(W1362="",IF(OR(I1362="ILF",I1362="EIF"),0,""),LEN(W1362)-LEN(SUBSTITUTE(W1362,"、",""))+1))</f>
        <v/>
      </c>
      <c r="N1362" s="83">
        <f>IF(OR(X1362="估算法",X1362="算法类",X1362="无法识别"),"",IF(X1362="",IF(OR(I1362="ILF",I1362="EIF",I1362="EI",I1362="EO",I1362="EQ"),0,""),LEN(X1362)-LEN(SUBSTITUTE(SUBSTITUTE(SUBSTITUTE(SUBSTITUTE(SUBSTITUTE(X1362,"|}","--"),"{|","--"),CHAR(10),""),"、",""),"|",""))+IF(AND(OR(I1362="EI",I1362="EO",I1362="EQ"),$AD$1="NESMA"),2,1)))</f>
        <v/>
      </c>
      <c r="O1362" s="84">
        <f>IF(I1362="EI",IF(OR(X1362="估算法",X1362="算法类"),"中",IF(X1362="无法识别","低",IF(L1362&lt;2,IF(N1362&lt;16,"低","中"),IF(L1362&lt;3,IF(N1362&lt;5,"低",IF(N1362&lt;16,"中","高")),IF(N1362&lt;5,"中","高"))))),IF(OR(I1362="EO",I1362="EQ"),IF(OR(X1362="估算法",X1362="算法类"),"中",IF(X1362="无法识别","低",IF(L1362&lt;2,IF(N1362&lt;20,"低","中"),IF(L1362&lt;4,IF(N1362&lt;6,"低",IF(N1362&lt;20,"中","高")),IF(N1362&lt;6,"中","高"))))),IF(OR(I1362="ILF",I1362="EIF"),IF(OR(X1362="估算法",X1362="算法类",X1362="无法识别"),"低",IF(M1362&lt;2,IF(N1362&lt;51,"低","中"),IF(M1362&lt;6,IF(N1362&lt;20,"低",IF(N1362&lt;51,"中","高")),IF(N1362&lt;20,"中","高")))),"不计算")))</f>
        <v/>
      </c>
      <c r="P1362" s="142">
        <f>IFERROR(IF(I1362="EI",IF(O1362="低",3,IF(O1362="中",4,6)),IF(I1362="EO",IF(O1362="低",4,IF(O1362="中",5,7)),IF(I1362="EQ",IF(O1362="低",3,IF(O1362="中",4,6)),IF(I1362="ILF",IF(O1362="低",7,IF(O1362="中",10,15)),IF(I1362="EIF",IF(O1362="低",5,IF(O1362="中",7,10)),"不计算")))))*Q1362,"不计算")</f>
        <v/>
      </c>
      <c r="Q1362" s="142" t="n">
        <v>1</v>
      </c>
      <c r="R1362" s="143">
        <f>调整因子!$F$13</f>
        <v/>
      </c>
      <c r="S1362" s="76" t="n">
        <v>1</v>
      </c>
      <c r="T1362" s="144">
        <f>IFERROR(P1362*R1362,0)</f>
        <v/>
      </c>
      <c r="U1362" s="145">
        <f>T1362*S1362</f>
        <v/>
      </c>
      <c r="V1362" s="96" t="inlineStr">
        <is>
          <t>性能数据表、任务优先级配置表</t>
        </is>
      </c>
      <c r="W1362" s="96" t="inlineStr"/>
      <c r="X1362" s="111" t="inlineStr">
        <is>
          <t>性能数据表{ID、名称|ID、名称、类型、状态、创建时间、更新时间}
任务优先级配置表{任务ID、任务名称|任务ID、任务名称、任务类型、任务状态、创建时间、执行时间}</t>
        </is>
      </c>
      <c r="Y1362" s="88" t="n"/>
      <c r="Z1362" s="88" t="n"/>
    </row>
    <row r="1363" hidden="1" ht="43.2" customHeight="1">
      <c r="A1363" s="69">
        <f>ROW()-1</f>
        <v/>
      </c>
      <c r="B1363" s="53" t="n"/>
      <c r="C1363" s="117" t="n">
        <v>2026</v>
      </c>
      <c r="E1363" s="53" t="n"/>
      <c r="F1363" s="53" t="n"/>
      <c r="G1363" s="111" t="inlineStr">
        <is>
          <t>修复执行跟踪管理</t>
        </is>
      </c>
      <c r="H1363" s="96" t="inlineStr">
        <is>
          <t>导出执行记录</t>
        </is>
      </c>
      <c r="I1363" s="76" t="inlineStr">
        <is>
          <t>EO</t>
        </is>
      </c>
      <c r="J1363" s="95" t="n"/>
      <c r="K1363" s="95" t="n"/>
      <c r="L1363" s="83">
        <f>IF(OR(X1363="估算法",X1363="算法类",X1363="无法识别"),"",IF(V1363="",IF(OR(I1363="EI",I1363="EO",I1363="EQ"),0,""),LEN(V1363)-LEN(SUBSTITUTE(V1363,"、",""))+1))</f>
        <v/>
      </c>
      <c r="M1363" s="83">
        <f>IF(OR(X1363="估算法",X1363="算法类",X1363="无法识别"),"",IF(W1363="",IF(OR(I1363="ILF",I1363="EIF"),0,""),LEN(W1363)-LEN(SUBSTITUTE(W1363,"、",""))+1))</f>
        <v/>
      </c>
      <c r="N1363" s="83">
        <f>IF(OR(X1363="估算法",X1363="算法类",X1363="无法识别"),"",IF(X1363="",IF(OR(I1363="ILF",I1363="EIF",I1363="EI",I1363="EO",I1363="EQ"),0,""),LEN(X1363)-LEN(SUBSTITUTE(SUBSTITUTE(SUBSTITUTE(SUBSTITUTE(SUBSTITUTE(X1363,"|}","--"),"{|","--"),CHAR(10),""),"、",""),"|",""))+IF(AND(OR(I1363="EI",I1363="EO",I1363="EQ"),$AD$1="NESMA"),2,1)))</f>
        <v/>
      </c>
      <c r="O1363" s="84">
        <f>IF(I1363="EI",IF(OR(X1363="估算法",X1363="算法类"),"中",IF(X1363="无法识别","低",IF(L1363&lt;2,IF(N1363&lt;16,"低","中"),IF(L1363&lt;3,IF(N1363&lt;5,"低",IF(N1363&lt;16,"中","高")),IF(N1363&lt;5,"中","高"))))),IF(OR(I1363="EO",I1363="EQ"),IF(OR(X1363="估算法",X1363="算法类"),"中",IF(X1363="无法识别","低",IF(L1363&lt;2,IF(N1363&lt;20,"低","中"),IF(L1363&lt;4,IF(N1363&lt;6,"低",IF(N1363&lt;20,"中","高")),IF(N1363&lt;6,"中","高"))))),IF(OR(I1363="ILF",I1363="EIF"),IF(OR(X1363="估算法",X1363="算法类",X1363="无法识别"),"低",IF(M1363&lt;2,IF(N1363&lt;51,"低","中"),IF(M1363&lt;6,IF(N1363&lt;20,"低",IF(N1363&lt;51,"中","高")),IF(N1363&lt;20,"中","高")))),"不计算")))</f>
        <v/>
      </c>
      <c r="P1363" s="142">
        <f>IFERROR(IF(I1363="EI",IF(O1363="低",3,IF(O1363="中",4,6)),IF(I1363="EO",IF(O1363="低",4,IF(O1363="中",5,7)),IF(I1363="EQ",IF(O1363="低",3,IF(O1363="中",4,6)),IF(I1363="ILF",IF(O1363="低",7,IF(O1363="中",10,15)),IF(I1363="EIF",IF(O1363="低",5,IF(O1363="中",7,10)),"不计算")))))*Q1363,"不计算")</f>
        <v/>
      </c>
      <c r="Q1363" s="142" t="n">
        <v>1</v>
      </c>
      <c r="R1363" s="143">
        <f>调整因子!$F$13</f>
        <v/>
      </c>
      <c r="S1363" s="76" t="n">
        <v>1</v>
      </c>
      <c r="T1363" s="144">
        <f>IFERROR(P1363*R1363,0)</f>
        <v/>
      </c>
      <c r="U1363" s="145">
        <f>T1363*S1363</f>
        <v/>
      </c>
      <c r="V1363" s="96" t="inlineStr">
        <is>
          <t>任务日志表、漏洞趋势数据表</t>
        </is>
      </c>
      <c r="W1363" s="96" t="inlineStr"/>
      <c r="X1363" s="111" t="inlineStr">
        <is>
          <t>任务日志表{任务ID、任务名称|任务ID、任务名称、任务类型、任务状态、创建时间、执行时间}
漏洞趋势数据表{漏洞ID、漏洞名称|漏洞ID、漏洞名称、漏洞等级、漏洞类型、CVE编号、发现时间、修复状态}</t>
        </is>
      </c>
      <c r="Y1363" s="88" t="n"/>
      <c r="Z1363" s="88" t="n"/>
    </row>
    <row r="1364" hidden="1" ht="32.4" customHeight="1">
      <c r="A1364" s="69">
        <f>ROW()-1</f>
        <v/>
      </c>
      <c r="B1364" s="53" t="n"/>
      <c r="C1364" s="117" t="n">
        <v>2026</v>
      </c>
      <c r="E1364" s="53" t="n"/>
      <c r="F1364" s="53" t="n"/>
      <c r="G1364" s="53" t="n"/>
      <c r="H1364" s="96" t="inlineStr">
        <is>
          <t>查询修复进度</t>
        </is>
      </c>
      <c r="I1364" s="76" t="inlineStr">
        <is>
          <t>EQ</t>
        </is>
      </c>
      <c r="J1364" s="95" t="n"/>
      <c r="K1364" s="95" t="n"/>
      <c r="L1364" s="83">
        <f>IF(OR(X1364="估算法",X1364="算法类",X1364="无法识别"),"",IF(V1364="",IF(OR(I1364="EI",I1364="EO",I1364="EQ"),0,""),LEN(V1364)-LEN(SUBSTITUTE(V1364,"、",""))+1))</f>
        <v/>
      </c>
      <c r="M1364" s="83">
        <f>IF(OR(X1364="估算法",X1364="算法类",X1364="无法识别"),"",IF(W1364="",IF(OR(I1364="ILF",I1364="EIF"),0,""),LEN(W1364)-LEN(SUBSTITUTE(W1364,"、",""))+1))</f>
        <v/>
      </c>
      <c r="N1364" s="83">
        <f>IF(OR(X1364="估算法",X1364="算法类",X1364="无法识别"),"",IF(X1364="",IF(OR(I1364="ILF",I1364="EIF",I1364="EI",I1364="EO",I1364="EQ"),0,""),LEN(X1364)-LEN(SUBSTITUTE(SUBSTITUTE(SUBSTITUTE(SUBSTITUTE(SUBSTITUTE(X1364,"|}","--"),"{|","--"),CHAR(10),""),"、",""),"|",""))+IF(AND(OR(I1364="EI",I1364="EO",I1364="EQ"),$AD$1="NESMA"),2,1)))</f>
        <v/>
      </c>
      <c r="O1364" s="84">
        <f>IF(I1364="EI",IF(OR(X1364="估算法",X1364="算法类"),"中",IF(X1364="无法识别","低",IF(L1364&lt;2,IF(N1364&lt;16,"低","中"),IF(L1364&lt;3,IF(N1364&lt;5,"低",IF(N1364&lt;16,"中","高")),IF(N1364&lt;5,"中","高"))))),IF(OR(I1364="EO",I1364="EQ"),IF(OR(X1364="估算法",X1364="算法类"),"中",IF(X1364="无法识别","低",IF(L1364&lt;2,IF(N1364&lt;20,"低","中"),IF(L1364&lt;4,IF(N1364&lt;6,"低",IF(N1364&lt;20,"中","高")),IF(N1364&lt;6,"中","高"))))),IF(OR(I1364="ILF",I1364="EIF"),IF(OR(X1364="估算法",X1364="算法类",X1364="无法识别"),"低",IF(M1364&lt;2,IF(N1364&lt;51,"低","中"),IF(M1364&lt;6,IF(N1364&lt;20,"低",IF(N1364&lt;51,"中","高")),IF(N1364&lt;20,"中","高")))),"不计算")))</f>
        <v/>
      </c>
      <c r="P1364" s="142">
        <f>IFERROR(IF(I1364="EI",IF(O1364="低",3,IF(O1364="中",4,6)),IF(I1364="EO",IF(O1364="低",4,IF(O1364="中",5,7)),IF(I1364="EQ",IF(O1364="低",3,IF(O1364="中",4,6)),IF(I1364="ILF",IF(O1364="低",7,IF(O1364="中",10,15)),IF(I1364="EIF",IF(O1364="低",5,IF(O1364="中",7,10)),"不计算")))))*Q1364,"不计算")</f>
        <v/>
      </c>
      <c r="Q1364" s="142" t="n">
        <v>1</v>
      </c>
      <c r="R1364" s="143">
        <f>调整因子!$F$13</f>
        <v/>
      </c>
      <c r="S1364" s="70" t="n">
        <v>1</v>
      </c>
      <c r="T1364" s="144">
        <f>IFERROR(P1364*R1364,0)</f>
        <v/>
      </c>
      <c r="U1364" s="145">
        <f>T1364*S1364</f>
        <v/>
      </c>
      <c r="V1364" s="96" t="inlineStr">
        <is>
          <t>推送日志表、离线扫描报告表</t>
        </is>
      </c>
      <c r="W1364" s="96" t="inlineStr"/>
      <c r="X1364" s="111" t="inlineStr">
        <is>
          <t>推送日志表{日志ID、操作人|日志ID、操作人、操作类型、操作时间、操作内容}
离线扫描报告表{任务ID、任务名称|任务ID、任务名称、任务状态、扫描器类型、开始时间、结束时间、扫描结果}</t>
        </is>
      </c>
      <c r="Y1364" s="88" t="n"/>
      <c r="Z1364" s="88" t="n"/>
    </row>
    <row r="1365" hidden="1" ht="32.4" customHeight="1">
      <c r="A1365" s="69">
        <f>ROW()-1</f>
        <v/>
      </c>
      <c r="B1365" s="53" t="n"/>
      <c r="C1365" s="117" t="n">
        <v>2026</v>
      </c>
      <c r="E1365" s="53" t="n"/>
      <c r="F1365" s="53" t="n"/>
      <c r="G1365" s="54" t="n"/>
      <c r="H1365" s="96" t="inlineStr">
        <is>
          <t>查看执行详情</t>
        </is>
      </c>
      <c r="I1365" s="76" t="inlineStr">
        <is>
          <t>EQ</t>
        </is>
      </c>
      <c r="J1365" s="95" t="n"/>
      <c r="K1365" s="95" t="n"/>
      <c r="L1365" s="83">
        <f>IF(OR(X1365="估算法",X1365="算法类",X1365="无法识别"),"",IF(V1365="",IF(OR(I1365="EI",I1365="EO",I1365="EQ"),0,""),LEN(V1365)-LEN(SUBSTITUTE(V1365,"、",""))+1))</f>
        <v/>
      </c>
      <c r="M1365" s="83">
        <f>IF(OR(X1365="估算法",X1365="算法类",X1365="无法识别"),"",IF(W1365="",IF(OR(I1365="ILF",I1365="EIF"),0,""),LEN(W1365)-LEN(SUBSTITUTE(W1365,"、",""))+1))</f>
        <v/>
      </c>
      <c r="N1365" s="83">
        <f>IF(OR(X1365="估算法",X1365="算法类",X1365="无法识别"),"",IF(X1365="",IF(OR(I1365="ILF",I1365="EIF",I1365="EI",I1365="EO",I1365="EQ"),0,""),LEN(X1365)-LEN(SUBSTITUTE(SUBSTITUTE(SUBSTITUTE(SUBSTITUTE(SUBSTITUTE(X1365,"|}","--"),"{|","--"),CHAR(10),""),"、",""),"|",""))+IF(AND(OR(I1365="EI",I1365="EO",I1365="EQ"),$AD$1="NESMA"),2,1)))</f>
        <v/>
      </c>
      <c r="O1365" s="84">
        <f>IF(I1365="EI",IF(OR(X1365="估算法",X1365="算法类"),"中",IF(X1365="无法识别","低",IF(L1365&lt;2,IF(N1365&lt;16,"低","中"),IF(L1365&lt;3,IF(N1365&lt;5,"低",IF(N1365&lt;16,"中","高")),IF(N1365&lt;5,"中","高"))))),IF(OR(I1365="EO",I1365="EQ"),IF(OR(X1365="估算法",X1365="算法类"),"中",IF(X1365="无法识别","低",IF(L1365&lt;2,IF(N1365&lt;20,"低","中"),IF(L1365&lt;4,IF(N1365&lt;6,"低",IF(N1365&lt;20,"中","高")),IF(N1365&lt;6,"中","高"))))),IF(OR(I1365="ILF",I1365="EIF"),IF(OR(X1365="估算法",X1365="算法类",X1365="无法识别"),"低",IF(M1365&lt;2,IF(N1365&lt;51,"低","中"),IF(M1365&lt;6,IF(N1365&lt;20,"低",IF(N1365&lt;51,"中","高")),IF(N1365&lt;20,"中","高")))),"不计算")))</f>
        <v/>
      </c>
      <c r="P1365" s="142">
        <f>IFERROR(IF(I1365="EI",IF(O1365="低",3,IF(O1365="中",4,6)),IF(I1365="EO",IF(O1365="低",4,IF(O1365="中",5,7)),IF(I1365="EQ",IF(O1365="低",3,IF(O1365="中",4,6)),IF(I1365="ILF",IF(O1365="低",7,IF(O1365="中",10,15)),IF(I1365="EIF",IF(O1365="低",5,IF(O1365="中",7,10)),"不计算")))))*Q1365,"不计算")</f>
        <v/>
      </c>
      <c r="Q1365" s="142" t="n">
        <v>1</v>
      </c>
      <c r="R1365" s="143">
        <f>调整因子!$F$13</f>
        <v/>
      </c>
      <c r="S1365" s="70" t="n">
        <v>1</v>
      </c>
      <c r="T1365" s="144">
        <f>IFERROR(P1365*R1365,0)</f>
        <v/>
      </c>
      <c r="U1365" s="145">
        <f>T1365*S1365</f>
        <v/>
      </c>
      <c r="V1365" s="96" t="inlineStr">
        <is>
          <t>资产同步任务表、模板配置表</t>
        </is>
      </c>
      <c r="W1365" s="96" t="inlineStr"/>
      <c r="X1365" s="111" t="inlineStr">
        <is>
          <t>资产同步任务表{资产ID、资产名称|资产ID、资产名称、IP地址、资产类型、资产状态、创建时间、更新时间}
模板配置表{配置ID、配置名称|配置ID、配置名称、配置类型、配置值、创建时间}</t>
        </is>
      </c>
      <c r="Y1365" s="88" t="n"/>
      <c r="Z1365" s="88" t="n"/>
    </row>
    <row r="1366" hidden="1" ht="21.6" customHeight="1">
      <c r="A1366" s="69">
        <f>ROW()-1</f>
        <v/>
      </c>
      <c r="B1366" s="53" t="n"/>
      <c r="C1366" s="117" t="n">
        <v>2026</v>
      </c>
      <c r="E1366" s="53" t="n"/>
      <c r="F1366" s="53" t="n"/>
      <c r="G1366" s="111" t="inlineStr">
        <is>
          <t>修复结果确认管理</t>
        </is>
      </c>
      <c r="H1366" s="96" t="inlineStr">
        <is>
          <t>导出确认记录</t>
        </is>
      </c>
      <c r="I1366" s="76" t="inlineStr">
        <is>
          <t>EO</t>
        </is>
      </c>
      <c r="J1366" s="95" t="n"/>
      <c r="K1366" s="95" t="n"/>
      <c r="L1366" s="83">
        <f>IF(OR(X1366="估算法",X1366="算法类",X1366="无法识别"),"",IF(V1366="",IF(OR(I1366="EI",I1366="EO",I1366="EQ"),0,""),LEN(V1366)-LEN(SUBSTITUTE(V1366,"、",""))+1))</f>
        <v/>
      </c>
      <c r="M1366" s="83">
        <f>IF(OR(X1366="估算法",X1366="算法类",X1366="无法识别"),"",IF(W1366="",IF(OR(I1366="ILF",I1366="EIF"),0,""),LEN(W1366)-LEN(SUBSTITUTE(W1366,"、",""))+1))</f>
        <v/>
      </c>
      <c r="N1366" s="83">
        <f>IF(OR(X1366="估算法",X1366="算法类",X1366="无法识别"),"",IF(X1366="",IF(OR(I1366="ILF",I1366="EIF",I1366="EI",I1366="EO",I1366="EQ"),0,""),LEN(X1366)-LEN(SUBSTITUTE(SUBSTITUTE(SUBSTITUTE(SUBSTITUTE(SUBSTITUTE(X1366,"|}","--"),"{|","--"),CHAR(10),""),"、",""),"|",""))+IF(AND(OR(I1366="EI",I1366="EO",I1366="EQ"),$AD$1="NESMA"),2,1)))</f>
        <v/>
      </c>
      <c r="O1366" s="84">
        <f>IF(I1366="EI",IF(OR(X1366="估算法",X1366="算法类"),"中",IF(X1366="无法识别","低",IF(L1366&lt;2,IF(N1366&lt;16,"低","中"),IF(L1366&lt;3,IF(N1366&lt;5,"低",IF(N1366&lt;16,"中","高")),IF(N1366&lt;5,"中","高"))))),IF(OR(I1366="EO",I1366="EQ"),IF(OR(X1366="估算法",X1366="算法类"),"中",IF(X1366="无法识别","低",IF(L1366&lt;2,IF(N1366&lt;20,"低","中"),IF(L1366&lt;4,IF(N1366&lt;6,"低",IF(N1366&lt;20,"中","高")),IF(N1366&lt;6,"中","高"))))),IF(OR(I1366="ILF",I1366="EIF"),IF(OR(X1366="估算法",X1366="算法类",X1366="无法识别"),"低",IF(M1366&lt;2,IF(N1366&lt;51,"低","中"),IF(M1366&lt;6,IF(N1366&lt;20,"低",IF(N1366&lt;51,"中","高")),IF(N1366&lt;20,"中","高")))),"不计算")))</f>
        <v/>
      </c>
      <c r="P1366" s="142">
        <f>IFERROR(IF(I1366="EI",IF(O1366="低",3,IF(O1366="中",4,6)),IF(I1366="EO",IF(O1366="低",4,IF(O1366="中",5,7)),IF(I1366="EQ",IF(O1366="低",3,IF(O1366="中",4,6)),IF(I1366="ILF",IF(O1366="低",7,IF(O1366="中",10,15)),IF(I1366="EIF",IF(O1366="低",5,IF(O1366="中",7,10)),"不计算")))))*Q1366,"不计算")</f>
        <v/>
      </c>
      <c r="Q1366" s="142" t="n">
        <v>1</v>
      </c>
      <c r="R1366" s="143">
        <f>调整因子!$F$13</f>
        <v/>
      </c>
      <c r="S1366" s="76" t="n">
        <v>1</v>
      </c>
      <c r="T1366" s="144">
        <f>IFERROR(P1366*R1366,0)</f>
        <v/>
      </c>
      <c r="U1366" s="145">
        <f>T1366*S1366</f>
        <v/>
      </c>
      <c r="V1366" s="96" t="inlineStr">
        <is>
          <t>资产同步任务表</t>
        </is>
      </c>
      <c r="W1366" s="96" t="inlineStr"/>
      <c r="X1366" s="111" t="inlineStr">
        <is>
          <t>资产同步任务表{资产ID、资产名称|资产ID、资产名称、IP地址、资产类型、资产状态、创建时间、更新时间}</t>
        </is>
      </c>
      <c r="Y1366" s="88" t="n"/>
      <c r="Z1366" s="88" t="n"/>
    </row>
    <row r="1367" hidden="1" ht="32.4" customHeight="1">
      <c r="A1367" s="69">
        <f>ROW()-1</f>
        <v/>
      </c>
      <c r="B1367" s="53" t="n"/>
      <c r="C1367" s="117" t="n">
        <v>2026</v>
      </c>
      <c r="E1367" s="53" t="n"/>
      <c r="F1367" s="53" t="n"/>
      <c r="G1367" s="53" t="n"/>
      <c r="H1367" s="96" t="inlineStr">
        <is>
          <t>查询确认列表</t>
        </is>
      </c>
      <c r="I1367" s="76" t="inlineStr">
        <is>
          <t>EQ</t>
        </is>
      </c>
      <c r="J1367" s="95" t="n"/>
      <c r="K1367" s="95" t="n"/>
      <c r="L1367" s="83">
        <f>IF(OR(X1367="估算法",X1367="算法类",X1367="无法识别"),"",IF(V1367="",IF(OR(I1367="EI",I1367="EO",I1367="EQ"),0,""),LEN(V1367)-LEN(SUBSTITUTE(V1367,"、",""))+1))</f>
        <v/>
      </c>
      <c r="M1367" s="83">
        <f>IF(OR(X1367="估算法",X1367="算法类",X1367="无法识别"),"",IF(W1367="",IF(OR(I1367="ILF",I1367="EIF"),0,""),LEN(W1367)-LEN(SUBSTITUTE(W1367,"、",""))+1))</f>
        <v/>
      </c>
      <c r="N1367" s="83">
        <f>IF(OR(X1367="估算法",X1367="算法类",X1367="无法识别"),"",IF(X1367="",IF(OR(I1367="ILF",I1367="EIF",I1367="EI",I1367="EO",I1367="EQ"),0,""),LEN(X1367)-LEN(SUBSTITUTE(SUBSTITUTE(SUBSTITUTE(SUBSTITUTE(SUBSTITUTE(X1367,"|}","--"),"{|","--"),CHAR(10),""),"、",""),"|",""))+IF(AND(OR(I1367="EI",I1367="EO",I1367="EQ"),$AD$1="NESMA"),2,1)))</f>
        <v/>
      </c>
      <c r="O1367" s="84">
        <f>IF(I1367="EI",IF(OR(X1367="估算法",X1367="算法类"),"中",IF(X1367="无法识别","低",IF(L1367&lt;2,IF(N1367&lt;16,"低","中"),IF(L1367&lt;3,IF(N1367&lt;5,"低",IF(N1367&lt;16,"中","高")),IF(N1367&lt;5,"中","高"))))),IF(OR(I1367="EO",I1367="EQ"),IF(OR(X1367="估算法",X1367="算法类"),"中",IF(X1367="无法识别","低",IF(L1367&lt;2,IF(N1367&lt;20,"低","中"),IF(L1367&lt;4,IF(N1367&lt;6,"低",IF(N1367&lt;20,"中","高")),IF(N1367&lt;6,"中","高"))))),IF(OR(I1367="ILF",I1367="EIF"),IF(OR(X1367="估算法",X1367="算法类",X1367="无法识别"),"低",IF(M1367&lt;2,IF(N1367&lt;51,"低","中"),IF(M1367&lt;6,IF(N1367&lt;20,"低",IF(N1367&lt;51,"中","高")),IF(N1367&lt;20,"中","高")))),"不计算")))</f>
        <v/>
      </c>
      <c r="P1367" s="142">
        <f>IFERROR(IF(I1367="EI",IF(O1367="低",3,IF(O1367="中",4,6)),IF(I1367="EO",IF(O1367="低",4,IF(O1367="中",5,7)),IF(I1367="EQ",IF(O1367="低",3,IF(O1367="中",4,6)),IF(I1367="ILF",IF(O1367="低",7,IF(O1367="中",10,15)),IF(I1367="EIF",IF(O1367="低",5,IF(O1367="中",7,10)),"不计算")))))*Q1367,"不计算")</f>
        <v/>
      </c>
      <c r="Q1367" s="142" t="n">
        <v>1</v>
      </c>
      <c r="R1367" s="143">
        <f>调整因子!$F$13</f>
        <v/>
      </c>
      <c r="S1367" s="70" t="n">
        <v>1</v>
      </c>
      <c r="T1367" s="144">
        <f>IFERROR(P1367*R1367,0)</f>
        <v/>
      </c>
      <c r="U1367" s="145">
        <f>T1367*S1367</f>
        <v/>
      </c>
      <c r="V1367" s="96" t="inlineStr">
        <is>
          <t>修复方案表、验证任务表</t>
        </is>
      </c>
      <c r="W1367" s="96" t="inlineStr"/>
      <c r="X1367" s="111" t="inlineStr">
        <is>
          <t>修复方案表{ID、名称|ID、名称、类型、状态、创建时间、更新时间}
验证任务表{任务ID、任务名称|任务ID、任务名称、任务类型、任务状态、创建时间、执行时间}</t>
        </is>
      </c>
      <c r="Y1367" s="88" t="n"/>
      <c r="Z1367" s="88" t="n"/>
    </row>
    <row r="1368" hidden="1" ht="32.4" customHeight="1">
      <c r="A1368" s="69">
        <f>ROW()-1</f>
        <v/>
      </c>
      <c r="B1368" s="53" t="n"/>
      <c r="C1368" s="117" t="n">
        <v>2026</v>
      </c>
      <c r="E1368" s="53" t="n"/>
      <c r="F1368" s="54" t="n"/>
      <c r="G1368" s="54" t="n"/>
      <c r="H1368" s="96" t="inlineStr">
        <is>
          <t>查看确认详情</t>
        </is>
      </c>
      <c r="I1368" s="76" t="inlineStr">
        <is>
          <t>EQ</t>
        </is>
      </c>
      <c r="J1368" s="95" t="n"/>
      <c r="K1368" s="95" t="n"/>
      <c r="L1368" s="83">
        <f>IF(OR(X1368="估算法",X1368="算法类",X1368="无法识别"),"",IF(V1368="",IF(OR(I1368="EI",I1368="EO",I1368="EQ"),0,""),LEN(V1368)-LEN(SUBSTITUTE(V1368,"、",""))+1))</f>
        <v/>
      </c>
      <c r="M1368" s="83">
        <f>IF(OR(X1368="估算法",X1368="算法类",X1368="无法识别"),"",IF(W1368="",IF(OR(I1368="ILF",I1368="EIF"),0,""),LEN(W1368)-LEN(SUBSTITUTE(W1368,"、",""))+1))</f>
        <v/>
      </c>
      <c r="N1368" s="83">
        <f>IF(OR(X1368="估算法",X1368="算法类",X1368="无法识别"),"",IF(X1368="",IF(OR(I1368="ILF",I1368="EIF",I1368="EI",I1368="EO",I1368="EQ"),0,""),LEN(X1368)-LEN(SUBSTITUTE(SUBSTITUTE(SUBSTITUTE(SUBSTITUTE(SUBSTITUTE(X1368,"|}","--"),"{|","--"),CHAR(10),""),"、",""),"|",""))+IF(AND(OR(I1368="EI",I1368="EO",I1368="EQ"),$AD$1="NESMA"),2,1)))</f>
        <v/>
      </c>
      <c r="O1368" s="84">
        <f>IF(I1368="EI",IF(OR(X1368="估算法",X1368="算法类"),"中",IF(X1368="无法识别","低",IF(L1368&lt;2,IF(N1368&lt;16,"低","中"),IF(L1368&lt;3,IF(N1368&lt;5,"低",IF(N1368&lt;16,"中","高")),IF(N1368&lt;5,"中","高"))))),IF(OR(I1368="EO",I1368="EQ"),IF(OR(X1368="估算法",X1368="算法类"),"中",IF(X1368="无法识别","低",IF(L1368&lt;2,IF(N1368&lt;20,"低","中"),IF(L1368&lt;4,IF(N1368&lt;6,"低",IF(N1368&lt;20,"中","高")),IF(N1368&lt;6,"中","高"))))),IF(OR(I1368="ILF",I1368="EIF"),IF(OR(X1368="估算法",X1368="算法类",X1368="无法识别"),"低",IF(M1368&lt;2,IF(N1368&lt;51,"低","中"),IF(M1368&lt;6,IF(N1368&lt;20,"低",IF(N1368&lt;51,"中","高")),IF(N1368&lt;20,"中","高")))),"不计算")))</f>
        <v/>
      </c>
      <c r="P1368" s="142">
        <f>IFERROR(IF(I1368="EI",IF(O1368="低",3,IF(O1368="中",4,6)),IF(I1368="EO",IF(O1368="低",4,IF(O1368="中",5,7)),IF(I1368="EQ",IF(O1368="低",3,IF(O1368="中",4,6)),IF(I1368="ILF",IF(O1368="低",7,IF(O1368="中",10,15)),IF(I1368="EIF",IF(O1368="低",5,IF(O1368="中",7,10)),"不计算")))))*Q1368,"不计算")</f>
        <v/>
      </c>
      <c r="Q1368" s="142" t="n">
        <v>1</v>
      </c>
      <c r="R1368" s="143">
        <f>调整因子!$F$13</f>
        <v/>
      </c>
      <c r="S1368" s="70" t="n">
        <v>1</v>
      </c>
      <c r="T1368" s="144">
        <f>IFERROR(P1368*R1368,0)</f>
        <v/>
      </c>
      <c r="U1368" s="145">
        <f>T1368*S1368</f>
        <v/>
      </c>
      <c r="V1368" s="96" t="inlineStr">
        <is>
          <t>修复步骤表、任务优先级配置表</t>
        </is>
      </c>
      <c r="W1368" s="96" t="inlineStr"/>
      <c r="X1368" s="111" t="inlineStr">
        <is>
          <t>修复步骤表{ID、名称|ID、名称、类型、状态、创建时间}
任务优先级配置表{任务ID、任务名称|任务ID、任务名称、任务类型、任务状态、创建时间}</t>
        </is>
      </c>
      <c r="Y1368" s="88" t="n"/>
      <c r="Z1368" s="88" t="n"/>
    </row>
    <row r="1369" hidden="1" ht="21.6" customHeight="1">
      <c r="A1369" s="69">
        <f>ROW()-1</f>
        <v/>
      </c>
      <c r="B1369" s="53" t="n"/>
      <c r="C1369" s="117" t="n">
        <v>2026</v>
      </c>
      <c r="E1369" s="53" t="n"/>
      <c r="F1369" s="111" t="inlineStr">
        <is>
          <t>智能任务编排引擎</t>
        </is>
      </c>
      <c r="G1369" s="111" t="inlineStr">
        <is>
          <t>复测任务管理</t>
        </is>
      </c>
      <c r="H1369" s="96" t="inlineStr">
        <is>
          <t>复测任务表</t>
        </is>
      </c>
      <c r="I1369" s="76" t="inlineStr">
        <is>
          <t>ILF</t>
        </is>
      </c>
      <c r="J1369" s="95" t="n"/>
      <c r="K1369" s="95" t="n"/>
      <c r="L1369" s="83">
        <f>IF(OR(X1369="估算法",X1369="算法类",X1369="无法识别"),"",IF(V1369="",IF(OR(I1369="EI",I1369="EO",I1369="EQ"),0,""),LEN(V1369)-LEN(SUBSTITUTE(V1369,"、",""))+1))</f>
        <v/>
      </c>
      <c r="M1369" s="83">
        <f>IF(OR(X1369="估算法",X1369="算法类",X1369="无法识别"),"",IF(W1369="",IF(OR(I1369="ILF",I1369="EIF"),0,""),LEN(W1369)-LEN(SUBSTITUTE(W1369,"、",""))+1))</f>
        <v/>
      </c>
      <c r="N1369" s="83">
        <f>IF(OR(X1369="估算法",X1369="算法类",X1369="无法识别"),"",IF(X1369="",IF(OR(I1369="ILF",I1369="EIF",I1369="EI",I1369="EO",I1369="EQ"),0,""),LEN(X1369)-LEN(SUBSTITUTE(SUBSTITUTE(SUBSTITUTE(SUBSTITUTE(SUBSTITUTE(X1369,"|}","--"),"{|","--"),CHAR(10),""),"、",""),"|",""))+IF(AND(OR(I1369="EI",I1369="EO",I1369="EQ"),$AD$1="NESMA"),2,1)))</f>
        <v/>
      </c>
      <c r="O1369" s="84">
        <f>IF(I1369="EI",IF(OR(X1369="估算法",X1369="算法类"),"中",IF(X1369="无法识别","低",IF(L1369&lt;2,IF(N1369&lt;16,"低","中"),IF(L1369&lt;3,IF(N1369&lt;5,"低",IF(N1369&lt;16,"中","高")),IF(N1369&lt;5,"中","高"))))),IF(OR(I1369="EO",I1369="EQ"),IF(OR(X1369="估算法",X1369="算法类"),"中",IF(X1369="无法识别","低",IF(L1369&lt;2,IF(N1369&lt;20,"低","中"),IF(L1369&lt;4,IF(N1369&lt;6,"低",IF(N1369&lt;20,"中","高")),IF(N1369&lt;6,"中","高"))))),IF(OR(I1369="ILF",I1369="EIF"),IF(OR(X1369="估算法",X1369="算法类",X1369="无法识别"),"低",IF(M1369&lt;2,IF(N1369&lt;51,"低","中"),IF(M1369&lt;6,IF(N1369&lt;20,"低",IF(N1369&lt;51,"中","高")),IF(N1369&lt;20,"中","高")))),"不计算")))</f>
        <v/>
      </c>
      <c r="P1369" s="142">
        <f>IFERROR(IF(I1369="EI",IF(O1369="低",3,IF(O1369="中",4,6)),IF(I1369="EO",IF(O1369="低",4,IF(O1369="中",5,7)),IF(I1369="EQ",IF(O1369="低",3,IF(O1369="中",4,6)),IF(I1369="ILF",IF(O1369="低",7,IF(O1369="中",10,15)),IF(I1369="EIF",IF(O1369="低",5,IF(O1369="中",7,10)),"不计算")))))*Q1369,"不计算")</f>
        <v/>
      </c>
      <c r="Q1369" s="142" t="n">
        <v>1</v>
      </c>
      <c r="R1369" s="143">
        <f>调整因子!$F$13</f>
        <v/>
      </c>
      <c r="S1369" s="76" t="n">
        <v>1</v>
      </c>
      <c r="T1369" s="144">
        <f>IFERROR(P1369*R1369,0)</f>
        <v/>
      </c>
      <c r="U1369" s="145">
        <f>T1369*S1369</f>
        <v/>
      </c>
      <c r="V1369" s="96" t="inlineStr"/>
      <c r="W1369" s="96" t="inlineStr">
        <is>
          <t>扫描任务</t>
        </is>
      </c>
      <c r="X1369" s="111" t="inlineStr">
        <is>
          <t>复测任务表{任务ID、任务名称、任务类型|任务ID、任务名称、任务类型、任务状态、创建时间、执行时间}</t>
        </is>
      </c>
      <c r="Y1369" s="88">
        <f>IF(COUNTIFS(V:V,"*"&amp;H1369&amp;"*")&gt;0,"存在","不存在")</f>
        <v/>
      </c>
      <c r="Z1369" s="88">
        <f>IF(COUNTIFS(AA:AA,"*"&amp;H1369&amp;"*")&gt;0,"存在","不存在")</f>
        <v/>
      </c>
    </row>
    <row r="1370" hidden="1" ht="21.6" customHeight="1">
      <c r="A1370" s="69">
        <f>ROW()-1</f>
        <v/>
      </c>
      <c r="B1370" s="53" t="n"/>
      <c r="C1370" s="117" t="n">
        <v>2026</v>
      </c>
      <c r="E1370" s="53" t="n"/>
      <c r="F1370" s="53" t="n"/>
      <c r="G1370" s="53" t="n"/>
      <c r="H1370" s="96" t="inlineStr">
        <is>
          <t>复测配置表</t>
        </is>
      </c>
      <c r="I1370" s="76" t="inlineStr">
        <is>
          <t>ILF</t>
        </is>
      </c>
      <c r="J1370" s="95" t="n"/>
      <c r="K1370" s="95" t="n"/>
      <c r="L1370" s="83">
        <f>IF(OR(X1370="估算法",X1370="算法类",X1370="无法识别"),"",IF(V1370="",IF(OR(I1370="EI",I1370="EO",I1370="EQ"),0,""),LEN(V1370)-LEN(SUBSTITUTE(V1370,"、",""))+1))</f>
        <v/>
      </c>
      <c r="M1370" s="83">
        <f>IF(OR(X1370="估算法",X1370="算法类",X1370="无法识别"),"",IF(W1370="",IF(OR(I1370="ILF",I1370="EIF"),0,""),LEN(W1370)-LEN(SUBSTITUTE(W1370,"、",""))+1))</f>
        <v/>
      </c>
      <c r="N1370" s="83">
        <f>IF(OR(X1370="估算法",X1370="算法类",X1370="无法识别"),"",IF(X1370="",IF(OR(I1370="ILF",I1370="EIF",I1370="EI",I1370="EO",I1370="EQ"),0,""),LEN(X1370)-LEN(SUBSTITUTE(SUBSTITUTE(SUBSTITUTE(SUBSTITUTE(SUBSTITUTE(X1370,"|}","--"),"{|","--"),CHAR(10),""),"、",""),"|",""))+IF(AND(OR(I1370="EI",I1370="EO",I1370="EQ"),$AD$1="NESMA"),2,1)))</f>
        <v/>
      </c>
      <c r="O1370" s="84">
        <f>IF(I1370="EI",IF(OR(X1370="估算法",X1370="算法类"),"中",IF(X1370="无法识别","低",IF(L1370&lt;2,IF(N1370&lt;16,"低","中"),IF(L1370&lt;3,IF(N1370&lt;5,"低",IF(N1370&lt;16,"中","高")),IF(N1370&lt;5,"中","高"))))),IF(OR(I1370="EO",I1370="EQ"),IF(OR(X1370="估算法",X1370="算法类"),"中",IF(X1370="无法识别","低",IF(L1370&lt;2,IF(N1370&lt;20,"低","中"),IF(L1370&lt;4,IF(N1370&lt;6,"低",IF(N1370&lt;20,"中","高")),IF(N1370&lt;6,"中","高"))))),IF(OR(I1370="ILF",I1370="EIF"),IF(OR(X1370="估算法",X1370="算法类",X1370="无法识别"),"低",IF(M1370&lt;2,IF(N1370&lt;51,"低","中"),IF(M1370&lt;6,IF(N1370&lt;20,"低",IF(N1370&lt;51,"中","高")),IF(N1370&lt;20,"中","高")))),"不计算")))</f>
        <v/>
      </c>
      <c r="P1370" s="142">
        <f>IFERROR(IF(I1370="EI",IF(O1370="低",3,IF(O1370="中",4,6)),IF(I1370="EO",IF(O1370="低",4,IF(O1370="中",5,7)),IF(I1370="EQ",IF(O1370="低",3,IF(O1370="中",4,6)),IF(I1370="ILF",IF(O1370="低",7,IF(O1370="中",10,15)),IF(I1370="EIF",IF(O1370="低",5,IF(O1370="中",7,10)),"不计算")))))*Q1370,"不计算")</f>
        <v/>
      </c>
      <c r="Q1370" s="142" t="n">
        <v>1</v>
      </c>
      <c r="R1370" s="143">
        <f>调整因子!$F$13</f>
        <v/>
      </c>
      <c r="S1370" s="76" t="n">
        <v>1</v>
      </c>
      <c r="T1370" s="144">
        <f>IFERROR(P1370*R1370,0)</f>
        <v/>
      </c>
      <c r="U1370" s="145">
        <f>T1370*S1370</f>
        <v/>
      </c>
      <c r="V1370" s="96" t="inlineStr"/>
      <c r="W1370" s="96" t="inlineStr">
        <is>
          <t>配置项</t>
        </is>
      </c>
      <c r="X1370" s="111" t="inlineStr">
        <is>
          <t>复测配置表{配置ID、配置名称、配置类型|配置ID、配置名称、配置类型、配置值、创建时间}</t>
        </is>
      </c>
      <c r="Y1370" s="88">
        <f>IF(COUNTIFS(V:V,"*"&amp;H1370&amp;"*")&gt;0,"存在","不存在")</f>
        <v/>
      </c>
      <c r="Z1370" s="88">
        <f>IF(COUNTIFS(AA:AA,"*"&amp;H1370&amp;"*")&gt;0,"存在","不存在")</f>
        <v/>
      </c>
    </row>
    <row r="1371" hidden="1" ht="21.6" customHeight="1">
      <c r="A1371" s="69">
        <f>ROW()-1</f>
        <v/>
      </c>
      <c r="B1371" s="53" t="n"/>
      <c r="C1371" s="117" t="n">
        <v>2026</v>
      </c>
      <c r="E1371" s="53" t="n"/>
      <c r="F1371" s="53" t="n"/>
      <c r="G1371" s="53" t="n"/>
      <c r="H1371" s="96" t="inlineStr">
        <is>
          <t>创建复测任务</t>
        </is>
      </c>
      <c r="I1371" s="76" t="inlineStr">
        <is>
          <t>EI</t>
        </is>
      </c>
      <c r="J1371" s="95" t="n"/>
      <c r="K1371" s="95" t="n"/>
      <c r="L1371" s="83">
        <f>IF(OR(X1371="估算法",X1371="算法类",X1371="无法识别"),"",IF(V1371="",IF(OR(I1371="EI",I1371="EO",I1371="EQ"),0,""),LEN(V1371)-LEN(SUBSTITUTE(V1371,"、",""))+1))</f>
        <v/>
      </c>
      <c r="M1371" s="83">
        <f>IF(OR(X1371="估算法",X1371="算法类",X1371="无法识别"),"",IF(W1371="",IF(OR(I1371="ILF",I1371="EIF"),0,""),LEN(W1371)-LEN(SUBSTITUTE(W1371,"、",""))+1))</f>
        <v/>
      </c>
      <c r="N1371" s="83">
        <f>IF(OR(X1371="估算法",X1371="算法类",X1371="无法识别"),"",IF(X1371="",IF(OR(I1371="ILF",I1371="EIF",I1371="EI",I1371="EO",I1371="EQ"),0,""),LEN(X1371)-LEN(SUBSTITUTE(SUBSTITUTE(SUBSTITUTE(SUBSTITUTE(SUBSTITUTE(X1371,"|}","--"),"{|","--"),CHAR(10),""),"、",""),"|",""))+IF(AND(OR(I1371="EI",I1371="EO",I1371="EQ"),$AD$1="NESMA"),2,1)))</f>
        <v/>
      </c>
      <c r="O1371" s="84">
        <f>IF(I1371="EI",IF(OR(X1371="估算法",X1371="算法类"),"中",IF(X1371="无法识别","低",IF(L1371&lt;2,IF(N1371&lt;16,"低","中"),IF(L1371&lt;3,IF(N1371&lt;5,"低",IF(N1371&lt;16,"中","高")),IF(N1371&lt;5,"中","高"))))),IF(OR(I1371="EO",I1371="EQ"),IF(OR(X1371="估算法",X1371="算法类"),"中",IF(X1371="无法识别","低",IF(L1371&lt;2,IF(N1371&lt;20,"低","中"),IF(L1371&lt;4,IF(N1371&lt;6,"低",IF(N1371&lt;20,"中","高")),IF(N1371&lt;6,"中","高"))))),IF(OR(I1371="ILF",I1371="EIF"),IF(OR(X1371="估算法",X1371="算法类",X1371="无法识别"),"低",IF(M1371&lt;2,IF(N1371&lt;51,"低","中"),IF(M1371&lt;6,IF(N1371&lt;20,"低",IF(N1371&lt;51,"中","高")),IF(N1371&lt;20,"中","高")))),"不计算")))</f>
        <v/>
      </c>
      <c r="P1371" s="142">
        <f>IFERROR(IF(I1371="EI",IF(O1371="低",3,IF(O1371="中",4,6)),IF(I1371="EO",IF(O1371="低",4,IF(O1371="中",5,7)),IF(I1371="EQ",IF(O1371="低",3,IF(O1371="中",4,6)),IF(I1371="ILF",IF(O1371="低",7,IF(O1371="中",10,15)),IF(I1371="EIF",IF(O1371="低",5,IF(O1371="中",7,10)),"不计算")))))*Q1371,"不计算")</f>
        <v/>
      </c>
      <c r="Q1371" s="142" t="n">
        <v>1</v>
      </c>
      <c r="R1371" s="143">
        <f>调整因子!$F$13</f>
        <v/>
      </c>
      <c r="S1371" s="70" t="n">
        <v>1</v>
      </c>
      <c r="T1371" s="144">
        <f>IFERROR(P1371*R1371,0)</f>
        <v/>
      </c>
      <c r="U1371" s="145">
        <f>T1371*S1371</f>
        <v/>
      </c>
      <c r="V1371" s="96" t="inlineStr">
        <is>
          <t>数据清洗任务表</t>
        </is>
      </c>
      <c r="W1371" s="96" t="inlineStr"/>
      <c r="X1371" s="111" t="inlineStr">
        <is>
          <t>数据清洗任务表{任务ID、任务名称、任务类型、任务状态、创建时间、执行时间|任务ID、任务名称、任务类型}</t>
        </is>
      </c>
      <c r="Y1371" s="88" t="n"/>
      <c r="Z1371" s="88" t="n"/>
    </row>
    <row r="1372" hidden="1" ht="43.2" customHeight="1">
      <c r="A1372" s="69">
        <f>ROW()-1</f>
        <v/>
      </c>
      <c r="B1372" s="53" t="n"/>
      <c r="C1372" s="117" t="n">
        <v>2026</v>
      </c>
      <c r="E1372" s="53" t="n"/>
      <c r="F1372" s="53" t="n"/>
      <c r="G1372" s="53" t="n"/>
      <c r="H1372" s="96" t="inlineStr">
        <is>
          <t>编辑复测任务</t>
        </is>
      </c>
      <c r="I1372" s="76" t="inlineStr">
        <is>
          <t>EI</t>
        </is>
      </c>
      <c r="J1372" s="95" t="n"/>
      <c r="K1372" s="95" t="n"/>
      <c r="L1372" s="83">
        <f>IF(OR(X1372="估算法",X1372="算法类",X1372="无法识别"),"",IF(V1372="",IF(OR(I1372="EI",I1372="EO",I1372="EQ"),0,""),LEN(V1372)-LEN(SUBSTITUTE(V1372,"、",""))+1))</f>
        <v/>
      </c>
      <c r="M1372" s="83">
        <f>IF(OR(X1372="估算法",X1372="算法类",X1372="无法识别"),"",IF(W1372="",IF(OR(I1372="ILF",I1372="EIF"),0,""),LEN(W1372)-LEN(SUBSTITUTE(W1372,"、",""))+1))</f>
        <v/>
      </c>
      <c r="N1372" s="83">
        <f>IF(OR(X1372="估算法",X1372="算法类",X1372="无法识别"),"",IF(X1372="",IF(OR(I1372="ILF",I1372="EIF",I1372="EI",I1372="EO",I1372="EQ"),0,""),LEN(X1372)-LEN(SUBSTITUTE(SUBSTITUTE(SUBSTITUTE(SUBSTITUTE(SUBSTITUTE(X1372,"|}","--"),"{|","--"),CHAR(10),""),"、",""),"|",""))+IF(AND(OR(I1372="EI",I1372="EO",I1372="EQ"),$AD$1="NESMA"),2,1)))</f>
        <v/>
      </c>
      <c r="O1372" s="84">
        <f>IF(I1372="EI",IF(OR(X1372="估算法",X1372="算法类"),"中",IF(X1372="无法识别","低",IF(L1372&lt;2,IF(N1372&lt;16,"低","中"),IF(L1372&lt;3,IF(N1372&lt;5,"低",IF(N1372&lt;16,"中","高")),IF(N1372&lt;5,"中","高"))))),IF(OR(I1372="EO",I1372="EQ"),IF(OR(X1372="估算法",X1372="算法类"),"中",IF(X1372="无法识别","低",IF(L1372&lt;2,IF(N1372&lt;20,"低","中"),IF(L1372&lt;4,IF(N1372&lt;6,"低",IF(N1372&lt;20,"中","高")),IF(N1372&lt;6,"中","高"))))),IF(OR(I1372="ILF",I1372="EIF"),IF(OR(X1372="估算法",X1372="算法类",X1372="无法识别"),"低",IF(M1372&lt;2,IF(N1372&lt;51,"低","中"),IF(M1372&lt;6,IF(N1372&lt;20,"低",IF(N1372&lt;51,"中","高")),IF(N1372&lt;20,"中","高")))),"不计算")))</f>
        <v/>
      </c>
      <c r="P1372" s="142">
        <f>IFERROR(IF(I1372="EI",IF(O1372="低",3,IF(O1372="中",4,6)),IF(I1372="EO",IF(O1372="低",4,IF(O1372="中",5,7)),IF(I1372="EQ",IF(O1372="低",3,IF(O1372="中",4,6)),IF(I1372="ILF",IF(O1372="低",7,IF(O1372="中",10,15)),IF(I1372="EIF",IF(O1372="低",5,IF(O1372="中",7,10)),"不计算")))))*Q1372,"不计算")</f>
        <v/>
      </c>
      <c r="Q1372" s="142" t="n">
        <v>1</v>
      </c>
      <c r="R1372" s="143">
        <f>调整因子!$F$13</f>
        <v/>
      </c>
      <c r="S1372" s="70" t="n">
        <v>1</v>
      </c>
      <c r="T1372" s="144">
        <f>IFERROR(P1372*R1372,0)</f>
        <v/>
      </c>
      <c r="U1372" s="145">
        <f>T1372*S1372</f>
        <v/>
      </c>
      <c r="V1372" s="96" t="inlineStr">
        <is>
          <t>数据清洗任务表、资产同步任务表</t>
        </is>
      </c>
      <c r="W1372" s="96" t="inlineStr"/>
      <c r="X1372"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372" s="88" t="n"/>
      <c r="Z1372" s="88" t="n"/>
    </row>
    <row r="1373" hidden="1" ht="43.2" customHeight="1">
      <c r="A1373" s="69">
        <f>ROW()-1</f>
        <v/>
      </c>
      <c r="B1373" s="53" t="n"/>
      <c r="C1373" s="117" t="n">
        <v>2026</v>
      </c>
      <c r="E1373" s="53" t="n"/>
      <c r="F1373" s="53" t="n"/>
      <c r="G1373" s="53" t="n"/>
      <c r="H1373" s="96" t="inlineStr">
        <is>
          <t>删除复测任务</t>
        </is>
      </c>
      <c r="I1373" s="76" t="inlineStr">
        <is>
          <t>EI</t>
        </is>
      </c>
      <c r="J1373" s="95" t="n"/>
      <c r="K1373" s="95" t="n"/>
      <c r="L1373" s="83">
        <f>IF(OR(X1373="估算法",X1373="算法类",X1373="无法识别"),"",IF(V1373="",IF(OR(I1373="EI",I1373="EO",I1373="EQ"),0,""),LEN(V1373)-LEN(SUBSTITUTE(V1373,"、",""))+1))</f>
        <v/>
      </c>
      <c r="M1373" s="83">
        <f>IF(OR(X1373="估算法",X1373="算法类",X1373="无法识别"),"",IF(W1373="",IF(OR(I1373="ILF",I1373="EIF"),0,""),LEN(W1373)-LEN(SUBSTITUTE(W1373,"、",""))+1))</f>
        <v/>
      </c>
      <c r="N1373" s="83">
        <f>IF(OR(X1373="估算法",X1373="算法类",X1373="无法识别"),"",IF(X1373="",IF(OR(I1373="ILF",I1373="EIF",I1373="EI",I1373="EO",I1373="EQ"),0,""),LEN(X1373)-LEN(SUBSTITUTE(SUBSTITUTE(SUBSTITUTE(SUBSTITUTE(SUBSTITUTE(X1373,"|}","--"),"{|","--"),CHAR(10),""),"、",""),"|",""))+IF(AND(OR(I1373="EI",I1373="EO",I1373="EQ"),$AD$1="NESMA"),2,1)))</f>
        <v/>
      </c>
      <c r="O1373" s="84">
        <f>IF(I1373="EI",IF(OR(X1373="估算法",X1373="算法类"),"中",IF(X1373="无法识别","低",IF(L1373&lt;2,IF(N1373&lt;16,"低","中"),IF(L1373&lt;3,IF(N1373&lt;5,"低",IF(N1373&lt;16,"中","高")),IF(N1373&lt;5,"中","高"))))),IF(OR(I1373="EO",I1373="EQ"),IF(OR(X1373="估算法",X1373="算法类"),"中",IF(X1373="无法识别","低",IF(L1373&lt;2,IF(N1373&lt;20,"低","中"),IF(L1373&lt;4,IF(N1373&lt;6,"低",IF(N1373&lt;20,"中","高")),IF(N1373&lt;6,"中","高"))))),IF(OR(I1373="ILF",I1373="EIF"),IF(OR(X1373="估算法",X1373="算法类",X1373="无法识别"),"低",IF(M1373&lt;2,IF(N1373&lt;51,"低","中"),IF(M1373&lt;6,IF(N1373&lt;20,"低",IF(N1373&lt;51,"中","高")),IF(N1373&lt;20,"中","高")))),"不计算")))</f>
        <v/>
      </c>
      <c r="P1373" s="142">
        <f>IFERROR(IF(I1373="EI",IF(O1373="低",3,IF(O1373="中",4,6)),IF(I1373="EO",IF(O1373="低",4,IF(O1373="中",5,7)),IF(I1373="EQ",IF(O1373="低",3,IF(O1373="中",4,6)),IF(I1373="ILF",IF(O1373="低",7,IF(O1373="中",10,15)),IF(I1373="EIF",IF(O1373="低",5,IF(O1373="中",7,10)),"不计算")))))*Q1373,"不计算")</f>
        <v/>
      </c>
      <c r="Q1373" s="142" t="n">
        <v>0.333333333333333</v>
      </c>
      <c r="R1373" s="143">
        <f>调整因子!$F$13</f>
        <v/>
      </c>
      <c r="S1373" s="76" t="n">
        <v>1</v>
      </c>
      <c r="T1373" s="144">
        <f>IFERROR(P1373*R1373,0)</f>
        <v/>
      </c>
      <c r="U1373" s="145">
        <f>T1373*S1373</f>
        <v/>
      </c>
      <c r="V1373" s="96" t="inlineStr">
        <is>
          <t>数据清洗任务表、资产同步任务表</t>
        </is>
      </c>
      <c r="W1373" s="96" t="inlineStr"/>
      <c r="X1373"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373" s="88" t="n"/>
      <c r="Z1373" s="88" t="n"/>
    </row>
    <row r="1374" hidden="1" ht="43.2" customHeight="1">
      <c r="A1374" s="69">
        <f>ROW()-1</f>
        <v/>
      </c>
      <c r="B1374" s="53" t="n"/>
      <c r="C1374" s="117" t="n">
        <v>2026</v>
      </c>
      <c r="E1374" s="53" t="n"/>
      <c r="F1374" s="53" t="n"/>
      <c r="G1374" s="53" t="n"/>
      <c r="H1374" s="96" t="inlineStr">
        <is>
          <t>启动复测任务</t>
        </is>
      </c>
      <c r="I1374" s="76" t="inlineStr">
        <is>
          <t>EI</t>
        </is>
      </c>
      <c r="J1374" s="95" t="n"/>
      <c r="K1374" s="95" t="n"/>
      <c r="L1374" s="83">
        <f>IF(OR(X1374="估算法",X1374="算法类",X1374="无法识别"),"",IF(V1374="",IF(OR(I1374="EI",I1374="EO",I1374="EQ"),0,""),LEN(V1374)-LEN(SUBSTITUTE(V1374,"、",""))+1))</f>
        <v/>
      </c>
      <c r="M1374" s="83">
        <f>IF(OR(X1374="估算法",X1374="算法类",X1374="无法识别"),"",IF(W1374="",IF(OR(I1374="ILF",I1374="EIF"),0,""),LEN(W1374)-LEN(SUBSTITUTE(W1374,"、",""))+1))</f>
        <v/>
      </c>
      <c r="N1374" s="83">
        <f>IF(OR(X1374="估算法",X1374="算法类",X1374="无法识别"),"",IF(X1374="",IF(OR(I1374="ILF",I1374="EIF",I1374="EI",I1374="EO",I1374="EQ"),0,""),LEN(X1374)-LEN(SUBSTITUTE(SUBSTITUTE(SUBSTITUTE(SUBSTITUTE(SUBSTITUTE(X1374,"|}","--"),"{|","--"),CHAR(10),""),"、",""),"|",""))+IF(AND(OR(I1374="EI",I1374="EO",I1374="EQ"),$AD$1="NESMA"),2,1)))</f>
        <v/>
      </c>
      <c r="O1374" s="84">
        <f>IF(I1374="EI",IF(OR(X1374="估算法",X1374="算法类"),"中",IF(X1374="无法识别","低",IF(L1374&lt;2,IF(N1374&lt;16,"低","中"),IF(L1374&lt;3,IF(N1374&lt;5,"低",IF(N1374&lt;16,"中","高")),IF(N1374&lt;5,"中","高"))))),IF(OR(I1374="EO",I1374="EQ"),IF(OR(X1374="估算法",X1374="算法类"),"中",IF(X1374="无法识别","低",IF(L1374&lt;2,IF(N1374&lt;20,"低","中"),IF(L1374&lt;4,IF(N1374&lt;6,"低",IF(N1374&lt;20,"中","高")),IF(N1374&lt;6,"中","高"))))),IF(OR(I1374="ILF",I1374="EIF"),IF(OR(X1374="估算法",X1374="算法类",X1374="无法识别"),"低",IF(M1374&lt;2,IF(N1374&lt;51,"低","中"),IF(M1374&lt;6,IF(N1374&lt;20,"低",IF(N1374&lt;51,"中","高")),IF(N1374&lt;20,"中","高")))),"不计算")))</f>
        <v/>
      </c>
      <c r="P1374" s="142">
        <f>IFERROR(IF(I1374="EI",IF(O1374="低",3,IF(O1374="中",4,6)),IF(I1374="EO",IF(O1374="低",4,IF(O1374="中",5,7)),IF(I1374="EQ",IF(O1374="低",3,IF(O1374="中",4,6)),IF(I1374="ILF",IF(O1374="低",7,IF(O1374="中",10,15)),IF(I1374="EIF",IF(O1374="低",5,IF(O1374="中",7,10)),"不计算")))))*Q1374,"不计算")</f>
        <v/>
      </c>
      <c r="Q1374" s="142" t="n">
        <v>1</v>
      </c>
      <c r="R1374" s="143">
        <f>调整因子!$F$13</f>
        <v/>
      </c>
      <c r="S1374" s="70" t="n">
        <v>1</v>
      </c>
      <c r="T1374" s="144">
        <f>IFERROR(P1374*R1374,0)</f>
        <v/>
      </c>
      <c r="U1374" s="145">
        <f>T1374*S1374</f>
        <v/>
      </c>
      <c r="V1374" s="96" t="inlineStr">
        <is>
          <t>数据清洗任务表、资产同步任务表</t>
        </is>
      </c>
      <c r="W1374" s="96" t="inlineStr"/>
      <c r="X1374"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374" s="88" t="n"/>
      <c r="Z1374" s="88" t="n"/>
    </row>
    <row r="1375" hidden="1" ht="43.2" customHeight="1">
      <c r="A1375" s="69">
        <f>ROW()-1</f>
        <v/>
      </c>
      <c r="B1375" s="53" t="n"/>
      <c r="C1375" s="117" t="n">
        <v>2026</v>
      </c>
      <c r="E1375" s="53" t="n"/>
      <c r="F1375" s="53" t="n"/>
      <c r="G1375" s="53" t="n"/>
      <c r="H1375" s="96" t="inlineStr">
        <is>
          <t>停止复测任务</t>
        </is>
      </c>
      <c r="I1375" s="76" t="n"/>
      <c r="J1375" s="95" t="n"/>
      <c r="K1375" s="95" t="inlineStr">
        <is>
          <t>和上行合并，启停为相同功能</t>
        </is>
      </c>
      <c r="L1375" s="83">
        <f>IF(OR(X1375="估算法",X1375="算法类",X1375="无法识别"),"",IF(V1375="",IF(OR(I1375="EI",I1375="EO",I1375="EQ"),0,""),LEN(V1375)-LEN(SUBSTITUTE(V1375,"、",""))+1))</f>
        <v/>
      </c>
      <c r="M1375" s="83">
        <f>IF(OR(X1375="估算法",X1375="算法类",X1375="无法识别"),"",IF(W1375="",IF(OR(I1375="ILF",I1375="EIF"),0,""),LEN(W1375)-LEN(SUBSTITUTE(W1375,"、",""))+1))</f>
        <v/>
      </c>
      <c r="N1375" s="83">
        <f>IF(OR(X1375="估算法",X1375="算法类",X1375="无法识别"),"",IF(X1375="",IF(OR(I1375="ILF",I1375="EIF",I1375="EI",I1375="EO",I1375="EQ"),0,""),LEN(X1375)-LEN(SUBSTITUTE(SUBSTITUTE(SUBSTITUTE(SUBSTITUTE(SUBSTITUTE(X1375,"|}","--"),"{|","--"),CHAR(10),""),"、",""),"|",""))+IF(AND(OR(I1375="EI",I1375="EO",I1375="EQ"),$AD$1="NESMA"),2,1)))</f>
        <v/>
      </c>
      <c r="O1375" s="84">
        <f>IF(I1375="EI",IF(OR(X1375="估算法",X1375="算法类"),"中",IF(X1375="无法识别","低",IF(L1375&lt;2,IF(N1375&lt;16,"低","中"),IF(L1375&lt;3,IF(N1375&lt;5,"低",IF(N1375&lt;16,"中","高")),IF(N1375&lt;5,"中","高"))))),IF(OR(I1375="EO",I1375="EQ"),IF(OR(X1375="估算法",X1375="算法类"),"中",IF(X1375="无法识别","低",IF(L1375&lt;2,IF(N1375&lt;20,"低","中"),IF(L1375&lt;4,IF(N1375&lt;6,"低",IF(N1375&lt;20,"中","高")),IF(N1375&lt;6,"中","高"))))),IF(OR(I1375="ILF",I1375="EIF"),IF(OR(X1375="估算法",X1375="算法类",X1375="无法识别"),"低",IF(M1375&lt;2,IF(N1375&lt;51,"低","中"),IF(M1375&lt;6,IF(N1375&lt;20,"低",IF(N1375&lt;51,"中","高")),IF(N1375&lt;20,"中","高")))),"不计算")))</f>
        <v/>
      </c>
      <c r="P1375" s="142">
        <f>IFERROR(IF(I1375="EI",IF(O1375="低",3,IF(O1375="中",4,6)),IF(I1375="EO",IF(O1375="低",4,IF(O1375="中",5,7)),IF(I1375="EQ",IF(O1375="低",3,IF(O1375="中",4,6)),IF(I1375="ILF",IF(O1375="低",7,IF(O1375="中",10,15)),IF(I1375="EIF",IF(O1375="低",5,IF(O1375="中",7,10)),"不计算")))))*Q1375,"不计算")</f>
        <v/>
      </c>
      <c r="Q1375" s="142" t="n">
        <v>1</v>
      </c>
      <c r="R1375" s="143">
        <f>调整因子!$F$13</f>
        <v/>
      </c>
      <c r="S1375" s="70" t="n">
        <v>1</v>
      </c>
      <c r="T1375" s="144">
        <f>IFERROR(P1375*R1375,0)</f>
        <v/>
      </c>
      <c r="U1375" s="145">
        <f>T1375*S1375</f>
        <v/>
      </c>
      <c r="V1375" s="96" t="inlineStr">
        <is>
          <t>数据清洗任务表、资产同步任务表</t>
        </is>
      </c>
      <c r="W1375" s="96" t="inlineStr"/>
      <c r="X1375"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375" s="88" t="n"/>
      <c r="Z1375" s="88" t="n"/>
    </row>
    <row r="1376" hidden="1" ht="43.2" customHeight="1">
      <c r="A1376" s="69">
        <f>ROW()-1</f>
        <v/>
      </c>
      <c r="B1376" s="53" t="n"/>
      <c r="C1376" s="117" t="n">
        <v>2026</v>
      </c>
      <c r="E1376" s="53" t="n"/>
      <c r="F1376" s="53" t="n"/>
      <c r="G1376" s="53" t="n"/>
      <c r="H1376" s="96" t="inlineStr">
        <is>
          <t>批量创建复测任务</t>
        </is>
      </c>
      <c r="I1376" s="76" t="inlineStr">
        <is>
          <t>EI</t>
        </is>
      </c>
      <c r="J1376" s="108" t="n"/>
      <c r="K1376" s="108" t="inlineStr">
        <is>
          <t>批量操作</t>
        </is>
      </c>
      <c r="L1376" s="83">
        <f>IF(OR(X1376="估算法",X1376="算法类",X1376="无法识别"),"",IF(V1376="",IF(OR(I1376="EI",I1376="EO",I1376="EQ"),0,""),LEN(V1376)-LEN(SUBSTITUTE(V1376,"、",""))+1))</f>
        <v/>
      </c>
      <c r="M1376" s="83">
        <f>IF(OR(X1376="估算法",X1376="算法类",X1376="无法识别"),"",IF(W1376="",IF(OR(I1376="ILF",I1376="EIF"),0,""),LEN(W1376)-LEN(SUBSTITUTE(W1376,"、",""))+1))</f>
        <v/>
      </c>
      <c r="N1376" s="83">
        <f>IF(OR(X1376="估算法",X1376="算法类",X1376="无法识别"),"",IF(X1376="",IF(OR(I1376="ILF",I1376="EIF",I1376="EI",I1376="EO",I1376="EQ"),0,""),LEN(X1376)-LEN(SUBSTITUTE(SUBSTITUTE(SUBSTITUTE(SUBSTITUTE(SUBSTITUTE(X1376,"|}","--"),"{|","--"),CHAR(10),""),"、",""),"|",""))+IF(AND(OR(I1376="EI",I1376="EO",I1376="EQ"),$AD$1="NESMA"),2,1)))</f>
        <v/>
      </c>
      <c r="O1376" s="84">
        <f>IF(I1376="EI",IF(OR(X1376="估算法",X1376="算法类"),"中",IF(X1376="无法识别","低",IF(L1376&lt;2,IF(N1376&lt;16,"低","中"),IF(L1376&lt;3,IF(N1376&lt;5,"低",IF(N1376&lt;16,"中","高")),IF(N1376&lt;5,"中","高"))))),IF(OR(I1376="EO",I1376="EQ"),IF(OR(X1376="估算法",X1376="算法类"),"中",IF(X1376="无法识别","低",IF(L1376&lt;2,IF(N1376&lt;20,"低","中"),IF(L1376&lt;4,IF(N1376&lt;6,"低",IF(N1376&lt;20,"中","高")),IF(N1376&lt;6,"中","高"))))),IF(OR(I1376="ILF",I1376="EIF"),IF(OR(X1376="估算法",X1376="算法类",X1376="无法识别"),"低",IF(M1376&lt;2,IF(N1376&lt;51,"低","中"),IF(M1376&lt;6,IF(N1376&lt;20,"低",IF(N1376&lt;51,"中","高")),IF(N1376&lt;20,"中","高")))),"不计算")))</f>
        <v/>
      </c>
      <c r="P1376" s="142">
        <f>IFERROR(IF(I1376="EI",IF(O1376="低",3,IF(O1376="中",4,6)),IF(I1376="EO",IF(O1376="低",4,IF(O1376="中",5,7)),IF(I1376="EQ",IF(O1376="低",3,IF(O1376="中",4,6)),IF(I1376="ILF",IF(O1376="低",7,IF(O1376="中",10,15)),IF(I1376="EIF",IF(O1376="低",5,IF(O1376="中",7,10)),"不计算")))))*Q1376,"不计算")</f>
        <v/>
      </c>
      <c r="Q1376" s="142" t="n">
        <v>0.333333333333333</v>
      </c>
      <c r="R1376" s="143">
        <f>调整因子!$F$13</f>
        <v/>
      </c>
      <c r="S1376" s="76" t="n">
        <v>1</v>
      </c>
      <c r="T1376" s="144">
        <f>IFERROR(P1376*R1376,0)</f>
        <v/>
      </c>
      <c r="U1376" s="145">
        <f>T1376*S1376</f>
        <v/>
      </c>
      <c r="V1376" s="96" t="inlineStr">
        <is>
          <t>数据清洗任务表、资产同步任务表</t>
        </is>
      </c>
      <c r="W1376" s="96" t="inlineStr"/>
      <c r="X1376"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376" s="88" t="n"/>
      <c r="Z1376" s="88" t="n"/>
    </row>
    <row r="1377" hidden="1" ht="21.6" customHeight="1">
      <c r="A1377" s="69">
        <f>ROW()-1</f>
        <v/>
      </c>
      <c r="B1377" s="53" t="n"/>
      <c r="C1377" s="117" t="n">
        <v>2026</v>
      </c>
      <c r="E1377" s="53" t="n"/>
      <c r="F1377" s="53" t="n"/>
      <c r="G1377" s="53" t="n"/>
      <c r="H1377" s="96" t="inlineStr">
        <is>
          <t>配置复测策略</t>
        </is>
      </c>
      <c r="I1377" s="76" t="inlineStr">
        <is>
          <t>EI</t>
        </is>
      </c>
      <c r="J1377" s="95" t="n"/>
      <c r="K1377" s="95" t="n"/>
      <c r="L1377" s="83">
        <f>IF(OR(X1377="估算法",X1377="算法类",X1377="无法识别"),"",IF(V1377="",IF(OR(I1377="EI",I1377="EO",I1377="EQ"),0,""),LEN(V1377)-LEN(SUBSTITUTE(V1377,"、",""))+1))</f>
        <v/>
      </c>
      <c r="M1377" s="83">
        <f>IF(OR(X1377="估算法",X1377="算法类",X1377="无法识别"),"",IF(W1377="",IF(OR(I1377="ILF",I1377="EIF"),0,""),LEN(W1377)-LEN(SUBSTITUTE(W1377,"、",""))+1))</f>
        <v/>
      </c>
      <c r="N1377" s="83">
        <f>IF(OR(X1377="估算法",X1377="算法类",X1377="无法识别"),"",IF(X1377="",IF(OR(I1377="ILF",I1377="EIF",I1377="EI",I1377="EO",I1377="EQ"),0,""),LEN(X1377)-LEN(SUBSTITUTE(SUBSTITUTE(SUBSTITUTE(SUBSTITUTE(SUBSTITUTE(X1377,"|}","--"),"{|","--"),CHAR(10),""),"、",""),"|",""))+IF(AND(OR(I1377="EI",I1377="EO",I1377="EQ"),$AD$1="NESMA"),2,1)))</f>
        <v/>
      </c>
      <c r="O1377" s="84">
        <f>IF(I1377="EI",IF(OR(X1377="估算法",X1377="算法类"),"中",IF(X1377="无法识别","低",IF(L1377&lt;2,IF(N1377&lt;16,"低","中"),IF(L1377&lt;3,IF(N1377&lt;5,"低",IF(N1377&lt;16,"中","高")),IF(N1377&lt;5,"中","高"))))),IF(OR(I1377="EO",I1377="EQ"),IF(OR(X1377="估算法",X1377="算法类"),"中",IF(X1377="无法识别","低",IF(L1377&lt;2,IF(N1377&lt;20,"低","中"),IF(L1377&lt;4,IF(N1377&lt;6,"低",IF(N1377&lt;20,"中","高")),IF(N1377&lt;6,"中","高"))))),IF(OR(I1377="ILF",I1377="EIF"),IF(OR(X1377="估算法",X1377="算法类",X1377="无法识别"),"低",IF(M1377&lt;2,IF(N1377&lt;51,"低","中"),IF(M1377&lt;6,IF(N1377&lt;20,"低",IF(N1377&lt;51,"中","高")),IF(N1377&lt;20,"中","高")))),"不计算")))</f>
        <v/>
      </c>
      <c r="P1377" s="142">
        <f>IFERROR(IF(I1377="EI",IF(O1377="低",3,IF(O1377="中",4,6)),IF(I1377="EO",IF(O1377="低",4,IF(O1377="中",5,7)),IF(I1377="EQ",IF(O1377="低",3,IF(O1377="中",4,6)),IF(I1377="ILF",IF(O1377="低",7,IF(O1377="中",10,15)),IF(I1377="EIF",IF(O1377="低",5,IF(O1377="中",7,10)),"不计算")))))*Q1377,"不计算")</f>
        <v/>
      </c>
      <c r="Q1377" s="142" t="n">
        <v>1</v>
      </c>
      <c r="R1377" s="143">
        <f>调整因子!$F$13</f>
        <v/>
      </c>
      <c r="S1377" s="76" t="n">
        <v>1</v>
      </c>
      <c r="T1377" s="144">
        <f>IFERROR(P1377*R1377,0)</f>
        <v/>
      </c>
      <c r="U1377" s="145">
        <f>T1377*S1377</f>
        <v/>
      </c>
      <c r="V1377" s="96" t="inlineStr">
        <is>
          <t>任务优先级配置表</t>
        </is>
      </c>
      <c r="W1377" s="96" t="inlineStr"/>
      <c r="X1377" s="111" t="inlineStr">
        <is>
          <t>任务优先级配置表{任务ID、任务名称、任务类型、任务状态、创建时间、执行时间|任务ID、任务名称、任务类型}</t>
        </is>
      </c>
      <c r="Y1377" s="88" t="n"/>
      <c r="Z1377" s="88" t="n"/>
    </row>
    <row r="1378" hidden="1" ht="21.6" customHeight="1">
      <c r="A1378" s="69">
        <f>ROW()-1</f>
        <v/>
      </c>
      <c r="B1378" s="53" t="n"/>
      <c r="C1378" s="117" t="n">
        <v>2026</v>
      </c>
      <c r="E1378" s="53" t="n"/>
      <c r="F1378" s="53" t="n"/>
      <c r="G1378" s="53" t="n"/>
      <c r="H1378" s="96" t="inlineStr">
        <is>
          <t>导出复测任务</t>
        </is>
      </c>
      <c r="I1378" s="76" t="inlineStr">
        <is>
          <t>EO</t>
        </is>
      </c>
      <c r="J1378" s="95" t="n"/>
      <c r="K1378" s="95" t="n"/>
      <c r="L1378" s="83">
        <f>IF(OR(X1378="估算法",X1378="算法类",X1378="无法识别"),"",IF(V1378="",IF(OR(I1378="EI",I1378="EO",I1378="EQ"),0,""),LEN(V1378)-LEN(SUBSTITUTE(V1378,"、",""))+1))</f>
        <v/>
      </c>
      <c r="M1378" s="83">
        <f>IF(OR(X1378="估算法",X1378="算法类",X1378="无法识别"),"",IF(W1378="",IF(OR(I1378="ILF",I1378="EIF"),0,""),LEN(W1378)-LEN(SUBSTITUTE(W1378,"、",""))+1))</f>
        <v/>
      </c>
      <c r="N1378" s="83">
        <f>IF(OR(X1378="估算法",X1378="算法类",X1378="无法识别"),"",IF(X1378="",IF(OR(I1378="ILF",I1378="EIF",I1378="EI",I1378="EO",I1378="EQ"),0,""),LEN(X1378)-LEN(SUBSTITUTE(SUBSTITUTE(SUBSTITUTE(SUBSTITUTE(SUBSTITUTE(X1378,"|}","--"),"{|","--"),CHAR(10),""),"、",""),"|",""))+IF(AND(OR(I1378="EI",I1378="EO",I1378="EQ"),$AD$1="NESMA"),2,1)))</f>
        <v/>
      </c>
      <c r="O1378" s="84">
        <f>IF(I1378="EI",IF(OR(X1378="估算法",X1378="算法类"),"中",IF(X1378="无法识别","低",IF(L1378&lt;2,IF(N1378&lt;16,"低","中"),IF(L1378&lt;3,IF(N1378&lt;5,"低",IF(N1378&lt;16,"中","高")),IF(N1378&lt;5,"中","高"))))),IF(OR(I1378="EO",I1378="EQ"),IF(OR(X1378="估算法",X1378="算法类"),"中",IF(X1378="无法识别","低",IF(L1378&lt;2,IF(N1378&lt;20,"低","中"),IF(L1378&lt;4,IF(N1378&lt;6,"低",IF(N1378&lt;20,"中","高")),IF(N1378&lt;6,"中","高"))))),IF(OR(I1378="ILF",I1378="EIF"),IF(OR(X1378="估算法",X1378="算法类",X1378="无法识别"),"低",IF(M1378&lt;2,IF(N1378&lt;51,"低","中"),IF(M1378&lt;6,IF(N1378&lt;20,"低",IF(N1378&lt;51,"中","高")),IF(N1378&lt;20,"中","高")))),"不计算")))</f>
        <v/>
      </c>
      <c r="P1378" s="142">
        <f>IFERROR(IF(I1378="EI",IF(O1378="低",3,IF(O1378="中",4,6)),IF(I1378="EO",IF(O1378="低",4,IF(O1378="中",5,7)),IF(I1378="EQ",IF(O1378="低",3,IF(O1378="中",4,6)),IF(I1378="ILF",IF(O1378="低",7,IF(O1378="中",10,15)),IF(I1378="EIF",IF(O1378="低",5,IF(O1378="中",7,10)),"不计算")))))*Q1378,"不计算")</f>
        <v/>
      </c>
      <c r="Q1378" s="142" t="n">
        <v>1</v>
      </c>
      <c r="R1378" s="143">
        <f>调整因子!$F$13</f>
        <v/>
      </c>
      <c r="S1378" s="70" t="n">
        <v>1</v>
      </c>
      <c r="T1378" s="144">
        <f>IFERROR(P1378*R1378,0)</f>
        <v/>
      </c>
      <c r="U1378" s="145">
        <f>T1378*S1378</f>
        <v/>
      </c>
      <c r="V1378" s="96" t="inlineStr">
        <is>
          <t>数据清洗任务表</t>
        </is>
      </c>
      <c r="W1378" s="96" t="inlineStr"/>
      <c r="X1378" s="111" t="inlineStr">
        <is>
          <t>数据清洗任务表{任务ID、任务名称|任务ID、任务名称、任务类型、任务状态、创建时间、执行时间}</t>
        </is>
      </c>
      <c r="Y1378" s="88" t="n"/>
      <c r="Z1378" s="88" t="n"/>
    </row>
    <row r="1379" hidden="1" ht="21.6" customHeight="1">
      <c r="A1379" s="69">
        <f>ROW()-1</f>
        <v/>
      </c>
      <c r="B1379" s="53" t="n"/>
      <c r="C1379" s="117" t="n">
        <v>2026</v>
      </c>
      <c r="E1379" s="53" t="n"/>
      <c r="F1379" s="53" t="n"/>
      <c r="G1379" s="53" t="n"/>
      <c r="H1379" s="96" t="inlineStr">
        <is>
          <t>查询复测任务列表</t>
        </is>
      </c>
      <c r="I1379" s="76" t="inlineStr">
        <is>
          <t>EO</t>
        </is>
      </c>
      <c r="J1379" s="95" t="n"/>
      <c r="K1379" s="95" t="n"/>
      <c r="L1379" s="83">
        <f>IF(OR(X1379="估算法",X1379="算法类",X1379="无法识别"),"",IF(V1379="",IF(OR(I1379="EI",I1379="EO",I1379="EQ"),0,""),LEN(V1379)-LEN(SUBSTITUTE(V1379,"、",""))+1))</f>
        <v/>
      </c>
      <c r="M1379" s="83">
        <f>IF(OR(X1379="估算法",X1379="算法类",X1379="无法识别"),"",IF(W1379="",IF(OR(I1379="ILF",I1379="EIF"),0,""),LEN(W1379)-LEN(SUBSTITUTE(W1379,"、",""))+1))</f>
        <v/>
      </c>
      <c r="N1379" s="83">
        <f>IF(OR(X1379="估算法",X1379="算法类",X1379="无法识别"),"",IF(X1379="",IF(OR(I1379="ILF",I1379="EIF",I1379="EI",I1379="EO",I1379="EQ"),0,""),LEN(X1379)-LEN(SUBSTITUTE(SUBSTITUTE(SUBSTITUTE(SUBSTITUTE(SUBSTITUTE(X1379,"|}","--"),"{|","--"),CHAR(10),""),"、",""),"|",""))+IF(AND(OR(I1379="EI",I1379="EO",I1379="EQ"),$AD$1="NESMA"),2,1)))</f>
        <v/>
      </c>
      <c r="O1379" s="84">
        <f>IF(I1379="EI",IF(OR(X1379="估算法",X1379="算法类"),"中",IF(X1379="无法识别","低",IF(L1379&lt;2,IF(N1379&lt;16,"低","中"),IF(L1379&lt;3,IF(N1379&lt;5,"低",IF(N1379&lt;16,"中","高")),IF(N1379&lt;5,"中","高"))))),IF(OR(I1379="EO",I1379="EQ"),IF(OR(X1379="估算法",X1379="算法类"),"中",IF(X1379="无法识别","低",IF(L1379&lt;2,IF(N1379&lt;20,"低","中"),IF(L1379&lt;4,IF(N1379&lt;6,"低",IF(N1379&lt;20,"中","高")),IF(N1379&lt;6,"中","高"))))),IF(OR(I1379="ILF",I1379="EIF"),IF(OR(X1379="估算法",X1379="算法类",X1379="无法识别"),"低",IF(M1379&lt;2,IF(N1379&lt;51,"低","中"),IF(M1379&lt;6,IF(N1379&lt;20,"低",IF(N1379&lt;51,"中","高")),IF(N1379&lt;20,"中","高")))),"不计算")))</f>
        <v/>
      </c>
      <c r="P1379" s="142">
        <f>IFERROR(IF(I1379="EI",IF(O1379="低",3,IF(O1379="中",4,6)),IF(I1379="EO",IF(O1379="低",4,IF(O1379="中",5,7)),IF(I1379="EQ",IF(O1379="低",3,IF(O1379="中",4,6)),IF(I1379="ILF",IF(O1379="低",7,IF(O1379="中",10,15)),IF(I1379="EIF",IF(O1379="低",5,IF(O1379="中",7,10)),"不计算")))))*Q1379,"不计算")</f>
        <v/>
      </c>
      <c r="Q1379" s="142" t="n">
        <v>1</v>
      </c>
      <c r="R1379" s="143">
        <f>调整因子!$F$13</f>
        <v/>
      </c>
      <c r="S1379" s="70" t="n">
        <v>1</v>
      </c>
      <c r="T1379" s="144">
        <f>IFERROR(P1379*R1379,0)</f>
        <v/>
      </c>
      <c r="U1379" s="145">
        <f>T1379*S1379</f>
        <v/>
      </c>
      <c r="V1379" s="96" t="inlineStr">
        <is>
          <t>数据清洗任务表</t>
        </is>
      </c>
      <c r="W1379" s="96" t="inlineStr"/>
      <c r="X1379" s="111" t="inlineStr">
        <is>
          <t>数据清洗任务表{任务ID、任务名称|任务ID、任务名称、任务类型、任务状态、创建时间、执行时间}</t>
        </is>
      </c>
      <c r="Y1379" s="88" t="n"/>
      <c r="Z1379" s="88" t="n"/>
    </row>
    <row r="1380" hidden="1" ht="43.2" customHeight="1">
      <c r="A1380" s="69">
        <f>ROW()-1</f>
        <v/>
      </c>
      <c r="B1380" s="53" t="n"/>
      <c r="C1380" s="117" t="n">
        <v>2026</v>
      </c>
      <c r="E1380" s="53" t="n"/>
      <c r="F1380" s="53" t="n"/>
      <c r="G1380" s="54" t="n"/>
      <c r="H1380" s="96" t="inlineStr">
        <is>
          <t>查看复测任务详情</t>
        </is>
      </c>
      <c r="I1380" s="76" t="inlineStr">
        <is>
          <t>EQ</t>
        </is>
      </c>
      <c r="J1380" s="95" t="n"/>
      <c r="K1380" s="95" t="n"/>
      <c r="L1380" s="83">
        <f>IF(OR(X1380="估算法",X1380="算法类",X1380="无法识别"),"",IF(V1380="",IF(OR(I1380="EI",I1380="EO",I1380="EQ"),0,""),LEN(V1380)-LEN(SUBSTITUTE(V1380,"、",""))+1))</f>
        <v/>
      </c>
      <c r="M1380" s="83">
        <f>IF(OR(X1380="估算法",X1380="算法类",X1380="无法识别"),"",IF(W1380="",IF(OR(I1380="ILF",I1380="EIF"),0,""),LEN(W1380)-LEN(SUBSTITUTE(W1380,"、",""))+1))</f>
        <v/>
      </c>
      <c r="N1380" s="83">
        <f>IF(OR(X1380="估算法",X1380="算法类",X1380="无法识别"),"",IF(X1380="",IF(OR(I1380="ILF",I1380="EIF",I1380="EI",I1380="EO",I1380="EQ"),0,""),LEN(X1380)-LEN(SUBSTITUTE(SUBSTITUTE(SUBSTITUTE(SUBSTITUTE(SUBSTITUTE(X1380,"|}","--"),"{|","--"),CHAR(10),""),"、",""),"|",""))+IF(AND(OR(I1380="EI",I1380="EO",I1380="EQ"),$AD$1="NESMA"),2,1)))</f>
        <v/>
      </c>
      <c r="O1380" s="84">
        <f>IF(I1380="EI",IF(OR(X1380="估算法",X1380="算法类"),"中",IF(X1380="无法识别","低",IF(L1380&lt;2,IF(N1380&lt;16,"低","中"),IF(L1380&lt;3,IF(N1380&lt;5,"低",IF(N1380&lt;16,"中","高")),IF(N1380&lt;5,"中","高"))))),IF(OR(I1380="EO",I1380="EQ"),IF(OR(X1380="估算法",X1380="算法类"),"中",IF(X1380="无法识别","低",IF(L1380&lt;2,IF(N1380&lt;20,"低","中"),IF(L1380&lt;4,IF(N1380&lt;6,"低",IF(N1380&lt;20,"中","高")),IF(N1380&lt;6,"中","高"))))),IF(OR(I1380="ILF",I1380="EIF"),IF(OR(X1380="估算法",X1380="算法类",X1380="无法识别"),"低",IF(M1380&lt;2,IF(N1380&lt;51,"低","中"),IF(M1380&lt;6,IF(N1380&lt;20,"低",IF(N1380&lt;51,"中","高")),IF(N1380&lt;20,"中","高")))),"不计算")))</f>
        <v/>
      </c>
      <c r="P1380" s="142">
        <f>IFERROR(IF(I1380="EI",IF(O1380="低",3,IF(O1380="中",4,6)),IF(I1380="EO",IF(O1380="低",4,IF(O1380="中",5,7)),IF(I1380="EQ",IF(O1380="低",3,IF(O1380="中",4,6)),IF(I1380="ILF",IF(O1380="低",7,IF(O1380="中",10,15)),IF(I1380="EIF",IF(O1380="低",5,IF(O1380="中",7,10)),"不计算")))))*Q1380,"不计算")</f>
        <v/>
      </c>
      <c r="Q1380" s="142" t="n">
        <v>1</v>
      </c>
      <c r="R1380" s="143">
        <f>调整因子!$F$13</f>
        <v/>
      </c>
      <c r="S1380" s="76" t="n">
        <v>1</v>
      </c>
      <c r="T1380" s="144">
        <f>IFERROR(P1380*R1380,0)</f>
        <v/>
      </c>
      <c r="U1380" s="145">
        <f>T1380*S1380</f>
        <v/>
      </c>
      <c r="V1380" s="96" t="inlineStr">
        <is>
          <t>数据清洗任务表、资产同步任务表</t>
        </is>
      </c>
      <c r="W1380" s="96" t="inlineStr"/>
      <c r="X1380" s="111" t="inlineStr">
        <is>
          <t>数据清洗任务表{任务ID、任务名称|任务ID、任务名称、任务类型、任务状态、创建时间、执行时间}
资产同步任务表{资产ID、资产名称|资产ID、资产名称、IP地址、资产类型、资产状态、创建时间、更新时间}</t>
        </is>
      </c>
      <c r="Y1380" s="88" t="n"/>
      <c r="Z1380" s="88" t="n"/>
    </row>
    <row r="1381" hidden="1">
      <c r="A1381" s="69">
        <f>ROW()-1</f>
        <v/>
      </c>
      <c r="B1381" s="53" t="n"/>
      <c r="C1381" s="117" t="n">
        <v>2026</v>
      </c>
      <c r="E1381" s="53" t="n"/>
      <c r="F1381" s="53" t="n"/>
      <c r="G1381" s="111" t="inlineStr">
        <is>
          <t>复测结果管理</t>
        </is>
      </c>
      <c r="H1381" s="96" t="inlineStr">
        <is>
          <t>导出复测结果</t>
        </is>
      </c>
      <c r="I1381" s="76" t="inlineStr">
        <is>
          <t>EO</t>
        </is>
      </c>
      <c r="J1381" s="95" t="n"/>
      <c r="K1381" s="95" t="n"/>
      <c r="L1381" s="83">
        <f>IF(OR(X1381="估算法",X1381="算法类",X1381="无法识别"),"",IF(V1381="",IF(OR(I1381="EI",I1381="EO",I1381="EQ"),0,""),LEN(V1381)-LEN(SUBSTITUTE(V1381,"、",""))+1))</f>
        <v/>
      </c>
      <c r="M1381" s="83">
        <f>IF(OR(X1381="估算法",X1381="算法类",X1381="无法识别"),"",IF(W1381="",IF(OR(I1381="ILF",I1381="EIF"),0,""),LEN(W1381)-LEN(SUBSTITUTE(W1381,"、",""))+1))</f>
        <v/>
      </c>
      <c r="N1381" s="83">
        <f>IF(OR(X1381="估算法",X1381="算法类",X1381="无法识别"),"",IF(X1381="",IF(OR(I1381="ILF",I1381="EIF",I1381="EI",I1381="EO",I1381="EQ"),0,""),LEN(X1381)-LEN(SUBSTITUTE(SUBSTITUTE(SUBSTITUTE(SUBSTITUTE(SUBSTITUTE(X1381,"|}","--"),"{|","--"),CHAR(10),""),"、",""),"|",""))+IF(AND(OR(I1381="EI",I1381="EO",I1381="EQ"),$AD$1="NESMA"),2,1)))</f>
        <v/>
      </c>
      <c r="O1381" s="84">
        <f>IF(I1381="EI",IF(OR(X1381="估算法",X1381="算法类"),"中",IF(X1381="无法识别","低",IF(L1381&lt;2,IF(N1381&lt;16,"低","中"),IF(L1381&lt;3,IF(N1381&lt;5,"低",IF(N1381&lt;16,"中","高")),IF(N1381&lt;5,"中","高"))))),IF(OR(I1381="EO",I1381="EQ"),IF(OR(X1381="估算法",X1381="算法类"),"中",IF(X1381="无法识别","低",IF(L1381&lt;2,IF(N1381&lt;20,"低","中"),IF(L1381&lt;4,IF(N1381&lt;6,"低",IF(N1381&lt;20,"中","高")),IF(N1381&lt;6,"中","高"))))),IF(OR(I1381="ILF",I1381="EIF"),IF(OR(X1381="估算法",X1381="算法类",X1381="无法识别"),"低",IF(M1381&lt;2,IF(N1381&lt;51,"低","中"),IF(M1381&lt;6,IF(N1381&lt;20,"低",IF(N1381&lt;51,"中","高")),IF(N1381&lt;20,"中","高")))),"不计算")))</f>
        <v/>
      </c>
      <c r="P1381" s="142">
        <f>IFERROR(IF(I1381="EI",IF(O1381="低",3,IF(O1381="中",4,6)),IF(I1381="EO",IF(O1381="低",4,IF(O1381="中",5,7)),IF(I1381="EQ",IF(O1381="低",3,IF(O1381="中",4,6)),IF(I1381="ILF",IF(O1381="低",7,IF(O1381="中",10,15)),IF(I1381="EIF",IF(O1381="低",5,IF(O1381="中",7,10)),"不计算")))))*Q1381,"不计算")</f>
        <v/>
      </c>
      <c r="Q1381" s="142" t="n">
        <v>1</v>
      </c>
      <c r="R1381" s="143">
        <f>调整因子!$F$13</f>
        <v/>
      </c>
      <c r="S1381" s="70" t="n">
        <v>1</v>
      </c>
      <c r="T1381" s="144">
        <f>IFERROR(P1381*R1381,0)</f>
        <v/>
      </c>
      <c r="U1381" s="145">
        <f>T1381*S1381</f>
        <v/>
      </c>
      <c r="V1381" s="96" t="inlineStr">
        <is>
          <t>修复步骤表</t>
        </is>
      </c>
      <c r="W1381" s="96" t="inlineStr"/>
      <c r="X1381" s="111" t="inlineStr">
        <is>
          <t>修复步骤表{ID、名称|ID、名称、类型、状态、创建时间、更新时间}</t>
        </is>
      </c>
      <c r="Y1381" s="88" t="n"/>
      <c r="Z1381" s="88" t="n"/>
    </row>
    <row r="1382" hidden="1" ht="21.6" customHeight="1">
      <c r="A1382" s="69">
        <f>ROW()-1</f>
        <v/>
      </c>
      <c r="B1382" s="53" t="n"/>
      <c r="C1382" s="117" t="n">
        <v>2026</v>
      </c>
      <c r="E1382" s="53" t="n"/>
      <c r="F1382" s="53" t="n"/>
      <c r="G1382" s="53" t="n"/>
      <c r="H1382" s="96" t="inlineStr">
        <is>
          <t>下载复测报告</t>
        </is>
      </c>
      <c r="I1382" s="76" t="inlineStr">
        <is>
          <t>EO</t>
        </is>
      </c>
      <c r="J1382" s="95" t="n"/>
      <c r="K1382" s="95" t="n"/>
      <c r="L1382" s="83">
        <f>IF(OR(X1382="估算法",X1382="算法类",X1382="无法识别"),"",IF(V1382="",IF(OR(I1382="EI",I1382="EO",I1382="EQ"),0,""),LEN(V1382)-LEN(SUBSTITUTE(V1382,"、",""))+1))</f>
        <v/>
      </c>
      <c r="M1382" s="83">
        <f>IF(OR(X1382="估算法",X1382="算法类",X1382="无法识别"),"",IF(W1382="",IF(OR(I1382="ILF",I1382="EIF"),0,""),LEN(W1382)-LEN(SUBSTITUTE(W1382,"、",""))+1))</f>
        <v/>
      </c>
      <c r="N1382" s="83">
        <f>IF(OR(X1382="估算法",X1382="算法类",X1382="无法识别"),"",IF(X1382="",IF(OR(I1382="ILF",I1382="EIF",I1382="EI",I1382="EO",I1382="EQ"),0,""),LEN(X1382)-LEN(SUBSTITUTE(SUBSTITUTE(SUBSTITUTE(SUBSTITUTE(SUBSTITUTE(X1382,"|}","--"),"{|","--"),CHAR(10),""),"、",""),"|",""))+IF(AND(OR(I1382="EI",I1382="EO",I1382="EQ"),$AD$1="NESMA"),2,1)))</f>
        <v/>
      </c>
      <c r="O1382" s="84">
        <f>IF(I1382="EI",IF(OR(X1382="估算法",X1382="算法类"),"中",IF(X1382="无法识别","低",IF(L1382&lt;2,IF(N1382&lt;16,"低","中"),IF(L1382&lt;3,IF(N1382&lt;5,"低",IF(N1382&lt;16,"中","高")),IF(N1382&lt;5,"中","高"))))),IF(OR(I1382="EO",I1382="EQ"),IF(OR(X1382="估算法",X1382="算法类"),"中",IF(X1382="无法识别","低",IF(L1382&lt;2,IF(N1382&lt;20,"低","中"),IF(L1382&lt;4,IF(N1382&lt;6,"低",IF(N1382&lt;20,"中","高")),IF(N1382&lt;6,"中","高"))))),IF(OR(I1382="ILF",I1382="EIF"),IF(OR(X1382="估算法",X1382="算法类",X1382="无法识别"),"低",IF(M1382&lt;2,IF(N1382&lt;51,"低","中"),IF(M1382&lt;6,IF(N1382&lt;20,"低",IF(N1382&lt;51,"中","高")),IF(N1382&lt;20,"中","高")))),"不计算")))</f>
        <v/>
      </c>
      <c r="P1382" s="142">
        <f>IFERROR(IF(I1382="EI",IF(O1382="低",3,IF(O1382="中",4,6)),IF(I1382="EO",IF(O1382="低",4,IF(O1382="中",5,7)),IF(I1382="EQ",IF(O1382="低",3,IF(O1382="中",4,6)),IF(I1382="ILF",IF(O1382="低",7,IF(O1382="中",10,15)),IF(I1382="EIF",IF(O1382="低",5,IF(O1382="中",7,10)),"不计算")))))*Q1382,"不计算")</f>
        <v/>
      </c>
      <c r="Q1382" s="142" t="n">
        <v>1</v>
      </c>
      <c r="R1382" s="143">
        <f>调整因子!$F$13</f>
        <v/>
      </c>
      <c r="S1382" s="70" t="n">
        <v>1</v>
      </c>
      <c r="T1382" s="144">
        <f>IFERROR(P1382*R1382,0)</f>
        <v/>
      </c>
      <c r="U1382" s="145">
        <f>T1382*S1382</f>
        <v/>
      </c>
      <c r="V1382" s="96" t="inlineStr">
        <is>
          <t>资产查询接口配置表</t>
        </is>
      </c>
      <c r="W1382" s="96" t="inlineStr"/>
      <c r="X1382" s="111" t="inlineStr">
        <is>
          <t>资产查询接口配置表{资产ID、资产名称|资产ID、资产名称、IP地址、资产类型、资产状态、创建时间、更新时间}</t>
        </is>
      </c>
      <c r="Y1382" s="88" t="n"/>
      <c r="Z1382" s="88" t="n"/>
    </row>
    <row r="1383" hidden="1" ht="32.4" customHeight="1">
      <c r="A1383" s="69">
        <f>ROW()-1</f>
        <v/>
      </c>
      <c r="B1383" s="53" t="n"/>
      <c r="C1383" s="117" t="n">
        <v>2026</v>
      </c>
      <c r="E1383" s="53" t="n"/>
      <c r="F1383" s="53" t="n"/>
      <c r="G1383" s="53" t="n"/>
      <c r="H1383" s="96" t="inlineStr">
        <is>
          <t>查询复测结果</t>
        </is>
      </c>
      <c r="I1383" s="76" t="inlineStr">
        <is>
          <t>EQ</t>
        </is>
      </c>
      <c r="J1383" s="95" t="n"/>
      <c r="K1383" s="95" t="n"/>
      <c r="L1383" s="83">
        <f>IF(OR(X1383="估算法",X1383="算法类",X1383="无法识别"),"",IF(V1383="",IF(OR(I1383="EI",I1383="EO",I1383="EQ"),0,""),LEN(V1383)-LEN(SUBSTITUTE(V1383,"、",""))+1))</f>
        <v/>
      </c>
      <c r="M1383" s="83">
        <f>IF(OR(X1383="估算法",X1383="算法类",X1383="无法识别"),"",IF(W1383="",IF(OR(I1383="ILF",I1383="EIF"),0,""),LEN(W1383)-LEN(SUBSTITUTE(W1383,"、",""))+1))</f>
        <v/>
      </c>
      <c r="N1383" s="83">
        <f>IF(OR(X1383="估算法",X1383="算法类",X1383="无法识别"),"",IF(X1383="",IF(OR(I1383="ILF",I1383="EIF",I1383="EI",I1383="EO",I1383="EQ"),0,""),LEN(X1383)-LEN(SUBSTITUTE(SUBSTITUTE(SUBSTITUTE(SUBSTITUTE(SUBSTITUTE(X1383,"|}","--"),"{|","--"),CHAR(10),""),"、",""),"|",""))+IF(AND(OR(I1383="EI",I1383="EO",I1383="EQ"),$AD$1="NESMA"),2,1)))</f>
        <v/>
      </c>
      <c r="O1383" s="84">
        <f>IF(I1383="EI",IF(OR(X1383="估算法",X1383="算法类"),"中",IF(X1383="无法识别","低",IF(L1383&lt;2,IF(N1383&lt;16,"低","中"),IF(L1383&lt;3,IF(N1383&lt;5,"低",IF(N1383&lt;16,"中","高")),IF(N1383&lt;5,"中","高"))))),IF(OR(I1383="EO",I1383="EQ"),IF(OR(X1383="估算法",X1383="算法类"),"中",IF(X1383="无法识别","低",IF(L1383&lt;2,IF(N1383&lt;20,"低","中"),IF(L1383&lt;4,IF(N1383&lt;6,"低",IF(N1383&lt;20,"中","高")),IF(N1383&lt;6,"中","高"))))),IF(OR(I1383="ILF",I1383="EIF"),IF(OR(X1383="估算法",X1383="算法类",X1383="无法识别"),"低",IF(M1383&lt;2,IF(N1383&lt;51,"低","中"),IF(M1383&lt;6,IF(N1383&lt;20,"低",IF(N1383&lt;51,"中","高")),IF(N1383&lt;20,"中","高")))),"不计算")))</f>
        <v/>
      </c>
      <c r="P1383" s="142">
        <f>IFERROR(IF(I1383="EI",IF(O1383="低",3,IF(O1383="中",4,6)),IF(I1383="EO",IF(O1383="低",4,IF(O1383="中",5,7)),IF(I1383="EQ",IF(O1383="低",3,IF(O1383="中",4,6)),IF(I1383="ILF",IF(O1383="低",7,IF(O1383="中",10,15)),IF(I1383="EIF",IF(O1383="低",5,IF(O1383="中",7,10)),"不计算")))))*Q1383,"不计算")</f>
        <v/>
      </c>
      <c r="Q1383" s="142" t="n">
        <v>1</v>
      </c>
      <c r="R1383" s="143">
        <f>调整因子!$F$13</f>
        <v/>
      </c>
      <c r="S1383" s="76" t="n">
        <v>1</v>
      </c>
      <c r="T1383" s="144">
        <f>IFERROR(P1383*R1383,0)</f>
        <v/>
      </c>
      <c r="U1383" s="145">
        <f>T1383*S1383</f>
        <v/>
      </c>
      <c r="V1383" s="96" t="inlineStr">
        <is>
          <t>扫描任务接口配置表、处置流程定义表</t>
        </is>
      </c>
      <c r="W1383" s="96" t="inlineStr"/>
      <c r="X1383" s="111" t="inlineStr">
        <is>
          <t>扫描任务接口配置表{任务ID、任务名称|任务ID、任务名称、任务状态、扫描器类型、开始时间、结束时间、扫描结果}
处置流程定义表{ID、名称|ID、名称、类型、状态、创建时间、更新时间}</t>
        </is>
      </c>
      <c r="Y1383" s="88" t="n"/>
      <c r="Z1383" s="88" t="n"/>
    </row>
    <row r="1384" hidden="1" ht="32.4" customHeight="1">
      <c r="A1384" s="69">
        <f>ROW()-1</f>
        <v/>
      </c>
      <c r="B1384" s="53" t="n"/>
      <c r="C1384" s="117" t="n">
        <v>2026</v>
      </c>
      <c r="E1384" s="53" t="n"/>
      <c r="F1384" s="54" t="n"/>
      <c r="G1384" s="54" t="n"/>
      <c r="H1384" s="96" t="inlineStr">
        <is>
          <t>查看复测详情</t>
        </is>
      </c>
      <c r="I1384" s="76" t="inlineStr">
        <is>
          <t>EQ</t>
        </is>
      </c>
      <c r="J1384" s="95" t="n"/>
      <c r="K1384" s="95" t="n"/>
      <c r="L1384" s="83">
        <f>IF(OR(X1384="估算法",X1384="算法类",X1384="无法识别"),"",IF(V1384="",IF(OR(I1384="EI",I1384="EO",I1384="EQ"),0,""),LEN(V1384)-LEN(SUBSTITUTE(V1384,"、",""))+1))</f>
        <v/>
      </c>
      <c r="M1384" s="83">
        <f>IF(OR(X1384="估算法",X1384="算法类",X1384="无法识别"),"",IF(W1384="",IF(OR(I1384="ILF",I1384="EIF"),0,""),LEN(W1384)-LEN(SUBSTITUTE(W1384,"、",""))+1))</f>
        <v/>
      </c>
      <c r="N1384" s="83">
        <f>IF(OR(X1384="估算法",X1384="算法类",X1384="无法识别"),"",IF(X1384="",IF(OR(I1384="ILF",I1384="EIF",I1384="EI",I1384="EO",I1384="EQ"),0,""),LEN(X1384)-LEN(SUBSTITUTE(SUBSTITUTE(SUBSTITUTE(SUBSTITUTE(SUBSTITUTE(X1384,"|}","--"),"{|","--"),CHAR(10),""),"、",""),"|",""))+IF(AND(OR(I1384="EI",I1384="EO",I1384="EQ"),$AD$1="NESMA"),2,1)))</f>
        <v/>
      </c>
      <c r="O1384" s="84">
        <f>IF(I1384="EI",IF(OR(X1384="估算法",X1384="算法类"),"中",IF(X1384="无法识别","低",IF(L1384&lt;2,IF(N1384&lt;16,"低","中"),IF(L1384&lt;3,IF(N1384&lt;5,"低",IF(N1384&lt;16,"中","高")),IF(N1384&lt;5,"中","高"))))),IF(OR(I1384="EO",I1384="EQ"),IF(OR(X1384="估算法",X1384="算法类"),"中",IF(X1384="无法识别","低",IF(L1384&lt;2,IF(N1384&lt;20,"低","中"),IF(L1384&lt;4,IF(N1384&lt;6,"低",IF(N1384&lt;20,"中","高")),IF(N1384&lt;6,"中","高"))))),IF(OR(I1384="ILF",I1384="EIF"),IF(OR(X1384="估算法",X1384="算法类",X1384="无法识别"),"低",IF(M1384&lt;2,IF(N1384&lt;51,"低","中"),IF(M1384&lt;6,IF(N1384&lt;20,"低",IF(N1384&lt;51,"中","高")),IF(N1384&lt;20,"中","高")))),"不计算")))</f>
        <v/>
      </c>
      <c r="P1384" s="142">
        <f>IFERROR(IF(I1384="EI",IF(O1384="低",3,IF(O1384="中",4,6)),IF(I1384="EO",IF(O1384="低",4,IF(O1384="中",5,7)),IF(I1384="EQ",IF(O1384="低",3,IF(O1384="中",4,6)),IF(I1384="ILF",IF(O1384="低",7,IF(O1384="中",10,15)),IF(I1384="EIF",IF(O1384="低",5,IF(O1384="中",7,10)),"不计算")))))*Q1384,"不计算")</f>
        <v/>
      </c>
      <c r="Q1384" s="142" t="n">
        <v>1</v>
      </c>
      <c r="R1384" s="143">
        <f>调整因子!$F$13</f>
        <v/>
      </c>
      <c r="S1384" s="76" t="n">
        <v>1</v>
      </c>
      <c r="T1384" s="144">
        <f>IFERROR(P1384*R1384,0)</f>
        <v/>
      </c>
      <c r="U1384" s="145">
        <f>T1384*S1384</f>
        <v/>
      </c>
      <c r="V1384" s="96" t="inlineStr">
        <is>
          <t>推送失败重试表、考核指标配置表</t>
        </is>
      </c>
      <c r="W1384" s="96" t="inlineStr"/>
      <c r="X1384" s="111" t="inlineStr">
        <is>
          <t>推送失败重试表{ID、名称|ID、名称、类型、状态、创建时间、更新时间}
考核指标配置表{配置ID、配置名称|配置ID、配置名称、配置类型、配置值、创建时间}</t>
        </is>
      </c>
      <c r="Y1384" s="88" t="n"/>
      <c r="Z1384" s="88" t="n"/>
    </row>
    <row r="1385" hidden="1">
      <c r="A1385" s="69">
        <f>ROW()-1</f>
        <v/>
      </c>
      <c r="B1385" s="53" t="n"/>
      <c r="C1385" s="117" t="n">
        <v>2026</v>
      </c>
      <c r="E1385" s="53" t="n"/>
      <c r="F1385" s="111" t="inlineStr">
        <is>
          <t>编排模板与策略管理</t>
        </is>
      </c>
      <c r="G1385" s="111" t="inlineStr">
        <is>
          <t>处置流程定义管理</t>
        </is>
      </c>
      <c r="H1385" s="96" t="inlineStr">
        <is>
          <t>处置流程定义表</t>
        </is>
      </c>
      <c r="I1385" s="76" t="inlineStr">
        <is>
          <t>ILF</t>
        </is>
      </c>
      <c r="J1385" s="95" t="n"/>
      <c r="K1385" s="95" t="n"/>
      <c r="L1385" s="83">
        <f>IF(OR(X1385="估算法",X1385="算法类",X1385="无法识别"),"",IF(V1385="",IF(OR(I1385="EI",I1385="EO",I1385="EQ"),0,""),LEN(V1385)-LEN(SUBSTITUTE(V1385,"、",""))+1))</f>
        <v/>
      </c>
      <c r="M1385" s="83">
        <f>IF(OR(X1385="估算法",X1385="算法类",X1385="无法识别"),"",IF(W1385="",IF(OR(I1385="ILF",I1385="EIF"),0,""),LEN(W1385)-LEN(SUBSTITUTE(W1385,"、",""))+1))</f>
        <v/>
      </c>
      <c r="N1385" s="83">
        <f>IF(OR(X1385="估算法",X1385="算法类",X1385="无法识别"),"",IF(X1385="",IF(OR(I1385="ILF",I1385="EIF",I1385="EI",I1385="EO",I1385="EQ"),0,""),LEN(X1385)-LEN(SUBSTITUTE(SUBSTITUTE(SUBSTITUTE(SUBSTITUTE(SUBSTITUTE(X1385,"|}","--"),"{|","--"),CHAR(10),""),"、",""),"|",""))+IF(AND(OR(I1385="EI",I1385="EO",I1385="EQ"),$AD$1="NESMA"),2,1)))</f>
        <v/>
      </c>
      <c r="O1385" s="84">
        <f>IF(I1385="EI",IF(OR(X1385="估算法",X1385="算法类"),"中",IF(X1385="无法识别","低",IF(L1385&lt;2,IF(N1385&lt;16,"低","中"),IF(L1385&lt;3,IF(N1385&lt;5,"低",IF(N1385&lt;16,"中","高")),IF(N1385&lt;5,"中","高"))))),IF(OR(I1385="EO",I1385="EQ"),IF(OR(X1385="估算法",X1385="算法类"),"中",IF(X1385="无法识别","低",IF(L1385&lt;2,IF(N1385&lt;20,"低","中"),IF(L1385&lt;4,IF(N1385&lt;6,"低",IF(N1385&lt;20,"中","高")),IF(N1385&lt;6,"中","高"))))),IF(OR(I1385="ILF",I1385="EIF"),IF(OR(X1385="估算法",X1385="算法类",X1385="无法识别"),"低",IF(M1385&lt;2,IF(N1385&lt;51,"低","中"),IF(M1385&lt;6,IF(N1385&lt;20,"低",IF(N1385&lt;51,"中","高")),IF(N1385&lt;20,"中","高")))),"不计算")))</f>
        <v/>
      </c>
      <c r="P1385" s="142">
        <f>IFERROR(IF(I1385="EI",IF(O1385="低",3,IF(O1385="中",4,6)),IF(I1385="EO",IF(O1385="低",4,IF(O1385="中",5,7)),IF(I1385="EQ",IF(O1385="低",3,IF(O1385="中",4,6)),IF(I1385="ILF",IF(O1385="低",7,IF(O1385="中",10,15)),IF(I1385="EIF",IF(O1385="低",5,IF(O1385="中",7,10)),"不计算")))))*Q1385,"不计算")</f>
        <v/>
      </c>
      <c r="Q1385" s="142" t="n">
        <v>1</v>
      </c>
      <c r="R1385" s="143">
        <f>调整因子!$F$13</f>
        <v/>
      </c>
      <c r="S1385" s="70" t="n">
        <v>1</v>
      </c>
      <c r="T1385" s="144">
        <f>IFERROR(P1385*R1385,0)</f>
        <v/>
      </c>
      <c r="U1385" s="145">
        <f>T1385*S1385</f>
        <v/>
      </c>
      <c r="V1385" s="96" t="inlineStr"/>
      <c r="W1385" s="96" t="inlineStr">
        <is>
          <t>数据记录</t>
        </is>
      </c>
      <c r="X1385" s="111" t="inlineStr">
        <is>
          <t>处置流程定义表{ID、名称、类型|ID、名称、类型、状态、创建时间、更新时间}</t>
        </is>
      </c>
      <c r="Y1385" s="88">
        <f>IF(COUNTIFS(V:V,"*"&amp;H1385&amp;"*")&gt;0,"存在","不存在")</f>
        <v/>
      </c>
      <c r="Z1385" s="88">
        <f>IF(COUNTIFS(AA:AA,"*"&amp;H1385&amp;"*")&gt;0,"存在","不存在")</f>
        <v/>
      </c>
    </row>
    <row r="1386" hidden="1" ht="43.2" customHeight="1">
      <c r="A1386" s="69">
        <f>ROW()-1</f>
        <v/>
      </c>
      <c r="B1386" s="53" t="n"/>
      <c r="C1386" s="117" t="n">
        <v>2026</v>
      </c>
      <c r="E1386" s="53" t="n"/>
      <c r="F1386" s="53" t="n"/>
      <c r="G1386" s="53" t="n"/>
      <c r="H1386" s="96" t="inlineStr">
        <is>
          <t>编辑处置流程</t>
        </is>
      </c>
      <c r="I1386" s="76" t="inlineStr">
        <is>
          <t>EI</t>
        </is>
      </c>
      <c r="J1386" s="95" t="n"/>
      <c r="K1386" s="95" t="n"/>
      <c r="L1386" s="83">
        <f>IF(OR(X1386="估算法",X1386="算法类",X1386="无法识别"),"",IF(V1386="",IF(OR(I1386="EI",I1386="EO",I1386="EQ"),0,""),LEN(V1386)-LEN(SUBSTITUTE(V1386,"、",""))+1))</f>
        <v/>
      </c>
      <c r="M1386" s="83">
        <f>IF(OR(X1386="估算法",X1386="算法类",X1386="无法识别"),"",IF(W1386="",IF(OR(I1386="ILF",I1386="EIF"),0,""),LEN(W1386)-LEN(SUBSTITUTE(W1386,"、",""))+1))</f>
        <v/>
      </c>
      <c r="N1386" s="83">
        <f>IF(OR(X1386="估算法",X1386="算法类",X1386="无法识别"),"",IF(X1386="",IF(OR(I1386="ILF",I1386="EIF",I1386="EI",I1386="EO",I1386="EQ"),0,""),LEN(X1386)-LEN(SUBSTITUTE(SUBSTITUTE(SUBSTITUTE(SUBSTITUTE(SUBSTITUTE(X1386,"|}","--"),"{|","--"),CHAR(10),""),"、",""),"|",""))+IF(AND(OR(I1386="EI",I1386="EO",I1386="EQ"),$AD$1="NESMA"),2,1)))</f>
        <v/>
      </c>
      <c r="O1386" s="84">
        <f>IF(I1386="EI",IF(OR(X1386="估算法",X1386="算法类"),"中",IF(X1386="无法识别","低",IF(L1386&lt;2,IF(N1386&lt;16,"低","中"),IF(L1386&lt;3,IF(N1386&lt;5,"低",IF(N1386&lt;16,"中","高")),IF(N1386&lt;5,"中","高"))))),IF(OR(I1386="EO",I1386="EQ"),IF(OR(X1386="估算法",X1386="算法类"),"中",IF(X1386="无法识别","低",IF(L1386&lt;2,IF(N1386&lt;20,"低","中"),IF(L1386&lt;4,IF(N1386&lt;6,"低",IF(N1386&lt;20,"中","高")),IF(N1386&lt;6,"中","高"))))),IF(OR(I1386="ILF",I1386="EIF"),IF(OR(X1386="估算法",X1386="算法类",X1386="无法识别"),"低",IF(M1386&lt;2,IF(N1386&lt;51,"低","中"),IF(M1386&lt;6,IF(N1386&lt;20,"低",IF(N1386&lt;51,"中","高")),IF(N1386&lt;20,"中","高")))),"不计算")))</f>
        <v/>
      </c>
      <c r="P1386" s="142">
        <f>IFERROR(IF(I1386="EI",IF(O1386="低",3,IF(O1386="中",4,6)),IF(I1386="EO",IF(O1386="低",4,IF(O1386="中",5,7)),IF(I1386="EQ",IF(O1386="低",3,IF(O1386="中",4,6)),IF(I1386="ILF",IF(O1386="低",7,IF(O1386="中",10,15)),IF(I1386="EIF",IF(O1386="低",5,IF(O1386="中",7,10)),"不计算")))))*Q1386,"不计算")</f>
        <v/>
      </c>
      <c r="Q1386" s="142" t="n">
        <v>1</v>
      </c>
      <c r="R1386" s="143">
        <f>调整因子!$F$13</f>
        <v/>
      </c>
      <c r="S1386" s="70" t="n">
        <v>1</v>
      </c>
      <c r="T1386" s="144">
        <f>IFERROR(P1386*R1386,0)</f>
        <v/>
      </c>
      <c r="U1386" s="145">
        <f>T1386*S1386</f>
        <v/>
      </c>
      <c r="V1386" s="96" t="inlineStr">
        <is>
          <t>模板配置表、推送配置表</t>
        </is>
      </c>
      <c r="W1386" s="96" t="inlineStr"/>
      <c r="X1386" s="111" t="inlineStr">
        <is>
          <t>模板配置表{配置ID、配置名称、配置类型、配置值、创建时间|配置ID、配置名称、配置类型}
推送配置表{配置ID、配置名称、配置类型、配置值、创建时间|配置ID、配置名称、配置类型}</t>
        </is>
      </c>
      <c r="Y1386" s="88" t="n"/>
      <c r="Z1386" s="88" t="n"/>
    </row>
    <row r="1387" hidden="1">
      <c r="A1387" s="69">
        <f>ROW()-1</f>
        <v/>
      </c>
      <c r="B1387" s="53" t="n"/>
      <c r="C1387" s="117" t="n">
        <v>2026</v>
      </c>
      <c r="E1387" s="53" t="n"/>
      <c r="F1387" s="53" t="n"/>
      <c r="G1387" s="53" t="n"/>
      <c r="H1387" s="96" t="inlineStr">
        <is>
          <t>删除处置流程</t>
        </is>
      </c>
      <c r="I1387" s="76" t="inlineStr">
        <is>
          <t>EI</t>
        </is>
      </c>
      <c r="J1387" s="95" t="n"/>
      <c r="K1387" s="95" t="n"/>
      <c r="L1387" s="83">
        <f>IF(OR(X1387="估算法",X1387="算法类",X1387="无法识别"),"",IF(V1387="",IF(OR(I1387="EI",I1387="EO",I1387="EQ"),0,""),LEN(V1387)-LEN(SUBSTITUTE(V1387,"、",""))+1))</f>
        <v/>
      </c>
      <c r="M1387" s="83">
        <f>IF(OR(X1387="估算法",X1387="算法类",X1387="无法识别"),"",IF(W1387="",IF(OR(I1387="ILF",I1387="EIF"),0,""),LEN(W1387)-LEN(SUBSTITUTE(W1387,"、",""))+1))</f>
        <v/>
      </c>
      <c r="N1387" s="83">
        <f>IF(OR(X1387="估算法",X1387="算法类",X1387="无法识别"),"",IF(X1387="",IF(OR(I1387="ILF",I1387="EIF",I1387="EI",I1387="EO",I1387="EQ"),0,""),LEN(X1387)-LEN(SUBSTITUTE(SUBSTITUTE(SUBSTITUTE(SUBSTITUTE(SUBSTITUTE(X1387,"|}","--"),"{|","--"),CHAR(10),""),"、",""),"|",""))+IF(AND(OR(I1387="EI",I1387="EO",I1387="EQ"),$AD$1="NESMA"),2,1)))</f>
        <v/>
      </c>
      <c r="O1387" s="84">
        <f>IF(I1387="EI",IF(OR(X1387="估算法",X1387="算法类"),"中",IF(X1387="无法识别","低",IF(L1387&lt;2,IF(N1387&lt;16,"低","中"),IF(L1387&lt;3,IF(N1387&lt;5,"低",IF(N1387&lt;16,"中","高")),IF(N1387&lt;5,"中","高"))))),IF(OR(I1387="EO",I1387="EQ"),IF(OR(X1387="估算法",X1387="算法类"),"中",IF(X1387="无法识别","低",IF(L1387&lt;2,IF(N1387&lt;20,"低","中"),IF(L1387&lt;4,IF(N1387&lt;6,"低",IF(N1387&lt;20,"中","高")),IF(N1387&lt;6,"中","高"))))),IF(OR(I1387="ILF",I1387="EIF"),IF(OR(X1387="估算法",X1387="算法类",X1387="无法识别"),"低",IF(M1387&lt;2,IF(N1387&lt;51,"低","中"),IF(M1387&lt;6,IF(N1387&lt;20,"低",IF(N1387&lt;51,"中","高")),IF(N1387&lt;20,"中","高")))),"不计算")))</f>
        <v/>
      </c>
      <c r="P1387" s="142">
        <f>IFERROR(IF(I1387="EI",IF(O1387="低",3,IF(O1387="中",4,6)),IF(I1387="EO",IF(O1387="低",4,IF(O1387="中",5,7)),IF(I1387="EQ",IF(O1387="低",3,IF(O1387="中",4,6)),IF(I1387="ILF",IF(O1387="低",7,IF(O1387="中",10,15)),IF(I1387="EIF",IF(O1387="低",5,IF(O1387="中",7,10)),"不计算")))))*Q1387,"不计算")</f>
        <v/>
      </c>
      <c r="Q1387" s="142" t="n">
        <v>0.333333333333333</v>
      </c>
      <c r="R1387" s="143">
        <f>调整因子!$F$13</f>
        <v/>
      </c>
      <c r="S1387" s="76" t="n">
        <v>1</v>
      </c>
      <c r="T1387" s="144">
        <f>IFERROR(P1387*R1387,0)</f>
        <v/>
      </c>
      <c r="U1387" s="145">
        <f>T1387*S1387</f>
        <v/>
      </c>
      <c r="V1387" s="96" t="inlineStr">
        <is>
          <t>同步失败重试记录表</t>
        </is>
      </c>
      <c r="W1387" s="96" t="inlineStr"/>
      <c r="X1387" s="111" t="inlineStr">
        <is>
          <t>同步失败重试记录表{ID、名称、类型、状态、创建时间、更新时间|ID、名称、类型}</t>
        </is>
      </c>
      <c r="Y1387" s="88" t="n"/>
      <c r="Z1387" s="88" t="n"/>
    </row>
    <row r="1388" hidden="1" ht="21.6" customHeight="1">
      <c r="A1388" s="69">
        <f>ROW()-1</f>
        <v/>
      </c>
      <c r="B1388" s="53" t="n"/>
      <c r="C1388" s="117" t="n">
        <v>2026</v>
      </c>
      <c r="E1388" s="53" t="n"/>
      <c r="F1388" s="53" t="n"/>
      <c r="G1388" s="53" t="n"/>
      <c r="H1388" s="96" t="inlineStr">
        <is>
          <t>启用处置流程</t>
        </is>
      </c>
      <c r="I1388" s="76" t="inlineStr">
        <is>
          <t>EI</t>
        </is>
      </c>
      <c r="J1388" s="95" t="n"/>
      <c r="K1388" s="95" t="n"/>
      <c r="L1388" s="83">
        <f>IF(OR(X1388="估算法",X1388="算法类",X1388="无法识别"),"",IF(V1388="",IF(OR(I1388="EI",I1388="EO",I1388="EQ"),0,""),LEN(V1388)-LEN(SUBSTITUTE(V1388,"、",""))+1))</f>
        <v/>
      </c>
      <c r="M1388" s="83">
        <f>IF(OR(X1388="估算法",X1388="算法类",X1388="无法识别"),"",IF(W1388="",IF(OR(I1388="ILF",I1388="EIF"),0,""),LEN(W1388)-LEN(SUBSTITUTE(W1388,"、",""))+1))</f>
        <v/>
      </c>
      <c r="N1388" s="83">
        <f>IF(OR(X1388="估算法",X1388="算法类",X1388="无法识别"),"",IF(X1388="",IF(OR(I1388="ILF",I1388="EIF",I1388="EI",I1388="EO",I1388="EQ"),0,""),LEN(X1388)-LEN(SUBSTITUTE(SUBSTITUTE(SUBSTITUTE(SUBSTITUTE(SUBSTITUTE(X1388,"|}","--"),"{|","--"),CHAR(10),""),"、",""),"|",""))+IF(AND(OR(I1388="EI",I1388="EO",I1388="EQ"),$AD$1="NESMA"),2,1)))</f>
        <v/>
      </c>
      <c r="O1388" s="84">
        <f>IF(I1388="EI",IF(OR(X1388="估算法",X1388="算法类"),"中",IF(X1388="无法识别","低",IF(L1388&lt;2,IF(N1388&lt;16,"低","中"),IF(L1388&lt;3,IF(N1388&lt;5,"低",IF(N1388&lt;16,"中","高")),IF(N1388&lt;5,"中","高"))))),IF(OR(I1388="EO",I1388="EQ"),IF(OR(X1388="估算法",X1388="算法类"),"中",IF(X1388="无法识别","低",IF(L1388&lt;2,IF(N1388&lt;20,"低","中"),IF(L1388&lt;4,IF(N1388&lt;6,"低",IF(N1388&lt;20,"中","高")),IF(N1388&lt;6,"中","高"))))),IF(OR(I1388="ILF",I1388="EIF"),IF(OR(X1388="估算法",X1388="算法类",X1388="无法识别"),"低",IF(M1388&lt;2,IF(N1388&lt;51,"低","中"),IF(M1388&lt;6,IF(N1388&lt;20,"低",IF(N1388&lt;51,"中","高")),IF(N1388&lt;20,"中","高")))),"不计算")))</f>
        <v/>
      </c>
      <c r="P1388" s="142">
        <f>IFERROR(IF(I1388="EI",IF(O1388="低",3,IF(O1388="中",4,6)),IF(I1388="EO",IF(O1388="低",4,IF(O1388="中",5,7)),IF(I1388="EQ",IF(O1388="低",3,IF(O1388="中",4,6)),IF(I1388="ILF",IF(O1388="低",7,IF(O1388="中",10,15)),IF(I1388="EIF",IF(O1388="低",5,IF(O1388="中",7,10)),"不计算")))))*Q1388,"不计算")</f>
        <v/>
      </c>
      <c r="Q1388" s="142" t="n">
        <v>1</v>
      </c>
      <c r="R1388" s="143">
        <f>调整因子!$F$13</f>
        <v/>
      </c>
      <c r="S1388" s="70" t="n">
        <v>1</v>
      </c>
      <c r="T1388" s="144">
        <f>IFERROR(P1388*R1388,0)</f>
        <v/>
      </c>
      <c r="U1388" s="145">
        <f>T1388*S1388</f>
        <v/>
      </c>
      <c r="V1388" s="96" t="inlineStr">
        <is>
          <t>模板配置表</t>
        </is>
      </c>
      <c r="W1388" s="96" t="inlineStr"/>
      <c r="X1388" s="111" t="inlineStr">
        <is>
          <t>模板配置表{配置ID、配置名称、配置类型、配置值、创建时间|配置ID、配置名称、配置类型}</t>
        </is>
      </c>
      <c r="Y1388" s="88" t="n"/>
      <c r="Z1388" s="88" t="n"/>
    </row>
    <row r="1389" hidden="1" ht="21.6" customHeight="1">
      <c r="A1389" s="69">
        <f>ROW()-1</f>
        <v/>
      </c>
      <c r="B1389" s="53" t="n"/>
      <c r="C1389" s="117" t="n">
        <v>2026</v>
      </c>
      <c r="E1389" s="53" t="n"/>
      <c r="F1389" s="53" t="n"/>
      <c r="G1389" s="53" t="n"/>
      <c r="H1389" s="96" t="inlineStr">
        <is>
          <t>停用处置流程</t>
        </is>
      </c>
      <c r="I1389" s="76" t="n"/>
      <c r="J1389" s="95" t="n"/>
      <c r="K1389" s="95" t="inlineStr">
        <is>
          <t>和上行合并，启停为相同功能</t>
        </is>
      </c>
      <c r="L1389" s="83">
        <f>IF(OR(X1389="估算法",X1389="算法类",X1389="无法识别"),"",IF(V1389="",IF(OR(I1389="EI",I1389="EO",I1389="EQ"),0,""),LEN(V1389)-LEN(SUBSTITUTE(V1389,"、",""))+1))</f>
        <v/>
      </c>
      <c r="M1389" s="83">
        <f>IF(OR(X1389="估算法",X1389="算法类",X1389="无法识别"),"",IF(W1389="",IF(OR(I1389="ILF",I1389="EIF"),0,""),LEN(W1389)-LEN(SUBSTITUTE(W1389,"、",""))+1))</f>
        <v/>
      </c>
      <c r="N1389" s="83">
        <f>IF(OR(X1389="估算法",X1389="算法类",X1389="无法识别"),"",IF(X1389="",IF(OR(I1389="ILF",I1389="EIF",I1389="EI",I1389="EO",I1389="EQ"),0,""),LEN(X1389)-LEN(SUBSTITUTE(SUBSTITUTE(SUBSTITUTE(SUBSTITUTE(SUBSTITUTE(X1389,"|}","--"),"{|","--"),CHAR(10),""),"、",""),"|",""))+IF(AND(OR(I1389="EI",I1389="EO",I1389="EQ"),$AD$1="NESMA"),2,1)))</f>
        <v/>
      </c>
      <c r="O1389" s="84">
        <f>IF(I1389="EI",IF(OR(X1389="估算法",X1389="算法类"),"中",IF(X1389="无法识别","低",IF(L1389&lt;2,IF(N1389&lt;16,"低","中"),IF(L1389&lt;3,IF(N1389&lt;5,"低",IF(N1389&lt;16,"中","高")),IF(N1389&lt;5,"中","高"))))),IF(OR(I1389="EO",I1389="EQ"),IF(OR(X1389="估算法",X1389="算法类"),"中",IF(X1389="无法识别","低",IF(L1389&lt;2,IF(N1389&lt;20,"低","中"),IF(L1389&lt;4,IF(N1389&lt;6,"低",IF(N1389&lt;20,"中","高")),IF(N1389&lt;6,"中","高"))))),IF(OR(I1389="ILF",I1389="EIF"),IF(OR(X1389="估算法",X1389="算法类",X1389="无法识别"),"低",IF(M1389&lt;2,IF(N1389&lt;51,"低","中"),IF(M1389&lt;6,IF(N1389&lt;20,"低",IF(N1389&lt;51,"中","高")),IF(N1389&lt;20,"中","高")))),"不计算")))</f>
        <v/>
      </c>
      <c r="P1389" s="142">
        <f>IFERROR(IF(I1389="EI",IF(O1389="低",3,IF(O1389="中",4,6)),IF(I1389="EO",IF(O1389="低",4,IF(O1389="中",5,7)),IF(I1389="EQ",IF(O1389="低",3,IF(O1389="中",4,6)),IF(I1389="ILF",IF(O1389="低",7,IF(O1389="中",10,15)),IF(I1389="EIF",IF(O1389="低",5,IF(O1389="中",7,10)),"不计算")))))*Q1389,"不计算")</f>
        <v/>
      </c>
      <c r="Q1389" s="142" t="n">
        <v>1</v>
      </c>
      <c r="R1389" s="143">
        <f>调整因子!$F$13</f>
        <v/>
      </c>
      <c r="S1389" s="70" t="n">
        <v>1</v>
      </c>
      <c r="T1389" s="144">
        <f>IFERROR(P1389*R1389,0)</f>
        <v/>
      </c>
      <c r="U1389" s="145">
        <f>T1389*S1389</f>
        <v/>
      </c>
      <c r="V1389" s="96" t="inlineStr">
        <is>
          <t>报告模板表、推送失败重试表</t>
        </is>
      </c>
      <c r="W1389" s="96" t="inlineStr"/>
      <c r="X1389" s="111" t="inlineStr">
        <is>
          <t>报告模板表{ID、名称、类型、状态、创建时间、更新时间|ID、名称、类型}
推送失败重试表{ID、名称、类型、状态、创建时间、更新时间|ID、名称、类型}</t>
        </is>
      </c>
      <c r="Y1389" s="88" t="n"/>
      <c r="Z1389" s="88" t="n"/>
    </row>
    <row r="1390" hidden="1" ht="43.2" customHeight="1">
      <c r="A1390" s="69">
        <f>ROW()-1</f>
        <v/>
      </c>
      <c r="B1390" s="53" t="n"/>
      <c r="C1390" s="117" t="n">
        <v>2026</v>
      </c>
      <c r="E1390" s="53" t="n"/>
      <c r="F1390" s="53" t="n"/>
      <c r="G1390" s="53" t="n"/>
      <c r="H1390" s="96" t="inlineStr">
        <is>
          <t>导出流程配置</t>
        </is>
      </c>
      <c r="I1390" s="76" t="inlineStr">
        <is>
          <t>EO</t>
        </is>
      </c>
      <c r="J1390" s="95" t="n"/>
      <c r="K1390" s="95" t="n"/>
      <c r="L1390" s="83">
        <f>IF(OR(X1390="估算法",X1390="算法类",X1390="无法识别"),"",IF(V1390="",IF(OR(I1390="EI",I1390="EO",I1390="EQ"),0,""),LEN(V1390)-LEN(SUBSTITUTE(V1390,"、",""))+1))</f>
        <v/>
      </c>
      <c r="M1390" s="83">
        <f>IF(OR(X1390="估算法",X1390="算法类",X1390="无法识别"),"",IF(W1390="",IF(OR(I1390="ILF",I1390="EIF"),0,""),LEN(W1390)-LEN(SUBSTITUTE(W1390,"、",""))+1))</f>
        <v/>
      </c>
      <c r="N1390" s="83">
        <f>IF(OR(X1390="估算法",X1390="算法类",X1390="无法识别"),"",IF(X1390="",IF(OR(I1390="ILF",I1390="EIF",I1390="EI",I1390="EO",I1390="EQ"),0,""),LEN(X1390)-LEN(SUBSTITUTE(SUBSTITUTE(SUBSTITUTE(SUBSTITUTE(SUBSTITUTE(X1390,"|}","--"),"{|","--"),CHAR(10),""),"、",""),"|",""))+IF(AND(OR(I1390="EI",I1390="EO",I1390="EQ"),$AD$1="NESMA"),2,1)))</f>
        <v/>
      </c>
      <c r="O1390" s="84">
        <f>IF(I1390="EI",IF(OR(X1390="估算法",X1390="算法类"),"中",IF(X1390="无法识别","低",IF(L1390&lt;2,IF(N1390&lt;16,"低","中"),IF(L1390&lt;3,IF(N1390&lt;5,"低",IF(N1390&lt;16,"中","高")),IF(N1390&lt;5,"中","高"))))),IF(OR(I1390="EO",I1390="EQ"),IF(OR(X1390="估算法",X1390="算法类"),"中",IF(X1390="无法识别","低",IF(L1390&lt;2,IF(N1390&lt;20,"低","中"),IF(L1390&lt;4,IF(N1390&lt;6,"低",IF(N1390&lt;20,"中","高")),IF(N1390&lt;6,"中","高"))))),IF(OR(I1390="ILF",I1390="EIF"),IF(OR(X1390="估算法",X1390="算法类",X1390="无法识别"),"低",IF(M1390&lt;2,IF(N1390&lt;51,"低","中"),IF(M1390&lt;6,IF(N1390&lt;20,"低",IF(N1390&lt;51,"中","高")),IF(N1390&lt;20,"中","高")))),"不计算")))</f>
        <v/>
      </c>
      <c r="P1390" s="142">
        <f>IFERROR(IF(I1390="EI",IF(O1390="低",3,IF(O1390="中",4,6)),IF(I1390="EO",IF(O1390="低",4,IF(O1390="中",5,7)),IF(I1390="EQ",IF(O1390="低",3,IF(O1390="中",4,6)),IF(I1390="ILF",IF(O1390="低",7,IF(O1390="中",10,15)),IF(I1390="EIF",IF(O1390="低",5,IF(O1390="中",7,10)),"不计算")))))*Q1390,"不计算")</f>
        <v/>
      </c>
      <c r="Q1390" s="142" t="n">
        <v>1</v>
      </c>
      <c r="R1390" s="143">
        <f>调整因子!$F$13</f>
        <v/>
      </c>
      <c r="S1390" s="76" t="n">
        <v>1</v>
      </c>
      <c r="T1390" s="144">
        <f>IFERROR(P1390*R1390,0)</f>
        <v/>
      </c>
      <c r="U1390" s="145">
        <f>T1390*S1390</f>
        <v/>
      </c>
      <c r="V1390" s="96" t="inlineStr">
        <is>
          <t>任务优先级配置表、模板参数配置表</t>
        </is>
      </c>
      <c r="W1390" s="96" t="inlineStr"/>
      <c r="X1390" s="111" t="inlineStr">
        <is>
          <t>任务优先级配置表{任务ID、任务名称|任务ID、任务名称、任务类型、任务状态、创建时间、执行时间}
模板参数配置表{配置ID、配置名称|配置ID、配置名称、配置类型、配置值、创建时间}</t>
        </is>
      </c>
      <c r="Y1390" s="88" t="n"/>
      <c r="Z1390" s="88" t="n"/>
    </row>
    <row r="1391" hidden="1">
      <c r="A1391" s="69">
        <f>ROW()-1</f>
        <v/>
      </c>
      <c r="B1391" s="53" t="n"/>
      <c r="C1391" s="117" t="n">
        <v>2026</v>
      </c>
      <c r="E1391" s="53" t="n"/>
      <c r="F1391" s="53" t="n"/>
      <c r="G1391" s="53" t="n"/>
      <c r="H1391" s="96" t="inlineStr">
        <is>
          <t>查询流程列表</t>
        </is>
      </c>
      <c r="I1391" s="76" t="inlineStr">
        <is>
          <t>EO</t>
        </is>
      </c>
      <c r="J1391" s="95" t="n"/>
      <c r="K1391" s="95" t="n"/>
      <c r="L1391" s="83">
        <f>IF(OR(X1391="估算法",X1391="算法类",X1391="无法识别"),"",IF(V1391="",IF(OR(I1391="EI",I1391="EO",I1391="EQ"),0,""),LEN(V1391)-LEN(SUBSTITUTE(V1391,"、",""))+1))</f>
        <v/>
      </c>
      <c r="M1391" s="83">
        <f>IF(OR(X1391="估算法",X1391="算法类",X1391="无法识别"),"",IF(W1391="",IF(OR(I1391="ILF",I1391="EIF"),0,""),LEN(W1391)-LEN(SUBSTITUTE(W1391,"、",""))+1))</f>
        <v/>
      </c>
      <c r="N1391" s="83">
        <f>IF(OR(X1391="估算法",X1391="算法类",X1391="无法识别"),"",IF(X1391="",IF(OR(I1391="ILF",I1391="EIF",I1391="EI",I1391="EO",I1391="EQ"),0,""),LEN(X1391)-LEN(SUBSTITUTE(SUBSTITUTE(SUBSTITUTE(SUBSTITUTE(SUBSTITUTE(X1391,"|}","--"),"{|","--"),CHAR(10),""),"、",""),"|",""))+IF(AND(OR(I1391="EI",I1391="EO",I1391="EQ"),$AD$1="NESMA"),2,1)))</f>
        <v/>
      </c>
      <c r="O1391" s="84">
        <f>IF(I1391="EI",IF(OR(X1391="估算法",X1391="算法类"),"中",IF(X1391="无法识别","低",IF(L1391&lt;2,IF(N1391&lt;16,"低","中"),IF(L1391&lt;3,IF(N1391&lt;5,"低",IF(N1391&lt;16,"中","高")),IF(N1391&lt;5,"中","高"))))),IF(OR(I1391="EO",I1391="EQ"),IF(OR(X1391="估算法",X1391="算法类"),"中",IF(X1391="无法识别","低",IF(L1391&lt;2,IF(N1391&lt;20,"低","中"),IF(L1391&lt;4,IF(N1391&lt;6,"低",IF(N1391&lt;20,"中","高")),IF(N1391&lt;6,"中","高"))))),IF(OR(I1391="ILF",I1391="EIF"),IF(OR(X1391="估算法",X1391="算法类",X1391="无法识别"),"低",IF(M1391&lt;2,IF(N1391&lt;51,"低","中"),IF(M1391&lt;6,IF(N1391&lt;20,"低",IF(N1391&lt;51,"中","高")),IF(N1391&lt;20,"中","高")))),"不计算")))</f>
        <v/>
      </c>
      <c r="P1391" s="142">
        <f>IFERROR(IF(I1391="EI",IF(O1391="低",3,IF(O1391="中",4,6)),IF(I1391="EO",IF(O1391="低",4,IF(O1391="中",5,7)),IF(I1391="EQ",IF(O1391="低",3,IF(O1391="中",4,6)),IF(I1391="ILF",IF(O1391="低",7,IF(O1391="中",10,15)),IF(I1391="EIF",IF(O1391="低",5,IF(O1391="中",7,10)),"不计算")))))*Q1391,"不计算")</f>
        <v/>
      </c>
      <c r="Q1391" s="142" t="n">
        <v>1</v>
      </c>
      <c r="R1391" s="143">
        <f>调整因子!$F$13</f>
        <v/>
      </c>
      <c r="S1391" s="76" t="n">
        <v>1</v>
      </c>
      <c r="T1391" s="144">
        <f>IFERROR(P1391*R1391,0)</f>
        <v/>
      </c>
      <c r="U1391" s="145">
        <f>T1391*S1391</f>
        <v/>
      </c>
      <c r="V1391" s="96" t="inlineStr">
        <is>
          <t>提醒规则表</t>
        </is>
      </c>
      <c r="W1391" s="96" t="inlineStr"/>
      <c r="X1391" s="111" t="inlineStr">
        <is>
          <t>提醒规则表{规则ID、规则名称|规则ID、规则名称、规则类型、规则条件、创建时间}</t>
        </is>
      </c>
      <c r="Y1391" s="88" t="n"/>
      <c r="Z1391" s="88" t="n"/>
    </row>
    <row r="1392" hidden="1">
      <c r="A1392" s="69">
        <f>ROW()-1</f>
        <v/>
      </c>
      <c r="B1392" s="53" t="n"/>
      <c r="C1392" s="117" t="n">
        <v>2026</v>
      </c>
      <c r="E1392" s="53" t="n"/>
      <c r="F1392" s="53" t="n"/>
      <c r="G1392" s="54" t="n"/>
      <c r="H1392" s="96" t="inlineStr">
        <is>
          <t>查看流程详情</t>
        </is>
      </c>
      <c r="I1392" s="76" t="inlineStr">
        <is>
          <t>EQ</t>
        </is>
      </c>
      <c r="J1392" s="95" t="n"/>
      <c r="K1392" s="95" t="n"/>
      <c r="L1392" s="83">
        <f>IF(OR(X1392="估算法",X1392="算法类",X1392="无法识别"),"",IF(V1392="",IF(OR(I1392="EI",I1392="EO",I1392="EQ"),0,""),LEN(V1392)-LEN(SUBSTITUTE(V1392,"、",""))+1))</f>
        <v/>
      </c>
      <c r="M1392" s="83">
        <f>IF(OR(X1392="估算法",X1392="算法类",X1392="无法识别"),"",IF(W1392="",IF(OR(I1392="ILF",I1392="EIF"),0,""),LEN(W1392)-LEN(SUBSTITUTE(W1392,"、",""))+1))</f>
        <v/>
      </c>
      <c r="N1392" s="83">
        <f>IF(OR(X1392="估算法",X1392="算法类",X1392="无法识别"),"",IF(X1392="",IF(OR(I1392="ILF",I1392="EIF",I1392="EI",I1392="EO",I1392="EQ"),0,""),LEN(X1392)-LEN(SUBSTITUTE(SUBSTITUTE(SUBSTITUTE(SUBSTITUTE(SUBSTITUTE(X1392,"|}","--"),"{|","--"),CHAR(10),""),"、",""),"|",""))+IF(AND(OR(I1392="EI",I1392="EO",I1392="EQ"),$AD$1="NESMA"),2,1)))</f>
        <v/>
      </c>
      <c r="O1392" s="84">
        <f>IF(I1392="EI",IF(OR(X1392="估算法",X1392="算法类"),"中",IF(X1392="无法识别","低",IF(L1392&lt;2,IF(N1392&lt;16,"低","中"),IF(L1392&lt;3,IF(N1392&lt;5,"低",IF(N1392&lt;16,"中","高")),IF(N1392&lt;5,"中","高"))))),IF(OR(I1392="EO",I1392="EQ"),IF(OR(X1392="估算法",X1392="算法类"),"中",IF(X1392="无法识别","低",IF(L1392&lt;2,IF(N1392&lt;20,"低","中"),IF(L1392&lt;4,IF(N1392&lt;6,"低",IF(N1392&lt;20,"中","高")),IF(N1392&lt;6,"中","高"))))),IF(OR(I1392="ILF",I1392="EIF"),IF(OR(X1392="估算法",X1392="算法类",X1392="无法识别"),"低",IF(M1392&lt;2,IF(N1392&lt;51,"低","中"),IF(M1392&lt;6,IF(N1392&lt;20,"低",IF(N1392&lt;51,"中","高")),IF(N1392&lt;20,"中","高")))),"不计算")))</f>
        <v/>
      </c>
      <c r="P1392" s="142">
        <f>IFERROR(IF(I1392="EI",IF(O1392="低",3,IF(O1392="中",4,6)),IF(I1392="EO",IF(O1392="低",4,IF(O1392="中",5,7)),IF(I1392="EQ",IF(O1392="低",3,IF(O1392="中",4,6)),IF(I1392="ILF",IF(O1392="低",7,IF(O1392="中",10,15)),IF(I1392="EIF",IF(O1392="低",5,IF(O1392="中",7,10)),"不计算")))))*Q1392,"不计算")</f>
        <v/>
      </c>
      <c r="Q1392" s="142" t="n">
        <v>1</v>
      </c>
      <c r="R1392" s="143">
        <f>调整因子!$F$13</f>
        <v/>
      </c>
      <c r="S1392" s="70" t="n">
        <v>1</v>
      </c>
      <c r="T1392" s="144">
        <f>IFERROR(P1392*R1392,0)</f>
        <v/>
      </c>
      <c r="U1392" s="145">
        <f>T1392*S1392</f>
        <v/>
      </c>
      <c r="V1392" s="96" t="inlineStr">
        <is>
          <t>验证配置表</t>
        </is>
      </c>
      <c r="W1392" s="96" t="inlineStr"/>
      <c r="X1392" s="111" t="inlineStr">
        <is>
          <t>验证配置表{配置ID、配置名称|配置ID、配置名称、配置类型、配置值、创建时间}</t>
        </is>
      </c>
      <c r="Y1392" s="88" t="n"/>
      <c r="Z1392" s="88" t="n"/>
    </row>
    <row r="1393" hidden="1">
      <c r="A1393" s="69">
        <f>ROW()-1</f>
        <v/>
      </c>
      <c r="B1393" s="53" t="n"/>
      <c r="C1393" s="117" t="n">
        <v>2026</v>
      </c>
      <c r="E1393" s="53" t="n"/>
      <c r="F1393" s="53" t="n"/>
      <c r="G1393" s="111" t="inlineStr">
        <is>
          <t>处置流程监控管理</t>
        </is>
      </c>
      <c r="H1393" s="96" t="inlineStr">
        <is>
          <t>推送流程告警</t>
        </is>
      </c>
      <c r="I1393" s="76" t="inlineStr">
        <is>
          <t>EO</t>
        </is>
      </c>
      <c r="J1393" s="95" t="n"/>
      <c r="K1393" s="95" t="n"/>
      <c r="L1393" s="83">
        <f>IF(OR(X1393="估算法",X1393="算法类",X1393="无法识别"),"",IF(V1393="",IF(OR(I1393="EI",I1393="EO",I1393="EQ"),0,""),LEN(V1393)-LEN(SUBSTITUTE(V1393,"、",""))+1))</f>
        <v/>
      </c>
      <c r="M1393" s="83">
        <f>IF(OR(X1393="估算法",X1393="算法类",X1393="无法识别"),"",IF(W1393="",IF(OR(I1393="ILF",I1393="EIF"),0,""),LEN(W1393)-LEN(SUBSTITUTE(W1393,"、",""))+1))</f>
        <v/>
      </c>
      <c r="N1393" s="83">
        <f>IF(OR(X1393="估算法",X1393="算法类",X1393="无法识别"),"",IF(X1393="",IF(OR(I1393="ILF",I1393="EIF",I1393="EI",I1393="EO",I1393="EQ"),0,""),LEN(X1393)-LEN(SUBSTITUTE(SUBSTITUTE(SUBSTITUTE(SUBSTITUTE(SUBSTITUTE(X1393,"|}","--"),"{|","--"),CHAR(10),""),"、",""),"|",""))+IF(AND(OR(I1393="EI",I1393="EO",I1393="EQ"),$AD$1="NESMA"),2,1)))</f>
        <v/>
      </c>
      <c r="O1393" s="84">
        <f>IF(I1393="EI",IF(OR(X1393="估算法",X1393="算法类"),"中",IF(X1393="无法识别","低",IF(L1393&lt;2,IF(N1393&lt;16,"低","中"),IF(L1393&lt;3,IF(N1393&lt;5,"低",IF(N1393&lt;16,"中","高")),IF(N1393&lt;5,"中","高"))))),IF(OR(I1393="EO",I1393="EQ"),IF(OR(X1393="估算法",X1393="算法类"),"中",IF(X1393="无法识别","低",IF(L1393&lt;2,IF(N1393&lt;20,"低","中"),IF(L1393&lt;4,IF(N1393&lt;6,"低",IF(N1393&lt;20,"中","高")),IF(N1393&lt;6,"中","高"))))),IF(OR(I1393="ILF",I1393="EIF"),IF(OR(X1393="估算法",X1393="算法类",X1393="无法识别"),"低",IF(M1393&lt;2,IF(N1393&lt;51,"低","中"),IF(M1393&lt;6,IF(N1393&lt;20,"低",IF(N1393&lt;51,"中","高")),IF(N1393&lt;20,"中","高")))),"不计算")))</f>
        <v/>
      </c>
      <c r="P1393" s="142">
        <f>IFERROR(IF(I1393="EI",IF(O1393="低",3,IF(O1393="中",4,6)),IF(I1393="EO",IF(O1393="低",4,IF(O1393="中",5,7)),IF(I1393="EQ",IF(O1393="低",3,IF(O1393="中",4,6)),IF(I1393="ILF",IF(O1393="低",7,IF(O1393="中",10,15)),IF(I1393="EIF",IF(O1393="低",5,IF(O1393="中",7,10)),"不计算")))))*Q1393,"不计算")</f>
        <v/>
      </c>
      <c r="Q1393" s="142" t="n">
        <v>1</v>
      </c>
      <c r="R1393" s="143">
        <f>调整因子!$F$13</f>
        <v/>
      </c>
      <c r="S1393" s="70" t="n">
        <v>1</v>
      </c>
      <c r="T1393" s="144">
        <f>IFERROR(P1393*R1393,0)</f>
        <v/>
      </c>
      <c r="U1393" s="145">
        <f>T1393*S1393</f>
        <v/>
      </c>
      <c r="V1393" s="96" t="inlineStr">
        <is>
          <t>加密策略表</t>
        </is>
      </c>
      <c r="W1393" s="96" t="inlineStr"/>
      <c r="X1393" s="111" t="inlineStr">
        <is>
          <t>加密策略表{策略ID、策略名称|策略ID、策略名称、策略类型、策略内容、生效时间}</t>
        </is>
      </c>
      <c r="Y1393" s="88" t="n"/>
      <c r="Z1393" s="88" t="n"/>
    </row>
    <row r="1394" hidden="1" ht="32.4" customHeight="1">
      <c r="A1394" s="69">
        <f>ROW()-1</f>
        <v/>
      </c>
      <c r="B1394" s="53" t="n"/>
      <c r="C1394" s="117" t="n">
        <v>2026</v>
      </c>
      <c r="E1394" s="53" t="n"/>
      <c r="F1394" s="53" t="n"/>
      <c r="G1394" s="53" t="n"/>
      <c r="H1394" s="96" t="inlineStr">
        <is>
          <t>导出监控记录</t>
        </is>
      </c>
      <c r="I1394" s="76" t="inlineStr">
        <is>
          <t>EO</t>
        </is>
      </c>
      <c r="J1394" s="95" t="n"/>
      <c r="K1394" s="95" t="n"/>
      <c r="L1394" s="83">
        <f>IF(OR(X1394="估算法",X1394="算法类",X1394="无法识别"),"",IF(V1394="",IF(OR(I1394="EI",I1394="EO",I1394="EQ"),0,""),LEN(V1394)-LEN(SUBSTITUTE(V1394,"、",""))+1))</f>
        <v/>
      </c>
      <c r="M1394" s="83">
        <f>IF(OR(X1394="估算法",X1394="算法类",X1394="无法识别"),"",IF(W1394="",IF(OR(I1394="ILF",I1394="EIF"),0,""),LEN(W1394)-LEN(SUBSTITUTE(W1394,"、",""))+1))</f>
        <v/>
      </c>
      <c r="N1394" s="83">
        <f>IF(OR(X1394="估算法",X1394="算法类",X1394="无法识别"),"",IF(X1394="",IF(OR(I1394="ILF",I1394="EIF",I1394="EI",I1394="EO",I1394="EQ"),0,""),LEN(X1394)-LEN(SUBSTITUTE(SUBSTITUTE(SUBSTITUTE(SUBSTITUTE(SUBSTITUTE(X1394,"|}","--"),"{|","--"),CHAR(10),""),"、",""),"|",""))+IF(AND(OR(I1394="EI",I1394="EO",I1394="EQ"),$AD$1="NESMA"),2,1)))</f>
        <v/>
      </c>
      <c r="O1394" s="84">
        <f>IF(I1394="EI",IF(OR(X1394="估算法",X1394="算法类"),"中",IF(X1394="无法识别","低",IF(L1394&lt;2,IF(N1394&lt;16,"低","中"),IF(L1394&lt;3,IF(N1394&lt;5,"低",IF(N1394&lt;16,"中","高")),IF(N1394&lt;5,"中","高"))))),IF(OR(I1394="EO",I1394="EQ"),IF(OR(X1394="估算法",X1394="算法类"),"中",IF(X1394="无法识别","低",IF(L1394&lt;2,IF(N1394&lt;20,"低","中"),IF(L1394&lt;4,IF(N1394&lt;6,"低",IF(N1394&lt;20,"中","高")),IF(N1394&lt;6,"中","高"))))),IF(OR(I1394="ILF",I1394="EIF"),IF(OR(X1394="估算法",X1394="算法类",X1394="无法识别"),"低",IF(M1394&lt;2,IF(N1394&lt;51,"低","中"),IF(M1394&lt;6,IF(N1394&lt;20,"低",IF(N1394&lt;51,"中","高")),IF(N1394&lt;20,"中","高")))),"不计算")))</f>
        <v/>
      </c>
      <c r="P1394" s="142">
        <f>IFERROR(IF(I1394="EI",IF(O1394="低",3,IF(O1394="中",4,6)),IF(I1394="EO",IF(O1394="低",4,IF(O1394="中",5,7)),IF(I1394="EQ",IF(O1394="低",3,IF(O1394="中",4,6)),IF(I1394="ILF",IF(O1394="低",7,IF(O1394="中",10,15)),IF(I1394="EIF",IF(O1394="低",5,IF(O1394="中",7,10)),"不计算")))))*Q1394,"不计算")</f>
        <v/>
      </c>
      <c r="Q1394" s="142" t="n">
        <v>1</v>
      </c>
      <c r="R1394" s="143">
        <f>调整因子!$F$13</f>
        <v/>
      </c>
      <c r="S1394" s="76" t="n">
        <v>1</v>
      </c>
      <c r="T1394" s="144">
        <f>IFERROR(P1394*R1394,0)</f>
        <v/>
      </c>
      <c r="U1394" s="145">
        <f>T1394*S1394</f>
        <v/>
      </c>
      <c r="V1394" s="96" t="inlineStr">
        <is>
          <t>采集任务配置表、修复步骤表</t>
        </is>
      </c>
      <c r="W1394" s="96" t="inlineStr"/>
      <c r="X1394" s="111" t="inlineStr">
        <is>
          <t>采集任务配置表{任务ID、任务名称|任务ID、任务名称、任务类型、任务状态、创建时间、执行时间}
修复步骤表{ID、名称|ID、名称、类型、状态、创建时间、更新时间}</t>
        </is>
      </c>
      <c r="Y1394" s="88" t="n"/>
      <c r="Z1394" s="88" t="n"/>
    </row>
    <row r="1395" hidden="1">
      <c r="A1395" s="69">
        <f>ROW()-1</f>
        <v/>
      </c>
      <c r="B1395" s="53" t="n"/>
      <c r="C1395" s="117" t="n">
        <v>2026</v>
      </c>
      <c r="E1395" s="53" t="n"/>
      <c r="F1395" s="53" t="n"/>
      <c r="G1395" s="53" t="n"/>
      <c r="H1395" s="96" t="inlineStr">
        <is>
          <t>查询流程状态</t>
        </is>
      </c>
      <c r="I1395" s="76" t="inlineStr">
        <is>
          <t>EQ</t>
        </is>
      </c>
      <c r="J1395" s="95" t="n"/>
      <c r="K1395" s="95" t="n"/>
      <c r="L1395" s="83">
        <f>IF(OR(X1395="估算法",X1395="算法类",X1395="无法识别"),"",IF(V1395="",IF(OR(I1395="EI",I1395="EO",I1395="EQ"),0,""),LEN(V1395)-LEN(SUBSTITUTE(V1395,"、",""))+1))</f>
        <v/>
      </c>
      <c r="M1395" s="83">
        <f>IF(OR(X1395="估算法",X1395="算法类",X1395="无法识别"),"",IF(W1395="",IF(OR(I1395="ILF",I1395="EIF"),0,""),LEN(W1395)-LEN(SUBSTITUTE(W1395,"、",""))+1))</f>
        <v/>
      </c>
      <c r="N1395" s="83">
        <f>IF(OR(X1395="估算法",X1395="算法类",X1395="无法识别"),"",IF(X1395="",IF(OR(I1395="ILF",I1395="EIF",I1395="EI",I1395="EO",I1395="EQ"),0,""),LEN(X1395)-LEN(SUBSTITUTE(SUBSTITUTE(SUBSTITUTE(SUBSTITUTE(SUBSTITUTE(X1395,"|}","--"),"{|","--"),CHAR(10),""),"、",""),"|",""))+IF(AND(OR(I1395="EI",I1395="EO",I1395="EQ"),$AD$1="NESMA"),2,1)))</f>
        <v/>
      </c>
      <c r="O1395" s="84">
        <f>IF(I1395="EI",IF(OR(X1395="估算法",X1395="算法类"),"中",IF(X1395="无法识别","低",IF(L1395&lt;2,IF(N1395&lt;16,"低","中"),IF(L1395&lt;3,IF(N1395&lt;5,"低",IF(N1395&lt;16,"中","高")),IF(N1395&lt;5,"中","高"))))),IF(OR(I1395="EO",I1395="EQ"),IF(OR(X1395="估算法",X1395="算法类"),"中",IF(X1395="无法识别","低",IF(L1395&lt;2,IF(N1395&lt;20,"低","中"),IF(L1395&lt;4,IF(N1395&lt;6,"低",IF(N1395&lt;20,"中","高")),IF(N1395&lt;6,"中","高"))))),IF(OR(I1395="ILF",I1395="EIF"),IF(OR(X1395="估算法",X1395="算法类",X1395="无法识别"),"低",IF(M1395&lt;2,IF(N1395&lt;51,"低","中"),IF(M1395&lt;6,IF(N1395&lt;20,"低",IF(N1395&lt;51,"中","高")),IF(N1395&lt;20,"中","高")))),"不计算")))</f>
        <v/>
      </c>
      <c r="P1395" s="142">
        <f>IFERROR(IF(I1395="EI",IF(O1395="低",3,IF(O1395="中",4,6)),IF(I1395="EO",IF(O1395="低",4,IF(O1395="中",5,7)),IF(I1395="EQ",IF(O1395="低",3,IF(O1395="中",4,6)),IF(I1395="ILF",IF(O1395="低",7,IF(O1395="中",10,15)),IF(I1395="EIF",IF(O1395="低",5,IF(O1395="中",7,10)),"不计算")))))*Q1395,"不计算")</f>
        <v/>
      </c>
      <c r="Q1395" s="142" t="n">
        <v>1</v>
      </c>
      <c r="R1395" s="143">
        <f>调整因子!$F$13</f>
        <v/>
      </c>
      <c r="S1395" s="70" t="n">
        <v>1</v>
      </c>
      <c r="T1395" s="144">
        <f>IFERROR(P1395*R1395,0)</f>
        <v/>
      </c>
      <c r="U1395" s="145">
        <f>T1395*S1395</f>
        <v/>
      </c>
      <c r="V1395" s="96" t="inlineStr">
        <is>
          <t>报表模板表</t>
        </is>
      </c>
      <c r="W1395" s="96" t="inlineStr"/>
      <c r="X1395" s="111" t="inlineStr">
        <is>
          <t>报表模板表{报表ID、报表名称|报表ID、报表名称、报表类型、生成时间、报表内容}</t>
        </is>
      </c>
      <c r="Y1395" s="88" t="n"/>
      <c r="Z1395" s="88" t="n"/>
    </row>
    <row r="1396" hidden="1" ht="43.2" customHeight="1">
      <c r="A1396" s="69">
        <f>ROW()-1</f>
        <v/>
      </c>
      <c r="B1396" s="53" t="n"/>
      <c r="C1396" s="117" t="n">
        <v>2026</v>
      </c>
      <c r="E1396" s="53" t="n"/>
      <c r="F1396" s="53" t="n"/>
      <c r="G1396" s="54" t="n"/>
      <c r="H1396" s="96" t="inlineStr">
        <is>
          <t>查看执行记录</t>
        </is>
      </c>
      <c r="I1396" s="76" t="inlineStr">
        <is>
          <t>EQ</t>
        </is>
      </c>
      <c r="J1396" s="95" t="n"/>
      <c r="K1396" s="95" t="n"/>
      <c r="L1396" s="83">
        <f>IF(OR(X1396="估算法",X1396="算法类",X1396="无法识别"),"",IF(V1396="",IF(OR(I1396="EI",I1396="EO",I1396="EQ"),0,""),LEN(V1396)-LEN(SUBSTITUTE(V1396,"、",""))+1))</f>
        <v/>
      </c>
      <c r="M1396" s="83">
        <f>IF(OR(X1396="估算法",X1396="算法类",X1396="无法识别"),"",IF(W1396="",IF(OR(I1396="ILF",I1396="EIF"),0,""),LEN(W1396)-LEN(SUBSTITUTE(W1396,"、",""))+1))</f>
        <v/>
      </c>
      <c r="N1396" s="83">
        <f>IF(OR(X1396="估算法",X1396="算法类",X1396="无法识别"),"",IF(X1396="",IF(OR(I1396="ILF",I1396="EIF",I1396="EI",I1396="EO",I1396="EQ"),0,""),LEN(X1396)-LEN(SUBSTITUTE(SUBSTITUTE(SUBSTITUTE(SUBSTITUTE(SUBSTITUTE(X1396,"|}","--"),"{|","--"),CHAR(10),""),"、",""),"|",""))+IF(AND(OR(I1396="EI",I1396="EO",I1396="EQ"),$AD$1="NESMA"),2,1)))</f>
        <v/>
      </c>
      <c r="O1396" s="84">
        <f>IF(I1396="EI",IF(OR(X1396="估算法",X1396="算法类"),"中",IF(X1396="无法识别","低",IF(L1396&lt;2,IF(N1396&lt;16,"低","中"),IF(L1396&lt;3,IF(N1396&lt;5,"低",IF(N1396&lt;16,"中","高")),IF(N1396&lt;5,"中","高"))))),IF(OR(I1396="EO",I1396="EQ"),IF(OR(X1396="估算法",X1396="算法类"),"中",IF(X1396="无法识别","低",IF(L1396&lt;2,IF(N1396&lt;20,"低","中"),IF(L1396&lt;4,IF(N1396&lt;6,"低",IF(N1396&lt;20,"中","高")),IF(N1396&lt;6,"中","高"))))),IF(OR(I1396="ILF",I1396="EIF"),IF(OR(X1396="估算法",X1396="算法类",X1396="无法识别"),"低",IF(M1396&lt;2,IF(N1396&lt;51,"低","中"),IF(M1396&lt;6,IF(N1396&lt;20,"低",IF(N1396&lt;51,"中","高")),IF(N1396&lt;20,"中","高")))),"不计算")))</f>
        <v/>
      </c>
      <c r="P1396" s="142">
        <f>IFERROR(IF(I1396="EI",IF(O1396="低",3,IF(O1396="中",4,6)),IF(I1396="EO",IF(O1396="低",4,IF(O1396="中",5,7)),IF(I1396="EQ",IF(O1396="低",3,IF(O1396="中",4,6)),IF(I1396="ILF",IF(O1396="低",7,IF(O1396="中",10,15)),IF(I1396="EIF",IF(O1396="低",5,IF(O1396="中",7,10)),"不计算")))))*Q1396,"不计算")</f>
        <v/>
      </c>
      <c r="Q1396" s="142" t="n">
        <v>1</v>
      </c>
      <c r="R1396" s="143">
        <f>调整因子!$F$13</f>
        <v/>
      </c>
      <c r="S1396" s="70" t="n">
        <v>1</v>
      </c>
      <c r="T1396" s="144">
        <f>IFERROR(P1396*R1396,0)</f>
        <v/>
      </c>
      <c r="U1396" s="145">
        <f>T1396*S1396</f>
        <v/>
      </c>
      <c r="V1396" s="96" t="inlineStr">
        <is>
          <t>扫描任务接口配置表、模板参数配置表</t>
        </is>
      </c>
      <c r="W1396" s="96" t="inlineStr"/>
      <c r="X1396" s="111" t="inlineStr">
        <is>
          <t>扫描任务接口配置表{任务ID、任务名称|任务ID、任务名称、任务状态、扫描器类型、开始时间、结束时间、扫描结果}
模板参数配置表{配置ID、配置名称|配置ID、配置名称、配置类型、配置值、创建时间}</t>
        </is>
      </c>
      <c r="Y1396" s="88" t="n"/>
      <c r="Z1396" s="88" t="n"/>
    </row>
    <row r="1397" hidden="1" ht="21.6" customHeight="1">
      <c r="A1397" s="69">
        <f>ROW()-1</f>
        <v/>
      </c>
      <c r="B1397" s="53" t="n"/>
      <c r="C1397" s="117" t="n">
        <v>2026</v>
      </c>
      <c r="E1397" s="53" t="n"/>
      <c r="F1397" s="53" t="n"/>
      <c r="G1397" s="111" t="inlineStr">
        <is>
          <t>处置流程优化管理</t>
        </is>
      </c>
      <c r="H1397" s="96" t="inlineStr">
        <is>
          <t>导出优化报告</t>
        </is>
      </c>
      <c r="I1397" s="76" t="inlineStr">
        <is>
          <t>EO</t>
        </is>
      </c>
      <c r="J1397" s="95" t="n"/>
      <c r="K1397" s="95" t="n"/>
      <c r="L1397" s="83">
        <f>IF(OR(X1397="估算法",X1397="算法类",X1397="无法识别"),"",IF(V1397="",IF(OR(I1397="EI",I1397="EO",I1397="EQ"),0,""),LEN(V1397)-LEN(SUBSTITUTE(V1397,"、",""))+1))</f>
        <v/>
      </c>
      <c r="M1397" s="83">
        <f>IF(OR(X1397="估算法",X1397="算法类",X1397="无法识别"),"",IF(W1397="",IF(OR(I1397="ILF",I1397="EIF"),0,""),LEN(W1397)-LEN(SUBSTITUTE(W1397,"、",""))+1))</f>
        <v/>
      </c>
      <c r="N1397" s="83">
        <f>IF(OR(X1397="估算法",X1397="算法类",X1397="无法识别"),"",IF(X1397="",IF(OR(I1397="ILF",I1397="EIF",I1397="EI",I1397="EO",I1397="EQ"),0,""),LEN(X1397)-LEN(SUBSTITUTE(SUBSTITUTE(SUBSTITUTE(SUBSTITUTE(SUBSTITUTE(X1397,"|}","--"),"{|","--"),CHAR(10),""),"、",""),"|",""))+IF(AND(OR(I1397="EI",I1397="EO",I1397="EQ"),$AD$1="NESMA"),2,1)))</f>
        <v/>
      </c>
      <c r="O1397" s="84">
        <f>IF(I1397="EI",IF(OR(X1397="估算法",X1397="算法类"),"中",IF(X1397="无法识别","低",IF(L1397&lt;2,IF(N1397&lt;16,"低","中"),IF(L1397&lt;3,IF(N1397&lt;5,"低",IF(N1397&lt;16,"中","高")),IF(N1397&lt;5,"中","高"))))),IF(OR(I1397="EO",I1397="EQ"),IF(OR(X1397="估算法",X1397="算法类"),"中",IF(X1397="无法识别","低",IF(L1397&lt;2,IF(N1397&lt;20,"低","中"),IF(L1397&lt;4,IF(N1397&lt;6,"低",IF(N1397&lt;20,"中","高")),IF(N1397&lt;6,"中","高"))))),IF(OR(I1397="ILF",I1397="EIF"),IF(OR(X1397="估算法",X1397="算法类",X1397="无法识别"),"低",IF(M1397&lt;2,IF(N1397&lt;51,"低","中"),IF(M1397&lt;6,IF(N1397&lt;20,"低",IF(N1397&lt;51,"中","高")),IF(N1397&lt;20,"中","高")))),"不计算")))</f>
        <v/>
      </c>
      <c r="P1397" s="142">
        <f>IFERROR(IF(I1397="EI",IF(O1397="低",3,IF(O1397="中",4,6)),IF(I1397="EO",IF(O1397="低",4,IF(O1397="中",5,7)),IF(I1397="EQ",IF(O1397="低",3,IF(O1397="中",4,6)),IF(I1397="ILF",IF(O1397="低",7,IF(O1397="中",10,15)),IF(I1397="EIF",IF(O1397="低",5,IF(O1397="中",7,10)),"不计算")))))*Q1397,"不计算")</f>
        <v/>
      </c>
      <c r="Q1397" s="142" t="n">
        <v>1</v>
      </c>
      <c r="R1397" s="143">
        <f>调整因子!$F$13</f>
        <v/>
      </c>
      <c r="S1397" s="76" t="n">
        <v>1</v>
      </c>
      <c r="T1397" s="144">
        <f>IFERROR(P1397*R1397,0)</f>
        <v/>
      </c>
      <c r="U1397" s="145">
        <f>T1397*S1397</f>
        <v/>
      </c>
      <c r="V1397" s="96" t="inlineStr">
        <is>
          <t>报表模板表、指标阈值表</t>
        </is>
      </c>
      <c r="W1397" s="96" t="inlineStr"/>
      <c r="X1397" s="111" t="inlineStr">
        <is>
          <t>报表模板表{报表ID、报表名称|报表ID、报表名称、报表类型、生成时间、报表内容}
指标阈值表{ID、名称|ID、名称、类型、状态、创建时间、更新时间}</t>
        </is>
      </c>
      <c r="Y1397" s="88" t="n"/>
      <c r="Z1397" s="88" t="n"/>
    </row>
    <row r="1398" hidden="1" ht="21.6" customHeight="1">
      <c r="A1398" s="69">
        <f>ROW()-1</f>
        <v/>
      </c>
      <c r="B1398" s="53" t="n"/>
      <c r="C1398" s="117" t="n">
        <v>2026</v>
      </c>
      <c r="E1398" s="53" t="n"/>
      <c r="F1398" s="53" t="n"/>
      <c r="G1398" s="53" t="n"/>
      <c r="H1398" s="96" t="inlineStr">
        <is>
          <t>下载分析报告</t>
        </is>
      </c>
      <c r="I1398" s="76" t="inlineStr">
        <is>
          <t>EO</t>
        </is>
      </c>
      <c r="J1398" s="95" t="n"/>
      <c r="K1398" s="95" t="n"/>
      <c r="L1398" s="83">
        <f>IF(OR(X1398="估算法",X1398="算法类",X1398="无法识别"),"",IF(V1398="",IF(OR(I1398="EI",I1398="EO",I1398="EQ"),0,""),LEN(V1398)-LEN(SUBSTITUTE(V1398,"、",""))+1))</f>
        <v/>
      </c>
      <c r="M1398" s="83">
        <f>IF(OR(X1398="估算法",X1398="算法类",X1398="无法识别"),"",IF(W1398="",IF(OR(I1398="ILF",I1398="EIF"),0,""),LEN(W1398)-LEN(SUBSTITUTE(W1398,"、",""))+1))</f>
        <v/>
      </c>
      <c r="N1398" s="83">
        <f>IF(OR(X1398="估算法",X1398="算法类",X1398="无法识别"),"",IF(X1398="",IF(OR(I1398="ILF",I1398="EIF",I1398="EI",I1398="EO",I1398="EQ"),0,""),LEN(X1398)-LEN(SUBSTITUTE(SUBSTITUTE(SUBSTITUTE(SUBSTITUTE(SUBSTITUTE(X1398,"|}","--"),"{|","--"),CHAR(10),""),"、",""),"|",""))+IF(AND(OR(I1398="EI",I1398="EO",I1398="EQ"),$AD$1="NESMA"),2,1)))</f>
        <v/>
      </c>
      <c r="O1398" s="84">
        <f>IF(I1398="EI",IF(OR(X1398="估算法",X1398="算法类"),"中",IF(X1398="无法识别","低",IF(L1398&lt;2,IF(N1398&lt;16,"低","中"),IF(L1398&lt;3,IF(N1398&lt;5,"低",IF(N1398&lt;16,"中","高")),IF(N1398&lt;5,"中","高"))))),IF(OR(I1398="EO",I1398="EQ"),IF(OR(X1398="估算法",X1398="算法类"),"中",IF(X1398="无法识别","低",IF(L1398&lt;2,IF(N1398&lt;20,"低","中"),IF(L1398&lt;4,IF(N1398&lt;6,"低",IF(N1398&lt;20,"中","高")),IF(N1398&lt;6,"中","高"))))),IF(OR(I1398="ILF",I1398="EIF"),IF(OR(X1398="估算法",X1398="算法类",X1398="无法识别"),"低",IF(M1398&lt;2,IF(N1398&lt;51,"低","中"),IF(M1398&lt;6,IF(N1398&lt;20,"低",IF(N1398&lt;51,"中","高")),IF(N1398&lt;20,"中","高")))),"不计算")))</f>
        <v/>
      </c>
      <c r="P1398" s="142">
        <f>IFERROR(IF(I1398="EI",IF(O1398="低",3,IF(O1398="中",4,6)),IF(I1398="EO",IF(O1398="低",4,IF(O1398="中",5,7)),IF(I1398="EQ",IF(O1398="低",3,IF(O1398="中",4,6)),IF(I1398="ILF",IF(O1398="低",7,IF(O1398="中",10,15)),IF(I1398="EIF",IF(O1398="低",5,IF(O1398="中",7,10)),"不计算")))))*Q1398,"不计算")</f>
        <v/>
      </c>
      <c r="Q1398" s="142" t="n">
        <v>1</v>
      </c>
      <c r="R1398" s="143">
        <f>调整因子!$F$13</f>
        <v/>
      </c>
      <c r="S1398" s="76" t="n">
        <v>1</v>
      </c>
      <c r="T1398" s="144">
        <f>IFERROR(P1398*R1398,0)</f>
        <v/>
      </c>
      <c r="U1398" s="145">
        <f>T1398*S1398</f>
        <v/>
      </c>
      <c r="V1398" s="96" t="inlineStr">
        <is>
          <t>调用统计表、接口参数表</t>
        </is>
      </c>
      <c r="W1398" s="96" t="inlineStr"/>
      <c r="X1398" s="111" t="inlineStr">
        <is>
          <t>调用统计表{ID、名称|ID、名称、类型、状态、创建时间、更新时间}
接口参数表{接口ID、接口名称|接口ID、接口名称、接口类型、接口地址、调用时间}</t>
        </is>
      </c>
      <c r="Y1398" s="88" t="n"/>
      <c r="Z1398" s="88" t="n"/>
    </row>
    <row r="1399" hidden="1" ht="21.6" customHeight="1">
      <c r="A1399" s="69">
        <f>ROW()-1</f>
        <v/>
      </c>
      <c r="B1399" s="53" t="n"/>
      <c r="C1399" s="117" t="n">
        <v>2026</v>
      </c>
      <c r="E1399" s="53" t="n"/>
      <c r="F1399" s="53" t="n"/>
      <c r="G1399" s="53" t="n"/>
      <c r="H1399" s="96" t="inlineStr">
        <is>
          <t>查询优化记录</t>
        </is>
      </c>
      <c r="I1399" s="76" t="inlineStr">
        <is>
          <t>EQ</t>
        </is>
      </c>
      <c r="J1399" s="95" t="n"/>
      <c r="K1399" s="95" t="n"/>
      <c r="L1399" s="83">
        <f>IF(OR(X1399="估算法",X1399="算法类",X1399="无法识别"),"",IF(V1399="",IF(OR(I1399="EI",I1399="EO",I1399="EQ"),0,""),LEN(V1399)-LEN(SUBSTITUTE(V1399,"、",""))+1))</f>
        <v/>
      </c>
      <c r="M1399" s="83">
        <f>IF(OR(X1399="估算法",X1399="算法类",X1399="无法识别"),"",IF(W1399="",IF(OR(I1399="ILF",I1399="EIF"),0,""),LEN(W1399)-LEN(SUBSTITUTE(W1399,"、",""))+1))</f>
        <v/>
      </c>
      <c r="N1399" s="83">
        <f>IF(OR(X1399="估算法",X1399="算法类",X1399="无法识别"),"",IF(X1399="",IF(OR(I1399="ILF",I1399="EIF",I1399="EI",I1399="EO",I1399="EQ"),0,""),LEN(X1399)-LEN(SUBSTITUTE(SUBSTITUTE(SUBSTITUTE(SUBSTITUTE(SUBSTITUTE(X1399,"|}","--"),"{|","--"),CHAR(10),""),"、",""),"|",""))+IF(AND(OR(I1399="EI",I1399="EO",I1399="EQ"),$AD$1="NESMA"),2,1)))</f>
        <v/>
      </c>
      <c r="O1399" s="84">
        <f>IF(I1399="EI",IF(OR(X1399="估算法",X1399="算法类"),"中",IF(X1399="无法识别","低",IF(L1399&lt;2,IF(N1399&lt;16,"低","中"),IF(L1399&lt;3,IF(N1399&lt;5,"低",IF(N1399&lt;16,"中","高")),IF(N1399&lt;5,"中","高"))))),IF(OR(I1399="EO",I1399="EQ"),IF(OR(X1399="估算法",X1399="算法类"),"中",IF(X1399="无法识别","低",IF(L1399&lt;2,IF(N1399&lt;20,"低","中"),IF(L1399&lt;4,IF(N1399&lt;6,"低",IF(N1399&lt;20,"中","高")),IF(N1399&lt;6,"中","高"))))),IF(OR(I1399="ILF",I1399="EIF"),IF(OR(X1399="估算法",X1399="算法类",X1399="无法识别"),"低",IF(M1399&lt;2,IF(N1399&lt;51,"低","中"),IF(M1399&lt;6,IF(N1399&lt;20,"低",IF(N1399&lt;51,"中","高")),IF(N1399&lt;20,"中","高")))),"不计算")))</f>
        <v/>
      </c>
      <c r="P1399" s="142">
        <f>IFERROR(IF(I1399="EI",IF(O1399="低",3,IF(O1399="中",4,6)),IF(I1399="EO",IF(O1399="低",4,IF(O1399="中",5,7)),IF(I1399="EQ",IF(O1399="低",3,IF(O1399="中",4,6)),IF(I1399="ILF",IF(O1399="低",7,IF(O1399="中",10,15)),IF(I1399="EIF",IF(O1399="低",5,IF(O1399="中",7,10)),"不计算")))))*Q1399,"不计算")</f>
        <v/>
      </c>
      <c r="Q1399" s="142" t="n">
        <v>1</v>
      </c>
      <c r="R1399" s="143">
        <f>调整因子!$F$13</f>
        <v/>
      </c>
      <c r="S1399" s="70" t="n">
        <v>1</v>
      </c>
      <c r="T1399" s="144">
        <f>IFERROR(P1399*R1399,0)</f>
        <v/>
      </c>
      <c r="U1399" s="145">
        <f>T1399*S1399</f>
        <v/>
      </c>
      <c r="V1399" s="96" t="inlineStr">
        <is>
          <t>日志采集配置表</t>
        </is>
      </c>
      <c r="W1399" s="96" t="inlineStr"/>
      <c r="X1399" s="111" t="inlineStr">
        <is>
          <t>日志采集配置表{配置ID、配置名称|配置ID、配置名称、配置类型、配置值、创建时间}</t>
        </is>
      </c>
      <c r="Y1399" s="88" t="n"/>
      <c r="Z1399" s="88" t="n"/>
    </row>
    <row r="1400" hidden="1">
      <c r="A1400" s="69">
        <f>ROW()-1</f>
        <v/>
      </c>
      <c r="B1400" s="53" t="n"/>
      <c r="C1400" s="117" t="n">
        <v>2026</v>
      </c>
      <c r="E1400" s="54" t="n"/>
      <c r="F1400" s="54" t="n"/>
      <c r="G1400" s="54" t="n"/>
      <c r="H1400" s="96" t="inlineStr">
        <is>
          <t>查看优化详情</t>
        </is>
      </c>
      <c r="I1400" s="76" t="inlineStr">
        <is>
          <t>EQ</t>
        </is>
      </c>
      <c r="J1400" s="95" t="n"/>
      <c r="K1400" s="95" t="n"/>
      <c r="L1400" s="83">
        <f>IF(OR(X1400="估算法",X1400="算法类",X1400="无法识别"),"",IF(V1400="",IF(OR(I1400="EI",I1400="EO",I1400="EQ"),0,""),LEN(V1400)-LEN(SUBSTITUTE(V1400,"、",""))+1))</f>
        <v/>
      </c>
      <c r="M1400" s="83">
        <f>IF(OR(X1400="估算法",X1400="算法类",X1400="无法识别"),"",IF(W1400="",IF(OR(I1400="ILF",I1400="EIF"),0,""),LEN(W1400)-LEN(SUBSTITUTE(W1400,"、",""))+1))</f>
        <v/>
      </c>
      <c r="N1400" s="83">
        <f>IF(OR(X1400="估算法",X1400="算法类",X1400="无法识别"),"",IF(X1400="",IF(OR(I1400="ILF",I1400="EIF",I1400="EI",I1400="EO",I1400="EQ"),0,""),LEN(X1400)-LEN(SUBSTITUTE(SUBSTITUTE(SUBSTITUTE(SUBSTITUTE(SUBSTITUTE(X1400,"|}","--"),"{|","--"),CHAR(10),""),"、",""),"|",""))+IF(AND(OR(I1400="EI",I1400="EO",I1400="EQ"),$AD$1="NESMA"),2,1)))</f>
        <v/>
      </c>
      <c r="O1400" s="84">
        <f>IF(I1400="EI",IF(OR(X1400="估算法",X1400="算法类"),"中",IF(X1400="无法识别","低",IF(L1400&lt;2,IF(N1400&lt;16,"低","中"),IF(L1400&lt;3,IF(N1400&lt;5,"低",IF(N1400&lt;16,"中","高")),IF(N1400&lt;5,"中","高"))))),IF(OR(I1400="EO",I1400="EQ"),IF(OR(X1400="估算法",X1400="算法类"),"中",IF(X1400="无法识别","低",IF(L1400&lt;2,IF(N1400&lt;20,"低","中"),IF(L1400&lt;4,IF(N1400&lt;6,"低",IF(N1400&lt;20,"中","高")),IF(N1400&lt;6,"中","高"))))),IF(OR(I1400="ILF",I1400="EIF"),IF(OR(X1400="估算法",X1400="算法类",X1400="无法识别"),"低",IF(M1400&lt;2,IF(N1400&lt;51,"低","中"),IF(M1400&lt;6,IF(N1400&lt;20,"低",IF(N1400&lt;51,"中","高")),IF(N1400&lt;20,"中","高")))),"不计算")))</f>
        <v/>
      </c>
      <c r="P1400" s="142">
        <f>IFERROR(IF(I1400="EI",IF(O1400="低",3,IF(O1400="中",4,6)),IF(I1400="EO",IF(O1400="低",4,IF(O1400="中",5,7)),IF(I1400="EQ",IF(O1400="低",3,IF(O1400="中",4,6)),IF(I1400="ILF",IF(O1400="低",7,IF(O1400="中",10,15)),IF(I1400="EIF",IF(O1400="低",5,IF(O1400="中",7,10)),"不计算")))))*Q1400,"不计算")</f>
        <v/>
      </c>
      <c r="Q1400" s="142" t="n">
        <v>1</v>
      </c>
      <c r="R1400" s="143">
        <f>调整因子!$F$13</f>
        <v/>
      </c>
      <c r="S1400" s="70" t="n">
        <v>1</v>
      </c>
      <c r="T1400" s="144">
        <f>IFERROR(P1400*R1400,0)</f>
        <v/>
      </c>
      <c r="U1400" s="145">
        <f>T1400*S1400</f>
        <v/>
      </c>
      <c r="V1400" s="96" t="inlineStr">
        <is>
          <t>修复步骤表</t>
        </is>
      </c>
      <c r="W1400" s="96" t="inlineStr"/>
      <c r="X1400" s="111" t="inlineStr">
        <is>
          <t>修复步骤表{ID、名称|ID、名称、类型、状态、创建时间、更新时间}</t>
        </is>
      </c>
      <c r="Y1400" s="88" t="n"/>
      <c r="Z1400" s="88" t="n"/>
    </row>
    <row r="1401" hidden="1">
      <c r="A1401" s="69">
        <f>ROW()-1</f>
        <v/>
      </c>
      <c r="B1401" s="53" t="n"/>
      <c r="C1401" s="117" t="n">
        <v>2026</v>
      </c>
      <c r="E1401" s="111" t="inlineStr">
        <is>
          <t>漏洞治理</t>
        </is>
      </c>
      <c r="F1401" s="111" t="inlineStr">
        <is>
          <t>漏洞威胁等级仲裁引擎</t>
        </is>
      </c>
      <c r="G1401" s="111" t="inlineStr">
        <is>
          <t>态势数据采集管理</t>
        </is>
      </c>
      <c r="H1401" s="96" t="inlineStr">
        <is>
          <t>态势数据采集表</t>
        </is>
      </c>
      <c r="I1401" s="76" t="inlineStr">
        <is>
          <t>ILF</t>
        </is>
      </c>
      <c r="J1401" s="95" t="n"/>
      <c r="K1401" s="95" t="n"/>
      <c r="L1401" s="83">
        <f>IF(OR(X1401="估算法",X1401="算法类",X1401="无法识别"),"",IF(V1401="",IF(OR(I1401="EI",I1401="EO",I1401="EQ"),0,""),LEN(V1401)-LEN(SUBSTITUTE(V1401,"、",""))+1))</f>
        <v/>
      </c>
      <c r="M1401" s="83">
        <f>IF(OR(X1401="估算法",X1401="算法类",X1401="无法识别"),"",IF(W1401="",IF(OR(I1401="ILF",I1401="EIF"),0,""),LEN(W1401)-LEN(SUBSTITUTE(W1401,"、",""))+1))</f>
        <v/>
      </c>
      <c r="N1401" s="83">
        <f>IF(OR(X1401="估算法",X1401="算法类",X1401="无法识别"),"",IF(X1401="",IF(OR(I1401="ILF",I1401="EIF",I1401="EI",I1401="EO",I1401="EQ"),0,""),LEN(X1401)-LEN(SUBSTITUTE(SUBSTITUTE(SUBSTITUTE(SUBSTITUTE(SUBSTITUTE(X1401,"|}","--"),"{|","--"),CHAR(10),""),"、",""),"|",""))+IF(AND(OR(I1401="EI",I1401="EO",I1401="EQ"),$AD$1="NESMA"),2,1)))</f>
        <v/>
      </c>
      <c r="O1401" s="84">
        <f>IF(I1401="EI",IF(OR(X1401="估算法",X1401="算法类"),"中",IF(X1401="无法识别","低",IF(L1401&lt;2,IF(N1401&lt;16,"低","中"),IF(L1401&lt;3,IF(N1401&lt;5,"低",IF(N1401&lt;16,"中","高")),IF(N1401&lt;5,"中","高"))))),IF(OR(I1401="EO",I1401="EQ"),IF(OR(X1401="估算法",X1401="算法类"),"中",IF(X1401="无法识别","低",IF(L1401&lt;2,IF(N1401&lt;20,"低","中"),IF(L1401&lt;4,IF(N1401&lt;6,"低",IF(N1401&lt;20,"中","高")),IF(N1401&lt;6,"中","高"))))),IF(OR(I1401="ILF",I1401="EIF"),IF(OR(X1401="估算法",X1401="算法类",X1401="无法识别"),"低",IF(M1401&lt;2,IF(N1401&lt;51,"低","中"),IF(M1401&lt;6,IF(N1401&lt;20,"低",IF(N1401&lt;51,"中","高")),IF(N1401&lt;20,"中","高")))),"不计算")))</f>
        <v/>
      </c>
      <c r="P1401" s="142">
        <f>IFERROR(IF(I1401="EI",IF(O1401="低",3,IF(O1401="中",4,6)),IF(I1401="EO",IF(O1401="低",4,IF(O1401="中",5,7)),IF(I1401="EQ",IF(O1401="低",3,IF(O1401="中",4,6)),IF(I1401="ILF",IF(O1401="低",7,IF(O1401="中",10,15)),IF(I1401="EIF",IF(O1401="低",5,IF(O1401="中",7,10)),"不计算")))))*Q1401,"不计算")</f>
        <v/>
      </c>
      <c r="Q1401" s="142" t="n">
        <v>1</v>
      </c>
      <c r="R1401" s="143">
        <f>调整因子!$F$13</f>
        <v/>
      </c>
      <c r="S1401" s="76" t="n">
        <v>1</v>
      </c>
      <c r="T1401" s="144">
        <f>IFERROR(P1401*R1401,0)</f>
        <v/>
      </c>
      <c r="U1401" s="145">
        <f>T1401*S1401</f>
        <v/>
      </c>
      <c r="V1401" s="96" t="inlineStr"/>
      <c r="W1401" s="96" t="inlineStr">
        <is>
          <t>数据记录</t>
        </is>
      </c>
      <c r="X1401" s="111" t="inlineStr">
        <is>
          <t>态势数据采集表{ID、名称、类型|ID、名称、类型、状态、创建时间、更新时间}</t>
        </is>
      </c>
      <c r="Y1401" s="88">
        <f>IF(COUNTIFS(V:V,"*"&amp;H1401&amp;"*")&gt;0,"存在","不存在")</f>
        <v/>
      </c>
      <c r="Z1401" s="88">
        <f>IF(COUNTIFS(AA:AA,"*"&amp;H1401&amp;"*")&gt;0,"存在","不存在")</f>
        <v/>
      </c>
    </row>
    <row r="1402" hidden="1" ht="21.6" customHeight="1">
      <c r="A1402" s="69">
        <f>ROW()-1</f>
        <v/>
      </c>
      <c r="B1402" s="53" t="n"/>
      <c r="C1402" s="117" t="n">
        <v>2026</v>
      </c>
      <c r="E1402" s="53" t="n"/>
      <c r="F1402" s="53" t="n"/>
      <c r="G1402" s="53" t="n"/>
      <c r="H1402" s="96" t="inlineStr">
        <is>
          <t>采集任务配置表</t>
        </is>
      </c>
      <c r="I1402" s="76" t="inlineStr">
        <is>
          <t>ILF</t>
        </is>
      </c>
      <c r="J1402" s="95" t="n"/>
      <c r="K1402" s="95" t="n"/>
      <c r="L1402" s="83">
        <f>IF(OR(X1402="估算法",X1402="算法类",X1402="无法识别"),"",IF(V1402="",IF(OR(I1402="EI",I1402="EO",I1402="EQ"),0,""),LEN(V1402)-LEN(SUBSTITUTE(V1402,"、",""))+1))</f>
        <v/>
      </c>
      <c r="M1402" s="83">
        <f>IF(OR(X1402="估算法",X1402="算法类",X1402="无法识别"),"",IF(W1402="",IF(OR(I1402="ILF",I1402="EIF"),0,""),LEN(W1402)-LEN(SUBSTITUTE(W1402,"、",""))+1))</f>
        <v/>
      </c>
      <c r="N1402" s="83">
        <f>IF(OR(X1402="估算法",X1402="算法类",X1402="无法识别"),"",IF(X1402="",IF(OR(I1402="ILF",I1402="EIF",I1402="EI",I1402="EO",I1402="EQ"),0,""),LEN(X1402)-LEN(SUBSTITUTE(SUBSTITUTE(SUBSTITUTE(SUBSTITUTE(SUBSTITUTE(X1402,"|}","--"),"{|","--"),CHAR(10),""),"、",""),"|",""))+IF(AND(OR(I1402="EI",I1402="EO",I1402="EQ"),$AD$1="NESMA"),2,1)))</f>
        <v/>
      </c>
      <c r="O1402" s="84">
        <f>IF(I1402="EI",IF(OR(X1402="估算法",X1402="算法类"),"中",IF(X1402="无法识别","低",IF(L1402&lt;2,IF(N1402&lt;16,"低","中"),IF(L1402&lt;3,IF(N1402&lt;5,"低",IF(N1402&lt;16,"中","高")),IF(N1402&lt;5,"中","高"))))),IF(OR(I1402="EO",I1402="EQ"),IF(OR(X1402="估算法",X1402="算法类"),"中",IF(X1402="无法识别","低",IF(L1402&lt;2,IF(N1402&lt;20,"低","中"),IF(L1402&lt;4,IF(N1402&lt;6,"低",IF(N1402&lt;20,"中","高")),IF(N1402&lt;6,"中","高"))))),IF(OR(I1402="ILF",I1402="EIF"),IF(OR(X1402="估算法",X1402="算法类",X1402="无法识别"),"低",IF(M1402&lt;2,IF(N1402&lt;51,"低","中"),IF(M1402&lt;6,IF(N1402&lt;20,"低",IF(N1402&lt;51,"中","高")),IF(N1402&lt;20,"中","高")))),"不计算")))</f>
        <v/>
      </c>
      <c r="P1402" s="142">
        <f>IFERROR(IF(I1402="EI",IF(O1402="低",3,IF(O1402="中",4,6)),IF(I1402="EO",IF(O1402="低",4,IF(O1402="中",5,7)),IF(I1402="EQ",IF(O1402="低",3,IF(O1402="中",4,6)),IF(I1402="ILF",IF(O1402="低",7,IF(O1402="中",10,15)),IF(I1402="EIF",IF(O1402="低",5,IF(O1402="中",7,10)),"不计算")))))*Q1402,"不计算")</f>
        <v/>
      </c>
      <c r="Q1402" s="142" t="n">
        <v>1</v>
      </c>
      <c r="R1402" s="143">
        <f>调整因子!$F$13</f>
        <v/>
      </c>
      <c r="S1402" s="70" t="n">
        <v>1</v>
      </c>
      <c r="T1402" s="144">
        <f>IFERROR(P1402*R1402,0)</f>
        <v/>
      </c>
      <c r="U1402" s="145">
        <f>T1402*S1402</f>
        <v/>
      </c>
      <c r="V1402" s="96" t="inlineStr"/>
      <c r="W1402" s="96" t="inlineStr">
        <is>
          <t>扫描任务、发现任务、口令猜测任务</t>
        </is>
      </c>
      <c r="X1402" s="111" t="inlineStr">
        <is>
          <t>采集任务配置表{任务ID、任务名称、任务类型|任务ID、任务名称、任务类型、任务状态、创建时间、执行时间}</t>
        </is>
      </c>
      <c r="Y1402" s="88">
        <f>IF(COUNTIFS(V:V,"*"&amp;H1402&amp;"*")&gt;0,"存在","不存在")</f>
        <v/>
      </c>
      <c r="Z1402" s="88">
        <f>IF(COUNTIFS(AA:AA,"*"&amp;H1402&amp;"*")&gt;0,"存在","不存在")</f>
        <v/>
      </c>
    </row>
    <row r="1403" hidden="1">
      <c r="A1403" s="69">
        <f>ROW()-1</f>
        <v/>
      </c>
      <c r="B1403" s="53" t="n"/>
      <c r="C1403" s="117" t="n">
        <v>2026</v>
      </c>
      <c r="E1403" s="53" t="n"/>
      <c r="F1403" s="53" t="n"/>
      <c r="G1403" s="53" t="n"/>
      <c r="H1403" s="96" t="inlineStr">
        <is>
          <t>采集记录表</t>
        </is>
      </c>
      <c r="I1403" s="76" t="inlineStr">
        <is>
          <t>ILF</t>
        </is>
      </c>
      <c r="J1403" s="95" t="n"/>
      <c r="K1403" s="95" t="n"/>
      <c r="L1403" s="83">
        <f>IF(OR(X1403="估算法",X1403="算法类",X1403="无法识别"),"",IF(V1403="",IF(OR(I1403="EI",I1403="EO",I1403="EQ"),0,""),LEN(V1403)-LEN(SUBSTITUTE(V1403,"、",""))+1))</f>
        <v/>
      </c>
      <c r="M1403" s="83">
        <f>IF(OR(X1403="估算法",X1403="算法类",X1403="无法识别"),"",IF(W1403="",IF(OR(I1403="ILF",I1403="EIF"),0,""),LEN(W1403)-LEN(SUBSTITUTE(W1403,"、",""))+1))</f>
        <v/>
      </c>
      <c r="N1403" s="83">
        <f>IF(OR(X1403="估算法",X1403="算法类",X1403="无法识别"),"",IF(X1403="",IF(OR(I1403="ILF",I1403="EIF",I1403="EI",I1403="EO",I1403="EQ"),0,""),LEN(X1403)-LEN(SUBSTITUTE(SUBSTITUTE(SUBSTITUTE(SUBSTITUTE(SUBSTITUTE(X1403,"|}","--"),"{|","--"),CHAR(10),""),"、",""),"|",""))+IF(AND(OR(I1403="EI",I1403="EO",I1403="EQ"),$AD$1="NESMA"),2,1)))</f>
        <v/>
      </c>
      <c r="O1403" s="84">
        <f>IF(I1403="EI",IF(OR(X1403="估算法",X1403="算法类"),"中",IF(X1403="无法识别","低",IF(L1403&lt;2,IF(N1403&lt;16,"低","中"),IF(L1403&lt;3,IF(N1403&lt;5,"低",IF(N1403&lt;16,"中","高")),IF(N1403&lt;5,"中","高"))))),IF(OR(I1403="EO",I1403="EQ"),IF(OR(X1403="估算法",X1403="算法类"),"中",IF(X1403="无法识别","低",IF(L1403&lt;2,IF(N1403&lt;20,"低","中"),IF(L1403&lt;4,IF(N1403&lt;6,"低",IF(N1403&lt;20,"中","高")),IF(N1403&lt;6,"中","高"))))),IF(OR(I1403="ILF",I1403="EIF"),IF(OR(X1403="估算法",X1403="算法类",X1403="无法识别"),"低",IF(M1403&lt;2,IF(N1403&lt;51,"低","中"),IF(M1403&lt;6,IF(N1403&lt;20,"低",IF(N1403&lt;51,"中","高")),IF(N1403&lt;20,"中","高")))),"不计算")))</f>
        <v/>
      </c>
      <c r="P1403" s="142">
        <f>IFERROR(IF(I1403="EI",IF(O1403="低",3,IF(O1403="中",4,6)),IF(I1403="EO",IF(O1403="低",4,IF(O1403="中",5,7)),IF(I1403="EQ",IF(O1403="低",3,IF(O1403="中",4,6)),IF(I1403="ILF",IF(O1403="低",7,IF(O1403="中",10,15)),IF(I1403="EIF",IF(O1403="低",5,IF(O1403="中",7,10)),"不计算")))))*Q1403,"不计算")</f>
        <v/>
      </c>
      <c r="Q1403" s="142" t="n">
        <v>1</v>
      </c>
      <c r="R1403" s="143">
        <f>调整因子!$F$13</f>
        <v/>
      </c>
      <c r="S1403" s="70" t="n">
        <v>1</v>
      </c>
      <c r="T1403" s="144">
        <f>IFERROR(P1403*R1403,0)</f>
        <v/>
      </c>
      <c r="U1403" s="145">
        <f>T1403*S1403</f>
        <v/>
      </c>
      <c r="V1403" s="96" t="inlineStr"/>
      <c r="W1403" s="96" t="inlineStr">
        <is>
          <t>数据记录</t>
        </is>
      </c>
      <c r="X1403" s="111" t="inlineStr">
        <is>
          <t>采集记录表{ID、名称、类型|ID、名称、类型、状态、创建时间、更新时间}</t>
        </is>
      </c>
      <c r="Y1403" s="88">
        <f>IF(COUNTIFS(V:V,"*"&amp;H1403&amp;"*")&gt;0,"存在","不存在")</f>
        <v/>
      </c>
      <c r="Z1403" s="88">
        <f>IF(COUNTIFS(AA:AA,"*"&amp;H1403&amp;"*")&gt;0,"存在","不存在")</f>
        <v/>
      </c>
    </row>
    <row r="1404" hidden="1" ht="43.2" customHeight="1">
      <c r="A1404" s="69">
        <f>ROW()-1</f>
        <v/>
      </c>
      <c r="B1404" s="53" t="n"/>
      <c r="C1404" s="117" t="n">
        <v>2026</v>
      </c>
      <c r="E1404" s="53" t="n"/>
      <c r="F1404" s="53" t="n"/>
      <c r="G1404" s="53" t="n"/>
      <c r="H1404" s="96" t="inlineStr">
        <is>
          <t>创建采集任务</t>
        </is>
      </c>
      <c r="I1404" s="76" t="inlineStr">
        <is>
          <t>EI</t>
        </is>
      </c>
      <c r="J1404" s="95" t="n"/>
      <c r="K1404" s="95" t="n"/>
      <c r="L1404" s="83">
        <f>IF(OR(X1404="估算法",X1404="算法类",X1404="无法识别"),"",IF(V1404="",IF(OR(I1404="EI",I1404="EO",I1404="EQ"),0,""),LEN(V1404)-LEN(SUBSTITUTE(V1404,"、",""))+1))</f>
        <v/>
      </c>
      <c r="M1404" s="83">
        <f>IF(OR(X1404="估算法",X1404="算法类",X1404="无法识别"),"",IF(W1404="",IF(OR(I1404="ILF",I1404="EIF"),0,""),LEN(W1404)-LEN(SUBSTITUTE(W1404,"、",""))+1))</f>
        <v/>
      </c>
      <c r="N1404" s="83">
        <f>IF(OR(X1404="估算法",X1404="算法类",X1404="无法识别"),"",IF(X1404="",IF(OR(I1404="ILF",I1404="EIF",I1404="EI",I1404="EO",I1404="EQ"),0,""),LEN(X1404)-LEN(SUBSTITUTE(SUBSTITUTE(SUBSTITUTE(SUBSTITUTE(SUBSTITUTE(X1404,"|}","--"),"{|","--"),CHAR(10),""),"、",""),"|",""))+IF(AND(OR(I1404="EI",I1404="EO",I1404="EQ"),$AD$1="NESMA"),2,1)))</f>
        <v/>
      </c>
      <c r="O1404" s="84">
        <f>IF(I1404="EI",IF(OR(X1404="估算法",X1404="算法类"),"中",IF(X1404="无法识别","低",IF(L1404&lt;2,IF(N1404&lt;16,"低","中"),IF(L1404&lt;3,IF(N1404&lt;5,"低",IF(N1404&lt;16,"中","高")),IF(N1404&lt;5,"中","高"))))),IF(OR(I1404="EO",I1404="EQ"),IF(OR(X1404="估算法",X1404="算法类"),"中",IF(X1404="无法识别","低",IF(L1404&lt;2,IF(N1404&lt;20,"低","中"),IF(L1404&lt;4,IF(N1404&lt;6,"低",IF(N1404&lt;20,"中","高")),IF(N1404&lt;6,"中","高"))))),IF(OR(I1404="ILF",I1404="EIF"),IF(OR(X1404="估算法",X1404="算法类",X1404="无法识别"),"低",IF(M1404&lt;2,IF(N1404&lt;51,"低","中"),IF(M1404&lt;6,IF(N1404&lt;20,"低",IF(N1404&lt;51,"中","高")),IF(N1404&lt;20,"中","高")))),"不计算")))</f>
        <v/>
      </c>
      <c r="P1404" s="142">
        <f>IFERROR(IF(I1404="EI",IF(O1404="低",3,IF(O1404="中",4,6)),IF(I1404="EO",IF(O1404="低",4,IF(O1404="中",5,7)),IF(I1404="EQ",IF(O1404="低",3,IF(O1404="中",4,6)),IF(I1404="ILF",IF(O1404="低",7,IF(O1404="中",10,15)),IF(I1404="EIF",IF(O1404="低",5,IF(O1404="中",7,10)),"不计算")))))*Q1404,"不计算")</f>
        <v/>
      </c>
      <c r="Q1404" s="142" t="n">
        <v>1</v>
      </c>
      <c r="R1404" s="143">
        <f>调整因子!$F$13</f>
        <v/>
      </c>
      <c r="S1404" s="76" t="n">
        <v>1</v>
      </c>
      <c r="T1404" s="144">
        <f>IFERROR(P1404*R1404,0)</f>
        <v/>
      </c>
      <c r="U1404" s="145">
        <f>T1404*S1404</f>
        <v/>
      </c>
      <c r="V1404" s="96" t="inlineStr">
        <is>
          <t>数据清洗任务表、资产同步任务表</t>
        </is>
      </c>
      <c r="W1404" s="96" t="inlineStr"/>
      <c r="X1404"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404" s="88" t="n"/>
      <c r="Z1404" s="88" t="n"/>
    </row>
    <row r="1405" hidden="1" ht="21.6" customHeight="1">
      <c r="A1405" s="69">
        <f>ROW()-1</f>
        <v/>
      </c>
      <c r="B1405" s="53" t="n"/>
      <c r="C1405" s="117" t="n">
        <v>2026</v>
      </c>
      <c r="E1405" s="53" t="n"/>
      <c r="F1405" s="53" t="n"/>
      <c r="G1405" s="53" t="n"/>
      <c r="H1405" s="96" t="inlineStr">
        <is>
          <t>编辑采集任务</t>
        </is>
      </c>
      <c r="I1405" s="76" t="inlineStr">
        <is>
          <t>EI</t>
        </is>
      </c>
      <c r="J1405" s="95" t="n"/>
      <c r="K1405" s="95" t="n"/>
      <c r="L1405" s="83">
        <f>IF(OR(X1405="估算法",X1405="算法类",X1405="无法识别"),"",IF(V1405="",IF(OR(I1405="EI",I1405="EO",I1405="EQ"),0,""),LEN(V1405)-LEN(SUBSTITUTE(V1405,"、",""))+1))</f>
        <v/>
      </c>
      <c r="M1405" s="83">
        <f>IF(OR(X1405="估算法",X1405="算法类",X1405="无法识别"),"",IF(W1405="",IF(OR(I1405="ILF",I1405="EIF"),0,""),LEN(W1405)-LEN(SUBSTITUTE(W1405,"、",""))+1))</f>
        <v/>
      </c>
      <c r="N1405" s="83">
        <f>IF(OR(X1405="估算法",X1405="算法类",X1405="无法识别"),"",IF(X1405="",IF(OR(I1405="ILF",I1405="EIF",I1405="EI",I1405="EO",I1405="EQ"),0,""),LEN(X1405)-LEN(SUBSTITUTE(SUBSTITUTE(SUBSTITUTE(SUBSTITUTE(SUBSTITUTE(X1405,"|}","--"),"{|","--"),CHAR(10),""),"、",""),"|",""))+IF(AND(OR(I1405="EI",I1405="EO",I1405="EQ"),$AD$1="NESMA"),2,1)))</f>
        <v/>
      </c>
      <c r="O1405" s="84">
        <f>IF(I1405="EI",IF(OR(X1405="估算法",X1405="算法类"),"中",IF(X1405="无法识别","低",IF(L1405&lt;2,IF(N1405&lt;16,"低","中"),IF(L1405&lt;3,IF(N1405&lt;5,"低",IF(N1405&lt;16,"中","高")),IF(N1405&lt;5,"中","高"))))),IF(OR(I1405="EO",I1405="EQ"),IF(OR(X1405="估算法",X1405="算法类"),"中",IF(X1405="无法识别","低",IF(L1405&lt;2,IF(N1405&lt;20,"低","中"),IF(L1405&lt;4,IF(N1405&lt;6,"低",IF(N1405&lt;20,"中","高")),IF(N1405&lt;6,"中","高"))))),IF(OR(I1405="ILF",I1405="EIF"),IF(OR(X1405="估算法",X1405="算法类",X1405="无法识别"),"低",IF(M1405&lt;2,IF(N1405&lt;51,"低","中"),IF(M1405&lt;6,IF(N1405&lt;20,"低",IF(N1405&lt;51,"中","高")),IF(N1405&lt;20,"中","高")))),"不计算")))</f>
        <v/>
      </c>
      <c r="P1405" s="142">
        <f>IFERROR(IF(I1405="EI",IF(O1405="低",3,IF(O1405="中",4,6)),IF(I1405="EO",IF(O1405="低",4,IF(O1405="中",5,7)),IF(I1405="EQ",IF(O1405="低",3,IF(O1405="中",4,6)),IF(I1405="ILF",IF(O1405="低",7,IF(O1405="中",10,15)),IF(I1405="EIF",IF(O1405="低",5,IF(O1405="中",7,10)),"不计算")))))*Q1405,"不计算")</f>
        <v/>
      </c>
      <c r="Q1405" s="142" t="n">
        <v>1</v>
      </c>
      <c r="R1405" s="143">
        <f>调整因子!$F$13</f>
        <v/>
      </c>
      <c r="S1405" s="76" t="n">
        <v>1</v>
      </c>
      <c r="T1405" s="144">
        <f>IFERROR(P1405*R1405,0)</f>
        <v/>
      </c>
      <c r="U1405" s="145">
        <f>T1405*S1405</f>
        <v/>
      </c>
      <c r="V1405" s="96" t="inlineStr">
        <is>
          <t>数据清洗任务表</t>
        </is>
      </c>
      <c r="W1405" s="96" t="inlineStr"/>
      <c r="X1405" s="111" t="inlineStr">
        <is>
          <t>数据清洗任务表{任务ID、任务名称、任务类型、任务状态、创建时间、执行时间|任务ID、任务名称、任务类型}</t>
        </is>
      </c>
      <c r="Y1405" s="88" t="n"/>
      <c r="Z1405" s="88" t="n"/>
    </row>
    <row r="1406" hidden="1" ht="21.6" customHeight="1">
      <c r="A1406" s="69">
        <f>ROW()-1</f>
        <v/>
      </c>
      <c r="B1406" s="53" t="n"/>
      <c r="C1406" s="117" t="n">
        <v>2026</v>
      </c>
      <c r="E1406" s="53" t="n"/>
      <c r="F1406" s="53" t="n"/>
      <c r="G1406" s="53" t="n"/>
      <c r="H1406" s="96" t="inlineStr">
        <is>
          <t>删除采集任务</t>
        </is>
      </c>
      <c r="I1406" s="76" t="inlineStr">
        <is>
          <t>EI</t>
        </is>
      </c>
      <c r="J1406" s="95" t="n"/>
      <c r="K1406" s="95" t="n"/>
      <c r="L1406" s="83">
        <f>IF(OR(X1406="估算法",X1406="算法类",X1406="无法识别"),"",IF(V1406="",IF(OR(I1406="EI",I1406="EO",I1406="EQ"),0,""),LEN(V1406)-LEN(SUBSTITUTE(V1406,"、",""))+1))</f>
        <v/>
      </c>
      <c r="M1406" s="83">
        <f>IF(OR(X1406="估算法",X1406="算法类",X1406="无法识别"),"",IF(W1406="",IF(OR(I1406="ILF",I1406="EIF"),0,""),LEN(W1406)-LEN(SUBSTITUTE(W1406,"、",""))+1))</f>
        <v/>
      </c>
      <c r="N1406" s="83">
        <f>IF(OR(X1406="估算法",X1406="算法类",X1406="无法识别"),"",IF(X1406="",IF(OR(I1406="ILF",I1406="EIF",I1406="EI",I1406="EO",I1406="EQ"),0,""),LEN(X1406)-LEN(SUBSTITUTE(SUBSTITUTE(SUBSTITUTE(SUBSTITUTE(SUBSTITUTE(X1406,"|}","--"),"{|","--"),CHAR(10),""),"、",""),"|",""))+IF(AND(OR(I1406="EI",I1406="EO",I1406="EQ"),$AD$1="NESMA"),2,1)))</f>
        <v/>
      </c>
      <c r="O1406" s="84">
        <f>IF(I1406="EI",IF(OR(X1406="估算法",X1406="算法类"),"中",IF(X1406="无法识别","低",IF(L1406&lt;2,IF(N1406&lt;16,"低","中"),IF(L1406&lt;3,IF(N1406&lt;5,"低",IF(N1406&lt;16,"中","高")),IF(N1406&lt;5,"中","高"))))),IF(OR(I1406="EO",I1406="EQ"),IF(OR(X1406="估算法",X1406="算法类"),"中",IF(X1406="无法识别","低",IF(L1406&lt;2,IF(N1406&lt;20,"低","中"),IF(L1406&lt;4,IF(N1406&lt;6,"低",IF(N1406&lt;20,"中","高")),IF(N1406&lt;6,"中","高"))))),IF(OR(I1406="ILF",I1406="EIF"),IF(OR(X1406="估算法",X1406="算法类",X1406="无法识别"),"低",IF(M1406&lt;2,IF(N1406&lt;51,"低","中"),IF(M1406&lt;6,IF(N1406&lt;20,"低",IF(N1406&lt;51,"中","高")),IF(N1406&lt;20,"中","高")))),"不计算")))</f>
        <v/>
      </c>
      <c r="P1406" s="142">
        <f>IFERROR(IF(I1406="EI",IF(O1406="低",3,IF(O1406="中",4,6)),IF(I1406="EO",IF(O1406="低",4,IF(O1406="中",5,7)),IF(I1406="EQ",IF(O1406="低",3,IF(O1406="中",4,6)),IF(I1406="ILF",IF(O1406="低",7,IF(O1406="中",10,15)),IF(I1406="EIF",IF(O1406="低",5,IF(O1406="中",7,10)),"不计算")))))*Q1406,"不计算")</f>
        <v/>
      </c>
      <c r="Q1406" s="142" t="n">
        <v>0.333333333333333</v>
      </c>
      <c r="R1406" s="143">
        <f>调整因子!$F$13</f>
        <v/>
      </c>
      <c r="S1406" s="70" t="n">
        <v>1</v>
      </c>
      <c r="T1406" s="144">
        <f>IFERROR(P1406*R1406,0)</f>
        <v/>
      </c>
      <c r="U1406" s="145">
        <f>T1406*S1406</f>
        <v/>
      </c>
      <c r="V1406" s="96" t="inlineStr">
        <is>
          <t>数据清洗任务表</t>
        </is>
      </c>
      <c r="W1406" s="96" t="inlineStr"/>
      <c r="X1406" s="111" t="inlineStr">
        <is>
          <t>数据清洗任务表{任务ID、任务名称、任务类型、任务状态、创建时间、执行时间|任务ID、任务名称、任务类型}</t>
        </is>
      </c>
      <c r="Y1406" s="88" t="n"/>
      <c r="Z1406" s="88" t="n"/>
    </row>
    <row r="1407" hidden="1" ht="21.6" customHeight="1">
      <c r="A1407" s="69">
        <f>ROW()-1</f>
        <v/>
      </c>
      <c r="B1407" s="53" t="n"/>
      <c r="C1407" s="117" t="n">
        <v>2026</v>
      </c>
      <c r="E1407" s="53" t="n"/>
      <c r="F1407" s="53" t="n"/>
      <c r="G1407" s="53" t="n"/>
      <c r="H1407" s="96" t="inlineStr">
        <is>
          <t>启动采集任务</t>
        </is>
      </c>
      <c r="I1407" s="76" t="inlineStr">
        <is>
          <t>EI</t>
        </is>
      </c>
      <c r="J1407" s="95" t="n"/>
      <c r="K1407" s="95" t="n"/>
      <c r="L1407" s="83">
        <f>IF(OR(X1407="估算法",X1407="算法类",X1407="无法识别"),"",IF(V1407="",IF(OR(I1407="EI",I1407="EO",I1407="EQ"),0,""),LEN(V1407)-LEN(SUBSTITUTE(V1407,"、",""))+1))</f>
        <v/>
      </c>
      <c r="M1407" s="83">
        <f>IF(OR(X1407="估算法",X1407="算法类",X1407="无法识别"),"",IF(W1407="",IF(OR(I1407="ILF",I1407="EIF"),0,""),LEN(W1407)-LEN(SUBSTITUTE(W1407,"、",""))+1))</f>
        <v/>
      </c>
      <c r="N1407" s="83">
        <f>IF(OR(X1407="估算法",X1407="算法类",X1407="无法识别"),"",IF(X1407="",IF(OR(I1407="ILF",I1407="EIF",I1407="EI",I1407="EO",I1407="EQ"),0,""),LEN(X1407)-LEN(SUBSTITUTE(SUBSTITUTE(SUBSTITUTE(SUBSTITUTE(SUBSTITUTE(X1407,"|}","--"),"{|","--"),CHAR(10),""),"、",""),"|",""))+IF(AND(OR(I1407="EI",I1407="EO",I1407="EQ"),$AD$1="NESMA"),2,1)))</f>
        <v/>
      </c>
      <c r="O1407" s="84">
        <f>IF(I1407="EI",IF(OR(X1407="估算法",X1407="算法类"),"中",IF(X1407="无法识别","低",IF(L1407&lt;2,IF(N1407&lt;16,"低","中"),IF(L1407&lt;3,IF(N1407&lt;5,"低",IF(N1407&lt;16,"中","高")),IF(N1407&lt;5,"中","高"))))),IF(OR(I1407="EO",I1407="EQ"),IF(OR(X1407="估算法",X1407="算法类"),"中",IF(X1407="无法识别","低",IF(L1407&lt;2,IF(N1407&lt;20,"低","中"),IF(L1407&lt;4,IF(N1407&lt;6,"低",IF(N1407&lt;20,"中","高")),IF(N1407&lt;6,"中","高"))))),IF(OR(I1407="ILF",I1407="EIF"),IF(OR(X1407="估算法",X1407="算法类",X1407="无法识别"),"低",IF(M1407&lt;2,IF(N1407&lt;51,"低","中"),IF(M1407&lt;6,IF(N1407&lt;20,"低",IF(N1407&lt;51,"中","高")),IF(N1407&lt;20,"中","高")))),"不计算")))</f>
        <v/>
      </c>
      <c r="P1407" s="142">
        <f>IFERROR(IF(I1407="EI",IF(O1407="低",3,IF(O1407="中",4,6)),IF(I1407="EO",IF(O1407="低",4,IF(O1407="中",5,7)),IF(I1407="EQ",IF(O1407="低",3,IF(O1407="中",4,6)),IF(I1407="ILF",IF(O1407="低",7,IF(O1407="中",10,15)),IF(I1407="EIF",IF(O1407="低",5,IF(O1407="中",7,10)),"不计算")))))*Q1407,"不计算")</f>
        <v/>
      </c>
      <c r="Q1407" s="142" t="n">
        <v>1</v>
      </c>
      <c r="R1407" s="143">
        <f>调整因子!$F$13</f>
        <v/>
      </c>
      <c r="S1407" s="70" t="n">
        <v>1</v>
      </c>
      <c r="T1407" s="144">
        <f>IFERROR(P1407*R1407,0)</f>
        <v/>
      </c>
      <c r="U1407" s="145">
        <f>T1407*S1407</f>
        <v/>
      </c>
      <c r="V1407" s="96" t="inlineStr">
        <is>
          <t>数据清洗任务表</t>
        </is>
      </c>
      <c r="W1407" s="96" t="inlineStr"/>
      <c r="X1407" s="111" t="inlineStr">
        <is>
          <t>数据清洗任务表{任务ID、任务名称、任务类型、任务状态、创建时间、执行时间|任务ID、任务名称、任务类型}</t>
        </is>
      </c>
      <c r="Y1407" s="88" t="n"/>
      <c r="Z1407" s="88" t="n"/>
    </row>
    <row r="1408" hidden="1" ht="21.6" customHeight="1">
      <c r="A1408" s="69">
        <f>ROW()-1</f>
        <v/>
      </c>
      <c r="B1408" s="53" t="n"/>
      <c r="C1408" s="117" t="n">
        <v>2026</v>
      </c>
      <c r="E1408" s="53" t="n"/>
      <c r="F1408" s="53" t="n"/>
      <c r="G1408" s="53" t="n"/>
      <c r="H1408" s="96" t="inlineStr">
        <is>
          <t>停止采集任务</t>
        </is>
      </c>
      <c r="I1408" s="76" t="n"/>
      <c r="J1408" s="95" t="n"/>
      <c r="K1408" s="95" t="inlineStr">
        <is>
          <t>和上行合并，启停为相同功能</t>
        </is>
      </c>
      <c r="L1408" s="83">
        <f>IF(OR(X1408="估算法",X1408="算法类",X1408="无法识别"),"",IF(V1408="",IF(OR(I1408="EI",I1408="EO",I1408="EQ"),0,""),LEN(V1408)-LEN(SUBSTITUTE(V1408,"、",""))+1))</f>
        <v/>
      </c>
      <c r="M1408" s="83">
        <f>IF(OR(X1408="估算法",X1408="算法类",X1408="无法识别"),"",IF(W1408="",IF(OR(I1408="ILF",I1408="EIF"),0,""),LEN(W1408)-LEN(SUBSTITUTE(W1408,"、",""))+1))</f>
        <v/>
      </c>
      <c r="N1408" s="83">
        <f>IF(OR(X1408="估算法",X1408="算法类",X1408="无法识别"),"",IF(X1408="",IF(OR(I1408="ILF",I1408="EIF",I1408="EI",I1408="EO",I1408="EQ"),0,""),LEN(X1408)-LEN(SUBSTITUTE(SUBSTITUTE(SUBSTITUTE(SUBSTITUTE(SUBSTITUTE(X1408,"|}","--"),"{|","--"),CHAR(10),""),"、",""),"|",""))+IF(AND(OR(I1408="EI",I1408="EO",I1408="EQ"),$AD$1="NESMA"),2,1)))</f>
        <v/>
      </c>
      <c r="O1408" s="84">
        <f>IF(I1408="EI",IF(OR(X1408="估算法",X1408="算法类"),"中",IF(X1408="无法识别","低",IF(L1408&lt;2,IF(N1408&lt;16,"低","中"),IF(L1408&lt;3,IF(N1408&lt;5,"低",IF(N1408&lt;16,"中","高")),IF(N1408&lt;5,"中","高"))))),IF(OR(I1408="EO",I1408="EQ"),IF(OR(X1408="估算法",X1408="算法类"),"中",IF(X1408="无法识别","低",IF(L1408&lt;2,IF(N1408&lt;20,"低","中"),IF(L1408&lt;4,IF(N1408&lt;6,"低",IF(N1408&lt;20,"中","高")),IF(N1408&lt;6,"中","高"))))),IF(OR(I1408="ILF",I1408="EIF"),IF(OR(X1408="估算法",X1408="算法类",X1408="无法识别"),"低",IF(M1408&lt;2,IF(N1408&lt;51,"低","中"),IF(M1408&lt;6,IF(N1408&lt;20,"低",IF(N1408&lt;51,"中","高")),IF(N1408&lt;20,"中","高")))),"不计算")))</f>
        <v/>
      </c>
      <c r="P1408" s="142">
        <f>IFERROR(IF(I1408="EI",IF(O1408="低",3,IF(O1408="中",4,6)),IF(I1408="EO",IF(O1408="低",4,IF(O1408="中",5,7)),IF(I1408="EQ",IF(O1408="低",3,IF(O1408="中",4,6)),IF(I1408="ILF",IF(O1408="低",7,IF(O1408="中",10,15)),IF(I1408="EIF",IF(O1408="低",5,IF(O1408="中",7,10)),"不计算")))))*Q1408,"不计算")</f>
        <v/>
      </c>
      <c r="Q1408" s="142" t="n">
        <v>1</v>
      </c>
      <c r="R1408" s="143">
        <f>调整因子!$F$13</f>
        <v/>
      </c>
      <c r="S1408" s="76" t="n">
        <v>1</v>
      </c>
      <c r="T1408" s="144">
        <f>IFERROR(P1408*R1408,0)</f>
        <v/>
      </c>
      <c r="U1408" s="145">
        <f>T1408*S1408</f>
        <v/>
      </c>
      <c r="V1408" s="96" t="inlineStr">
        <is>
          <t>数据清洗任务表</t>
        </is>
      </c>
      <c r="W1408" s="96" t="inlineStr"/>
      <c r="X1408" s="111" t="inlineStr">
        <is>
          <t>数据清洗任务表{任务ID、任务名称、任务类型、任务状态、创建时间、执行时间|任务ID、任务名称、任务类型}</t>
        </is>
      </c>
      <c r="Y1408" s="88" t="n"/>
      <c r="Z1408" s="88" t="n"/>
    </row>
    <row r="1409" hidden="1" ht="21.6" customHeight="1">
      <c r="A1409" s="69">
        <f>ROW()-1</f>
        <v/>
      </c>
      <c r="B1409" s="53" t="n"/>
      <c r="C1409" s="117" t="n">
        <v>2026</v>
      </c>
      <c r="E1409" s="53" t="n"/>
      <c r="F1409" s="53" t="n"/>
      <c r="G1409" s="53" t="n"/>
      <c r="H1409" s="96" t="inlineStr">
        <is>
          <t>导出采集记录</t>
        </is>
      </c>
      <c r="I1409" s="76" t="inlineStr">
        <is>
          <t>EO</t>
        </is>
      </c>
      <c r="J1409" s="95" t="n"/>
      <c r="K1409" s="95" t="n"/>
      <c r="L1409" s="83">
        <f>IF(OR(X1409="估算法",X1409="算法类",X1409="无法识别"),"",IF(V1409="",IF(OR(I1409="EI",I1409="EO",I1409="EQ"),0,""),LEN(V1409)-LEN(SUBSTITUTE(V1409,"、",""))+1))</f>
        <v/>
      </c>
      <c r="M1409" s="83">
        <f>IF(OR(X1409="估算法",X1409="算法类",X1409="无法识别"),"",IF(W1409="",IF(OR(I1409="ILF",I1409="EIF"),0,""),LEN(W1409)-LEN(SUBSTITUTE(W1409,"、",""))+1))</f>
        <v/>
      </c>
      <c r="N1409" s="83">
        <f>IF(OR(X1409="估算法",X1409="算法类",X1409="无法识别"),"",IF(X1409="",IF(OR(I1409="ILF",I1409="EIF",I1409="EI",I1409="EO",I1409="EQ"),0,""),LEN(X1409)-LEN(SUBSTITUTE(SUBSTITUTE(SUBSTITUTE(SUBSTITUTE(SUBSTITUTE(X1409,"|}","--"),"{|","--"),CHAR(10),""),"、",""),"|",""))+IF(AND(OR(I1409="EI",I1409="EO",I1409="EQ"),$AD$1="NESMA"),2,1)))</f>
        <v/>
      </c>
      <c r="O1409" s="84">
        <f>IF(I1409="EI",IF(OR(X1409="估算法",X1409="算法类"),"中",IF(X1409="无法识别","低",IF(L1409&lt;2,IF(N1409&lt;16,"低","中"),IF(L1409&lt;3,IF(N1409&lt;5,"低",IF(N1409&lt;16,"中","高")),IF(N1409&lt;5,"中","高"))))),IF(OR(I1409="EO",I1409="EQ"),IF(OR(X1409="估算法",X1409="算法类"),"中",IF(X1409="无法识别","低",IF(L1409&lt;2,IF(N1409&lt;20,"低","中"),IF(L1409&lt;4,IF(N1409&lt;6,"低",IF(N1409&lt;20,"中","高")),IF(N1409&lt;6,"中","高"))))),IF(OR(I1409="ILF",I1409="EIF"),IF(OR(X1409="估算法",X1409="算法类",X1409="无法识别"),"低",IF(M1409&lt;2,IF(N1409&lt;51,"低","中"),IF(M1409&lt;6,IF(N1409&lt;20,"低",IF(N1409&lt;51,"中","高")),IF(N1409&lt;20,"中","高")))),"不计算")))</f>
        <v/>
      </c>
      <c r="P1409" s="142">
        <f>IFERROR(IF(I1409="EI",IF(O1409="低",3,IF(O1409="中",4,6)),IF(I1409="EO",IF(O1409="低",4,IF(O1409="中",5,7)),IF(I1409="EQ",IF(O1409="低",3,IF(O1409="中",4,6)),IF(I1409="ILF",IF(O1409="低",7,IF(O1409="中",10,15)),IF(I1409="EIF",IF(O1409="低",5,IF(O1409="中",7,10)),"不计算")))))*Q1409,"不计算")</f>
        <v/>
      </c>
      <c r="Q1409" s="142" t="n">
        <v>1</v>
      </c>
      <c r="R1409" s="143">
        <f>调整因子!$F$13</f>
        <v/>
      </c>
      <c r="S1409" s="70" t="n">
        <v>1</v>
      </c>
      <c r="T1409" s="144">
        <f>IFERROR(P1409*R1409,0)</f>
        <v/>
      </c>
      <c r="U1409" s="145">
        <f>T1409*S1409</f>
        <v/>
      </c>
      <c r="V1409" s="96" t="inlineStr">
        <is>
          <t>接口参数表、处置流程定义表</t>
        </is>
      </c>
      <c r="W1409" s="96" t="inlineStr"/>
      <c r="X1409" s="111" t="inlineStr">
        <is>
          <t>接口参数表{接口ID、接口名称|接口ID、接口名称、接口类型、接口地址、调用时间}
处置流程定义表{ID、名称|ID、名称、类型、状态、创建时间、更新时间}</t>
        </is>
      </c>
      <c r="Y1409" s="88" t="n"/>
      <c r="Z1409" s="88" t="n"/>
    </row>
    <row r="1410" hidden="1" ht="43.2" customHeight="1">
      <c r="A1410" s="69">
        <f>ROW()-1</f>
        <v/>
      </c>
      <c r="B1410" s="53" t="n"/>
      <c r="C1410" s="117" t="n">
        <v>2026</v>
      </c>
      <c r="E1410" s="53" t="n"/>
      <c r="F1410" s="53" t="n"/>
      <c r="G1410" s="53" t="n"/>
      <c r="H1410" s="96" t="inlineStr">
        <is>
          <t>查询采集任务</t>
        </is>
      </c>
      <c r="I1410" s="76" t="inlineStr">
        <is>
          <t>EQ</t>
        </is>
      </c>
      <c r="J1410" s="95" t="n"/>
      <c r="K1410" s="95" t="n"/>
      <c r="L1410" s="83">
        <f>IF(OR(X1410="估算法",X1410="算法类",X1410="无法识别"),"",IF(V1410="",IF(OR(I1410="EI",I1410="EO",I1410="EQ"),0,""),LEN(V1410)-LEN(SUBSTITUTE(V1410,"、",""))+1))</f>
        <v/>
      </c>
      <c r="M1410" s="83">
        <f>IF(OR(X1410="估算法",X1410="算法类",X1410="无法识别"),"",IF(W1410="",IF(OR(I1410="ILF",I1410="EIF"),0,""),LEN(W1410)-LEN(SUBSTITUTE(W1410,"、",""))+1))</f>
        <v/>
      </c>
      <c r="N1410" s="83">
        <f>IF(OR(X1410="估算法",X1410="算法类",X1410="无法识别"),"",IF(X1410="",IF(OR(I1410="ILF",I1410="EIF",I1410="EI",I1410="EO",I1410="EQ"),0,""),LEN(X1410)-LEN(SUBSTITUTE(SUBSTITUTE(SUBSTITUTE(SUBSTITUTE(SUBSTITUTE(X1410,"|}","--"),"{|","--"),CHAR(10),""),"、",""),"|",""))+IF(AND(OR(I1410="EI",I1410="EO",I1410="EQ"),$AD$1="NESMA"),2,1)))</f>
        <v/>
      </c>
      <c r="O1410" s="84">
        <f>IF(I1410="EI",IF(OR(X1410="估算法",X1410="算法类"),"中",IF(X1410="无法识别","低",IF(L1410&lt;2,IF(N1410&lt;16,"低","中"),IF(L1410&lt;3,IF(N1410&lt;5,"低",IF(N1410&lt;16,"中","高")),IF(N1410&lt;5,"中","高"))))),IF(OR(I1410="EO",I1410="EQ"),IF(OR(X1410="估算法",X1410="算法类"),"中",IF(X1410="无法识别","低",IF(L1410&lt;2,IF(N1410&lt;20,"低","中"),IF(L1410&lt;4,IF(N1410&lt;6,"低",IF(N1410&lt;20,"中","高")),IF(N1410&lt;6,"中","高"))))),IF(OR(I1410="ILF",I1410="EIF"),IF(OR(X1410="估算法",X1410="算法类",X1410="无法识别"),"低",IF(M1410&lt;2,IF(N1410&lt;51,"低","中"),IF(M1410&lt;6,IF(N1410&lt;20,"低",IF(N1410&lt;51,"中","高")),IF(N1410&lt;20,"中","高")))),"不计算")))</f>
        <v/>
      </c>
      <c r="P1410" s="142">
        <f>IFERROR(IF(I1410="EI",IF(O1410="低",3,IF(O1410="中",4,6)),IF(I1410="EO",IF(O1410="低",4,IF(O1410="中",5,7)),IF(I1410="EQ",IF(O1410="低",3,IF(O1410="中",4,6)),IF(I1410="ILF",IF(O1410="低",7,IF(O1410="中",10,15)),IF(I1410="EIF",IF(O1410="低",5,IF(O1410="中",7,10)),"不计算")))))*Q1410,"不计算")</f>
        <v/>
      </c>
      <c r="Q1410" s="142" t="n">
        <v>1</v>
      </c>
      <c r="R1410" s="143">
        <f>调整因子!$F$13</f>
        <v/>
      </c>
      <c r="S1410" s="70" t="n">
        <v>1</v>
      </c>
      <c r="T1410" s="144">
        <f>IFERROR(P1410*R1410,0)</f>
        <v/>
      </c>
      <c r="U1410" s="145">
        <f>T1410*S1410</f>
        <v/>
      </c>
      <c r="V1410" s="96" t="inlineStr">
        <is>
          <t>数据清洗任务表、资产同步任务表</t>
        </is>
      </c>
      <c r="W1410" s="96" t="inlineStr"/>
      <c r="X1410" s="111" t="inlineStr">
        <is>
          <t>数据清洗任务表{任务ID、任务名称|任务ID、任务名称、任务类型、任务状态、创建时间、执行时间}
资产同步任务表{资产ID、资产名称|资产ID、资产名称、IP地址、资产类型、资产状态、创建时间、更新时间}</t>
        </is>
      </c>
      <c r="Y1410" s="88" t="n"/>
      <c r="Z1410" s="88" t="n"/>
    </row>
    <row r="1411" hidden="1">
      <c r="A1411" s="69">
        <f>ROW()-1</f>
        <v/>
      </c>
      <c r="B1411" s="53" t="n"/>
      <c r="C1411" s="117" t="n">
        <v>2026</v>
      </c>
      <c r="E1411" s="53" t="n"/>
      <c r="F1411" s="53" t="n"/>
      <c r="G1411" s="54" t="n"/>
      <c r="H1411" s="96" t="inlineStr">
        <is>
          <t>查看采集详情</t>
        </is>
      </c>
      <c r="I1411" s="76" t="inlineStr">
        <is>
          <t>EQ</t>
        </is>
      </c>
      <c r="J1411" s="95" t="n"/>
      <c r="K1411" s="95" t="n"/>
      <c r="L1411" s="83">
        <f>IF(OR(X1411="估算法",X1411="算法类",X1411="无法识别"),"",IF(V1411="",IF(OR(I1411="EI",I1411="EO",I1411="EQ"),0,""),LEN(V1411)-LEN(SUBSTITUTE(V1411,"、",""))+1))</f>
        <v/>
      </c>
      <c r="M1411" s="83">
        <f>IF(OR(X1411="估算法",X1411="算法类",X1411="无法识别"),"",IF(W1411="",IF(OR(I1411="ILF",I1411="EIF"),0,""),LEN(W1411)-LEN(SUBSTITUTE(W1411,"、",""))+1))</f>
        <v/>
      </c>
      <c r="N1411" s="83">
        <f>IF(OR(X1411="估算法",X1411="算法类",X1411="无法识别"),"",IF(X1411="",IF(OR(I1411="ILF",I1411="EIF",I1411="EI",I1411="EO",I1411="EQ"),0,""),LEN(X1411)-LEN(SUBSTITUTE(SUBSTITUTE(SUBSTITUTE(SUBSTITUTE(SUBSTITUTE(X1411,"|}","--"),"{|","--"),CHAR(10),""),"、",""),"|",""))+IF(AND(OR(I1411="EI",I1411="EO",I1411="EQ"),$AD$1="NESMA"),2,1)))</f>
        <v/>
      </c>
      <c r="O1411" s="84">
        <f>IF(I1411="EI",IF(OR(X1411="估算法",X1411="算法类"),"中",IF(X1411="无法识别","低",IF(L1411&lt;2,IF(N1411&lt;16,"低","中"),IF(L1411&lt;3,IF(N1411&lt;5,"低",IF(N1411&lt;16,"中","高")),IF(N1411&lt;5,"中","高"))))),IF(OR(I1411="EO",I1411="EQ"),IF(OR(X1411="估算法",X1411="算法类"),"中",IF(X1411="无法识别","低",IF(L1411&lt;2,IF(N1411&lt;20,"低","中"),IF(L1411&lt;4,IF(N1411&lt;6,"低",IF(N1411&lt;20,"中","高")),IF(N1411&lt;6,"中","高"))))),IF(OR(I1411="ILF",I1411="EIF"),IF(OR(X1411="估算法",X1411="算法类",X1411="无法识别"),"低",IF(M1411&lt;2,IF(N1411&lt;51,"低","中"),IF(M1411&lt;6,IF(N1411&lt;20,"低",IF(N1411&lt;51,"中","高")),IF(N1411&lt;20,"中","高")))),"不计算")))</f>
        <v/>
      </c>
      <c r="P1411" s="142">
        <f>IFERROR(IF(I1411="EI",IF(O1411="低",3,IF(O1411="中",4,6)),IF(I1411="EO",IF(O1411="低",4,IF(O1411="中",5,7)),IF(I1411="EQ",IF(O1411="低",3,IF(O1411="中",4,6)),IF(I1411="ILF",IF(O1411="低",7,IF(O1411="中",10,15)),IF(I1411="EIF",IF(O1411="低",5,IF(O1411="中",7,10)),"不计算")))))*Q1411,"不计算")</f>
        <v/>
      </c>
      <c r="Q1411" s="142" t="n">
        <v>1</v>
      </c>
      <c r="R1411" s="143">
        <f>调整因子!$F$13</f>
        <v/>
      </c>
      <c r="S1411" s="76" t="n">
        <v>1</v>
      </c>
      <c r="T1411" s="144">
        <f>IFERROR(P1411*R1411,0)</f>
        <v/>
      </c>
      <c r="U1411" s="145">
        <f>T1411*S1411</f>
        <v/>
      </c>
      <c r="V1411" s="96" t="inlineStr">
        <is>
          <t>复测配置表</t>
        </is>
      </c>
      <c r="W1411" s="96" t="inlineStr"/>
      <c r="X1411" s="111" t="inlineStr">
        <is>
          <t>复测配置表{配置ID、配置名称|配置ID、配置名称、配置类型、配置值、创建时间}</t>
        </is>
      </c>
      <c r="Y1411" s="88" t="n"/>
      <c r="Z1411" s="88" t="n"/>
    </row>
    <row r="1412" hidden="1" ht="21.6" customHeight="1">
      <c r="A1412" s="69">
        <f>ROW()-1</f>
        <v/>
      </c>
      <c r="B1412" s="53" t="n"/>
      <c r="C1412" s="117" t="n">
        <v>2026</v>
      </c>
      <c r="E1412" s="53" t="n"/>
      <c r="F1412" s="53" t="n"/>
      <c r="G1412" s="111" t="inlineStr">
        <is>
          <t>态势可视化展示</t>
        </is>
      </c>
      <c r="H1412" s="96" t="inlineStr">
        <is>
          <t>编辑可视化布局</t>
        </is>
      </c>
      <c r="I1412" s="76" t="inlineStr">
        <is>
          <t>EI</t>
        </is>
      </c>
      <c r="J1412" s="95" t="n"/>
      <c r="K1412" s="95" t="n"/>
      <c r="L1412" s="83">
        <f>IF(OR(X1412="估算法",X1412="算法类",X1412="无法识别"),"",IF(V1412="",IF(OR(I1412="EI",I1412="EO",I1412="EQ"),0,""),LEN(V1412)-LEN(SUBSTITUTE(V1412,"、",""))+1))</f>
        <v/>
      </c>
      <c r="M1412" s="83">
        <f>IF(OR(X1412="估算法",X1412="算法类",X1412="无法识别"),"",IF(W1412="",IF(OR(I1412="ILF",I1412="EIF"),0,""),LEN(W1412)-LEN(SUBSTITUTE(W1412,"、",""))+1))</f>
        <v/>
      </c>
      <c r="N1412" s="83">
        <f>IF(OR(X1412="估算法",X1412="算法类",X1412="无法识别"),"",IF(X1412="",IF(OR(I1412="ILF",I1412="EIF",I1412="EI",I1412="EO",I1412="EQ"),0,""),LEN(X1412)-LEN(SUBSTITUTE(SUBSTITUTE(SUBSTITUTE(SUBSTITUTE(SUBSTITUTE(X1412,"|}","--"),"{|","--"),CHAR(10),""),"、",""),"|",""))+IF(AND(OR(I1412="EI",I1412="EO",I1412="EQ"),$AD$1="NESMA"),2,1)))</f>
        <v/>
      </c>
      <c r="O1412" s="84">
        <f>IF(I1412="EI",IF(OR(X1412="估算法",X1412="算法类"),"中",IF(X1412="无法识别","低",IF(L1412&lt;2,IF(N1412&lt;16,"低","中"),IF(L1412&lt;3,IF(N1412&lt;5,"低",IF(N1412&lt;16,"中","高")),IF(N1412&lt;5,"中","高"))))),IF(OR(I1412="EO",I1412="EQ"),IF(OR(X1412="估算法",X1412="算法类"),"中",IF(X1412="无法识别","低",IF(L1412&lt;2,IF(N1412&lt;20,"低","中"),IF(L1412&lt;4,IF(N1412&lt;6,"低",IF(N1412&lt;20,"中","高")),IF(N1412&lt;6,"中","高"))))),IF(OR(I1412="ILF",I1412="EIF"),IF(OR(X1412="估算法",X1412="算法类",X1412="无法识别"),"低",IF(M1412&lt;2,IF(N1412&lt;51,"低","中"),IF(M1412&lt;6,IF(N1412&lt;20,"低",IF(N1412&lt;51,"中","高")),IF(N1412&lt;20,"中","高")))),"不计算")))</f>
        <v/>
      </c>
      <c r="P1412" s="142">
        <f>IFERROR(IF(I1412="EI",IF(O1412="低",3,IF(O1412="中",4,6)),IF(I1412="EO",IF(O1412="低",4,IF(O1412="中",5,7)),IF(I1412="EQ",IF(O1412="低",3,IF(O1412="中",4,6)),IF(I1412="ILF",IF(O1412="低",7,IF(O1412="中",10,15)),IF(I1412="EIF",IF(O1412="低",5,IF(O1412="中",7,10)),"不计算")))))*Q1412,"不计算")</f>
        <v/>
      </c>
      <c r="Q1412" s="142" t="n">
        <v>1</v>
      </c>
      <c r="R1412" s="143">
        <f>调整因子!$F$13</f>
        <v/>
      </c>
      <c r="S1412" s="76" t="n">
        <v>1</v>
      </c>
      <c r="T1412" s="144">
        <f>IFERROR(P1412*R1412,0)</f>
        <v/>
      </c>
      <c r="U1412" s="145">
        <f>T1412*S1412</f>
        <v/>
      </c>
      <c r="V1412" s="96" t="inlineStr">
        <is>
          <t>漏洞查询接口配置表</t>
        </is>
      </c>
      <c r="W1412" s="96" t="inlineStr"/>
      <c r="X1412" s="111" t="inlineStr">
        <is>
          <t>漏洞查询接口配置表{漏洞ID、漏洞名称、漏洞等级、漏洞类型、CVE编号、发现时间、修复状态|漏洞ID、漏洞名称、漏洞等级}</t>
        </is>
      </c>
      <c r="Y1412" s="88" t="n"/>
      <c r="Z1412" s="88" t="n"/>
    </row>
    <row r="1413" hidden="1" ht="21.6" customHeight="1">
      <c r="A1413" s="69">
        <f>ROW()-1</f>
        <v/>
      </c>
      <c r="B1413" s="53" t="n"/>
      <c r="C1413" s="117" t="n">
        <v>2026</v>
      </c>
      <c r="E1413" s="53" t="n"/>
      <c r="F1413" s="53" t="n"/>
      <c r="G1413" s="53" t="n"/>
      <c r="H1413" s="96" t="inlineStr">
        <is>
          <t>删除可视化配置</t>
        </is>
      </c>
      <c r="I1413" s="76" t="inlineStr">
        <is>
          <t>EI</t>
        </is>
      </c>
      <c r="J1413" s="95" t="n"/>
      <c r="K1413" s="95" t="n"/>
      <c r="L1413" s="83">
        <f>IF(OR(X1413="估算法",X1413="算法类",X1413="无法识别"),"",IF(V1413="",IF(OR(I1413="EI",I1413="EO",I1413="EQ"),0,""),LEN(V1413)-LEN(SUBSTITUTE(V1413,"、",""))+1))</f>
        <v/>
      </c>
      <c r="M1413" s="83">
        <f>IF(OR(X1413="估算法",X1413="算法类",X1413="无法识别"),"",IF(W1413="",IF(OR(I1413="ILF",I1413="EIF"),0,""),LEN(W1413)-LEN(SUBSTITUTE(W1413,"、",""))+1))</f>
        <v/>
      </c>
      <c r="N1413" s="83">
        <f>IF(OR(X1413="估算法",X1413="算法类",X1413="无法识别"),"",IF(X1413="",IF(OR(I1413="ILF",I1413="EIF",I1413="EI",I1413="EO",I1413="EQ"),0,""),LEN(X1413)-LEN(SUBSTITUTE(SUBSTITUTE(SUBSTITUTE(SUBSTITUTE(SUBSTITUTE(X1413,"|}","--"),"{|","--"),CHAR(10),""),"、",""),"|",""))+IF(AND(OR(I1413="EI",I1413="EO",I1413="EQ"),$AD$1="NESMA"),2,1)))</f>
        <v/>
      </c>
      <c r="O1413" s="84">
        <f>IF(I1413="EI",IF(OR(X1413="估算法",X1413="算法类"),"中",IF(X1413="无法识别","低",IF(L1413&lt;2,IF(N1413&lt;16,"低","中"),IF(L1413&lt;3,IF(N1413&lt;5,"低",IF(N1413&lt;16,"中","高")),IF(N1413&lt;5,"中","高"))))),IF(OR(I1413="EO",I1413="EQ"),IF(OR(X1413="估算法",X1413="算法类"),"中",IF(X1413="无法识别","低",IF(L1413&lt;2,IF(N1413&lt;20,"低","中"),IF(L1413&lt;4,IF(N1413&lt;6,"低",IF(N1413&lt;20,"中","高")),IF(N1413&lt;6,"中","高"))))),IF(OR(I1413="ILF",I1413="EIF"),IF(OR(X1413="估算法",X1413="算法类",X1413="无法识别"),"低",IF(M1413&lt;2,IF(N1413&lt;51,"低","中"),IF(M1413&lt;6,IF(N1413&lt;20,"低",IF(N1413&lt;51,"中","高")),IF(N1413&lt;20,"中","高")))),"不计算")))</f>
        <v/>
      </c>
      <c r="P1413" s="142">
        <f>IFERROR(IF(I1413="EI",IF(O1413="低",3,IF(O1413="中",4,6)),IF(I1413="EO",IF(O1413="低",4,IF(O1413="中",5,7)),IF(I1413="EQ",IF(O1413="低",3,IF(O1413="中",4,6)),IF(I1413="ILF",IF(O1413="低",7,IF(O1413="中",10,15)),IF(I1413="EIF",IF(O1413="低",5,IF(O1413="中",7,10)),"不计算")))))*Q1413,"不计算")</f>
        <v/>
      </c>
      <c r="Q1413" s="142" t="n">
        <v>0.333333333333333</v>
      </c>
      <c r="R1413" s="143">
        <f>调整因子!$F$13</f>
        <v/>
      </c>
      <c r="S1413" s="70" t="n">
        <v>1</v>
      </c>
      <c r="T1413" s="144">
        <f>IFERROR(P1413*R1413,0)</f>
        <v/>
      </c>
      <c r="U1413" s="145">
        <f>T1413*S1413</f>
        <v/>
      </c>
      <c r="V1413" s="96" t="inlineStr">
        <is>
          <t>任务优先级配置表</t>
        </is>
      </c>
      <c r="W1413" s="96" t="inlineStr"/>
      <c r="X1413" s="111" t="inlineStr">
        <is>
          <t>任务优先级配置表{任务ID、任务名称、任务类型、任务状态、创建时间、执行时间|任务ID、任务名称、任务类型}</t>
        </is>
      </c>
      <c r="Y1413" s="88" t="n"/>
      <c r="Z1413" s="88" t="n"/>
    </row>
    <row r="1414" hidden="1" ht="21.6" customHeight="1">
      <c r="A1414" s="69">
        <f>ROW()-1</f>
        <v/>
      </c>
      <c r="B1414" s="53" t="n"/>
      <c r="C1414" s="117" t="n">
        <v>2026</v>
      </c>
      <c r="E1414" s="53" t="n"/>
      <c r="F1414" s="53" t="n"/>
      <c r="G1414" s="53" t="n"/>
      <c r="H1414" s="96" t="inlineStr">
        <is>
          <t>导出态势图表</t>
        </is>
      </c>
      <c r="I1414" s="76" t="inlineStr">
        <is>
          <t>EO</t>
        </is>
      </c>
      <c r="J1414" s="95" t="n"/>
      <c r="K1414" s="95" t="n"/>
      <c r="L1414" s="83">
        <f>IF(OR(X1414="估算法",X1414="算法类",X1414="无法识别"),"",IF(V1414="",IF(OR(I1414="EI",I1414="EO",I1414="EQ"),0,""),LEN(V1414)-LEN(SUBSTITUTE(V1414,"、",""))+1))</f>
        <v/>
      </c>
      <c r="M1414" s="83">
        <f>IF(OR(X1414="估算法",X1414="算法类",X1414="无法识别"),"",IF(W1414="",IF(OR(I1414="ILF",I1414="EIF"),0,""),LEN(W1414)-LEN(SUBSTITUTE(W1414,"、",""))+1))</f>
        <v/>
      </c>
      <c r="N1414" s="83">
        <f>IF(OR(X1414="估算法",X1414="算法类",X1414="无法识别"),"",IF(X1414="",IF(OR(I1414="ILF",I1414="EIF",I1414="EI",I1414="EO",I1414="EQ"),0,""),LEN(X1414)-LEN(SUBSTITUTE(SUBSTITUTE(SUBSTITUTE(SUBSTITUTE(SUBSTITUTE(X1414,"|}","--"),"{|","--"),CHAR(10),""),"、",""),"|",""))+IF(AND(OR(I1414="EI",I1414="EO",I1414="EQ"),$AD$1="NESMA"),2,1)))</f>
        <v/>
      </c>
      <c r="O1414" s="84">
        <f>IF(I1414="EI",IF(OR(X1414="估算法",X1414="算法类"),"中",IF(X1414="无法识别","低",IF(L1414&lt;2,IF(N1414&lt;16,"低","中"),IF(L1414&lt;3,IF(N1414&lt;5,"低",IF(N1414&lt;16,"中","高")),IF(N1414&lt;5,"中","高"))))),IF(OR(I1414="EO",I1414="EQ"),IF(OR(X1414="估算法",X1414="算法类"),"中",IF(X1414="无法识别","低",IF(L1414&lt;2,IF(N1414&lt;20,"低","中"),IF(L1414&lt;4,IF(N1414&lt;6,"低",IF(N1414&lt;20,"中","高")),IF(N1414&lt;6,"中","高"))))),IF(OR(I1414="ILF",I1414="EIF"),IF(OR(X1414="估算法",X1414="算法类",X1414="无法识别"),"低",IF(M1414&lt;2,IF(N1414&lt;51,"低","中"),IF(M1414&lt;6,IF(N1414&lt;20,"低",IF(N1414&lt;51,"中","高")),IF(N1414&lt;20,"中","高")))),"不计算")))</f>
        <v/>
      </c>
      <c r="P1414" s="142">
        <f>IFERROR(IF(I1414="EI",IF(O1414="低",3,IF(O1414="中",4,6)),IF(I1414="EO",IF(O1414="低",4,IF(O1414="中",5,7)),IF(I1414="EQ",IF(O1414="低",3,IF(O1414="中",4,6)),IF(I1414="ILF",IF(O1414="低",7,IF(O1414="中",10,15)),IF(I1414="EIF",IF(O1414="低",5,IF(O1414="中",7,10)),"不计算")))))*Q1414,"不计算")</f>
        <v/>
      </c>
      <c r="Q1414" s="142" t="n">
        <v>1</v>
      </c>
      <c r="R1414" s="143">
        <f>调整因子!$F$13</f>
        <v/>
      </c>
      <c r="S1414" s="70" t="n">
        <v>1</v>
      </c>
      <c r="T1414" s="144">
        <f>IFERROR(P1414*R1414,0)</f>
        <v/>
      </c>
      <c r="U1414" s="145">
        <f>T1414*S1414</f>
        <v/>
      </c>
      <c r="V1414" s="96" t="inlineStr">
        <is>
          <t>处置单配置表、推送规则表</t>
        </is>
      </c>
      <c r="W1414" s="96" t="inlineStr"/>
      <c r="X1414" s="111" t="inlineStr">
        <is>
          <t>处置单配置表{配置ID、配置名称|配置ID、配置名称、配置类型、配置值、创建时间}
推送规则表{规则ID、规则名称|规则ID、规则名称、规则类型、规则条件、创建时间}</t>
        </is>
      </c>
      <c r="Y1414" s="88" t="n"/>
      <c r="Z1414" s="88" t="n"/>
    </row>
    <row r="1415" hidden="1" ht="21.6" customHeight="1">
      <c r="A1415" s="69">
        <f>ROW()-1</f>
        <v/>
      </c>
      <c r="B1415" s="53" t="n"/>
      <c r="C1415" s="117" t="n">
        <v>2026</v>
      </c>
      <c r="E1415" s="53" t="n"/>
      <c r="F1415" s="53" t="n"/>
      <c r="G1415" s="53" t="n"/>
      <c r="H1415" s="96" t="inlineStr">
        <is>
          <t>查看态势大屏</t>
        </is>
      </c>
      <c r="I1415" s="76" t="inlineStr">
        <is>
          <t>EQ</t>
        </is>
      </c>
      <c r="J1415" s="95" t="n"/>
      <c r="K1415" s="95" t="n"/>
      <c r="L1415" s="83">
        <f>IF(OR(X1415="估算法",X1415="算法类",X1415="无法识别"),"",IF(V1415="",IF(OR(I1415="EI",I1415="EO",I1415="EQ"),0,""),LEN(V1415)-LEN(SUBSTITUTE(V1415,"、",""))+1))</f>
        <v/>
      </c>
      <c r="M1415" s="83">
        <f>IF(OR(X1415="估算法",X1415="算法类",X1415="无法识别"),"",IF(W1415="",IF(OR(I1415="ILF",I1415="EIF"),0,""),LEN(W1415)-LEN(SUBSTITUTE(W1415,"、",""))+1))</f>
        <v/>
      </c>
      <c r="N1415" s="83">
        <f>IF(OR(X1415="估算法",X1415="算法类",X1415="无法识别"),"",IF(X1415="",IF(OR(I1415="ILF",I1415="EIF",I1415="EI",I1415="EO",I1415="EQ"),0,""),LEN(X1415)-LEN(SUBSTITUTE(SUBSTITUTE(SUBSTITUTE(SUBSTITUTE(SUBSTITUTE(X1415,"|}","--"),"{|","--"),CHAR(10),""),"、",""),"|",""))+IF(AND(OR(I1415="EI",I1415="EO",I1415="EQ"),$AD$1="NESMA"),2,1)))</f>
        <v/>
      </c>
      <c r="O1415" s="84">
        <f>IF(I1415="EI",IF(OR(X1415="估算法",X1415="算法类"),"中",IF(X1415="无法识别","低",IF(L1415&lt;2,IF(N1415&lt;16,"低","中"),IF(L1415&lt;3,IF(N1415&lt;5,"低",IF(N1415&lt;16,"中","高")),IF(N1415&lt;5,"中","高"))))),IF(OR(I1415="EO",I1415="EQ"),IF(OR(X1415="估算法",X1415="算法类"),"中",IF(X1415="无法识别","低",IF(L1415&lt;2,IF(N1415&lt;20,"低","中"),IF(L1415&lt;4,IF(N1415&lt;6,"低",IF(N1415&lt;20,"中","高")),IF(N1415&lt;6,"中","高"))))),IF(OR(I1415="ILF",I1415="EIF"),IF(OR(X1415="估算法",X1415="算法类",X1415="无法识别"),"低",IF(M1415&lt;2,IF(N1415&lt;51,"低","中"),IF(M1415&lt;6,IF(N1415&lt;20,"低",IF(N1415&lt;51,"中","高")),IF(N1415&lt;20,"中","高")))),"不计算")))</f>
        <v/>
      </c>
      <c r="P1415" s="142">
        <f>IFERROR(IF(I1415="EI",IF(O1415="低",3,IF(O1415="中",4,6)),IF(I1415="EO",IF(O1415="低",4,IF(O1415="中",5,7)),IF(I1415="EQ",IF(O1415="低",3,IF(O1415="中",4,6)),IF(I1415="ILF",IF(O1415="低",7,IF(O1415="中",10,15)),IF(I1415="EIF",IF(O1415="低",5,IF(O1415="中",7,10)),"不计算")))))*Q1415,"不计算")</f>
        <v/>
      </c>
      <c r="Q1415" s="142" t="n">
        <v>1</v>
      </c>
      <c r="R1415" s="143">
        <f>调整因子!$F$13</f>
        <v/>
      </c>
      <c r="S1415" s="76" t="n">
        <v>1</v>
      </c>
      <c r="T1415" s="144">
        <f>IFERROR(P1415*R1415,0)</f>
        <v/>
      </c>
      <c r="U1415" s="145">
        <f>T1415*S1415</f>
        <v/>
      </c>
      <c r="V1415" s="96" t="inlineStr">
        <is>
          <t>指标阈值表、报告解析结果表</t>
        </is>
      </c>
      <c r="W1415" s="96" t="inlineStr"/>
      <c r="X1415" s="111" t="inlineStr">
        <is>
          <t>指标阈值表{ID、名称|ID、名称、类型、状态、创建时间、更新时间}
报告解析结果表{ID、名称|ID、名称、类型、状态、创建时间、更新时间}</t>
        </is>
      </c>
      <c r="Y1415" s="88" t="n"/>
      <c r="Z1415" s="88" t="n"/>
    </row>
    <row r="1416" hidden="1" ht="21.6" customHeight="1">
      <c r="A1416" s="69">
        <f>ROW()-1</f>
        <v/>
      </c>
      <c r="B1416" s="53" t="n"/>
      <c r="C1416" s="117" t="n">
        <v>2026</v>
      </c>
      <c r="E1416" s="53" t="n"/>
      <c r="F1416" s="54" t="n"/>
      <c r="G1416" s="54" t="n"/>
      <c r="H1416" s="96" t="inlineStr">
        <is>
          <t>查看分布视图</t>
        </is>
      </c>
      <c r="I1416" s="76" t="n"/>
      <c r="J1416" s="95" t="n"/>
      <c r="K1416" s="95" t="inlineStr">
        <is>
          <t>和上行合并</t>
        </is>
      </c>
      <c r="L1416" s="83">
        <f>IF(OR(X1416="估算法",X1416="算法类",X1416="无法识别"),"",IF(V1416="",IF(OR(I1416="EI",I1416="EO",I1416="EQ"),0,""),LEN(V1416)-LEN(SUBSTITUTE(V1416,"、",""))+1))</f>
        <v/>
      </c>
      <c r="M1416" s="83">
        <f>IF(OR(X1416="估算法",X1416="算法类",X1416="无法识别"),"",IF(W1416="",IF(OR(I1416="ILF",I1416="EIF"),0,""),LEN(W1416)-LEN(SUBSTITUTE(W1416,"、",""))+1))</f>
        <v/>
      </c>
      <c r="N1416" s="83">
        <f>IF(OR(X1416="估算法",X1416="算法类",X1416="无法识别"),"",IF(X1416="",IF(OR(I1416="ILF",I1416="EIF",I1416="EI",I1416="EO",I1416="EQ"),0,""),LEN(X1416)-LEN(SUBSTITUTE(SUBSTITUTE(SUBSTITUTE(SUBSTITUTE(SUBSTITUTE(X1416,"|}","--"),"{|","--"),CHAR(10),""),"、",""),"|",""))+IF(AND(OR(I1416="EI",I1416="EO",I1416="EQ"),$AD$1="NESMA"),2,1)))</f>
        <v/>
      </c>
      <c r="O1416" s="84">
        <f>IF(I1416="EI",IF(OR(X1416="估算法",X1416="算法类"),"中",IF(X1416="无法识别","低",IF(L1416&lt;2,IF(N1416&lt;16,"低","中"),IF(L1416&lt;3,IF(N1416&lt;5,"低",IF(N1416&lt;16,"中","高")),IF(N1416&lt;5,"中","高"))))),IF(OR(I1416="EO",I1416="EQ"),IF(OR(X1416="估算法",X1416="算法类"),"中",IF(X1416="无法识别","低",IF(L1416&lt;2,IF(N1416&lt;20,"低","中"),IF(L1416&lt;4,IF(N1416&lt;6,"低",IF(N1416&lt;20,"中","高")),IF(N1416&lt;6,"中","高"))))),IF(OR(I1416="ILF",I1416="EIF"),IF(OR(X1416="估算法",X1416="算法类",X1416="无法识别"),"低",IF(M1416&lt;2,IF(N1416&lt;51,"低","中"),IF(M1416&lt;6,IF(N1416&lt;20,"低",IF(N1416&lt;51,"中","高")),IF(N1416&lt;20,"中","高")))),"不计算")))</f>
        <v/>
      </c>
      <c r="P1416" s="142">
        <f>IFERROR(IF(I1416="EI",IF(O1416="低",3,IF(O1416="中",4,6)),IF(I1416="EO",IF(O1416="低",4,IF(O1416="中",5,7)),IF(I1416="EQ",IF(O1416="低",3,IF(O1416="中",4,6)),IF(I1416="ILF",IF(O1416="低",7,IF(O1416="中",10,15)),IF(I1416="EIF",IF(O1416="低",5,IF(O1416="中",7,10)),"不计算")))))*Q1416,"不计算")</f>
        <v/>
      </c>
      <c r="Q1416" s="142" t="n">
        <v>1</v>
      </c>
      <c r="R1416" s="143">
        <f>调整因子!$F$13</f>
        <v/>
      </c>
      <c r="S1416" s="70" t="n">
        <v>1</v>
      </c>
      <c r="T1416" s="144">
        <f>IFERROR(P1416*R1416,0)</f>
        <v/>
      </c>
      <c r="U1416" s="145">
        <f>T1416*S1416</f>
        <v/>
      </c>
      <c r="V1416" s="96" t="inlineStr">
        <is>
          <t>提醒策略配置表</t>
        </is>
      </c>
      <c r="W1416" s="96" t="inlineStr"/>
      <c r="X1416" s="111" t="inlineStr">
        <is>
          <t>提醒策略配置表{配置ID、配置名称|配置ID、配置名称、配置类型、配置值、创建时间}</t>
        </is>
      </c>
      <c r="Y1416" s="88" t="n"/>
      <c r="Z1416" s="88" t="n"/>
    </row>
    <row r="1417" hidden="1" ht="21.6" customHeight="1">
      <c r="A1417" s="69">
        <f>ROW()-1</f>
        <v/>
      </c>
      <c r="B1417" s="53" t="n"/>
      <c r="C1417" s="117" t="n">
        <v>2026</v>
      </c>
      <c r="E1417" s="53" t="n"/>
      <c r="F1417" s="111" t="inlineStr">
        <is>
          <t>漏洞白名单管理</t>
        </is>
      </c>
      <c r="G1417" s="111" t="inlineStr">
        <is>
          <t>漏洞分布统计</t>
        </is>
      </c>
      <c r="H1417" s="96" t="inlineStr">
        <is>
          <t>漏洞统计数据表</t>
        </is>
      </c>
      <c r="I1417" s="76" t="inlineStr">
        <is>
          <t>ILF</t>
        </is>
      </c>
      <c r="J1417" s="95" t="n"/>
      <c r="K1417" s="95" t="n"/>
      <c r="L1417" s="83">
        <f>IF(OR(X1417="估算法",X1417="算法类",X1417="无法识别"),"",IF(V1417="",IF(OR(I1417="EI",I1417="EO",I1417="EQ"),0,""),LEN(V1417)-LEN(SUBSTITUTE(V1417,"、",""))+1))</f>
        <v/>
      </c>
      <c r="M1417" s="83">
        <f>IF(OR(X1417="估算法",X1417="算法类",X1417="无法识别"),"",IF(W1417="",IF(OR(I1417="ILF",I1417="EIF"),0,""),LEN(W1417)-LEN(SUBSTITUTE(W1417,"、",""))+1))</f>
        <v/>
      </c>
      <c r="N1417" s="83">
        <f>IF(OR(X1417="估算法",X1417="算法类",X1417="无法识别"),"",IF(X1417="",IF(OR(I1417="ILF",I1417="EIF",I1417="EI",I1417="EO",I1417="EQ"),0,""),LEN(X1417)-LEN(SUBSTITUTE(SUBSTITUTE(SUBSTITUTE(SUBSTITUTE(SUBSTITUTE(X1417,"|}","--"),"{|","--"),CHAR(10),""),"、",""),"|",""))+IF(AND(OR(I1417="EI",I1417="EO",I1417="EQ"),$AD$1="NESMA"),2,1)))</f>
        <v/>
      </c>
      <c r="O1417" s="84">
        <f>IF(I1417="EI",IF(OR(X1417="估算法",X1417="算法类"),"中",IF(X1417="无法识别","低",IF(L1417&lt;2,IF(N1417&lt;16,"低","中"),IF(L1417&lt;3,IF(N1417&lt;5,"低",IF(N1417&lt;16,"中","高")),IF(N1417&lt;5,"中","高"))))),IF(OR(I1417="EO",I1417="EQ"),IF(OR(X1417="估算法",X1417="算法类"),"中",IF(X1417="无法识别","低",IF(L1417&lt;2,IF(N1417&lt;20,"低","中"),IF(L1417&lt;4,IF(N1417&lt;6,"低",IF(N1417&lt;20,"中","高")),IF(N1417&lt;6,"中","高"))))),IF(OR(I1417="ILF",I1417="EIF"),IF(OR(X1417="估算法",X1417="算法类",X1417="无法识别"),"低",IF(M1417&lt;2,IF(N1417&lt;51,"低","中"),IF(M1417&lt;6,IF(N1417&lt;20,"低",IF(N1417&lt;51,"中","高")),IF(N1417&lt;20,"中","高")))),"不计算")))</f>
        <v/>
      </c>
      <c r="P1417" s="142">
        <f>IFERROR(IF(I1417="EI",IF(O1417="低",3,IF(O1417="中",4,6)),IF(I1417="EO",IF(O1417="低",4,IF(O1417="中",5,7)),IF(I1417="EQ",IF(O1417="低",3,IF(O1417="中",4,6)),IF(I1417="ILF",IF(O1417="低",7,IF(O1417="中",10,15)),IF(I1417="EIF",IF(O1417="低",5,IF(O1417="中",7,10)),"不计算")))))*Q1417,"不计算")</f>
        <v/>
      </c>
      <c r="Q1417" s="142" t="n">
        <v>1</v>
      </c>
      <c r="R1417" s="143">
        <f>调整因子!$F$13</f>
        <v/>
      </c>
      <c r="S1417" s="70" t="n">
        <v>1</v>
      </c>
      <c r="T1417" s="144">
        <f>IFERROR(P1417*R1417,0)</f>
        <v/>
      </c>
      <c r="U1417" s="145">
        <f>T1417*S1417</f>
        <v/>
      </c>
      <c r="V1417" s="96" t="inlineStr"/>
      <c r="W1417" s="96" t="inlineStr">
        <is>
          <t>系统漏洞、Web漏洞、弱口令</t>
        </is>
      </c>
      <c r="X1417" s="111" t="inlineStr">
        <is>
          <t>漏洞统计数据表{漏洞ID、漏洞名称、漏洞等级|漏洞ID、漏洞名称、漏洞等级、漏洞类型、CVE编号、发现时间、修复状态}</t>
        </is>
      </c>
      <c r="Y1417" s="88">
        <f>IF(COUNTIFS(V:V,"*"&amp;H1417&amp;"*")&gt;0,"存在","不存在")</f>
        <v/>
      </c>
      <c r="Z1417" s="88">
        <f>IF(COUNTIFS(AA:AA,"*"&amp;H1417&amp;"*")&gt;0,"存在","不存在")</f>
        <v/>
      </c>
    </row>
    <row r="1418" hidden="1">
      <c r="A1418" s="69">
        <f>ROW()-1</f>
        <v/>
      </c>
      <c r="B1418" s="53" t="n"/>
      <c r="C1418" s="117" t="n">
        <v>2026</v>
      </c>
      <c r="E1418" s="53" t="n"/>
      <c r="F1418" s="53" t="n"/>
      <c r="G1418" s="53" t="n"/>
      <c r="H1418" s="96" t="inlineStr">
        <is>
          <t>分布分析表</t>
        </is>
      </c>
      <c r="I1418" s="76" t="inlineStr">
        <is>
          <t>ILF</t>
        </is>
      </c>
      <c r="J1418" s="95" t="n"/>
      <c r="K1418" s="95" t="n"/>
      <c r="L1418" s="83">
        <f>IF(OR(X1418="估算法",X1418="算法类",X1418="无法识别"),"",IF(V1418="",IF(OR(I1418="EI",I1418="EO",I1418="EQ"),0,""),LEN(V1418)-LEN(SUBSTITUTE(V1418,"、",""))+1))</f>
        <v/>
      </c>
      <c r="M1418" s="83">
        <f>IF(OR(X1418="估算法",X1418="算法类",X1418="无法识别"),"",IF(W1418="",IF(OR(I1418="ILF",I1418="EIF"),0,""),LEN(W1418)-LEN(SUBSTITUTE(W1418,"、",""))+1))</f>
        <v/>
      </c>
      <c r="N1418" s="83">
        <f>IF(OR(X1418="估算法",X1418="算法类",X1418="无法识别"),"",IF(X1418="",IF(OR(I1418="ILF",I1418="EIF",I1418="EI",I1418="EO",I1418="EQ"),0,""),LEN(X1418)-LEN(SUBSTITUTE(SUBSTITUTE(SUBSTITUTE(SUBSTITUTE(SUBSTITUTE(X1418,"|}","--"),"{|","--"),CHAR(10),""),"、",""),"|",""))+IF(AND(OR(I1418="EI",I1418="EO",I1418="EQ"),$AD$1="NESMA"),2,1)))</f>
        <v/>
      </c>
      <c r="O1418" s="84">
        <f>IF(I1418="EI",IF(OR(X1418="估算法",X1418="算法类"),"中",IF(X1418="无法识别","低",IF(L1418&lt;2,IF(N1418&lt;16,"低","中"),IF(L1418&lt;3,IF(N1418&lt;5,"低",IF(N1418&lt;16,"中","高")),IF(N1418&lt;5,"中","高"))))),IF(OR(I1418="EO",I1418="EQ"),IF(OR(X1418="估算法",X1418="算法类"),"中",IF(X1418="无法识别","低",IF(L1418&lt;2,IF(N1418&lt;20,"低","中"),IF(L1418&lt;4,IF(N1418&lt;6,"低",IF(N1418&lt;20,"中","高")),IF(N1418&lt;6,"中","高"))))),IF(OR(I1418="ILF",I1418="EIF"),IF(OR(X1418="估算法",X1418="算法类",X1418="无法识别"),"低",IF(M1418&lt;2,IF(N1418&lt;51,"低","中"),IF(M1418&lt;6,IF(N1418&lt;20,"低",IF(N1418&lt;51,"中","高")),IF(N1418&lt;20,"中","高")))),"不计算")))</f>
        <v/>
      </c>
      <c r="P1418" s="142">
        <f>IFERROR(IF(I1418="EI",IF(O1418="低",3,IF(O1418="中",4,6)),IF(I1418="EO",IF(O1418="低",4,IF(O1418="中",5,7)),IF(I1418="EQ",IF(O1418="低",3,IF(O1418="中",4,6)),IF(I1418="ILF",IF(O1418="低",7,IF(O1418="中",10,15)),IF(I1418="EIF",IF(O1418="低",5,IF(O1418="中",7,10)),"不计算")))))*Q1418,"不计算")</f>
        <v/>
      </c>
      <c r="Q1418" s="142" t="n">
        <v>1</v>
      </c>
      <c r="R1418" s="143">
        <f>调整因子!$F$13</f>
        <v/>
      </c>
      <c r="S1418" s="76" t="n">
        <v>1</v>
      </c>
      <c r="T1418" s="144">
        <f>IFERROR(P1418*R1418,0)</f>
        <v/>
      </c>
      <c r="U1418" s="145">
        <f>T1418*S1418</f>
        <v/>
      </c>
      <c r="V1418" s="96" t="inlineStr"/>
      <c r="W1418" s="96" t="inlineStr">
        <is>
          <t>数据记录</t>
        </is>
      </c>
      <c r="X1418" s="111" t="inlineStr">
        <is>
          <t>分布分析表{ID、名称、类型|ID、名称、类型、状态、创建时间、更新时间}</t>
        </is>
      </c>
      <c r="Y1418" s="88">
        <f>IF(COUNTIFS(V:V,"*"&amp;H1418&amp;"*")&gt;0,"存在","不存在")</f>
        <v/>
      </c>
      <c r="Z1418" s="88">
        <f>IF(COUNTIFS(AA:AA,"*"&amp;H1418&amp;"*")&gt;0,"存在","不存在")</f>
        <v/>
      </c>
    </row>
    <row r="1419" hidden="1" ht="21.6" customHeight="1">
      <c r="A1419" s="69">
        <f>ROW()-1</f>
        <v/>
      </c>
      <c r="B1419" s="53" t="n"/>
      <c r="C1419" s="117" t="n">
        <v>2026</v>
      </c>
      <c r="E1419" s="53" t="n"/>
      <c r="F1419" s="53" t="n"/>
      <c r="G1419" s="53" t="n"/>
      <c r="H1419" s="96" t="inlineStr">
        <is>
          <t>统计漏洞分布</t>
        </is>
      </c>
      <c r="I1419" s="76" t="inlineStr">
        <is>
          <t>EO</t>
        </is>
      </c>
      <c r="J1419" s="95" t="n"/>
      <c r="K1419" s="95" t="n"/>
      <c r="L1419" s="83">
        <f>IF(OR(X1419="估算法",X1419="算法类",X1419="无法识别"),"",IF(V1419="",IF(OR(I1419="EI",I1419="EO",I1419="EQ"),0,""),LEN(V1419)-LEN(SUBSTITUTE(V1419,"、",""))+1))</f>
        <v/>
      </c>
      <c r="M1419" s="83">
        <f>IF(OR(X1419="估算法",X1419="算法类",X1419="无法识别"),"",IF(W1419="",IF(OR(I1419="ILF",I1419="EIF"),0,""),LEN(W1419)-LEN(SUBSTITUTE(W1419,"、",""))+1))</f>
        <v/>
      </c>
      <c r="N1419" s="83">
        <f>IF(OR(X1419="估算法",X1419="算法类",X1419="无法识别"),"",IF(X1419="",IF(OR(I1419="ILF",I1419="EIF",I1419="EI",I1419="EO",I1419="EQ"),0,""),LEN(X1419)-LEN(SUBSTITUTE(SUBSTITUTE(SUBSTITUTE(SUBSTITUTE(SUBSTITUTE(X1419,"|}","--"),"{|","--"),CHAR(10),""),"、",""),"|",""))+IF(AND(OR(I1419="EI",I1419="EO",I1419="EQ"),$AD$1="NESMA"),2,1)))</f>
        <v/>
      </c>
      <c r="O1419" s="84">
        <f>IF(I1419="EI",IF(OR(X1419="估算法",X1419="算法类"),"中",IF(X1419="无法识别","低",IF(L1419&lt;2,IF(N1419&lt;16,"低","中"),IF(L1419&lt;3,IF(N1419&lt;5,"低",IF(N1419&lt;16,"中","高")),IF(N1419&lt;5,"中","高"))))),IF(OR(I1419="EO",I1419="EQ"),IF(OR(X1419="估算法",X1419="算法类"),"中",IF(X1419="无法识别","低",IF(L1419&lt;2,IF(N1419&lt;20,"低","中"),IF(L1419&lt;4,IF(N1419&lt;6,"低",IF(N1419&lt;20,"中","高")),IF(N1419&lt;6,"中","高"))))),IF(OR(I1419="ILF",I1419="EIF"),IF(OR(X1419="估算法",X1419="算法类",X1419="无法识别"),"低",IF(M1419&lt;2,IF(N1419&lt;51,"低","中"),IF(M1419&lt;6,IF(N1419&lt;20,"低",IF(N1419&lt;51,"中","高")),IF(N1419&lt;20,"中","高")))),"不计算")))</f>
        <v/>
      </c>
      <c r="P1419" s="142">
        <f>IFERROR(IF(I1419="EI",IF(O1419="低",3,IF(O1419="中",4,6)),IF(I1419="EO",IF(O1419="低",4,IF(O1419="中",5,7)),IF(I1419="EQ",IF(O1419="低",3,IF(O1419="中",4,6)),IF(I1419="ILF",IF(O1419="低",7,IF(O1419="中",10,15)),IF(I1419="EIF",IF(O1419="低",5,IF(O1419="中",7,10)),"不计算")))))*Q1419,"不计算")</f>
        <v/>
      </c>
      <c r="Q1419" s="142" t="n">
        <v>1</v>
      </c>
      <c r="R1419" s="143">
        <f>调整因子!$F$13</f>
        <v/>
      </c>
      <c r="S1419" s="76" t="n">
        <v>1</v>
      </c>
      <c r="T1419" s="144">
        <f>IFERROR(P1419*R1419,0)</f>
        <v/>
      </c>
      <c r="U1419" s="145">
        <f>T1419*S1419</f>
        <v/>
      </c>
      <c r="V1419" s="96" t="inlineStr">
        <is>
          <t>漏洞处置单表</t>
        </is>
      </c>
      <c r="W1419" s="96" t="inlineStr"/>
      <c r="X1419" s="111" t="inlineStr">
        <is>
          <t>漏洞处置单表{漏洞ID、漏洞名称、漏洞等级、漏洞类型、CVE编号、发现时间、修复状态|漏洞ID、漏洞名称、漏洞等级}</t>
        </is>
      </c>
      <c r="Y1419" s="88" t="n"/>
      <c r="Z1419" s="88" t="n"/>
    </row>
    <row r="1420" hidden="1" ht="43.2" customHeight="1">
      <c r="A1420" s="69">
        <f>ROW()-1</f>
        <v/>
      </c>
      <c r="B1420" s="53" t="n"/>
      <c r="C1420" s="117" t="n">
        <v>2026</v>
      </c>
      <c r="E1420" s="53" t="n"/>
      <c r="F1420" s="53" t="n"/>
      <c r="G1420" s="53" t="n"/>
      <c r="H1420" s="96" t="inlineStr">
        <is>
          <t>分析漏洞等级分布</t>
        </is>
      </c>
      <c r="I1420" s="76" t="n"/>
      <c r="J1420" s="95" t="n"/>
      <c r="K1420" s="95" t="inlineStr">
        <is>
          <t>和上行合并</t>
        </is>
      </c>
      <c r="L1420" s="83">
        <f>IF(OR(X1420="估算法",X1420="算法类",X1420="无法识别"),"",IF(V1420="",IF(OR(I1420="EI",I1420="EO",I1420="EQ"),0,""),LEN(V1420)-LEN(SUBSTITUTE(V1420,"、",""))+1))</f>
        <v/>
      </c>
      <c r="M1420" s="83">
        <f>IF(OR(X1420="估算法",X1420="算法类",X1420="无法识别"),"",IF(W1420="",IF(OR(I1420="ILF",I1420="EIF"),0,""),LEN(W1420)-LEN(SUBSTITUTE(W1420,"、",""))+1))</f>
        <v/>
      </c>
      <c r="N1420" s="83">
        <f>IF(OR(X1420="估算法",X1420="算法类",X1420="无法识别"),"",IF(X1420="",IF(OR(I1420="ILF",I1420="EIF",I1420="EI",I1420="EO",I1420="EQ"),0,""),LEN(X1420)-LEN(SUBSTITUTE(SUBSTITUTE(SUBSTITUTE(SUBSTITUTE(SUBSTITUTE(X1420,"|}","--"),"{|","--"),CHAR(10),""),"、",""),"|",""))+IF(AND(OR(I1420="EI",I1420="EO",I1420="EQ"),$AD$1="NESMA"),2,1)))</f>
        <v/>
      </c>
      <c r="O1420" s="84">
        <f>IF(I1420="EI",IF(OR(X1420="估算法",X1420="算法类"),"中",IF(X1420="无法识别","低",IF(L1420&lt;2,IF(N1420&lt;16,"低","中"),IF(L1420&lt;3,IF(N1420&lt;5,"低",IF(N1420&lt;16,"中","高")),IF(N1420&lt;5,"中","高"))))),IF(OR(I1420="EO",I1420="EQ"),IF(OR(X1420="估算法",X1420="算法类"),"中",IF(X1420="无法识别","低",IF(L1420&lt;2,IF(N1420&lt;20,"低","中"),IF(L1420&lt;4,IF(N1420&lt;6,"低",IF(N1420&lt;20,"中","高")),IF(N1420&lt;6,"中","高"))))),IF(OR(I1420="ILF",I1420="EIF"),IF(OR(X1420="估算法",X1420="算法类",X1420="无法识别"),"低",IF(M1420&lt;2,IF(N1420&lt;51,"低","中"),IF(M1420&lt;6,IF(N1420&lt;20,"低",IF(N1420&lt;51,"中","高")),IF(N1420&lt;20,"中","高")))),"不计算")))</f>
        <v/>
      </c>
      <c r="P1420" s="142">
        <f>IFERROR(IF(I1420="EI",IF(O1420="低",3,IF(O1420="中",4,6)),IF(I1420="EO",IF(O1420="低",4,IF(O1420="中",5,7)),IF(I1420="EQ",IF(O1420="低",3,IF(O1420="中",4,6)),IF(I1420="ILF",IF(O1420="低",7,IF(O1420="中",10,15)),IF(I1420="EIF",IF(O1420="低",5,IF(O1420="中",7,10)),"不计算")))))*Q1420,"不计算")</f>
        <v/>
      </c>
      <c r="Q1420" s="142" t="n">
        <v>1</v>
      </c>
      <c r="R1420" s="143">
        <f>调整因子!$F$13</f>
        <v/>
      </c>
      <c r="S1420" s="70" t="n">
        <v>1</v>
      </c>
      <c r="T1420" s="144">
        <f>IFERROR(P1420*R1420,0)</f>
        <v/>
      </c>
      <c r="U1420" s="145">
        <f>T1420*S1420</f>
        <v/>
      </c>
      <c r="V1420" s="96" t="inlineStr">
        <is>
          <t>漏洞处置单表、漏洞统计数据表</t>
        </is>
      </c>
      <c r="W1420" s="96" t="inlineStr"/>
      <c r="X1420" s="111"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Y1420" s="88" t="n"/>
      <c r="Z1420" s="88" t="n"/>
    </row>
    <row r="1421" hidden="1" ht="21.6" customHeight="1">
      <c r="A1421" s="69">
        <f>ROW()-1</f>
        <v/>
      </c>
      <c r="B1421" s="53" t="n"/>
      <c r="C1421" s="117" t="n">
        <v>2026</v>
      </c>
      <c r="E1421" s="53" t="n"/>
      <c r="F1421" s="53" t="n"/>
      <c r="G1421" s="53" t="n"/>
      <c r="H1421" s="96" t="inlineStr">
        <is>
          <t>分析漏洞类型分布</t>
        </is>
      </c>
      <c r="I1421" s="76" t="n"/>
      <c r="J1421" s="95" t="n"/>
      <c r="K1421" s="95" t="inlineStr">
        <is>
          <t>和上行合并</t>
        </is>
      </c>
      <c r="L1421" s="83">
        <f>IF(OR(X1421="估算法",X1421="算法类",X1421="无法识别"),"",IF(V1421="",IF(OR(I1421="EI",I1421="EO",I1421="EQ"),0,""),LEN(V1421)-LEN(SUBSTITUTE(V1421,"、",""))+1))</f>
        <v/>
      </c>
      <c r="M1421" s="83">
        <f>IF(OR(X1421="估算法",X1421="算法类",X1421="无法识别"),"",IF(W1421="",IF(OR(I1421="ILF",I1421="EIF"),0,""),LEN(W1421)-LEN(SUBSTITUTE(W1421,"、",""))+1))</f>
        <v/>
      </c>
      <c r="N1421" s="83">
        <f>IF(OR(X1421="估算法",X1421="算法类",X1421="无法识别"),"",IF(X1421="",IF(OR(I1421="ILF",I1421="EIF",I1421="EI",I1421="EO",I1421="EQ"),0,""),LEN(X1421)-LEN(SUBSTITUTE(SUBSTITUTE(SUBSTITUTE(SUBSTITUTE(SUBSTITUTE(X1421,"|}","--"),"{|","--"),CHAR(10),""),"、",""),"|",""))+IF(AND(OR(I1421="EI",I1421="EO",I1421="EQ"),$AD$1="NESMA"),2,1)))</f>
        <v/>
      </c>
      <c r="O1421" s="84">
        <f>IF(I1421="EI",IF(OR(X1421="估算法",X1421="算法类"),"中",IF(X1421="无法识别","低",IF(L1421&lt;2,IF(N1421&lt;16,"低","中"),IF(L1421&lt;3,IF(N1421&lt;5,"低",IF(N1421&lt;16,"中","高")),IF(N1421&lt;5,"中","高"))))),IF(OR(I1421="EO",I1421="EQ"),IF(OR(X1421="估算法",X1421="算法类"),"中",IF(X1421="无法识别","低",IF(L1421&lt;2,IF(N1421&lt;20,"低","中"),IF(L1421&lt;4,IF(N1421&lt;6,"低",IF(N1421&lt;20,"中","高")),IF(N1421&lt;6,"中","高"))))),IF(OR(I1421="ILF",I1421="EIF"),IF(OR(X1421="估算法",X1421="算法类",X1421="无法识别"),"低",IF(M1421&lt;2,IF(N1421&lt;51,"低","中"),IF(M1421&lt;6,IF(N1421&lt;20,"低",IF(N1421&lt;51,"中","高")),IF(N1421&lt;20,"中","高")))),"不计算")))</f>
        <v/>
      </c>
      <c r="P1421" s="142">
        <f>IFERROR(IF(I1421="EI",IF(O1421="低",3,IF(O1421="中",4,6)),IF(I1421="EO",IF(O1421="低",4,IF(O1421="中",5,7)),IF(I1421="EQ",IF(O1421="低",3,IF(O1421="中",4,6)),IF(I1421="ILF",IF(O1421="低",7,IF(O1421="中",10,15)),IF(I1421="EIF",IF(O1421="低",5,IF(O1421="中",7,10)),"不计算")))))*Q1421,"不计算")</f>
        <v/>
      </c>
      <c r="Q1421" s="142" t="n">
        <v>1</v>
      </c>
      <c r="R1421" s="143">
        <f>调整因子!$F$13</f>
        <v/>
      </c>
      <c r="S1421" s="70" t="n">
        <v>1</v>
      </c>
      <c r="T1421" s="144">
        <f>IFERROR(P1421*R1421,0)</f>
        <v/>
      </c>
      <c r="U1421" s="145">
        <f>T1421*S1421</f>
        <v/>
      </c>
      <c r="V1421" s="96" t="inlineStr">
        <is>
          <t>漏洞处置单表</t>
        </is>
      </c>
      <c r="W1421" s="96" t="inlineStr"/>
      <c r="X1421" s="111" t="inlineStr">
        <is>
          <t>漏洞处置单表{漏洞ID、漏洞名称、漏洞等级、漏洞类型、CVE编号、发现时间、修复状态|漏洞ID、漏洞名称、漏洞等级}</t>
        </is>
      </c>
      <c r="Y1421" s="88" t="n"/>
      <c r="Z1421" s="88" t="n"/>
    </row>
    <row r="1422" hidden="1" ht="43.2" customHeight="1">
      <c r="A1422" s="69">
        <f>ROW()-1</f>
        <v/>
      </c>
      <c r="B1422" s="53" t="n"/>
      <c r="C1422" s="117" t="n">
        <v>2026</v>
      </c>
      <c r="E1422" s="53" t="n"/>
      <c r="F1422" s="53" t="n"/>
      <c r="G1422" s="53" t="n"/>
      <c r="H1422" s="96" t="inlineStr">
        <is>
          <t>分析资产漏洞分布</t>
        </is>
      </c>
      <c r="I1422" s="76" t="n"/>
      <c r="J1422" s="95" t="n"/>
      <c r="K1422" s="95" t="inlineStr">
        <is>
          <t>和上行合并</t>
        </is>
      </c>
      <c r="L1422" s="83">
        <f>IF(OR(X1422="估算法",X1422="算法类",X1422="无法识别"),"",IF(V1422="",IF(OR(I1422="EI",I1422="EO",I1422="EQ"),0,""),LEN(V1422)-LEN(SUBSTITUTE(V1422,"、",""))+1))</f>
        <v/>
      </c>
      <c r="M1422" s="83">
        <f>IF(OR(X1422="估算法",X1422="算法类",X1422="无法识别"),"",IF(W1422="",IF(OR(I1422="ILF",I1422="EIF"),0,""),LEN(W1422)-LEN(SUBSTITUTE(W1422,"、",""))+1))</f>
        <v/>
      </c>
      <c r="N1422" s="83">
        <f>IF(OR(X1422="估算法",X1422="算法类",X1422="无法识别"),"",IF(X1422="",IF(OR(I1422="ILF",I1422="EIF",I1422="EI",I1422="EO",I1422="EQ"),0,""),LEN(X1422)-LEN(SUBSTITUTE(SUBSTITUTE(SUBSTITUTE(SUBSTITUTE(SUBSTITUTE(X1422,"|}","--"),"{|","--"),CHAR(10),""),"、",""),"|",""))+IF(AND(OR(I1422="EI",I1422="EO",I1422="EQ"),$AD$1="NESMA"),2,1)))</f>
        <v/>
      </c>
      <c r="O1422" s="84">
        <f>IF(I1422="EI",IF(OR(X1422="估算法",X1422="算法类"),"中",IF(X1422="无法识别","低",IF(L1422&lt;2,IF(N1422&lt;16,"低","中"),IF(L1422&lt;3,IF(N1422&lt;5,"低",IF(N1422&lt;16,"中","高")),IF(N1422&lt;5,"中","高"))))),IF(OR(I1422="EO",I1422="EQ"),IF(OR(X1422="估算法",X1422="算法类"),"中",IF(X1422="无法识别","低",IF(L1422&lt;2,IF(N1422&lt;20,"低","中"),IF(L1422&lt;4,IF(N1422&lt;6,"低",IF(N1422&lt;20,"中","高")),IF(N1422&lt;6,"中","高"))))),IF(OR(I1422="ILF",I1422="EIF"),IF(OR(X1422="估算法",X1422="算法类",X1422="无法识别"),"低",IF(M1422&lt;2,IF(N1422&lt;51,"低","中"),IF(M1422&lt;6,IF(N1422&lt;20,"低",IF(N1422&lt;51,"中","高")),IF(N1422&lt;20,"中","高")))),"不计算")))</f>
        <v/>
      </c>
      <c r="P1422" s="142">
        <f>IFERROR(IF(I1422="EI",IF(O1422="低",3,IF(O1422="中",4,6)),IF(I1422="EO",IF(O1422="低",4,IF(O1422="中",5,7)),IF(I1422="EQ",IF(O1422="低",3,IF(O1422="中",4,6)),IF(I1422="ILF",IF(O1422="低",7,IF(O1422="中",10,15)),IF(I1422="EIF",IF(O1422="低",5,IF(O1422="中",7,10)),"不计算")))))*Q1422,"不计算")</f>
        <v/>
      </c>
      <c r="Q1422" s="142" t="n">
        <v>1</v>
      </c>
      <c r="R1422" s="143">
        <f>调整因子!$F$13</f>
        <v/>
      </c>
      <c r="S1422" s="76" t="n">
        <v>1</v>
      </c>
      <c r="T1422" s="144">
        <f>IFERROR(P1422*R1422,0)</f>
        <v/>
      </c>
      <c r="U1422" s="145">
        <f>T1422*S1422</f>
        <v/>
      </c>
      <c r="V1422" s="96" t="inlineStr">
        <is>
          <t>资产同步任务表、资产扫描覆盖表</t>
        </is>
      </c>
      <c r="W1422" s="96" t="inlineStr"/>
      <c r="X1422" s="111" t="inlineStr">
        <is>
          <t>资产同步任务表{资产ID、资产名称、IP地址、资产类型、资产状态、创建时间、更新时间|资产ID、资产名称、IP地址}
资产扫描覆盖表{资产ID、资产名称、IP地址、资产类型、资产状态、创建时间、更新时间|资产ID、资产名称、IP地址}</t>
        </is>
      </c>
      <c r="Y1422" s="88" t="n"/>
      <c r="Z1422" s="88" t="n"/>
    </row>
    <row r="1423" hidden="1" ht="21.6" customHeight="1">
      <c r="A1423" s="69">
        <f>ROW()-1</f>
        <v/>
      </c>
      <c r="B1423" s="53" t="n"/>
      <c r="C1423" s="117" t="n">
        <v>2026</v>
      </c>
      <c r="E1423" s="53" t="n"/>
      <c r="F1423" s="53" t="n"/>
      <c r="G1423" s="53" t="n"/>
      <c r="H1423" s="96" t="inlineStr">
        <is>
          <t>生成分布报表</t>
        </is>
      </c>
      <c r="I1423" s="76" t="n"/>
      <c r="J1423" s="95" t="n"/>
      <c r="K1423" s="95" t="inlineStr">
        <is>
          <t>和上行合并</t>
        </is>
      </c>
      <c r="L1423" s="83">
        <f>IF(OR(X1423="估算法",X1423="算法类",X1423="无法识别"),"",IF(V1423="",IF(OR(I1423="EI",I1423="EO",I1423="EQ"),0,""),LEN(V1423)-LEN(SUBSTITUTE(V1423,"、",""))+1))</f>
        <v/>
      </c>
      <c r="M1423" s="83">
        <f>IF(OR(X1423="估算法",X1423="算法类",X1423="无法识别"),"",IF(W1423="",IF(OR(I1423="ILF",I1423="EIF"),0,""),LEN(W1423)-LEN(SUBSTITUTE(W1423,"、",""))+1))</f>
        <v/>
      </c>
      <c r="N1423" s="83">
        <f>IF(OR(X1423="估算法",X1423="算法类",X1423="无法识别"),"",IF(X1423="",IF(OR(I1423="ILF",I1423="EIF",I1423="EI",I1423="EO",I1423="EQ"),0,""),LEN(X1423)-LEN(SUBSTITUTE(SUBSTITUTE(SUBSTITUTE(SUBSTITUTE(SUBSTITUTE(X1423,"|}","--"),"{|","--"),CHAR(10),""),"、",""),"|",""))+IF(AND(OR(I1423="EI",I1423="EO",I1423="EQ"),$AD$1="NESMA"),2,1)))</f>
        <v/>
      </c>
      <c r="O1423" s="84">
        <f>IF(I1423="EI",IF(OR(X1423="估算法",X1423="算法类"),"中",IF(X1423="无法识别","低",IF(L1423&lt;2,IF(N1423&lt;16,"低","中"),IF(L1423&lt;3,IF(N1423&lt;5,"低",IF(N1423&lt;16,"中","高")),IF(N1423&lt;5,"中","高"))))),IF(OR(I1423="EO",I1423="EQ"),IF(OR(X1423="估算法",X1423="算法类"),"中",IF(X1423="无法识别","低",IF(L1423&lt;2,IF(N1423&lt;20,"低","中"),IF(L1423&lt;4,IF(N1423&lt;6,"低",IF(N1423&lt;20,"中","高")),IF(N1423&lt;6,"中","高"))))),IF(OR(I1423="ILF",I1423="EIF"),IF(OR(X1423="估算法",X1423="算法类",X1423="无法识别"),"低",IF(M1423&lt;2,IF(N1423&lt;51,"低","中"),IF(M1423&lt;6,IF(N1423&lt;20,"低",IF(N1423&lt;51,"中","高")),IF(N1423&lt;20,"中","高")))),"不计算")))</f>
        <v/>
      </c>
      <c r="P1423" s="142">
        <f>IFERROR(IF(I1423="EI",IF(O1423="低",3,IF(O1423="中",4,6)),IF(I1423="EO",IF(O1423="低",4,IF(O1423="中",5,7)),IF(I1423="EQ",IF(O1423="低",3,IF(O1423="中",4,6)),IF(I1423="ILF",IF(O1423="低",7,IF(O1423="中",10,15)),IF(I1423="EIF",IF(O1423="低",5,IF(O1423="中",7,10)),"不计算")))))*Q1423,"不计算")</f>
        <v/>
      </c>
      <c r="Q1423" s="142" t="n">
        <v>1</v>
      </c>
      <c r="R1423" s="143">
        <f>调整因子!$F$13</f>
        <v/>
      </c>
      <c r="S1423" s="70" t="n">
        <v>1</v>
      </c>
      <c r="T1423" s="144">
        <f>IFERROR(P1423*R1423,0)</f>
        <v/>
      </c>
      <c r="U1423" s="145">
        <f>T1423*S1423</f>
        <v/>
      </c>
      <c r="V1423" s="96" t="inlineStr">
        <is>
          <t>报表模板表</t>
        </is>
      </c>
      <c r="W1423" s="96" t="inlineStr"/>
      <c r="X1423" s="111" t="inlineStr">
        <is>
          <t>报表模板表{报表ID、报表名称、报表类型、生成时间、报表内容|报表ID、报表名称、报表类型}</t>
        </is>
      </c>
      <c r="Y1423" s="88" t="n"/>
      <c r="Z1423" s="88" t="n"/>
    </row>
    <row r="1424" hidden="1" ht="32.4" customHeight="1">
      <c r="A1424" s="69">
        <f>ROW()-1</f>
        <v/>
      </c>
      <c r="B1424" s="53" t="n"/>
      <c r="C1424" s="117" t="n">
        <v>2026</v>
      </c>
      <c r="E1424" s="53" t="n"/>
      <c r="F1424" s="53" t="n"/>
      <c r="G1424" s="53" t="n"/>
      <c r="H1424" s="96" t="inlineStr">
        <is>
          <t>导出统计报表</t>
        </is>
      </c>
      <c r="I1424" s="76" t="inlineStr">
        <is>
          <t>EO</t>
        </is>
      </c>
      <c r="J1424" s="95" t="n"/>
      <c r="K1424" s="95" t="n"/>
      <c r="L1424" s="83">
        <f>IF(OR(X1424="估算法",X1424="算法类",X1424="无法识别"),"",IF(V1424="",IF(OR(I1424="EI",I1424="EO",I1424="EQ"),0,""),LEN(V1424)-LEN(SUBSTITUTE(V1424,"、",""))+1))</f>
        <v/>
      </c>
      <c r="M1424" s="83">
        <f>IF(OR(X1424="估算法",X1424="算法类",X1424="无法识别"),"",IF(W1424="",IF(OR(I1424="ILF",I1424="EIF"),0,""),LEN(W1424)-LEN(SUBSTITUTE(W1424,"、",""))+1))</f>
        <v/>
      </c>
      <c r="N1424" s="83">
        <f>IF(OR(X1424="估算法",X1424="算法类",X1424="无法识别"),"",IF(X1424="",IF(OR(I1424="ILF",I1424="EIF",I1424="EI",I1424="EO",I1424="EQ"),0,""),LEN(X1424)-LEN(SUBSTITUTE(SUBSTITUTE(SUBSTITUTE(SUBSTITUTE(SUBSTITUTE(X1424,"|}","--"),"{|","--"),CHAR(10),""),"、",""),"|",""))+IF(AND(OR(I1424="EI",I1424="EO",I1424="EQ"),$AD$1="NESMA"),2,1)))</f>
        <v/>
      </c>
      <c r="O1424" s="84">
        <f>IF(I1424="EI",IF(OR(X1424="估算法",X1424="算法类"),"中",IF(X1424="无法识别","低",IF(L1424&lt;2,IF(N1424&lt;16,"低","中"),IF(L1424&lt;3,IF(N1424&lt;5,"低",IF(N1424&lt;16,"中","高")),IF(N1424&lt;5,"中","高"))))),IF(OR(I1424="EO",I1424="EQ"),IF(OR(X1424="估算法",X1424="算法类"),"中",IF(X1424="无法识别","低",IF(L1424&lt;2,IF(N1424&lt;20,"低","中"),IF(L1424&lt;4,IF(N1424&lt;6,"低",IF(N1424&lt;20,"中","高")),IF(N1424&lt;6,"中","高"))))),IF(OR(I1424="ILF",I1424="EIF"),IF(OR(X1424="估算法",X1424="算法类",X1424="无法识别"),"低",IF(M1424&lt;2,IF(N1424&lt;51,"低","中"),IF(M1424&lt;6,IF(N1424&lt;20,"低",IF(N1424&lt;51,"中","高")),IF(N1424&lt;20,"中","高")))),"不计算")))</f>
        <v/>
      </c>
      <c r="P1424" s="142">
        <f>IFERROR(IF(I1424="EI",IF(O1424="低",3,IF(O1424="中",4,6)),IF(I1424="EO",IF(O1424="低",4,IF(O1424="中",5,7)),IF(I1424="EQ",IF(O1424="低",3,IF(O1424="中",4,6)),IF(I1424="ILF",IF(O1424="低",7,IF(O1424="中",10,15)),IF(I1424="EIF",IF(O1424="低",5,IF(O1424="中",7,10)),"不计算")))))*Q1424,"不计算")</f>
        <v/>
      </c>
      <c r="Q1424" s="142" t="n">
        <v>1</v>
      </c>
      <c r="R1424" s="143">
        <f>调整因子!$F$13</f>
        <v/>
      </c>
      <c r="S1424" s="70" t="n">
        <v>1</v>
      </c>
      <c r="T1424" s="144">
        <f>IFERROR(P1424*R1424,0)</f>
        <v/>
      </c>
      <c r="U1424" s="145">
        <f>T1424*S1424</f>
        <v/>
      </c>
      <c r="V1424" s="96" t="inlineStr">
        <is>
          <t>报表模板表、数据清洗任务表</t>
        </is>
      </c>
      <c r="W1424" s="96" t="inlineStr"/>
      <c r="X1424" s="111" t="inlineStr">
        <is>
          <t>报表模板表{报表ID、报表名称|报表ID、报表名称、报表类型、生成时间、报表内容}
数据清洗任务表{任务ID、任务名称|任务ID、任务名称、任务类型、任务状态、创建时间、执行时间}</t>
        </is>
      </c>
      <c r="Y1424" s="88" t="n"/>
      <c r="Z1424" s="88" t="n"/>
    </row>
    <row r="1425" hidden="1" ht="21.6" customHeight="1">
      <c r="A1425" s="69">
        <f>ROW()-1</f>
        <v/>
      </c>
      <c r="B1425" s="53" t="n"/>
      <c r="C1425" s="117" t="n">
        <v>2026</v>
      </c>
      <c r="E1425" s="53" t="n"/>
      <c r="F1425" s="53" t="n"/>
      <c r="G1425" s="53" t="n"/>
      <c r="H1425" s="96" t="inlineStr">
        <is>
          <t>下载分析报告</t>
        </is>
      </c>
      <c r="I1425" s="76" t="inlineStr">
        <is>
          <t>EO</t>
        </is>
      </c>
      <c r="J1425" s="95" t="n"/>
      <c r="K1425" s="95" t="n"/>
      <c r="L1425" s="83">
        <f>IF(OR(X1425="估算法",X1425="算法类",X1425="无法识别"),"",IF(V1425="",IF(OR(I1425="EI",I1425="EO",I1425="EQ"),0,""),LEN(V1425)-LEN(SUBSTITUTE(V1425,"、",""))+1))</f>
        <v/>
      </c>
      <c r="M1425" s="83">
        <f>IF(OR(X1425="估算法",X1425="算法类",X1425="无法识别"),"",IF(W1425="",IF(OR(I1425="ILF",I1425="EIF"),0,""),LEN(W1425)-LEN(SUBSTITUTE(W1425,"、",""))+1))</f>
        <v/>
      </c>
      <c r="N1425" s="83">
        <f>IF(OR(X1425="估算法",X1425="算法类",X1425="无法识别"),"",IF(X1425="",IF(OR(I1425="ILF",I1425="EIF",I1425="EI",I1425="EO",I1425="EQ"),0,""),LEN(X1425)-LEN(SUBSTITUTE(SUBSTITUTE(SUBSTITUTE(SUBSTITUTE(SUBSTITUTE(X1425,"|}","--"),"{|","--"),CHAR(10),""),"、",""),"|",""))+IF(AND(OR(I1425="EI",I1425="EO",I1425="EQ"),$AD$1="NESMA"),2,1)))</f>
        <v/>
      </c>
      <c r="O1425" s="84">
        <f>IF(I1425="EI",IF(OR(X1425="估算法",X1425="算法类"),"中",IF(X1425="无法识别","低",IF(L1425&lt;2,IF(N1425&lt;16,"低","中"),IF(L1425&lt;3,IF(N1425&lt;5,"低",IF(N1425&lt;16,"中","高")),IF(N1425&lt;5,"中","高"))))),IF(OR(I1425="EO",I1425="EQ"),IF(OR(X1425="估算法",X1425="算法类"),"中",IF(X1425="无法识别","低",IF(L1425&lt;2,IF(N1425&lt;20,"低","中"),IF(L1425&lt;4,IF(N1425&lt;6,"低",IF(N1425&lt;20,"中","高")),IF(N1425&lt;6,"中","高"))))),IF(OR(I1425="ILF",I1425="EIF"),IF(OR(X1425="估算法",X1425="算法类",X1425="无法识别"),"低",IF(M1425&lt;2,IF(N1425&lt;51,"低","中"),IF(M1425&lt;6,IF(N1425&lt;20,"低",IF(N1425&lt;51,"中","高")),IF(N1425&lt;20,"中","高")))),"不计算")))</f>
        <v/>
      </c>
      <c r="P1425" s="142">
        <f>IFERROR(IF(I1425="EI",IF(O1425="低",3,IF(O1425="中",4,6)),IF(I1425="EO",IF(O1425="低",4,IF(O1425="中",5,7)),IF(I1425="EQ",IF(O1425="低",3,IF(O1425="中",4,6)),IF(I1425="ILF",IF(O1425="低",7,IF(O1425="中",10,15)),IF(I1425="EIF",IF(O1425="低",5,IF(O1425="中",7,10)),"不计算")))))*Q1425,"不计算")</f>
        <v/>
      </c>
      <c r="Q1425" s="142" t="n">
        <v>1</v>
      </c>
      <c r="R1425" s="143">
        <f>调整因子!$F$13</f>
        <v/>
      </c>
      <c r="S1425" s="76" t="n">
        <v>1</v>
      </c>
      <c r="T1425" s="144">
        <f>IFERROR(P1425*R1425,0)</f>
        <v/>
      </c>
      <c r="U1425" s="145">
        <f>T1425*S1425</f>
        <v/>
      </c>
      <c r="V1425" s="96" t="inlineStr">
        <is>
          <t>处置单关联表、通报配置表</t>
        </is>
      </c>
      <c r="W1425" s="96" t="inlineStr"/>
      <c r="X1425" s="111" t="inlineStr">
        <is>
          <t>处置单关联表{ID、名称|ID、名称、类型、状态、创建时间、更新时间}
通报配置表{配置ID、配置名称|配置ID、配置名称、配置类型、配置值、创建时间}</t>
        </is>
      </c>
      <c r="Y1425" s="88" t="n"/>
      <c r="Z1425" s="88" t="n"/>
    </row>
    <row r="1426" hidden="1" ht="21.6" customHeight="1">
      <c r="A1426" s="69">
        <f>ROW()-1</f>
        <v/>
      </c>
      <c r="B1426" s="53" t="n"/>
      <c r="C1426" s="117" t="n">
        <v>2026</v>
      </c>
      <c r="E1426" s="53" t="n"/>
      <c r="F1426" s="53" t="n"/>
      <c r="G1426" s="53" t="n"/>
      <c r="H1426" s="96" t="inlineStr">
        <is>
          <t>查询分布统计</t>
        </is>
      </c>
      <c r="I1426" s="76" t="inlineStr">
        <is>
          <t>EQ</t>
        </is>
      </c>
      <c r="J1426" s="95" t="n"/>
      <c r="K1426" s="95" t="n"/>
      <c r="L1426" s="83">
        <f>IF(OR(X1426="估算法",X1426="算法类",X1426="无法识别"),"",IF(V1426="",IF(OR(I1426="EI",I1426="EO",I1426="EQ"),0,""),LEN(V1426)-LEN(SUBSTITUTE(V1426,"、",""))+1))</f>
        <v/>
      </c>
      <c r="M1426" s="83">
        <f>IF(OR(X1426="估算法",X1426="算法类",X1426="无法识别"),"",IF(W1426="",IF(OR(I1426="ILF",I1426="EIF"),0,""),LEN(W1426)-LEN(SUBSTITUTE(W1426,"、",""))+1))</f>
        <v/>
      </c>
      <c r="N1426" s="83">
        <f>IF(OR(X1426="估算法",X1426="算法类",X1426="无法识别"),"",IF(X1426="",IF(OR(I1426="ILF",I1426="EIF",I1426="EI",I1426="EO",I1426="EQ"),0,""),LEN(X1426)-LEN(SUBSTITUTE(SUBSTITUTE(SUBSTITUTE(SUBSTITUTE(SUBSTITUTE(X1426,"|}","--"),"{|","--"),CHAR(10),""),"、",""),"|",""))+IF(AND(OR(I1426="EI",I1426="EO",I1426="EQ"),$AD$1="NESMA"),2,1)))</f>
        <v/>
      </c>
      <c r="O1426" s="84">
        <f>IF(I1426="EI",IF(OR(X1426="估算法",X1426="算法类"),"中",IF(X1426="无法识别","低",IF(L1426&lt;2,IF(N1426&lt;16,"低","中"),IF(L1426&lt;3,IF(N1426&lt;5,"低",IF(N1426&lt;16,"中","高")),IF(N1426&lt;5,"中","高"))))),IF(OR(I1426="EO",I1426="EQ"),IF(OR(X1426="估算法",X1426="算法类"),"中",IF(X1426="无法识别","低",IF(L1426&lt;2,IF(N1426&lt;20,"低","中"),IF(L1426&lt;4,IF(N1426&lt;6,"低",IF(N1426&lt;20,"中","高")),IF(N1426&lt;6,"中","高"))))),IF(OR(I1426="ILF",I1426="EIF"),IF(OR(X1426="估算法",X1426="算法类",X1426="无法识别"),"低",IF(M1426&lt;2,IF(N1426&lt;51,"低","中"),IF(M1426&lt;6,IF(N1426&lt;20,"低",IF(N1426&lt;51,"中","高")),IF(N1426&lt;20,"中","高")))),"不计算")))</f>
        <v/>
      </c>
      <c r="P1426" s="142">
        <f>IFERROR(IF(I1426="EI",IF(O1426="低",3,IF(O1426="中",4,6)),IF(I1426="EO",IF(O1426="低",4,IF(O1426="中",5,7)),IF(I1426="EQ",IF(O1426="低",3,IF(O1426="中",4,6)),IF(I1426="ILF",IF(O1426="低",7,IF(O1426="中",10,15)),IF(I1426="EIF",IF(O1426="低",5,IF(O1426="中",7,10)),"不计算")))))*Q1426,"不计算")</f>
        <v/>
      </c>
      <c r="Q1426" s="142" t="n">
        <v>1</v>
      </c>
      <c r="R1426" s="143">
        <f>调整因子!$F$13</f>
        <v/>
      </c>
      <c r="S1426" s="76" t="n">
        <v>1</v>
      </c>
      <c r="T1426" s="144">
        <f>IFERROR(P1426*R1426,0)</f>
        <v/>
      </c>
      <c r="U1426" s="145">
        <f>T1426*S1426</f>
        <v/>
      </c>
      <c r="V1426" s="96" t="inlineStr">
        <is>
          <t>模板配置表、推送配置表</t>
        </is>
      </c>
      <c r="W1426" s="96" t="inlineStr"/>
      <c r="X1426" s="111" t="inlineStr">
        <is>
          <t>模板配置表{配置ID、配置名称|配置ID、配置名称、配置类型、配置值、创建时间}
推送配置表{配置ID、配置名称|配置ID、配置名称、配置类型、配置值、创建时间}</t>
        </is>
      </c>
      <c r="Y1426" s="88" t="n"/>
      <c r="Z1426" s="88" t="n"/>
    </row>
    <row r="1427" hidden="1" ht="32.4" customHeight="1">
      <c r="A1427" s="69">
        <f>ROW()-1</f>
        <v/>
      </c>
      <c r="B1427" s="53" t="n"/>
      <c r="C1427" s="117" t="n">
        <v>2026</v>
      </c>
      <c r="E1427" s="53" t="n"/>
      <c r="F1427" s="53" t="n"/>
      <c r="G1427" s="54" t="n"/>
      <c r="H1427" s="96" t="inlineStr">
        <is>
          <t>查看分布详情</t>
        </is>
      </c>
      <c r="I1427" s="76" t="inlineStr">
        <is>
          <t>EQ</t>
        </is>
      </c>
      <c r="J1427" s="95" t="n"/>
      <c r="K1427" s="95" t="n"/>
      <c r="L1427" s="83">
        <f>IF(OR(X1427="估算法",X1427="算法类",X1427="无法识别"),"",IF(V1427="",IF(OR(I1427="EI",I1427="EO",I1427="EQ"),0,""),LEN(V1427)-LEN(SUBSTITUTE(V1427,"、",""))+1))</f>
        <v/>
      </c>
      <c r="M1427" s="83">
        <f>IF(OR(X1427="估算法",X1427="算法类",X1427="无法识别"),"",IF(W1427="",IF(OR(I1427="ILF",I1427="EIF"),0,""),LEN(W1427)-LEN(SUBSTITUTE(W1427,"、",""))+1))</f>
        <v/>
      </c>
      <c r="N1427" s="83">
        <f>IF(OR(X1427="估算法",X1427="算法类",X1427="无法识别"),"",IF(X1427="",IF(OR(I1427="ILF",I1427="EIF",I1427="EI",I1427="EO",I1427="EQ"),0,""),LEN(X1427)-LEN(SUBSTITUTE(SUBSTITUTE(SUBSTITUTE(SUBSTITUTE(SUBSTITUTE(X1427,"|}","--"),"{|","--"),CHAR(10),""),"、",""),"|",""))+IF(AND(OR(I1427="EI",I1427="EO",I1427="EQ"),$AD$1="NESMA"),2,1)))</f>
        <v/>
      </c>
      <c r="O1427" s="84">
        <f>IF(I1427="EI",IF(OR(X1427="估算法",X1427="算法类"),"中",IF(X1427="无法识别","低",IF(L1427&lt;2,IF(N1427&lt;16,"低","中"),IF(L1427&lt;3,IF(N1427&lt;5,"低",IF(N1427&lt;16,"中","高")),IF(N1427&lt;5,"中","高"))))),IF(OR(I1427="EO",I1427="EQ"),IF(OR(X1427="估算法",X1427="算法类"),"中",IF(X1427="无法识别","低",IF(L1427&lt;2,IF(N1427&lt;20,"低","中"),IF(L1427&lt;4,IF(N1427&lt;6,"低",IF(N1427&lt;20,"中","高")),IF(N1427&lt;6,"中","高"))))),IF(OR(I1427="ILF",I1427="EIF"),IF(OR(X1427="估算法",X1427="算法类",X1427="无法识别"),"低",IF(M1427&lt;2,IF(N1427&lt;51,"低","中"),IF(M1427&lt;6,IF(N1427&lt;20,"低",IF(N1427&lt;51,"中","高")),IF(N1427&lt;20,"中","高")))),"不计算")))</f>
        <v/>
      </c>
      <c r="P1427" s="142">
        <f>IFERROR(IF(I1427="EI",IF(O1427="低",3,IF(O1427="中",4,6)),IF(I1427="EO",IF(O1427="低",4,IF(O1427="中",5,7)),IF(I1427="EQ",IF(O1427="低",3,IF(O1427="中",4,6)),IF(I1427="ILF",IF(O1427="低",7,IF(O1427="中",10,15)),IF(I1427="EIF",IF(O1427="低",5,IF(O1427="中",7,10)),"不计算")))))*Q1427,"不计算")</f>
        <v/>
      </c>
      <c r="Q1427" s="142" t="n">
        <v>1</v>
      </c>
      <c r="R1427" s="143">
        <f>调整因子!$F$13</f>
        <v/>
      </c>
      <c r="S1427" s="70" t="n">
        <v>1</v>
      </c>
      <c r="T1427" s="144">
        <f>IFERROR(P1427*R1427,0)</f>
        <v/>
      </c>
      <c r="U1427" s="145">
        <f>T1427*S1427</f>
        <v/>
      </c>
      <c r="V1427" s="96" t="inlineStr">
        <is>
          <t>模板配置表、验证任务表</t>
        </is>
      </c>
      <c r="W1427" s="96" t="inlineStr"/>
      <c r="X1427" s="111" t="inlineStr">
        <is>
          <t>模板配置表{配置ID、配置名称|配置ID、配置名称、配置类型、配置值、创建时间}
验证任务表{任务ID、任务名称|任务ID、任务名称、任务类型、任务状态、创建时间、执行时间}</t>
        </is>
      </c>
      <c r="Y1427" s="88" t="n"/>
      <c r="Z1427" s="88" t="n"/>
    </row>
    <row r="1428" hidden="1" ht="21.6" customHeight="1">
      <c r="A1428" s="69">
        <f>ROW()-1</f>
        <v/>
      </c>
      <c r="B1428" s="53" t="n"/>
      <c r="C1428" s="117" t="n">
        <v>2026</v>
      </c>
      <c r="E1428" s="53" t="n"/>
      <c r="F1428" s="53" t="n"/>
      <c r="G1428" s="111" t="inlineStr">
        <is>
          <t>漏洞趋势分析</t>
        </is>
      </c>
      <c r="H1428" s="96" t="inlineStr">
        <is>
          <t>漏洞趋势数据表</t>
        </is>
      </c>
      <c r="I1428" s="76" t="inlineStr">
        <is>
          <t>ILF</t>
        </is>
      </c>
      <c r="J1428" s="108" t="n"/>
      <c r="K1428" s="108" t="inlineStr">
        <is>
          <t>数据库表未被本系统所维护</t>
        </is>
      </c>
      <c r="L1428" s="83">
        <f>IF(OR(X1428="估算法",X1428="算法类",X1428="无法识别"),"",IF(V1428="",IF(OR(I1428="EI",I1428="EO",I1428="EQ"),0,""),LEN(V1428)-LEN(SUBSTITUTE(V1428,"、",""))+1))</f>
        <v/>
      </c>
      <c r="M1428" s="83">
        <f>IF(OR(X1428="估算法",X1428="算法类",X1428="无法识别"),"",IF(W1428="",IF(OR(I1428="ILF",I1428="EIF"),0,""),LEN(W1428)-LEN(SUBSTITUTE(W1428,"、",""))+1))</f>
        <v/>
      </c>
      <c r="N1428" s="83">
        <f>IF(OR(X1428="估算法",X1428="算法类",X1428="无法识别"),"",IF(X1428="",IF(OR(I1428="ILF",I1428="EIF",I1428="EI",I1428="EO",I1428="EQ"),0,""),LEN(X1428)-LEN(SUBSTITUTE(SUBSTITUTE(SUBSTITUTE(SUBSTITUTE(SUBSTITUTE(X1428,"|}","--"),"{|","--"),CHAR(10),""),"、",""),"|",""))+IF(AND(OR(I1428="EI",I1428="EO",I1428="EQ"),$AD$1="NESMA"),2,1)))</f>
        <v/>
      </c>
      <c r="O1428" s="84">
        <f>IF(I1428="EI",IF(OR(X1428="估算法",X1428="算法类"),"中",IF(X1428="无法识别","低",IF(L1428&lt;2,IF(N1428&lt;16,"低","中"),IF(L1428&lt;3,IF(N1428&lt;5,"低",IF(N1428&lt;16,"中","高")),IF(N1428&lt;5,"中","高"))))),IF(OR(I1428="EO",I1428="EQ"),IF(OR(X1428="估算法",X1428="算法类"),"中",IF(X1428="无法识别","低",IF(L1428&lt;2,IF(N1428&lt;20,"低","中"),IF(L1428&lt;4,IF(N1428&lt;6,"低",IF(N1428&lt;20,"中","高")),IF(N1428&lt;6,"中","高"))))),IF(OR(I1428="ILF",I1428="EIF"),IF(OR(X1428="估算法",X1428="算法类",X1428="无法识别"),"低",IF(M1428&lt;2,IF(N1428&lt;51,"低","中"),IF(M1428&lt;6,IF(N1428&lt;20,"低",IF(N1428&lt;51,"中","高")),IF(N1428&lt;20,"中","高")))),"不计算")))</f>
        <v/>
      </c>
      <c r="P1428" s="142">
        <f>IFERROR(IF(I1428="EI",IF(O1428="低",3,IF(O1428="中",4,6)),IF(I1428="EO",IF(O1428="低",4,IF(O1428="中",5,7)),IF(I1428="EQ",IF(O1428="低",3,IF(O1428="中",4,6)),IF(I1428="ILF",IF(O1428="低",7,IF(O1428="中",10,15)),IF(I1428="EIF",IF(O1428="低",5,IF(O1428="中",7,10)),"不计算")))))*Q1428,"不计算")</f>
        <v/>
      </c>
      <c r="Q1428" s="142" t="n">
        <v>0</v>
      </c>
      <c r="R1428" s="143">
        <f>调整因子!$F$13</f>
        <v/>
      </c>
      <c r="S1428" s="70" t="n">
        <v>1</v>
      </c>
      <c r="T1428" s="144">
        <f>IFERROR(P1428*R1428,0)</f>
        <v/>
      </c>
      <c r="U1428" s="145">
        <f>T1428*S1428</f>
        <v/>
      </c>
      <c r="V1428" s="96" t="inlineStr"/>
      <c r="W1428" s="96" t="inlineStr">
        <is>
          <t>系统漏洞、Web漏洞、弱口令</t>
        </is>
      </c>
      <c r="X1428" s="111" t="inlineStr">
        <is>
          <t>漏洞趋势数据表{漏洞ID、漏洞名称、漏洞等级|漏洞ID、漏洞名称、漏洞等级、漏洞类型、CVE编号、发现时间、修复状态}</t>
        </is>
      </c>
      <c r="Y1428" s="88">
        <f>IF(COUNTIFS(V:V,"*"&amp;H1428&amp;"*")&gt;0,"存在","不存在")</f>
        <v/>
      </c>
      <c r="Z1428" s="88">
        <f>IF(COUNTIFS(AA:AA,"*"&amp;H1428&amp;"*")&gt;0,"存在","不存在")</f>
        <v/>
      </c>
    </row>
    <row r="1429" hidden="1" ht="21.6" customHeight="1">
      <c r="A1429" s="69">
        <f>ROW()-1</f>
        <v/>
      </c>
      <c r="B1429" s="53" t="n"/>
      <c r="C1429" s="117" t="n">
        <v>2026</v>
      </c>
      <c r="E1429" s="53" t="n"/>
      <c r="F1429" s="53" t="n"/>
      <c r="G1429" s="53" t="n"/>
      <c r="H1429" s="96" t="inlineStr">
        <is>
          <t>导出趋势图表</t>
        </is>
      </c>
      <c r="I1429" s="76" t="inlineStr">
        <is>
          <t>EO</t>
        </is>
      </c>
      <c r="J1429" s="95" t="n"/>
      <c r="K1429" s="95" t="n"/>
      <c r="L1429" s="83">
        <f>IF(OR(X1429="估算法",X1429="算法类",X1429="无法识别"),"",IF(V1429="",IF(OR(I1429="EI",I1429="EO",I1429="EQ"),0,""),LEN(V1429)-LEN(SUBSTITUTE(V1429,"、",""))+1))</f>
        <v/>
      </c>
      <c r="M1429" s="83">
        <f>IF(OR(X1429="估算法",X1429="算法类",X1429="无法识别"),"",IF(W1429="",IF(OR(I1429="ILF",I1429="EIF"),0,""),LEN(W1429)-LEN(SUBSTITUTE(W1429,"、",""))+1))</f>
        <v/>
      </c>
      <c r="N1429" s="83">
        <f>IF(OR(X1429="估算法",X1429="算法类",X1429="无法识别"),"",IF(X1429="",IF(OR(I1429="ILF",I1429="EIF",I1429="EI",I1429="EO",I1429="EQ"),0,""),LEN(X1429)-LEN(SUBSTITUTE(SUBSTITUTE(SUBSTITUTE(SUBSTITUTE(SUBSTITUTE(X1429,"|}","--"),"{|","--"),CHAR(10),""),"、",""),"|",""))+IF(AND(OR(I1429="EI",I1429="EO",I1429="EQ"),$AD$1="NESMA"),2,1)))</f>
        <v/>
      </c>
      <c r="O1429" s="84">
        <f>IF(I1429="EI",IF(OR(X1429="估算法",X1429="算法类"),"中",IF(X1429="无法识别","低",IF(L1429&lt;2,IF(N1429&lt;16,"低","中"),IF(L1429&lt;3,IF(N1429&lt;5,"低",IF(N1429&lt;16,"中","高")),IF(N1429&lt;5,"中","高"))))),IF(OR(I1429="EO",I1429="EQ"),IF(OR(X1429="估算法",X1429="算法类"),"中",IF(X1429="无法识别","低",IF(L1429&lt;2,IF(N1429&lt;20,"低","中"),IF(L1429&lt;4,IF(N1429&lt;6,"低",IF(N1429&lt;20,"中","高")),IF(N1429&lt;6,"中","高"))))),IF(OR(I1429="ILF",I1429="EIF"),IF(OR(X1429="估算法",X1429="算法类",X1429="无法识别"),"低",IF(M1429&lt;2,IF(N1429&lt;51,"低","中"),IF(M1429&lt;6,IF(N1429&lt;20,"低",IF(N1429&lt;51,"中","高")),IF(N1429&lt;20,"中","高")))),"不计算")))</f>
        <v/>
      </c>
      <c r="P1429" s="142">
        <f>IFERROR(IF(I1429="EI",IF(O1429="低",3,IF(O1429="中",4,6)),IF(I1429="EO",IF(O1429="低",4,IF(O1429="中",5,7)),IF(I1429="EQ",IF(O1429="低",3,IF(O1429="中",4,6)),IF(I1429="ILF",IF(O1429="低",7,IF(O1429="中",10,15)),IF(I1429="EIF",IF(O1429="低",5,IF(O1429="中",7,10)),"不计算")))))*Q1429,"不计算")</f>
        <v/>
      </c>
      <c r="Q1429" s="142" t="n">
        <v>1</v>
      </c>
      <c r="R1429" s="143">
        <f>调整因子!$F$13</f>
        <v/>
      </c>
      <c r="S1429" s="76" t="n">
        <v>1</v>
      </c>
      <c r="T1429" s="144">
        <f>IFERROR(P1429*R1429,0)</f>
        <v/>
      </c>
      <c r="U1429" s="145">
        <f>T1429*S1429</f>
        <v/>
      </c>
      <c r="V1429" s="96" t="inlineStr">
        <is>
          <t>任务优先级配置表</t>
        </is>
      </c>
      <c r="W1429" s="96" t="inlineStr"/>
      <c r="X1429" s="111" t="inlineStr">
        <is>
          <t>任务优先级配置表{任务ID、任务名称|任务ID、任务名称、任务类型、任务状态、创建时间、执行时间}</t>
        </is>
      </c>
      <c r="Y1429" s="88" t="n"/>
      <c r="Z1429" s="88" t="n"/>
    </row>
    <row r="1430" hidden="1" ht="32.4" customHeight="1">
      <c r="A1430" s="69">
        <f>ROW()-1</f>
        <v/>
      </c>
      <c r="B1430" s="53" t="n"/>
      <c r="C1430" s="117" t="n">
        <v>2026</v>
      </c>
      <c r="E1430" s="53" t="n"/>
      <c r="F1430" s="53" t="n"/>
      <c r="G1430" s="53" t="n"/>
      <c r="H1430" s="96" t="inlineStr">
        <is>
          <t>下载趋势报告</t>
        </is>
      </c>
      <c r="I1430" s="76" t="inlineStr">
        <is>
          <t>EO</t>
        </is>
      </c>
      <c r="J1430" s="95" t="n"/>
      <c r="K1430" s="95" t="n"/>
      <c r="L1430" s="83">
        <f>IF(OR(X1430="估算法",X1430="算法类",X1430="无法识别"),"",IF(V1430="",IF(OR(I1430="EI",I1430="EO",I1430="EQ"),0,""),LEN(V1430)-LEN(SUBSTITUTE(V1430,"、",""))+1))</f>
        <v/>
      </c>
      <c r="M1430" s="83">
        <f>IF(OR(X1430="估算法",X1430="算法类",X1430="无法识别"),"",IF(W1430="",IF(OR(I1430="ILF",I1430="EIF"),0,""),LEN(W1430)-LEN(SUBSTITUTE(W1430,"、",""))+1))</f>
        <v/>
      </c>
      <c r="N1430" s="83">
        <f>IF(OR(X1430="估算法",X1430="算法类",X1430="无法识别"),"",IF(X1430="",IF(OR(I1430="ILF",I1430="EIF",I1430="EI",I1430="EO",I1430="EQ"),0,""),LEN(X1430)-LEN(SUBSTITUTE(SUBSTITUTE(SUBSTITUTE(SUBSTITUTE(SUBSTITUTE(X1430,"|}","--"),"{|","--"),CHAR(10),""),"、",""),"|",""))+IF(AND(OR(I1430="EI",I1430="EO",I1430="EQ"),$AD$1="NESMA"),2,1)))</f>
        <v/>
      </c>
      <c r="O1430" s="84">
        <f>IF(I1430="EI",IF(OR(X1430="估算法",X1430="算法类"),"中",IF(X1430="无法识别","低",IF(L1430&lt;2,IF(N1430&lt;16,"低","中"),IF(L1430&lt;3,IF(N1430&lt;5,"低",IF(N1430&lt;16,"中","高")),IF(N1430&lt;5,"中","高"))))),IF(OR(I1430="EO",I1430="EQ"),IF(OR(X1430="估算法",X1430="算法类"),"中",IF(X1430="无法识别","低",IF(L1430&lt;2,IF(N1430&lt;20,"低","中"),IF(L1430&lt;4,IF(N1430&lt;6,"低",IF(N1430&lt;20,"中","高")),IF(N1430&lt;6,"中","高"))))),IF(OR(I1430="ILF",I1430="EIF"),IF(OR(X1430="估算法",X1430="算法类",X1430="无法识别"),"低",IF(M1430&lt;2,IF(N1430&lt;51,"低","中"),IF(M1430&lt;6,IF(N1430&lt;20,"低",IF(N1430&lt;51,"中","高")),IF(N1430&lt;20,"中","高")))),"不计算")))</f>
        <v/>
      </c>
      <c r="P1430" s="142">
        <f>IFERROR(IF(I1430="EI",IF(O1430="低",3,IF(O1430="中",4,6)),IF(I1430="EO",IF(O1430="低",4,IF(O1430="中",5,7)),IF(I1430="EQ",IF(O1430="低",3,IF(O1430="中",4,6)),IF(I1430="ILF",IF(O1430="低",7,IF(O1430="中",10,15)),IF(I1430="EIF",IF(O1430="低",5,IF(O1430="中",7,10)),"不计算")))))*Q1430,"不计算")</f>
        <v/>
      </c>
      <c r="Q1430" s="142" t="n">
        <v>1</v>
      </c>
      <c r="R1430" s="143">
        <f>调整因子!$F$13</f>
        <v/>
      </c>
      <c r="S1430" s="70" t="n">
        <v>1</v>
      </c>
      <c r="T1430" s="144">
        <f>IFERROR(P1430*R1430,0)</f>
        <v/>
      </c>
      <c r="U1430" s="145">
        <f>T1430*S1430</f>
        <v/>
      </c>
      <c r="V1430" s="96" t="inlineStr">
        <is>
          <t>任务队列表、修复方案表</t>
        </is>
      </c>
      <c r="W1430" s="96" t="inlineStr"/>
      <c r="X1430" s="111" t="inlineStr">
        <is>
          <t>任务队列表{任务ID、任务名称|任务ID、任务名称、任务类型、任务状态、创建时间、执行时间}
修复方案表{ID、名称|ID、名称、类型、状态、创建时间、更新时间}</t>
        </is>
      </c>
      <c r="Y1430" s="88" t="n"/>
      <c r="Z1430" s="88" t="n"/>
    </row>
    <row r="1431" hidden="1" ht="32.4" customHeight="1">
      <c r="A1431" s="69">
        <f>ROW()-1</f>
        <v/>
      </c>
      <c r="B1431" s="53" t="n"/>
      <c r="C1431" s="117" t="n">
        <v>2026</v>
      </c>
      <c r="E1431" s="53" t="n"/>
      <c r="F1431" s="53" t="n"/>
      <c r="G1431" s="53" t="n"/>
      <c r="H1431" s="96" t="inlineStr">
        <is>
          <t>查询趋势数据</t>
        </is>
      </c>
      <c r="I1431" s="76" t="inlineStr">
        <is>
          <t>EQ</t>
        </is>
      </c>
      <c r="J1431" s="95" t="n"/>
      <c r="K1431" s="95" t="n"/>
      <c r="L1431" s="83">
        <f>IF(OR(X1431="估算法",X1431="算法类",X1431="无法识别"),"",IF(V1431="",IF(OR(I1431="EI",I1431="EO",I1431="EQ"),0,""),LEN(V1431)-LEN(SUBSTITUTE(V1431,"、",""))+1))</f>
        <v/>
      </c>
      <c r="M1431" s="83">
        <f>IF(OR(X1431="估算法",X1431="算法类",X1431="无法识别"),"",IF(W1431="",IF(OR(I1431="ILF",I1431="EIF"),0,""),LEN(W1431)-LEN(SUBSTITUTE(W1431,"、",""))+1))</f>
        <v/>
      </c>
      <c r="N1431" s="83">
        <f>IF(OR(X1431="估算法",X1431="算法类",X1431="无法识别"),"",IF(X1431="",IF(OR(I1431="ILF",I1431="EIF",I1431="EI",I1431="EO",I1431="EQ"),0,""),LEN(X1431)-LEN(SUBSTITUTE(SUBSTITUTE(SUBSTITUTE(SUBSTITUTE(SUBSTITUTE(X1431,"|}","--"),"{|","--"),CHAR(10),""),"、",""),"|",""))+IF(AND(OR(I1431="EI",I1431="EO",I1431="EQ"),$AD$1="NESMA"),2,1)))</f>
        <v/>
      </c>
      <c r="O1431" s="84">
        <f>IF(I1431="EI",IF(OR(X1431="估算法",X1431="算法类"),"中",IF(X1431="无法识别","低",IF(L1431&lt;2,IF(N1431&lt;16,"低","中"),IF(L1431&lt;3,IF(N1431&lt;5,"低",IF(N1431&lt;16,"中","高")),IF(N1431&lt;5,"中","高"))))),IF(OR(I1431="EO",I1431="EQ"),IF(OR(X1431="估算法",X1431="算法类"),"中",IF(X1431="无法识别","低",IF(L1431&lt;2,IF(N1431&lt;20,"低","中"),IF(L1431&lt;4,IF(N1431&lt;6,"低",IF(N1431&lt;20,"中","高")),IF(N1431&lt;6,"中","高"))))),IF(OR(I1431="ILF",I1431="EIF"),IF(OR(X1431="估算法",X1431="算法类",X1431="无法识别"),"低",IF(M1431&lt;2,IF(N1431&lt;51,"低","中"),IF(M1431&lt;6,IF(N1431&lt;20,"低",IF(N1431&lt;51,"中","高")),IF(N1431&lt;20,"中","高")))),"不计算")))</f>
        <v/>
      </c>
      <c r="P1431" s="142">
        <f>IFERROR(IF(I1431="EI",IF(O1431="低",3,IF(O1431="中",4,6)),IF(I1431="EO",IF(O1431="低",4,IF(O1431="中",5,7)),IF(I1431="EQ",IF(O1431="低",3,IF(O1431="中",4,6)),IF(I1431="ILF",IF(O1431="低",7,IF(O1431="中",10,15)),IF(I1431="EIF",IF(O1431="低",5,IF(O1431="中",7,10)),"不计算")))))*Q1431,"不计算")</f>
        <v/>
      </c>
      <c r="Q1431" s="142" t="n">
        <v>1</v>
      </c>
      <c r="R1431" s="143">
        <f>调整因子!$F$13</f>
        <v/>
      </c>
      <c r="S1431" s="70" t="n">
        <v>1</v>
      </c>
      <c r="T1431" s="144">
        <f>IFERROR(P1431*R1431,0)</f>
        <v/>
      </c>
      <c r="U1431" s="145">
        <f>T1431*S1431</f>
        <v/>
      </c>
      <c r="V1431" s="96" t="inlineStr">
        <is>
          <t>态势数据采集表、任务日志表</t>
        </is>
      </c>
      <c r="W1431" s="96" t="inlineStr"/>
      <c r="X1431" s="111" t="inlineStr">
        <is>
          <t>态势数据采集表{ID、名称|ID、名称、类型、状态、创建时间、更新时间}
任务日志表{任务ID、任务名称|任务ID、任务名称、任务类型、任务状态、创建时间、执行时间}</t>
        </is>
      </c>
      <c r="Y1431" s="88" t="n"/>
      <c r="Z1431" s="88" t="n"/>
    </row>
    <row r="1432" hidden="1" ht="21.6" customHeight="1">
      <c r="A1432" s="69">
        <f>ROW()-1</f>
        <v/>
      </c>
      <c r="B1432" s="53" t="n"/>
      <c r="C1432" s="117" t="n">
        <v>2026</v>
      </c>
      <c r="E1432" s="53" t="n"/>
      <c r="F1432" s="54" t="n"/>
      <c r="G1432" s="54" t="n"/>
      <c r="H1432" s="96" t="inlineStr">
        <is>
          <t>查看趋势详情</t>
        </is>
      </c>
      <c r="I1432" s="76" t="inlineStr">
        <is>
          <t>EQ</t>
        </is>
      </c>
      <c r="J1432" s="95" t="n"/>
      <c r="K1432" s="95" t="n"/>
      <c r="L1432" s="83">
        <f>IF(OR(X1432="估算法",X1432="算法类",X1432="无法识别"),"",IF(V1432="",IF(OR(I1432="EI",I1432="EO",I1432="EQ"),0,""),LEN(V1432)-LEN(SUBSTITUTE(V1432,"、",""))+1))</f>
        <v/>
      </c>
      <c r="M1432" s="83">
        <f>IF(OR(X1432="估算法",X1432="算法类",X1432="无法识别"),"",IF(W1432="",IF(OR(I1432="ILF",I1432="EIF"),0,""),LEN(W1432)-LEN(SUBSTITUTE(W1432,"、",""))+1))</f>
        <v/>
      </c>
      <c r="N1432" s="83">
        <f>IF(OR(X1432="估算法",X1432="算法类",X1432="无法识别"),"",IF(X1432="",IF(OR(I1432="ILF",I1432="EIF",I1432="EI",I1432="EO",I1432="EQ"),0,""),LEN(X1432)-LEN(SUBSTITUTE(SUBSTITUTE(SUBSTITUTE(SUBSTITUTE(SUBSTITUTE(X1432,"|}","--"),"{|","--"),CHAR(10),""),"、",""),"|",""))+IF(AND(OR(I1432="EI",I1432="EO",I1432="EQ"),$AD$1="NESMA"),2,1)))</f>
        <v/>
      </c>
      <c r="O1432" s="84">
        <f>IF(I1432="EI",IF(OR(X1432="估算法",X1432="算法类"),"中",IF(X1432="无法识别","低",IF(L1432&lt;2,IF(N1432&lt;16,"低","中"),IF(L1432&lt;3,IF(N1432&lt;5,"低",IF(N1432&lt;16,"中","高")),IF(N1432&lt;5,"中","高"))))),IF(OR(I1432="EO",I1432="EQ"),IF(OR(X1432="估算法",X1432="算法类"),"中",IF(X1432="无法识别","低",IF(L1432&lt;2,IF(N1432&lt;20,"低","中"),IF(L1432&lt;4,IF(N1432&lt;6,"低",IF(N1432&lt;20,"中","高")),IF(N1432&lt;6,"中","高"))))),IF(OR(I1432="ILF",I1432="EIF"),IF(OR(X1432="估算法",X1432="算法类",X1432="无法识别"),"低",IF(M1432&lt;2,IF(N1432&lt;51,"低","中"),IF(M1432&lt;6,IF(N1432&lt;20,"低",IF(N1432&lt;51,"中","高")),IF(N1432&lt;20,"中","高")))),"不计算")))</f>
        <v/>
      </c>
      <c r="P1432" s="142">
        <f>IFERROR(IF(I1432="EI",IF(O1432="低",3,IF(O1432="中",4,6)),IF(I1432="EO",IF(O1432="低",4,IF(O1432="中",5,7)),IF(I1432="EQ",IF(O1432="低",3,IF(O1432="中",4,6)),IF(I1432="ILF",IF(O1432="低",7,IF(O1432="中",10,15)),IF(I1432="EIF",IF(O1432="低",5,IF(O1432="中",7,10)),"不计算")))))*Q1432,"不计算")</f>
        <v/>
      </c>
      <c r="Q1432" s="142" t="n">
        <v>1</v>
      </c>
      <c r="R1432" s="143">
        <f>调整因子!$F$13</f>
        <v/>
      </c>
      <c r="S1432" s="76" t="n">
        <v>1</v>
      </c>
      <c r="T1432" s="144">
        <f>IFERROR(P1432*R1432,0)</f>
        <v/>
      </c>
      <c r="U1432" s="145">
        <f>T1432*S1432</f>
        <v/>
      </c>
      <c r="V1432" s="96" t="inlineStr">
        <is>
          <t>通报模板表、加密策略表</t>
        </is>
      </c>
      <c r="W1432" s="96" t="inlineStr"/>
      <c r="X1432" s="111" t="inlineStr">
        <is>
          <t>通报模板表{ID、名称|ID、名称、类型、状态、创建时间、更新时间}
加密策略表{策略ID、策略名称|策略ID、策略名称、策略类型、策略内容、生效时间}</t>
        </is>
      </c>
      <c r="Y1432" s="88" t="n"/>
      <c r="Z1432" s="88" t="n"/>
    </row>
    <row r="1433" hidden="1" ht="21.6" customHeight="1">
      <c r="A1433" s="69">
        <f>ROW()-1</f>
        <v/>
      </c>
      <c r="B1433" s="53" t="n"/>
      <c r="C1433" s="117" t="n">
        <v>2026</v>
      </c>
      <c r="E1433" s="53" t="n"/>
      <c r="F1433" s="111" t="inlineStr">
        <is>
          <t>VPT漏洞优先级算法</t>
        </is>
      </c>
      <c r="G1433" s="111" t="inlineStr">
        <is>
          <t>考核指标配置管理</t>
        </is>
      </c>
      <c r="H1433" s="96" t="inlineStr">
        <is>
          <t>考核指标配置表</t>
        </is>
      </c>
      <c r="I1433" s="76" t="inlineStr">
        <is>
          <t>ILF</t>
        </is>
      </c>
      <c r="J1433" s="95" t="n"/>
      <c r="K1433" s="95" t="n"/>
      <c r="L1433" s="83">
        <f>IF(OR(X1433="估算法",X1433="算法类",X1433="无法识别"),"",IF(V1433="",IF(OR(I1433="EI",I1433="EO",I1433="EQ"),0,""),LEN(V1433)-LEN(SUBSTITUTE(V1433,"、",""))+1))</f>
        <v/>
      </c>
      <c r="M1433" s="83">
        <f>IF(OR(X1433="估算法",X1433="算法类",X1433="无法识别"),"",IF(W1433="",IF(OR(I1433="ILF",I1433="EIF"),0,""),LEN(W1433)-LEN(SUBSTITUTE(W1433,"、",""))+1))</f>
        <v/>
      </c>
      <c r="N1433" s="83">
        <f>IF(OR(X1433="估算法",X1433="算法类",X1433="无法识别"),"",IF(X1433="",IF(OR(I1433="ILF",I1433="EIF",I1433="EI",I1433="EO",I1433="EQ"),0,""),LEN(X1433)-LEN(SUBSTITUTE(SUBSTITUTE(SUBSTITUTE(SUBSTITUTE(SUBSTITUTE(X1433,"|}","--"),"{|","--"),CHAR(10),""),"、",""),"|",""))+IF(AND(OR(I1433="EI",I1433="EO",I1433="EQ"),$AD$1="NESMA"),2,1)))</f>
        <v/>
      </c>
      <c r="O1433" s="84">
        <f>IF(I1433="EI",IF(OR(X1433="估算法",X1433="算法类"),"中",IF(X1433="无法识别","低",IF(L1433&lt;2,IF(N1433&lt;16,"低","中"),IF(L1433&lt;3,IF(N1433&lt;5,"低",IF(N1433&lt;16,"中","高")),IF(N1433&lt;5,"中","高"))))),IF(OR(I1433="EO",I1433="EQ"),IF(OR(X1433="估算法",X1433="算法类"),"中",IF(X1433="无法识别","低",IF(L1433&lt;2,IF(N1433&lt;20,"低","中"),IF(L1433&lt;4,IF(N1433&lt;6,"低",IF(N1433&lt;20,"中","高")),IF(N1433&lt;6,"中","高"))))),IF(OR(I1433="ILF",I1433="EIF"),IF(OR(X1433="估算法",X1433="算法类",X1433="无法识别"),"低",IF(M1433&lt;2,IF(N1433&lt;51,"低","中"),IF(M1433&lt;6,IF(N1433&lt;20,"低",IF(N1433&lt;51,"中","高")),IF(N1433&lt;20,"中","高")))),"不计算")))</f>
        <v/>
      </c>
      <c r="P1433" s="142">
        <f>IFERROR(IF(I1433="EI",IF(O1433="低",3,IF(O1433="中",4,6)),IF(I1433="EO",IF(O1433="低",4,IF(O1433="中",5,7)),IF(I1433="EQ",IF(O1433="低",3,IF(O1433="中",4,6)),IF(I1433="ILF",IF(O1433="低",7,IF(O1433="中",10,15)),IF(I1433="EIF",IF(O1433="低",5,IF(O1433="中",7,10)),"不计算")))))*Q1433,"不计算")</f>
        <v/>
      </c>
      <c r="Q1433" s="142" t="n">
        <v>1</v>
      </c>
      <c r="R1433" s="143">
        <f>调整因子!$F$13</f>
        <v/>
      </c>
      <c r="S1433" s="76" t="n">
        <v>1</v>
      </c>
      <c r="T1433" s="144">
        <f>IFERROR(P1433*R1433,0)</f>
        <v/>
      </c>
      <c r="U1433" s="145">
        <f>T1433*S1433</f>
        <v/>
      </c>
      <c r="V1433" s="96" t="inlineStr"/>
      <c r="W1433" s="96" t="inlineStr">
        <is>
          <t>配置项</t>
        </is>
      </c>
      <c r="X1433" s="111" t="inlineStr">
        <is>
          <t>考核指标配置表{配置ID、配置名称、配置类型|配置ID、配置名称、配置类型、配置值、创建时间}</t>
        </is>
      </c>
      <c r="Y1433" s="88">
        <f>IF(COUNTIFS(V:V,"*"&amp;H1433&amp;"*")&gt;0,"存在","不存在")</f>
        <v/>
      </c>
      <c r="Z1433" s="88">
        <f>IF(COUNTIFS(AA:AA,"*"&amp;H1433&amp;"*")&gt;0,"存在","不存在")</f>
        <v/>
      </c>
    </row>
    <row r="1434" hidden="1">
      <c r="A1434" s="69">
        <f>ROW()-1</f>
        <v/>
      </c>
      <c r="B1434" s="53" t="n"/>
      <c r="C1434" s="117" t="n">
        <v>2026</v>
      </c>
      <c r="E1434" s="53" t="n"/>
      <c r="F1434" s="53" t="n"/>
      <c r="G1434" s="53" t="n"/>
      <c r="H1434" s="96" t="inlineStr">
        <is>
          <t>指标权重表</t>
        </is>
      </c>
      <c r="I1434" s="76" t="inlineStr">
        <is>
          <t>ILF</t>
        </is>
      </c>
      <c r="J1434" s="108" t="n"/>
      <c r="K1434" s="108" t="inlineStr">
        <is>
          <t>数据库表未被本系统所维护</t>
        </is>
      </c>
      <c r="L1434" s="83">
        <f>IF(OR(X1434="估算法",X1434="算法类",X1434="无法识别"),"",IF(V1434="",IF(OR(I1434="EI",I1434="EO",I1434="EQ"),0,""),LEN(V1434)-LEN(SUBSTITUTE(V1434,"、",""))+1))</f>
        <v/>
      </c>
      <c r="M1434" s="83">
        <f>IF(OR(X1434="估算法",X1434="算法类",X1434="无法识别"),"",IF(W1434="",IF(OR(I1434="ILF",I1434="EIF"),0,""),LEN(W1434)-LEN(SUBSTITUTE(W1434,"、",""))+1))</f>
        <v/>
      </c>
      <c r="N1434" s="83">
        <f>IF(OR(X1434="估算法",X1434="算法类",X1434="无法识别"),"",IF(X1434="",IF(OR(I1434="ILF",I1434="EIF",I1434="EI",I1434="EO",I1434="EQ"),0,""),LEN(X1434)-LEN(SUBSTITUTE(SUBSTITUTE(SUBSTITUTE(SUBSTITUTE(SUBSTITUTE(X1434,"|}","--"),"{|","--"),CHAR(10),""),"、",""),"|",""))+IF(AND(OR(I1434="EI",I1434="EO",I1434="EQ"),$AD$1="NESMA"),2,1)))</f>
        <v/>
      </c>
      <c r="O1434" s="84">
        <f>IF(I1434="EI",IF(OR(X1434="估算法",X1434="算法类"),"中",IF(X1434="无法识别","低",IF(L1434&lt;2,IF(N1434&lt;16,"低","中"),IF(L1434&lt;3,IF(N1434&lt;5,"低",IF(N1434&lt;16,"中","高")),IF(N1434&lt;5,"中","高"))))),IF(OR(I1434="EO",I1434="EQ"),IF(OR(X1434="估算法",X1434="算法类"),"中",IF(X1434="无法识别","低",IF(L1434&lt;2,IF(N1434&lt;20,"低","中"),IF(L1434&lt;4,IF(N1434&lt;6,"低",IF(N1434&lt;20,"中","高")),IF(N1434&lt;6,"中","高"))))),IF(OR(I1434="ILF",I1434="EIF"),IF(OR(X1434="估算法",X1434="算法类",X1434="无法识别"),"低",IF(M1434&lt;2,IF(N1434&lt;51,"低","中"),IF(M1434&lt;6,IF(N1434&lt;20,"低",IF(N1434&lt;51,"中","高")),IF(N1434&lt;20,"中","高")))),"不计算")))</f>
        <v/>
      </c>
      <c r="P1434" s="142">
        <f>IFERROR(IF(I1434="EI",IF(O1434="低",3,IF(O1434="中",4,6)),IF(I1434="EO",IF(O1434="低",4,IF(O1434="中",5,7)),IF(I1434="EQ",IF(O1434="低",3,IF(O1434="中",4,6)),IF(I1434="ILF",IF(O1434="低",7,IF(O1434="中",10,15)),IF(I1434="EIF",IF(O1434="低",5,IF(O1434="中",7,10)),"不计算")))))*Q1434,"不计算")</f>
        <v/>
      </c>
      <c r="Q1434" s="142" t="n">
        <v>0</v>
      </c>
      <c r="R1434" s="143">
        <f>调整因子!$F$13</f>
        <v/>
      </c>
      <c r="S1434" s="70" t="n">
        <v>1</v>
      </c>
      <c r="T1434" s="144">
        <f>IFERROR(P1434*R1434,0)</f>
        <v/>
      </c>
      <c r="U1434" s="145">
        <f>T1434*S1434</f>
        <v/>
      </c>
      <c r="V1434" s="96" t="inlineStr"/>
      <c r="W1434" s="96" t="inlineStr">
        <is>
          <t>数据记录</t>
        </is>
      </c>
      <c r="X1434" s="111" t="inlineStr">
        <is>
          <t>指标权重表{ID、名称、类型|ID、名称、类型、状态、创建时间、更新时间}</t>
        </is>
      </c>
      <c r="Y1434" s="88">
        <f>IF(COUNTIFS(V:V,"*"&amp;H1434&amp;"*")&gt;0,"存在","不存在")</f>
        <v/>
      </c>
      <c r="Z1434" s="88">
        <f>IF(COUNTIFS(AA:AA,"*"&amp;H1434&amp;"*")&gt;0,"存在","不存在")</f>
        <v/>
      </c>
    </row>
    <row r="1435" hidden="1">
      <c r="A1435" s="69">
        <f>ROW()-1</f>
        <v/>
      </c>
      <c r="B1435" s="53" t="n"/>
      <c r="C1435" s="117" t="n">
        <v>2026</v>
      </c>
      <c r="E1435" s="53" t="n"/>
      <c r="F1435" s="53" t="n"/>
      <c r="G1435" s="53" t="n"/>
      <c r="H1435" s="96" t="inlineStr">
        <is>
          <t>指标阈值表</t>
        </is>
      </c>
      <c r="I1435" s="76" t="inlineStr">
        <is>
          <t>ILF</t>
        </is>
      </c>
      <c r="J1435" s="95" t="n"/>
      <c r="K1435" s="95" t="n"/>
      <c r="L1435" s="83">
        <f>IF(OR(X1435="估算法",X1435="算法类",X1435="无法识别"),"",IF(V1435="",IF(OR(I1435="EI",I1435="EO",I1435="EQ"),0,""),LEN(V1435)-LEN(SUBSTITUTE(V1435,"、",""))+1))</f>
        <v/>
      </c>
      <c r="M1435" s="83">
        <f>IF(OR(X1435="估算法",X1435="算法类",X1435="无法识别"),"",IF(W1435="",IF(OR(I1435="ILF",I1435="EIF"),0,""),LEN(W1435)-LEN(SUBSTITUTE(W1435,"、",""))+1))</f>
        <v/>
      </c>
      <c r="N1435" s="83">
        <f>IF(OR(X1435="估算法",X1435="算法类",X1435="无法识别"),"",IF(X1435="",IF(OR(I1435="ILF",I1435="EIF",I1435="EI",I1435="EO",I1435="EQ"),0,""),LEN(X1435)-LEN(SUBSTITUTE(SUBSTITUTE(SUBSTITUTE(SUBSTITUTE(SUBSTITUTE(X1435,"|}","--"),"{|","--"),CHAR(10),""),"、",""),"|",""))+IF(AND(OR(I1435="EI",I1435="EO",I1435="EQ"),$AD$1="NESMA"),2,1)))</f>
        <v/>
      </c>
      <c r="O1435" s="84">
        <f>IF(I1435="EI",IF(OR(X1435="估算法",X1435="算法类"),"中",IF(X1435="无法识别","低",IF(L1435&lt;2,IF(N1435&lt;16,"低","中"),IF(L1435&lt;3,IF(N1435&lt;5,"低",IF(N1435&lt;16,"中","高")),IF(N1435&lt;5,"中","高"))))),IF(OR(I1435="EO",I1435="EQ"),IF(OR(X1435="估算法",X1435="算法类"),"中",IF(X1435="无法识别","低",IF(L1435&lt;2,IF(N1435&lt;20,"低","中"),IF(L1435&lt;4,IF(N1435&lt;6,"低",IF(N1435&lt;20,"中","高")),IF(N1435&lt;6,"中","高"))))),IF(OR(I1435="ILF",I1435="EIF"),IF(OR(X1435="估算法",X1435="算法类",X1435="无法识别"),"低",IF(M1435&lt;2,IF(N1435&lt;51,"低","中"),IF(M1435&lt;6,IF(N1435&lt;20,"低",IF(N1435&lt;51,"中","高")),IF(N1435&lt;20,"中","高")))),"不计算")))</f>
        <v/>
      </c>
      <c r="P1435" s="142">
        <f>IFERROR(IF(I1435="EI",IF(O1435="低",3,IF(O1435="中",4,6)),IF(I1435="EO",IF(O1435="低",4,IF(O1435="中",5,7)),IF(I1435="EQ",IF(O1435="低",3,IF(O1435="中",4,6)),IF(I1435="ILF",IF(O1435="低",7,IF(O1435="中",10,15)),IF(I1435="EIF",IF(O1435="低",5,IF(O1435="中",7,10)),"不计算")))))*Q1435,"不计算")</f>
        <v/>
      </c>
      <c r="Q1435" s="142" t="n">
        <v>1</v>
      </c>
      <c r="R1435" s="143">
        <f>调整因子!$F$13</f>
        <v/>
      </c>
      <c r="S1435" s="70" t="n">
        <v>1</v>
      </c>
      <c r="T1435" s="144">
        <f>IFERROR(P1435*R1435,0)</f>
        <v/>
      </c>
      <c r="U1435" s="145">
        <f>T1435*S1435</f>
        <v/>
      </c>
      <c r="V1435" s="96" t="inlineStr"/>
      <c r="W1435" s="96" t="inlineStr">
        <is>
          <t>数据记录</t>
        </is>
      </c>
      <c r="X1435" s="111" t="inlineStr">
        <is>
          <t>指标阈值表{ID、名称、类型|ID、名称、类型、状态、创建时间、更新时间}</t>
        </is>
      </c>
      <c r="Y1435" s="88">
        <f>IF(COUNTIFS(V:V,"*"&amp;H1435&amp;"*")&gt;0,"存在","不存在")</f>
        <v/>
      </c>
      <c r="Z1435" s="88">
        <f>IF(COUNTIFS(AA:AA,"*"&amp;H1435&amp;"*")&gt;0,"存在","不存在")</f>
        <v/>
      </c>
    </row>
    <row r="1436" hidden="1" ht="43.2" customHeight="1">
      <c r="A1436" s="69">
        <f>ROW()-1</f>
        <v/>
      </c>
      <c r="B1436" s="53" t="n"/>
      <c r="C1436" s="117" t="n">
        <v>2026</v>
      </c>
      <c r="E1436" s="53" t="n"/>
      <c r="F1436" s="53" t="n"/>
      <c r="G1436" s="53" t="n"/>
      <c r="H1436" s="96" t="inlineStr">
        <is>
          <t>配置考核指标</t>
        </is>
      </c>
      <c r="I1436" s="76" t="inlineStr">
        <is>
          <t>EI</t>
        </is>
      </c>
      <c r="J1436" s="95" t="n"/>
      <c r="K1436" s="95" t="n"/>
      <c r="L1436" s="83">
        <f>IF(OR(X1436="估算法",X1436="算法类",X1436="无法识别"),"",IF(V1436="",IF(OR(I1436="EI",I1436="EO",I1436="EQ"),0,""),LEN(V1436)-LEN(SUBSTITUTE(V1436,"、",""))+1))</f>
        <v/>
      </c>
      <c r="M1436" s="83">
        <f>IF(OR(X1436="估算法",X1436="算法类",X1436="无法识别"),"",IF(W1436="",IF(OR(I1436="ILF",I1436="EIF"),0,""),LEN(W1436)-LEN(SUBSTITUTE(W1436,"、",""))+1))</f>
        <v/>
      </c>
      <c r="N1436" s="83">
        <f>IF(OR(X1436="估算法",X1436="算法类",X1436="无法识别"),"",IF(X1436="",IF(OR(I1436="ILF",I1436="EIF",I1436="EI",I1436="EO",I1436="EQ"),0,""),LEN(X1436)-LEN(SUBSTITUTE(SUBSTITUTE(SUBSTITUTE(SUBSTITUTE(SUBSTITUTE(X1436,"|}","--"),"{|","--"),CHAR(10),""),"、",""),"|",""))+IF(AND(OR(I1436="EI",I1436="EO",I1436="EQ"),$AD$1="NESMA"),2,1)))</f>
        <v/>
      </c>
      <c r="O1436" s="84">
        <f>IF(I1436="EI",IF(OR(X1436="估算法",X1436="算法类"),"中",IF(X1436="无法识别","低",IF(L1436&lt;2,IF(N1436&lt;16,"低","中"),IF(L1436&lt;3,IF(N1436&lt;5,"低",IF(N1436&lt;16,"中","高")),IF(N1436&lt;5,"中","高"))))),IF(OR(I1436="EO",I1436="EQ"),IF(OR(X1436="估算法",X1436="算法类"),"中",IF(X1436="无法识别","低",IF(L1436&lt;2,IF(N1436&lt;20,"低","中"),IF(L1436&lt;4,IF(N1436&lt;6,"低",IF(N1436&lt;20,"中","高")),IF(N1436&lt;6,"中","高"))))),IF(OR(I1436="ILF",I1436="EIF"),IF(OR(X1436="估算法",X1436="算法类",X1436="无法识别"),"低",IF(M1436&lt;2,IF(N1436&lt;51,"低","中"),IF(M1436&lt;6,IF(N1436&lt;20,"低",IF(N1436&lt;51,"中","高")),IF(N1436&lt;20,"中","高")))),"不计算")))</f>
        <v/>
      </c>
      <c r="P1436" s="142">
        <f>IFERROR(IF(I1436="EI",IF(O1436="低",3,IF(O1436="中",4,6)),IF(I1436="EO",IF(O1436="低",4,IF(O1436="中",5,7)),IF(I1436="EQ",IF(O1436="低",3,IF(O1436="中",4,6)),IF(I1436="ILF",IF(O1436="低",7,IF(O1436="中",10,15)),IF(I1436="EIF",IF(O1436="低",5,IF(O1436="中",7,10)),"不计算")))))*Q1436,"不计算")</f>
        <v/>
      </c>
      <c r="Q1436" s="142" t="n">
        <v>1</v>
      </c>
      <c r="R1436" s="143">
        <f>调整因子!$F$13</f>
        <v/>
      </c>
      <c r="S1436" s="76" t="n">
        <v>1</v>
      </c>
      <c r="T1436" s="144">
        <f>IFERROR(P1436*R1436,0)</f>
        <v/>
      </c>
      <c r="U1436" s="145">
        <f>T1436*S1436</f>
        <v/>
      </c>
      <c r="V1436" s="96" t="inlineStr">
        <is>
          <t>任务优先级配置表、模板参数配置表</t>
        </is>
      </c>
      <c r="W1436" s="96" t="inlineStr"/>
      <c r="X1436" s="111" t="inlineStr">
        <is>
          <t>任务优先级配置表{任务ID、任务名称、任务类型、任务状态、创建时间、执行时间|任务ID、任务名称、任务类型}
模板参数配置表{配置ID、配置名称、配置类型、配置值、创建时间|配置ID、配置名称、配置类型}</t>
        </is>
      </c>
      <c r="Y1436" s="88" t="n"/>
      <c r="Z1436" s="88" t="n"/>
    </row>
    <row r="1437" hidden="1">
      <c r="A1437" s="69">
        <f>ROW()-1</f>
        <v/>
      </c>
      <c r="B1437" s="53" t="n"/>
      <c r="C1437" s="117" t="n">
        <v>2026</v>
      </c>
      <c r="E1437" s="53" t="n"/>
      <c r="F1437" s="53" t="n"/>
      <c r="G1437" s="53" t="n"/>
      <c r="H1437" s="96" t="inlineStr">
        <is>
          <t>编辑考核指标</t>
        </is>
      </c>
      <c r="I1437" s="76" t="inlineStr">
        <is>
          <t>EI</t>
        </is>
      </c>
      <c r="J1437" s="95" t="n"/>
      <c r="K1437" s="95" t="n"/>
      <c r="L1437" s="83">
        <f>IF(OR(X1437="估算法",X1437="算法类",X1437="无法识别"),"",IF(V1437="",IF(OR(I1437="EI",I1437="EO",I1437="EQ"),0,""),LEN(V1437)-LEN(SUBSTITUTE(V1437,"、",""))+1))</f>
        <v/>
      </c>
      <c r="M1437" s="83">
        <f>IF(OR(X1437="估算法",X1437="算法类",X1437="无法识别"),"",IF(W1437="",IF(OR(I1437="ILF",I1437="EIF"),0,""),LEN(W1437)-LEN(SUBSTITUTE(W1437,"、",""))+1))</f>
        <v/>
      </c>
      <c r="N1437" s="83">
        <f>IF(OR(X1437="估算法",X1437="算法类",X1437="无法识别"),"",IF(X1437="",IF(OR(I1437="ILF",I1437="EIF",I1437="EI",I1437="EO",I1437="EQ"),0,""),LEN(X1437)-LEN(SUBSTITUTE(SUBSTITUTE(SUBSTITUTE(SUBSTITUTE(SUBSTITUTE(X1437,"|}","--"),"{|","--"),CHAR(10),""),"、",""),"|",""))+IF(AND(OR(I1437="EI",I1437="EO",I1437="EQ"),$AD$1="NESMA"),2,1)))</f>
        <v/>
      </c>
      <c r="O1437" s="84">
        <f>IF(I1437="EI",IF(OR(X1437="估算法",X1437="算法类"),"中",IF(X1437="无法识别","低",IF(L1437&lt;2,IF(N1437&lt;16,"低","中"),IF(L1437&lt;3,IF(N1437&lt;5,"低",IF(N1437&lt;16,"中","高")),IF(N1437&lt;5,"中","高"))))),IF(OR(I1437="EO",I1437="EQ"),IF(OR(X1437="估算法",X1437="算法类"),"中",IF(X1437="无法识别","低",IF(L1437&lt;2,IF(N1437&lt;20,"低","中"),IF(L1437&lt;4,IF(N1437&lt;6,"低",IF(N1437&lt;20,"中","高")),IF(N1437&lt;6,"中","高"))))),IF(OR(I1437="ILF",I1437="EIF"),IF(OR(X1437="估算法",X1437="算法类",X1437="无法识别"),"低",IF(M1437&lt;2,IF(N1437&lt;51,"低","中"),IF(M1437&lt;6,IF(N1437&lt;20,"低",IF(N1437&lt;51,"中","高")),IF(N1437&lt;20,"中","高")))),"不计算")))</f>
        <v/>
      </c>
      <c r="P1437" s="142">
        <f>IFERROR(IF(I1437="EI",IF(O1437="低",3,IF(O1437="中",4,6)),IF(I1437="EO",IF(O1437="低",4,IF(O1437="中",5,7)),IF(I1437="EQ",IF(O1437="低",3,IF(O1437="中",4,6)),IF(I1437="ILF",IF(O1437="低",7,IF(O1437="中",10,15)),IF(I1437="EIF",IF(O1437="低",5,IF(O1437="中",7,10)),"不计算")))))*Q1437,"不计算")</f>
        <v/>
      </c>
      <c r="Q1437" s="142" t="n">
        <v>1</v>
      </c>
      <c r="R1437" s="143">
        <f>调整因子!$F$13</f>
        <v/>
      </c>
      <c r="S1437" s="70" t="n">
        <v>1</v>
      </c>
      <c r="T1437" s="144">
        <f>IFERROR(P1437*R1437,0)</f>
        <v/>
      </c>
      <c r="U1437" s="145">
        <f>T1437*S1437</f>
        <v/>
      </c>
      <c r="V1437" s="96" t="inlineStr">
        <is>
          <t>报告解析结果表</t>
        </is>
      </c>
      <c r="W1437" s="96" t="inlineStr"/>
      <c r="X1437" s="111" t="inlineStr">
        <is>
          <t>报告解析结果表{ID、名称、类型、状态、创建时间、更新时间|ID、名称、类型}</t>
        </is>
      </c>
      <c r="Y1437" s="88" t="n"/>
      <c r="Z1437" s="88" t="n"/>
    </row>
    <row r="1438" hidden="1" ht="43.2" customHeight="1">
      <c r="A1438" s="69">
        <f>ROW()-1</f>
        <v/>
      </c>
      <c r="B1438" s="53" t="n"/>
      <c r="C1438" s="117" t="n">
        <v>2026</v>
      </c>
      <c r="E1438" s="53" t="n"/>
      <c r="F1438" s="53" t="n"/>
      <c r="G1438" s="53" t="n"/>
      <c r="H1438" s="96" t="inlineStr">
        <is>
          <t>删除考核指标</t>
        </is>
      </c>
      <c r="I1438" s="76" t="inlineStr">
        <is>
          <t>EI</t>
        </is>
      </c>
      <c r="J1438" s="95" t="n"/>
      <c r="K1438" s="95" t="n"/>
      <c r="L1438" s="83">
        <f>IF(OR(X1438="估算法",X1438="算法类",X1438="无法识别"),"",IF(V1438="",IF(OR(I1438="EI",I1438="EO",I1438="EQ"),0,""),LEN(V1438)-LEN(SUBSTITUTE(V1438,"、",""))+1))</f>
        <v/>
      </c>
      <c r="M1438" s="83">
        <f>IF(OR(X1438="估算法",X1438="算法类",X1438="无法识别"),"",IF(W1438="",IF(OR(I1438="ILF",I1438="EIF"),0,""),LEN(W1438)-LEN(SUBSTITUTE(W1438,"、",""))+1))</f>
        <v/>
      </c>
      <c r="N1438" s="83">
        <f>IF(OR(X1438="估算法",X1438="算法类",X1438="无法识别"),"",IF(X1438="",IF(OR(I1438="ILF",I1438="EIF",I1438="EI",I1438="EO",I1438="EQ"),0,""),LEN(X1438)-LEN(SUBSTITUTE(SUBSTITUTE(SUBSTITUTE(SUBSTITUTE(SUBSTITUTE(X1438,"|}","--"),"{|","--"),CHAR(10),""),"、",""),"|",""))+IF(AND(OR(I1438="EI",I1438="EO",I1438="EQ"),$AD$1="NESMA"),2,1)))</f>
        <v/>
      </c>
      <c r="O1438" s="84">
        <f>IF(I1438="EI",IF(OR(X1438="估算法",X1438="算法类"),"中",IF(X1438="无法识别","低",IF(L1438&lt;2,IF(N1438&lt;16,"低","中"),IF(L1438&lt;3,IF(N1438&lt;5,"低",IF(N1438&lt;16,"中","高")),IF(N1438&lt;5,"中","高"))))),IF(OR(I1438="EO",I1438="EQ"),IF(OR(X1438="估算法",X1438="算法类"),"中",IF(X1438="无法识别","低",IF(L1438&lt;2,IF(N1438&lt;20,"低","中"),IF(L1438&lt;4,IF(N1438&lt;6,"低",IF(N1438&lt;20,"中","高")),IF(N1438&lt;6,"中","高"))))),IF(OR(I1438="ILF",I1438="EIF"),IF(OR(X1438="估算法",X1438="算法类",X1438="无法识别"),"低",IF(M1438&lt;2,IF(N1438&lt;51,"低","中"),IF(M1438&lt;6,IF(N1438&lt;20,"低",IF(N1438&lt;51,"中","高")),IF(N1438&lt;20,"中","高")))),"不计算")))</f>
        <v/>
      </c>
      <c r="P1438" s="142">
        <f>IFERROR(IF(I1438="EI",IF(O1438="低",3,IF(O1438="中",4,6)),IF(I1438="EO",IF(O1438="低",4,IF(O1438="中",5,7)),IF(I1438="EQ",IF(O1438="低",3,IF(O1438="中",4,6)),IF(I1438="ILF",IF(O1438="低",7,IF(O1438="中",10,15)),IF(I1438="EIF",IF(O1438="低",5,IF(O1438="中",7,10)),"不计算")))))*Q1438,"不计算")</f>
        <v/>
      </c>
      <c r="Q1438" s="142" t="n">
        <v>0.333333333333333</v>
      </c>
      <c r="R1438" s="143">
        <f>调整因子!$F$13</f>
        <v/>
      </c>
      <c r="S1438" s="70" t="n">
        <v>1</v>
      </c>
      <c r="T1438" s="144">
        <f>IFERROR(P1438*R1438,0)</f>
        <v/>
      </c>
      <c r="U1438" s="145">
        <f>T1438*S1438</f>
        <v/>
      </c>
      <c r="V1438" s="96" t="inlineStr">
        <is>
          <t>推送日志表、扫描策略模板表</t>
        </is>
      </c>
      <c r="W1438" s="96" t="inlineStr"/>
      <c r="X1438" s="111" t="inlineStr">
        <is>
          <t>推送日志表{日志ID、操作人、操作类型、操作时间、操作内容|日志ID、操作人、操作类型}
扫描策略模板表{任务ID、任务名称、任务状态、扫描器类型、开始时间、结束时间、扫描结果|任务ID、任务名称、任务状态}</t>
        </is>
      </c>
      <c r="Y1438" s="88" t="n"/>
      <c r="Z1438" s="88" t="n"/>
    </row>
    <row r="1439" hidden="1" ht="43.2" customHeight="1">
      <c r="A1439" s="69">
        <f>ROW()-1</f>
        <v/>
      </c>
      <c r="B1439" s="53" t="n"/>
      <c r="C1439" s="117" t="n">
        <v>2026</v>
      </c>
      <c r="E1439" s="53" t="n"/>
      <c r="F1439" s="53" t="n"/>
      <c r="G1439" s="53" t="n"/>
      <c r="H1439" s="96" t="inlineStr">
        <is>
          <t>配置指标权重</t>
        </is>
      </c>
      <c r="I1439" s="76" t="inlineStr">
        <is>
          <t>EI</t>
        </is>
      </c>
      <c r="J1439" s="95" t="n"/>
      <c r="K1439" s="95" t="n"/>
      <c r="L1439" s="83">
        <f>IF(OR(X1439="估算法",X1439="算法类",X1439="无法识别"),"",IF(V1439="",IF(OR(I1439="EI",I1439="EO",I1439="EQ"),0,""),LEN(V1439)-LEN(SUBSTITUTE(V1439,"、",""))+1))</f>
        <v/>
      </c>
      <c r="M1439" s="83">
        <f>IF(OR(X1439="估算法",X1439="算法类",X1439="无法识别"),"",IF(W1439="",IF(OR(I1439="ILF",I1439="EIF"),0,""),LEN(W1439)-LEN(SUBSTITUTE(W1439,"、",""))+1))</f>
        <v/>
      </c>
      <c r="N1439" s="83">
        <f>IF(OR(X1439="估算法",X1439="算法类",X1439="无法识别"),"",IF(X1439="",IF(OR(I1439="ILF",I1439="EIF",I1439="EI",I1439="EO",I1439="EQ"),0,""),LEN(X1439)-LEN(SUBSTITUTE(SUBSTITUTE(SUBSTITUTE(SUBSTITUTE(SUBSTITUTE(X1439,"|}","--"),"{|","--"),CHAR(10),""),"、",""),"|",""))+IF(AND(OR(I1439="EI",I1439="EO",I1439="EQ"),$AD$1="NESMA"),2,1)))</f>
        <v/>
      </c>
      <c r="O1439" s="84">
        <f>IF(I1439="EI",IF(OR(X1439="估算法",X1439="算法类"),"中",IF(X1439="无法识别","低",IF(L1439&lt;2,IF(N1439&lt;16,"低","中"),IF(L1439&lt;3,IF(N1439&lt;5,"低",IF(N1439&lt;16,"中","高")),IF(N1439&lt;5,"中","高"))))),IF(OR(I1439="EO",I1439="EQ"),IF(OR(X1439="估算法",X1439="算法类"),"中",IF(X1439="无法识别","低",IF(L1439&lt;2,IF(N1439&lt;20,"低","中"),IF(L1439&lt;4,IF(N1439&lt;6,"低",IF(N1439&lt;20,"中","高")),IF(N1439&lt;6,"中","高"))))),IF(OR(I1439="ILF",I1439="EIF"),IF(OR(X1439="估算法",X1439="算法类",X1439="无法识别"),"低",IF(M1439&lt;2,IF(N1439&lt;51,"低","中"),IF(M1439&lt;6,IF(N1439&lt;20,"低",IF(N1439&lt;51,"中","高")),IF(N1439&lt;20,"中","高")))),"不计算")))</f>
        <v/>
      </c>
      <c r="P1439" s="142">
        <f>IFERROR(IF(I1439="EI",IF(O1439="低",3,IF(O1439="中",4,6)),IF(I1439="EO",IF(O1439="低",4,IF(O1439="中",5,7)),IF(I1439="EQ",IF(O1439="低",3,IF(O1439="中",4,6)),IF(I1439="ILF",IF(O1439="低",7,IF(O1439="中",10,15)),IF(I1439="EIF",IF(O1439="低",5,IF(O1439="中",7,10)),"不计算")))))*Q1439,"不计算")</f>
        <v/>
      </c>
      <c r="Q1439" s="142" t="n">
        <v>1</v>
      </c>
      <c r="R1439" s="143">
        <f>调整因子!$F$13</f>
        <v/>
      </c>
      <c r="S1439" s="76" t="n">
        <v>1</v>
      </c>
      <c r="T1439" s="144">
        <f>IFERROR(P1439*R1439,0)</f>
        <v/>
      </c>
      <c r="U1439" s="145">
        <f>T1439*S1439</f>
        <v/>
      </c>
      <c r="V1439" s="96" t="inlineStr">
        <is>
          <t>任务优先级配置表、模板参数配置表</t>
        </is>
      </c>
      <c r="W1439" s="96" t="inlineStr"/>
      <c r="X1439" s="111" t="inlineStr">
        <is>
          <t>任务优先级配置表{任务ID、任务名称、任务类型、任务状态、创建时间、执行时间|任务ID、任务名称、任务类型}
模板参数配置表{配置ID、配置名称、配置类型、配置值、创建时间|配置ID、配置名称、配置类型}</t>
        </is>
      </c>
      <c r="Y1439" s="88" t="n"/>
      <c r="Z1439" s="88" t="n"/>
    </row>
    <row r="1440" hidden="1" ht="32.4" customHeight="1">
      <c r="A1440" s="69">
        <f>ROW()-1</f>
        <v/>
      </c>
      <c r="B1440" s="53" t="n"/>
      <c r="C1440" s="117" t="n">
        <v>2026</v>
      </c>
      <c r="E1440" s="53" t="n"/>
      <c r="F1440" s="53" t="n"/>
      <c r="G1440" s="53" t="n"/>
      <c r="H1440" s="96" t="inlineStr">
        <is>
          <t>启用考核指标</t>
        </is>
      </c>
      <c r="I1440" s="76" t="inlineStr">
        <is>
          <t>EI</t>
        </is>
      </c>
      <c r="J1440" s="95" t="n"/>
      <c r="K1440" s="95" t="n"/>
      <c r="L1440" s="83">
        <f>IF(OR(X1440="估算法",X1440="算法类",X1440="无法识别"),"",IF(V1440="",IF(OR(I1440="EI",I1440="EO",I1440="EQ"),0,""),LEN(V1440)-LEN(SUBSTITUTE(V1440,"、",""))+1))</f>
        <v/>
      </c>
      <c r="M1440" s="83">
        <f>IF(OR(X1440="估算法",X1440="算法类",X1440="无法识别"),"",IF(W1440="",IF(OR(I1440="ILF",I1440="EIF"),0,""),LEN(W1440)-LEN(SUBSTITUTE(W1440,"、",""))+1))</f>
        <v/>
      </c>
      <c r="N1440" s="83">
        <f>IF(OR(X1440="估算法",X1440="算法类",X1440="无法识别"),"",IF(X1440="",IF(OR(I1440="ILF",I1440="EIF",I1440="EI",I1440="EO",I1440="EQ"),0,""),LEN(X1440)-LEN(SUBSTITUTE(SUBSTITUTE(SUBSTITUTE(SUBSTITUTE(SUBSTITUTE(X1440,"|}","--"),"{|","--"),CHAR(10),""),"、",""),"|",""))+IF(AND(OR(I1440="EI",I1440="EO",I1440="EQ"),$AD$1="NESMA"),2,1)))</f>
        <v/>
      </c>
      <c r="O1440" s="84">
        <f>IF(I1440="EI",IF(OR(X1440="估算法",X1440="算法类"),"中",IF(X1440="无法识别","低",IF(L1440&lt;2,IF(N1440&lt;16,"低","中"),IF(L1440&lt;3,IF(N1440&lt;5,"低",IF(N1440&lt;16,"中","高")),IF(N1440&lt;5,"中","高"))))),IF(OR(I1440="EO",I1440="EQ"),IF(OR(X1440="估算法",X1440="算法类"),"中",IF(X1440="无法识别","低",IF(L1440&lt;2,IF(N1440&lt;20,"低","中"),IF(L1440&lt;4,IF(N1440&lt;6,"低",IF(N1440&lt;20,"中","高")),IF(N1440&lt;6,"中","高"))))),IF(OR(I1440="ILF",I1440="EIF"),IF(OR(X1440="估算法",X1440="算法类",X1440="无法识别"),"低",IF(M1440&lt;2,IF(N1440&lt;51,"低","中"),IF(M1440&lt;6,IF(N1440&lt;20,"低",IF(N1440&lt;51,"中","高")),IF(N1440&lt;20,"中","高")))),"不计算")))</f>
        <v/>
      </c>
      <c r="P1440" s="142">
        <f>IFERROR(IF(I1440="EI",IF(O1440="低",3,IF(O1440="中",4,6)),IF(I1440="EO",IF(O1440="低",4,IF(O1440="中",5,7)),IF(I1440="EQ",IF(O1440="低",3,IF(O1440="中",4,6)),IF(I1440="ILF",IF(O1440="低",7,IF(O1440="中",10,15)),IF(I1440="EIF",IF(O1440="低",5,IF(O1440="中",7,10)),"不计算")))))*Q1440,"不计算")</f>
        <v/>
      </c>
      <c r="Q1440" s="142" t="n">
        <v>1</v>
      </c>
      <c r="R1440" s="143">
        <f>调整因子!$F$13</f>
        <v/>
      </c>
      <c r="S1440" s="76" t="n">
        <v>1</v>
      </c>
      <c r="T1440" s="144">
        <f>IFERROR(P1440*R1440,0)</f>
        <v/>
      </c>
      <c r="U1440" s="145">
        <f>T1440*S1440</f>
        <v/>
      </c>
      <c r="V1440" s="96" t="inlineStr">
        <is>
          <t>采集记录表、接口参数表</t>
        </is>
      </c>
      <c r="W1440" s="96" t="inlineStr"/>
      <c r="X1440" s="111" t="inlineStr">
        <is>
          <t>采集记录表{ID、名称、类型、状态、创建时间、更新时间|ID、名称、类型}
接口参数表{接口ID、接口名称、接口类型、接口地址、调用时间|接口ID、接口名称、接口类型}</t>
        </is>
      </c>
      <c r="Y1440" s="88" t="n"/>
      <c r="Z1440" s="88" t="n"/>
    </row>
    <row r="1441" hidden="1" ht="43.2" customHeight="1">
      <c r="A1441" s="69">
        <f>ROW()-1</f>
        <v/>
      </c>
      <c r="B1441" s="53" t="n"/>
      <c r="C1441" s="117" t="n">
        <v>2026</v>
      </c>
      <c r="E1441" s="53" t="n"/>
      <c r="F1441" s="53" t="n"/>
      <c r="G1441" s="53" t="n"/>
      <c r="H1441" s="96" t="inlineStr">
        <is>
          <t>停用考核指标</t>
        </is>
      </c>
      <c r="I1441" s="76" t="n"/>
      <c r="J1441" s="95" t="n"/>
      <c r="K1441" s="95" t="inlineStr">
        <is>
          <t>和上行合并，启停为相同功能</t>
        </is>
      </c>
      <c r="L1441" s="83">
        <f>IF(OR(X1441="估算法",X1441="算法类",X1441="无法识别"),"",IF(V1441="",IF(OR(I1441="EI",I1441="EO",I1441="EQ"),0,""),LEN(V1441)-LEN(SUBSTITUTE(V1441,"、",""))+1))</f>
        <v/>
      </c>
      <c r="M1441" s="83">
        <f>IF(OR(X1441="估算法",X1441="算法类",X1441="无法识别"),"",IF(W1441="",IF(OR(I1441="ILF",I1441="EIF"),0,""),LEN(W1441)-LEN(SUBSTITUTE(W1441,"、",""))+1))</f>
        <v/>
      </c>
      <c r="N1441" s="83">
        <f>IF(OR(X1441="估算法",X1441="算法类",X1441="无法识别"),"",IF(X1441="",IF(OR(I1441="ILF",I1441="EIF",I1441="EI",I1441="EO",I1441="EQ"),0,""),LEN(X1441)-LEN(SUBSTITUTE(SUBSTITUTE(SUBSTITUTE(SUBSTITUTE(SUBSTITUTE(X1441,"|}","--"),"{|","--"),CHAR(10),""),"、",""),"|",""))+IF(AND(OR(I1441="EI",I1441="EO",I1441="EQ"),$AD$1="NESMA"),2,1)))</f>
        <v/>
      </c>
      <c r="O1441" s="84">
        <f>IF(I1441="EI",IF(OR(X1441="估算法",X1441="算法类"),"中",IF(X1441="无法识别","低",IF(L1441&lt;2,IF(N1441&lt;16,"低","中"),IF(L1441&lt;3,IF(N1441&lt;5,"低",IF(N1441&lt;16,"中","高")),IF(N1441&lt;5,"中","高"))))),IF(OR(I1441="EO",I1441="EQ"),IF(OR(X1441="估算法",X1441="算法类"),"中",IF(X1441="无法识别","低",IF(L1441&lt;2,IF(N1441&lt;20,"低","中"),IF(L1441&lt;4,IF(N1441&lt;6,"低",IF(N1441&lt;20,"中","高")),IF(N1441&lt;6,"中","高"))))),IF(OR(I1441="ILF",I1441="EIF"),IF(OR(X1441="估算法",X1441="算法类",X1441="无法识别"),"低",IF(M1441&lt;2,IF(N1441&lt;51,"低","中"),IF(M1441&lt;6,IF(N1441&lt;20,"低",IF(N1441&lt;51,"中","高")),IF(N1441&lt;20,"中","高")))),"不计算")))</f>
        <v/>
      </c>
      <c r="P1441" s="142">
        <f>IFERROR(IF(I1441="EI",IF(O1441="低",3,IF(O1441="中",4,6)),IF(I1441="EO",IF(O1441="低",4,IF(O1441="中",5,7)),IF(I1441="EQ",IF(O1441="低",3,IF(O1441="中",4,6)),IF(I1441="ILF",IF(O1441="低",7,IF(O1441="中",10,15)),IF(I1441="EIF",IF(O1441="低",5,IF(O1441="中",7,10)),"不计算")))))*Q1441,"不计算")</f>
        <v/>
      </c>
      <c r="Q1441" s="142" t="n">
        <v>1</v>
      </c>
      <c r="R1441" s="143">
        <f>调整因子!$F$13</f>
        <v/>
      </c>
      <c r="S1441" s="70" t="n">
        <v>1</v>
      </c>
      <c r="T1441" s="144">
        <f>IFERROR(P1441*R1441,0)</f>
        <v/>
      </c>
      <c r="U1441" s="145">
        <f>T1441*S1441</f>
        <v/>
      </c>
      <c r="V1441" s="96" t="inlineStr">
        <is>
          <t>同步任务调度表、任务队列表</t>
        </is>
      </c>
      <c r="W1441" s="96" t="inlineStr"/>
      <c r="X1441" s="111" t="inlineStr">
        <is>
          <t>同步任务调度表{任务ID、任务名称、任务类型、任务状态、创建时间、执行时间|任务ID、任务名称、任务类型}
任务队列表{任务ID、任务名称、任务类型、任务状态、创建时间、执行时间|任务ID、任务名称、任务类型}</t>
        </is>
      </c>
      <c r="Y1441" s="88" t="n"/>
      <c r="Z1441" s="88" t="n"/>
    </row>
    <row r="1442" hidden="1" ht="43.2" customHeight="1">
      <c r="A1442" s="69">
        <f>ROW()-1</f>
        <v/>
      </c>
      <c r="B1442" s="53" t="n"/>
      <c r="C1442" s="117" t="n">
        <v>2026</v>
      </c>
      <c r="E1442" s="53" t="n"/>
      <c r="F1442" s="53" t="n"/>
      <c r="G1442" s="53" t="n"/>
      <c r="H1442" s="96" t="inlineStr">
        <is>
          <t>导出指标配置</t>
        </is>
      </c>
      <c r="I1442" s="76" t="inlineStr">
        <is>
          <t>EO</t>
        </is>
      </c>
      <c r="J1442" s="95" t="n"/>
      <c r="K1442" s="95" t="n"/>
      <c r="L1442" s="83">
        <f>IF(OR(X1442="估算法",X1442="算法类",X1442="无法识别"),"",IF(V1442="",IF(OR(I1442="EI",I1442="EO",I1442="EQ"),0,""),LEN(V1442)-LEN(SUBSTITUTE(V1442,"、",""))+1))</f>
        <v/>
      </c>
      <c r="M1442" s="83">
        <f>IF(OR(X1442="估算法",X1442="算法类",X1442="无法识别"),"",IF(W1442="",IF(OR(I1442="ILF",I1442="EIF"),0,""),LEN(W1442)-LEN(SUBSTITUTE(W1442,"、",""))+1))</f>
        <v/>
      </c>
      <c r="N1442" s="83">
        <f>IF(OR(X1442="估算法",X1442="算法类",X1442="无法识别"),"",IF(X1442="",IF(OR(I1442="ILF",I1442="EIF",I1442="EI",I1442="EO",I1442="EQ"),0,""),LEN(X1442)-LEN(SUBSTITUTE(SUBSTITUTE(SUBSTITUTE(SUBSTITUTE(SUBSTITUTE(X1442,"|}","--"),"{|","--"),CHAR(10),""),"、",""),"|",""))+IF(AND(OR(I1442="EI",I1442="EO",I1442="EQ"),$AD$1="NESMA"),2,1)))</f>
        <v/>
      </c>
      <c r="O1442" s="84">
        <f>IF(I1442="EI",IF(OR(X1442="估算法",X1442="算法类"),"中",IF(X1442="无法识别","低",IF(L1442&lt;2,IF(N1442&lt;16,"低","中"),IF(L1442&lt;3,IF(N1442&lt;5,"低",IF(N1442&lt;16,"中","高")),IF(N1442&lt;5,"中","高"))))),IF(OR(I1442="EO",I1442="EQ"),IF(OR(X1442="估算法",X1442="算法类"),"中",IF(X1442="无法识别","低",IF(L1442&lt;2,IF(N1442&lt;20,"低","中"),IF(L1442&lt;4,IF(N1442&lt;6,"低",IF(N1442&lt;20,"中","高")),IF(N1442&lt;6,"中","高"))))),IF(OR(I1442="ILF",I1442="EIF"),IF(OR(X1442="估算法",X1442="算法类",X1442="无法识别"),"低",IF(M1442&lt;2,IF(N1442&lt;51,"低","中"),IF(M1442&lt;6,IF(N1442&lt;20,"低",IF(N1442&lt;51,"中","高")),IF(N1442&lt;20,"中","高")))),"不计算")))</f>
        <v/>
      </c>
      <c r="P1442" s="142">
        <f>IFERROR(IF(I1442="EI",IF(O1442="低",3,IF(O1442="中",4,6)),IF(I1442="EO",IF(O1442="低",4,IF(O1442="中",5,7)),IF(I1442="EQ",IF(O1442="低",3,IF(O1442="中",4,6)),IF(I1442="ILF",IF(O1442="低",7,IF(O1442="中",10,15)),IF(I1442="EIF",IF(O1442="低",5,IF(O1442="中",7,10)),"不计算")))))*Q1442,"不计算")</f>
        <v/>
      </c>
      <c r="Q1442" s="142" t="n">
        <v>1</v>
      </c>
      <c r="R1442" s="143">
        <f>调整因子!$F$13</f>
        <v/>
      </c>
      <c r="S1442" s="70" t="n">
        <v>1</v>
      </c>
      <c r="T1442" s="144">
        <f>IFERROR(P1442*R1442,0)</f>
        <v/>
      </c>
      <c r="U1442" s="145">
        <f>T1442*S1442</f>
        <v/>
      </c>
      <c r="V1442" s="96" t="inlineStr">
        <is>
          <t>任务优先级配置表、模板参数配置表</t>
        </is>
      </c>
      <c r="W1442" s="96" t="inlineStr"/>
      <c r="X1442" s="111" t="inlineStr">
        <is>
          <t>任务优先级配置表{任务ID、任务名称|任务ID、任务名称、任务类型、任务状态、创建时间、执行时间}
模板参数配置表{配置ID、配置名称|配置ID、配置名称、配置类型、配置值、创建时间}</t>
        </is>
      </c>
      <c r="Y1442" s="88" t="n"/>
      <c r="Z1442" s="88" t="n"/>
    </row>
    <row r="1443" hidden="1" ht="21.6" customHeight="1">
      <c r="A1443" s="69">
        <f>ROW()-1</f>
        <v/>
      </c>
      <c r="B1443" s="53" t="n"/>
      <c r="C1443" s="117" t="n">
        <v>2026</v>
      </c>
      <c r="E1443" s="53" t="n"/>
      <c r="F1443" s="53" t="n"/>
      <c r="G1443" s="53" t="n"/>
      <c r="H1443" s="96" t="inlineStr">
        <is>
          <t>查询指标列表</t>
        </is>
      </c>
      <c r="I1443" s="76" t="inlineStr">
        <is>
          <t>EO</t>
        </is>
      </c>
      <c r="J1443" s="95" t="n"/>
      <c r="K1443" s="95" t="n"/>
      <c r="L1443" s="83">
        <f>IF(OR(X1443="估算法",X1443="算法类",X1443="无法识别"),"",IF(V1443="",IF(OR(I1443="EI",I1443="EO",I1443="EQ"),0,""),LEN(V1443)-LEN(SUBSTITUTE(V1443,"、",""))+1))</f>
        <v/>
      </c>
      <c r="M1443" s="83">
        <f>IF(OR(X1443="估算法",X1443="算法类",X1443="无法识别"),"",IF(W1443="",IF(OR(I1443="ILF",I1443="EIF"),0,""),LEN(W1443)-LEN(SUBSTITUTE(W1443,"、",""))+1))</f>
        <v/>
      </c>
      <c r="N1443" s="83">
        <f>IF(OR(X1443="估算法",X1443="算法类",X1443="无法识别"),"",IF(X1443="",IF(OR(I1443="ILF",I1443="EIF",I1443="EI",I1443="EO",I1443="EQ"),0,""),LEN(X1443)-LEN(SUBSTITUTE(SUBSTITUTE(SUBSTITUTE(SUBSTITUTE(SUBSTITUTE(X1443,"|}","--"),"{|","--"),CHAR(10),""),"、",""),"|",""))+IF(AND(OR(I1443="EI",I1443="EO",I1443="EQ"),$AD$1="NESMA"),2,1)))</f>
        <v/>
      </c>
      <c r="O1443" s="84">
        <f>IF(I1443="EI",IF(OR(X1443="估算法",X1443="算法类"),"中",IF(X1443="无法识别","低",IF(L1443&lt;2,IF(N1443&lt;16,"低","中"),IF(L1443&lt;3,IF(N1443&lt;5,"低",IF(N1443&lt;16,"中","高")),IF(N1443&lt;5,"中","高"))))),IF(OR(I1443="EO",I1443="EQ"),IF(OR(X1443="估算法",X1443="算法类"),"中",IF(X1443="无法识别","低",IF(L1443&lt;2,IF(N1443&lt;20,"低","中"),IF(L1443&lt;4,IF(N1443&lt;6,"低",IF(N1443&lt;20,"中","高")),IF(N1443&lt;6,"中","高"))))),IF(OR(I1443="ILF",I1443="EIF"),IF(OR(X1443="估算法",X1443="算法类",X1443="无法识别"),"低",IF(M1443&lt;2,IF(N1443&lt;51,"低","中"),IF(M1443&lt;6,IF(N1443&lt;20,"低",IF(N1443&lt;51,"中","高")),IF(N1443&lt;20,"中","高")))),"不计算")))</f>
        <v/>
      </c>
      <c r="P1443" s="142">
        <f>IFERROR(IF(I1443="EI",IF(O1443="低",3,IF(O1443="中",4,6)),IF(I1443="EO",IF(O1443="低",4,IF(O1443="中",5,7)),IF(I1443="EQ",IF(O1443="低",3,IF(O1443="中",4,6)),IF(I1443="ILF",IF(O1443="低",7,IF(O1443="中",10,15)),IF(I1443="EIF",IF(O1443="低",5,IF(O1443="中",7,10)),"不计算")))))*Q1443,"不计算")</f>
        <v/>
      </c>
      <c r="Q1443" s="142" t="n">
        <v>1</v>
      </c>
      <c r="R1443" s="143">
        <f>调整因子!$F$13</f>
        <v/>
      </c>
      <c r="S1443" s="76" t="n">
        <v>1</v>
      </c>
      <c r="T1443" s="144">
        <f>IFERROR(P1443*R1443,0)</f>
        <v/>
      </c>
      <c r="U1443" s="145">
        <f>T1443*S1443</f>
        <v/>
      </c>
      <c r="V1443" s="96" t="inlineStr">
        <is>
          <t>离线扫描报告表</t>
        </is>
      </c>
      <c r="W1443" s="96" t="inlineStr"/>
      <c r="X1443" s="111" t="inlineStr">
        <is>
          <t>离线扫描报告表{任务ID、任务名称|任务ID、任务名称、任务状态、扫描器类型、开始时间、结束时间}</t>
        </is>
      </c>
      <c r="Y1443" s="88" t="n"/>
      <c r="Z1443" s="88" t="n"/>
    </row>
    <row r="1444" hidden="1" ht="21.6" customHeight="1">
      <c r="A1444" s="69">
        <f>ROW()-1</f>
        <v/>
      </c>
      <c r="B1444" s="53" t="n"/>
      <c r="C1444" s="117" t="n">
        <v>2026</v>
      </c>
      <c r="E1444" s="53" t="n"/>
      <c r="F1444" s="53" t="n"/>
      <c r="G1444" s="54" t="n"/>
      <c r="H1444" s="96" t="inlineStr">
        <is>
          <t>查看指标详情</t>
        </is>
      </c>
      <c r="I1444" s="76" t="inlineStr">
        <is>
          <t>EQ</t>
        </is>
      </c>
      <c r="J1444" s="95" t="n"/>
      <c r="K1444" s="95" t="n"/>
      <c r="L1444" s="83">
        <f>IF(OR(X1444="估算法",X1444="算法类",X1444="无法识别"),"",IF(V1444="",IF(OR(I1444="EI",I1444="EO",I1444="EQ"),0,""),LEN(V1444)-LEN(SUBSTITUTE(V1444,"、",""))+1))</f>
        <v/>
      </c>
      <c r="M1444" s="83">
        <f>IF(OR(X1444="估算法",X1444="算法类",X1444="无法识别"),"",IF(W1444="",IF(OR(I1444="ILF",I1444="EIF"),0,""),LEN(W1444)-LEN(SUBSTITUTE(W1444,"、",""))+1))</f>
        <v/>
      </c>
      <c r="N1444" s="83">
        <f>IF(OR(X1444="估算法",X1444="算法类",X1444="无法识别"),"",IF(X1444="",IF(OR(I1444="ILF",I1444="EIF",I1444="EI",I1444="EO",I1444="EQ"),0,""),LEN(X1444)-LEN(SUBSTITUTE(SUBSTITUTE(SUBSTITUTE(SUBSTITUTE(SUBSTITUTE(X1444,"|}","--"),"{|","--"),CHAR(10),""),"、",""),"|",""))+IF(AND(OR(I1444="EI",I1444="EO",I1444="EQ"),$AD$1="NESMA"),2,1)))</f>
        <v/>
      </c>
      <c r="O1444" s="84">
        <f>IF(I1444="EI",IF(OR(X1444="估算法",X1444="算法类"),"中",IF(X1444="无法识别","低",IF(L1444&lt;2,IF(N1444&lt;16,"低","中"),IF(L1444&lt;3,IF(N1444&lt;5,"低",IF(N1444&lt;16,"中","高")),IF(N1444&lt;5,"中","高"))))),IF(OR(I1444="EO",I1444="EQ"),IF(OR(X1444="估算法",X1444="算法类"),"中",IF(X1444="无法识别","低",IF(L1444&lt;2,IF(N1444&lt;20,"低","中"),IF(L1444&lt;4,IF(N1444&lt;6,"低",IF(N1444&lt;20,"中","高")),IF(N1444&lt;6,"中","高"))))),IF(OR(I1444="ILF",I1444="EIF"),IF(OR(X1444="估算法",X1444="算法类",X1444="无法识别"),"低",IF(M1444&lt;2,IF(N1444&lt;51,"低","中"),IF(M1444&lt;6,IF(N1444&lt;20,"低",IF(N1444&lt;51,"中","高")),IF(N1444&lt;20,"中","高")))),"不计算")))</f>
        <v/>
      </c>
      <c r="P1444" s="142">
        <f>IFERROR(IF(I1444="EI",IF(O1444="低",3,IF(O1444="中",4,6)),IF(I1444="EO",IF(O1444="低",4,IF(O1444="中",5,7)),IF(I1444="EQ",IF(O1444="低",3,IF(O1444="中",4,6)),IF(I1444="ILF",IF(O1444="低",7,IF(O1444="中",10,15)),IF(I1444="EIF",IF(O1444="低",5,IF(O1444="中",7,10)),"不计算")))))*Q1444,"不计算")</f>
        <v/>
      </c>
      <c r="Q1444" s="142" t="n">
        <v>1</v>
      </c>
      <c r="R1444" s="143">
        <f>调整因子!$F$13</f>
        <v/>
      </c>
      <c r="S1444" s="70" t="n">
        <v>1</v>
      </c>
      <c r="T1444" s="144">
        <f>IFERROR(P1444*R1444,0)</f>
        <v/>
      </c>
      <c r="U1444" s="145">
        <f>T1444*S1444</f>
        <v/>
      </c>
      <c r="V1444" s="96" t="inlineStr">
        <is>
          <t>接口参数表、性能数据表</t>
        </is>
      </c>
      <c r="W1444" s="96" t="inlineStr"/>
      <c r="X1444" s="111" t="inlineStr">
        <is>
          <t>接口参数表{接口ID、接口名称|接口ID、接口名称、接口类型、接口地址、调用时间}
性能数据表{ID、名称|ID、名称、类型、状态、创建时间}</t>
        </is>
      </c>
      <c r="Y1444" s="88" t="n"/>
      <c r="Z1444" s="88" t="n"/>
    </row>
    <row r="1445" hidden="1" ht="32.4" customHeight="1">
      <c r="A1445" s="69">
        <f>ROW()-1</f>
        <v/>
      </c>
      <c r="B1445" s="53" t="n"/>
      <c r="C1445" s="117" t="n">
        <v>2026</v>
      </c>
      <c r="E1445" s="53" t="n"/>
      <c r="F1445" s="53" t="n"/>
      <c r="G1445" s="111" t="inlineStr">
        <is>
          <t>考核数据统计管理</t>
        </is>
      </c>
      <c r="H1445" s="96" t="inlineStr">
        <is>
          <t>导出考核报表</t>
        </is>
      </c>
      <c r="I1445" s="76" t="inlineStr">
        <is>
          <t>EO</t>
        </is>
      </c>
      <c r="J1445" s="95" t="n"/>
      <c r="K1445" s="95" t="n"/>
      <c r="L1445" s="83">
        <f>IF(OR(X1445="估算法",X1445="算法类",X1445="无法识别"),"",IF(V1445="",IF(OR(I1445="EI",I1445="EO",I1445="EQ"),0,""),LEN(V1445)-LEN(SUBSTITUTE(V1445,"、",""))+1))</f>
        <v/>
      </c>
      <c r="M1445" s="83">
        <f>IF(OR(X1445="估算法",X1445="算法类",X1445="无法识别"),"",IF(W1445="",IF(OR(I1445="ILF",I1445="EIF"),0,""),LEN(W1445)-LEN(SUBSTITUTE(W1445,"、",""))+1))</f>
        <v/>
      </c>
      <c r="N1445" s="83">
        <f>IF(OR(X1445="估算法",X1445="算法类",X1445="无法识别"),"",IF(X1445="",IF(OR(I1445="ILF",I1445="EIF",I1445="EI",I1445="EO",I1445="EQ"),0,""),LEN(X1445)-LEN(SUBSTITUTE(SUBSTITUTE(SUBSTITUTE(SUBSTITUTE(SUBSTITUTE(X1445,"|}","--"),"{|","--"),CHAR(10),""),"、",""),"|",""))+IF(AND(OR(I1445="EI",I1445="EO",I1445="EQ"),$AD$1="NESMA"),2,1)))</f>
        <v/>
      </c>
      <c r="O1445" s="84">
        <f>IF(I1445="EI",IF(OR(X1445="估算法",X1445="算法类"),"中",IF(X1445="无法识别","低",IF(L1445&lt;2,IF(N1445&lt;16,"低","中"),IF(L1445&lt;3,IF(N1445&lt;5,"低",IF(N1445&lt;16,"中","高")),IF(N1445&lt;5,"中","高"))))),IF(OR(I1445="EO",I1445="EQ"),IF(OR(X1445="估算法",X1445="算法类"),"中",IF(X1445="无法识别","低",IF(L1445&lt;2,IF(N1445&lt;20,"低","中"),IF(L1445&lt;4,IF(N1445&lt;6,"低",IF(N1445&lt;20,"中","高")),IF(N1445&lt;6,"中","高"))))),IF(OR(I1445="ILF",I1445="EIF"),IF(OR(X1445="估算法",X1445="算法类",X1445="无法识别"),"低",IF(M1445&lt;2,IF(N1445&lt;51,"低","中"),IF(M1445&lt;6,IF(N1445&lt;20,"低",IF(N1445&lt;51,"中","高")),IF(N1445&lt;20,"中","高")))),"不计算")))</f>
        <v/>
      </c>
      <c r="P1445" s="142">
        <f>IFERROR(IF(I1445="EI",IF(O1445="低",3,IF(O1445="中",4,6)),IF(I1445="EO",IF(O1445="低",4,IF(O1445="中",5,7)),IF(I1445="EQ",IF(O1445="低",3,IF(O1445="中",4,6)),IF(I1445="ILF",IF(O1445="低",7,IF(O1445="中",10,15)),IF(I1445="EIF",IF(O1445="低",5,IF(O1445="中",7,10)),"不计算")))))*Q1445,"不计算")</f>
        <v/>
      </c>
      <c r="Q1445" s="142" t="n">
        <v>1</v>
      </c>
      <c r="R1445" s="143">
        <f>调整因子!$F$13</f>
        <v/>
      </c>
      <c r="S1445" s="70" t="n">
        <v>1</v>
      </c>
      <c r="T1445" s="144">
        <f>IFERROR(P1445*R1445,0)</f>
        <v/>
      </c>
      <c r="U1445" s="145">
        <f>T1445*S1445</f>
        <v/>
      </c>
      <c r="V1445" s="96" t="inlineStr">
        <is>
          <t>报表模板表、资产同步任务表</t>
        </is>
      </c>
      <c r="W1445" s="96" t="inlineStr"/>
      <c r="X1445" s="111" t="inlineStr">
        <is>
          <t>报表模板表{报表ID、报表名称|报表ID、报表名称、报表类型、生成时间、报表内容}
资产同步任务表{资产ID、资产名称|资产ID、资产名称、IP地址、资产类型、资产状态}</t>
        </is>
      </c>
      <c r="Y1445" s="88" t="n"/>
      <c r="Z1445" s="88" t="n"/>
    </row>
    <row r="1446" hidden="1">
      <c r="A1446" s="69">
        <f>ROW()-1</f>
        <v/>
      </c>
      <c r="B1446" s="53" t="n"/>
      <c r="C1446" s="117" t="n">
        <v>2026</v>
      </c>
      <c r="E1446" s="53" t="n"/>
      <c r="F1446" s="53" t="n"/>
      <c r="G1446" s="53" t="n"/>
      <c r="H1446" s="96" t="inlineStr">
        <is>
          <t>下载考核报告</t>
        </is>
      </c>
      <c r="I1446" s="76" t="inlineStr">
        <is>
          <t>EO</t>
        </is>
      </c>
      <c r="J1446" s="95" t="n"/>
      <c r="K1446" s="95" t="n"/>
      <c r="L1446" s="83">
        <f>IF(OR(X1446="估算法",X1446="算法类",X1446="无法识别"),"",IF(V1446="",IF(OR(I1446="EI",I1446="EO",I1446="EQ"),0,""),LEN(V1446)-LEN(SUBSTITUTE(V1446,"、",""))+1))</f>
        <v/>
      </c>
      <c r="M1446" s="83">
        <f>IF(OR(X1446="估算法",X1446="算法类",X1446="无法识别"),"",IF(W1446="",IF(OR(I1446="ILF",I1446="EIF"),0,""),LEN(W1446)-LEN(SUBSTITUTE(W1446,"、",""))+1))</f>
        <v/>
      </c>
      <c r="N1446" s="83">
        <f>IF(OR(X1446="估算法",X1446="算法类",X1446="无法识别"),"",IF(X1446="",IF(OR(I1446="ILF",I1446="EIF",I1446="EI",I1446="EO",I1446="EQ"),0,""),LEN(X1446)-LEN(SUBSTITUTE(SUBSTITUTE(SUBSTITUTE(SUBSTITUTE(SUBSTITUTE(X1446,"|}","--"),"{|","--"),CHAR(10),""),"、",""),"|",""))+IF(AND(OR(I1446="EI",I1446="EO",I1446="EQ"),$AD$1="NESMA"),2,1)))</f>
        <v/>
      </c>
      <c r="O1446" s="84">
        <f>IF(I1446="EI",IF(OR(X1446="估算法",X1446="算法类"),"中",IF(X1446="无法识别","低",IF(L1446&lt;2,IF(N1446&lt;16,"低","中"),IF(L1446&lt;3,IF(N1446&lt;5,"低",IF(N1446&lt;16,"中","高")),IF(N1446&lt;5,"中","高"))))),IF(OR(I1446="EO",I1446="EQ"),IF(OR(X1446="估算法",X1446="算法类"),"中",IF(X1446="无法识别","低",IF(L1446&lt;2,IF(N1446&lt;20,"低","中"),IF(L1446&lt;4,IF(N1446&lt;6,"低",IF(N1446&lt;20,"中","高")),IF(N1446&lt;6,"中","高"))))),IF(OR(I1446="ILF",I1446="EIF"),IF(OR(X1446="估算法",X1446="算法类",X1446="无法识别"),"低",IF(M1446&lt;2,IF(N1446&lt;51,"低","中"),IF(M1446&lt;6,IF(N1446&lt;20,"低",IF(N1446&lt;51,"中","高")),IF(N1446&lt;20,"中","高")))),"不计算")))</f>
        <v/>
      </c>
      <c r="P1446" s="142">
        <f>IFERROR(IF(I1446="EI",IF(O1446="低",3,IF(O1446="中",4,6)),IF(I1446="EO",IF(O1446="低",4,IF(O1446="中",5,7)),IF(I1446="EQ",IF(O1446="低",3,IF(O1446="中",4,6)),IF(I1446="ILF",IF(O1446="低",7,IF(O1446="中",10,15)),IF(I1446="EIF",IF(O1446="低",5,IF(O1446="中",7,10)),"不计算")))))*Q1446,"不计算")</f>
        <v/>
      </c>
      <c r="Q1446" s="142" t="n">
        <v>1</v>
      </c>
      <c r="R1446" s="143">
        <f>调整因子!$F$13</f>
        <v/>
      </c>
      <c r="S1446" s="76" t="n">
        <v>1</v>
      </c>
      <c r="T1446" s="144">
        <f>IFERROR(P1446*R1446,0)</f>
        <v/>
      </c>
      <c r="U1446" s="145">
        <f>T1446*S1446</f>
        <v/>
      </c>
      <c r="V1446" s="96" t="inlineStr">
        <is>
          <t>修复步骤表</t>
        </is>
      </c>
      <c r="W1446" s="96" t="inlineStr"/>
      <c r="X1446" s="111" t="inlineStr">
        <is>
          <t>修复步骤表{ID、名称|ID、名称、类型、状态、创建时间、更新时间}</t>
        </is>
      </c>
      <c r="Y1446" s="88" t="n"/>
      <c r="Z1446" s="88" t="n"/>
    </row>
    <row r="1447" hidden="1">
      <c r="A1447" s="69">
        <f>ROW()-1</f>
        <v/>
      </c>
      <c r="B1447" s="53" t="n"/>
      <c r="C1447" s="117" t="n">
        <v>2026</v>
      </c>
      <c r="E1447" s="53" t="n"/>
      <c r="F1447" s="53" t="n"/>
      <c r="G1447" s="53" t="n"/>
      <c r="H1447" s="96" t="inlineStr">
        <is>
          <t>查询考核统计</t>
        </is>
      </c>
      <c r="I1447" s="76" t="inlineStr">
        <is>
          <t>EQ</t>
        </is>
      </c>
      <c r="J1447" s="95" t="n"/>
      <c r="K1447" s="95" t="n"/>
      <c r="L1447" s="83">
        <f>IF(OR(X1447="估算法",X1447="算法类",X1447="无法识别"),"",IF(V1447="",IF(OR(I1447="EI",I1447="EO",I1447="EQ"),0,""),LEN(V1447)-LEN(SUBSTITUTE(V1447,"、",""))+1))</f>
        <v/>
      </c>
      <c r="M1447" s="83">
        <f>IF(OR(X1447="估算法",X1447="算法类",X1447="无法识别"),"",IF(W1447="",IF(OR(I1447="ILF",I1447="EIF"),0,""),LEN(W1447)-LEN(SUBSTITUTE(W1447,"、",""))+1))</f>
        <v/>
      </c>
      <c r="N1447" s="83">
        <f>IF(OR(X1447="估算法",X1447="算法类",X1447="无法识别"),"",IF(X1447="",IF(OR(I1447="ILF",I1447="EIF",I1447="EI",I1447="EO",I1447="EQ"),0,""),LEN(X1447)-LEN(SUBSTITUTE(SUBSTITUTE(SUBSTITUTE(SUBSTITUTE(SUBSTITUTE(X1447,"|}","--"),"{|","--"),CHAR(10),""),"、",""),"|",""))+IF(AND(OR(I1447="EI",I1447="EO",I1447="EQ"),$AD$1="NESMA"),2,1)))</f>
        <v/>
      </c>
      <c r="O1447" s="84">
        <f>IF(I1447="EI",IF(OR(X1447="估算法",X1447="算法类"),"中",IF(X1447="无法识别","低",IF(L1447&lt;2,IF(N1447&lt;16,"低","中"),IF(L1447&lt;3,IF(N1447&lt;5,"低",IF(N1447&lt;16,"中","高")),IF(N1447&lt;5,"中","高"))))),IF(OR(I1447="EO",I1447="EQ"),IF(OR(X1447="估算法",X1447="算法类"),"中",IF(X1447="无法识别","低",IF(L1447&lt;2,IF(N1447&lt;20,"低","中"),IF(L1447&lt;4,IF(N1447&lt;6,"低",IF(N1447&lt;20,"中","高")),IF(N1447&lt;6,"中","高"))))),IF(OR(I1447="ILF",I1447="EIF"),IF(OR(X1447="估算法",X1447="算法类",X1447="无法识别"),"低",IF(M1447&lt;2,IF(N1447&lt;51,"低","中"),IF(M1447&lt;6,IF(N1447&lt;20,"低",IF(N1447&lt;51,"中","高")),IF(N1447&lt;20,"中","高")))),"不计算")))</f>
        <v/>
      </c>
      <c r="P1447" s="142">
        <f>IFERROR(IF(I1447="EI",IF(O1447="低",3,IF(O1447="中",4,6)),IF(I1447="EO",IF(O1447="低",4,IF(O1447="中",5,7)),IF(I1447="EQ",IF(O1447="低",3,IF(O1447="中",4,6)),IF(I1447="ILF",IF(O1447="低",7,IF(O1447="中",10,15)),IF(I1447="EIF",IF(O1447="低",5,IF(O1447="中",7,10)),"不计算")))))*Q1447,"不计算")</f>
        <v/>
      </c>
      <c r="Q1447" s="142" t="n">
        <v>1</v>
      </c>
      <c r="R1447" s="143">
        <f>调整因子!$F$13</f>
        <v/>
      </c>
      <c r="S1447" s="76" t="n">
        <v>1</v>
      </c>
      <c r="T1447" s="144">
        <f>IFERROR(P1447*R1447,0)</f>
        <v/>
      </c>
      <c r="U1447" s="145">
        <f>T1447*S1447</f>
        <v/>
      </c>
      <c r="V1447" s="96" t="inlineStr">
        <is>
          <t>修复步骤表</t>
        </is>
      </c>
      <c r="W1447" s="96" t="inlineStr"/>
      <c r="X1447" s="111" t="inlineStr">
        <is>
          <t>修复步骤表{ID、名称|ID、名称、类型、状态、创建时间、更新时间}</t>
        </is>
      </c>
      <c r="Y1447" s="88" t="n"/>
      <c r="Z1447" s="88" t="n"/>
    </row>
    <row r="1448" hidden="1" ht="21.6" customHeight="1">
      <c r="A1448" s="69">
        <f>ROW()-1</f>
        <v/>
      </c>
      <c r="B1448" s="53" t="n"/>
      <c r="C1448" s="117" t="n">
        <v>2026</v>
      </c>
      <c r="E1448" s="53" t="n"/>
      <c r="F1448" s="54" t="n"/>
      <c r="G1448" s="54" t="n"/>
      <c r="H1448" s="96" t="inlineStr">
        <is>
          <t>查看考核详情</t>
        </is>
      </c>
      <c r="I1448" s="76" t="inlineStr">
        <is>
          <t>EQ</t>
        </is>
      </c>
      <c r="J1448" s="95" t="n"/>
      <c r="K1448" s="95" t="n"/>
      <c r="L1448" s="83">
        <f>IF(OR(X1448="估算法",X1448="算法类",X1448="无法识别"),"",IF(V1448="",IF(OR(I1448="EI",I1448="EO",I1448="EQ"),0,""),LEN(V1448)-LEN(SUBSTITUTE(V1448,"、",""))+1))</f>
        <v/>
      </c>
      <c r="M1448" s="83">
        <f>IF(OR(X1448="估算法",X1448="算法类",X1448="无法识别"),"",IF(W1448="",IF(OR(I1448="ILF",I1448="EIF"),0,""),LEN(W1448)-LEN(SUBSTITUTE(W1448,"、",""))+1))</f>
        <v/>
      </c>
      <c r="N1448" s="83">
        <f>IF(OR(X1448="估算法",X1448="算法类",X1448="无法识别"),"",IF(X1448="",IF(OR(I1448="ILF",I1448="EIF",I1448="EI",I1448="EO",I1448="EQ"),0,""),LEN(X1448)-LEN(SUBSTITUTE(SUBSTITUTE(SUBSTITUTE(SUBSTITUTE(SUBSTITUTE(X1448,"|}","--"),"{|","--"),CHAR(10),""),"、",""),"|",""))+IF(AND(OR(I1448="EI",I1448="EO",I1448="EQ"),$AD$1="NESMA"),2,1)))</f>
        <v/>
      </c>
      <c r="O1448" s="84">
        <f>IF(I1448="EI",IF(OR(X1448="估算法",X1448="算法类"),"中",IF(X1448="无法识别","低",IF(L1448&lt;2,IF(N1448&lt;16,"低","中"),IF(L1448&lt;3,IF(N1448&lt;5,"低",IF(N1448&lt;16,"中","高")),IF(N1448&lt;5,"中","高"))))),IF(OR(I1448="EO",I1448="EQ"),IF(OR(X1448="估算法",X1448="算法类"),"中",IF(X1448="无法识别","低",IF(L1448&lt;2,IF(N1448&lt;20,"低","中"),IF(L1448&lt;4,IF(N1448&lt;6,"低",IF(N1448&lt;20,"中","高")),IF(N1448&lt;6,"中","高"))))),IF(OR(I1448="ILF",I1448="EIF"),IF(OR(X1448="估算法",X1448="算法类",X1448="无法识别"),"低",IF(M1448&lt;2,IF(N1448&lt;51,"低","中"),IF(M1448&lt;6,IF(N1448&lt;20,"低",IF(N1448&lt;51,"中","高")),IF(N1448&lt;20,"中","高")))),"不计算")))</f>
        <v/>
      </c>
      <c r="P1448" s="142">
        <f>IFERROR(IF(I1448="EI",IF(O1448="低",3,IF(O1448="中",4,6)),IF(I1448="EO",IF(O1448="低",4,IF(O1448="中",5,7)),IF(I1448="EQ",IF(O1448="低",3,IF(O1448="中",4,6)),IF(I1448="ILF",IF(O1448="低",7,IF(O1448="中",10,15)),IF(I1448="EIF",IF(O1448="低",5,IF(O1448="中",7,10)),"不计算")))))*Q1448,"不计算")</f>
        <v/>
      </c>
      <c r="Q1448" s="142" t="n">
        <v>1</v>
      </c>
      <c r="R1448" s="143">
        <f>调整因子!$F$13</f>
        <v/>
      </c>
      <c r="S1448" s="70" t="n">
        <v>1</v>
      </c>
      <c r="T1448" s="144">
        <f>IFERROR(P1448*R1448,0)</f>
        <v/>
      </c>
      <c r="U1448" s="145">
        <f>T1448*S1448</f>
        <v/>
      </c>
      <c r="V1448" s="96" t="inlineStr">
        <is>
          <t>资产扫描覆盖表</t>
        </is>
      </c>
      <c r="W1448" s="96" t="inlineStr"/>
      <c r="X1448" s="111" t="inlineStr">
        <is>
          <t>资产扫描覆盖表{资产ID、资产名称|资产ID、资产名称、IP地址、资产类型、资产状态、创建时间、更新时间}</t>
        </is>
      </c>
      <c r="Y1448" s="88" t="n"/>
      <c r="Z1448" s="88" t="n"/>
    </row>
    <row r="1449" hidden="1" ht="21.6" customHeight="1">
      <c r="A1449" s="69">
        <f>ROW()-1</f>
        <v/>
      </c>
      <c r="B1449" s="53" t="n"/>
      <c r="C1449" s="117" t="n">
        <v>2026</v>
      </c>
      <c r="E1449" s="53" t="n"/>
      <c r="F1449" s="111" t="inlineStr">
        <is>
          <t>漏洞备案与豁免管理</t>
        </is>
      </c>
      <c r="G1449" s="111" t="inlineStr">
        <is>
          <t>通报配置管理</t>
        </is>
      </c>
      <c r="H1449" s="96" t="inlineStr">
        <is>
          <t>通报配置表</t>
        </is>
      </c>
      <c r="I1449" s="76" t="inlineStr">
        <is>
          <t>ILF</t>
        </is>
      </c>
      <c r="J1449" s="95" t="n"/>
      <c r="K1449" s="95" t="n"/>
      <c r="L1449" s="83">
        <f>IF(OR(X1449="估算法",X1449="算法类",X1449="无法识别"),"",IF(V1449="",IF(OR(I1449="EI",I1449="EO",I1449="EQ"),0,""),LEN(V1449)-LEN(SUBSTITUTE(V1449,"、",""))+1))</f>
        <v/>
      </c>
      <c r="M1449" s="83">
        <f>IF(OR(X1449="估算法",X1449="算法类",X1449="无法识别"),"",IF(W1449="",IF(OR(I1449="ILF",I1449="EIF"),0,""),LEN(W1449)-LEN(SUBSTITUTE(W1449,"、",""))+1))</f>
        <v/>
      </c>
      <c r="N1449" s="83">
        <f>IF(OR(X1449="估算法",X1449="算法类",X1449="无法识别"),"",IF(X1449="",IF(OR(I1449="ILF",I1449="EIF",I1449="EI",I1449="EO",I1449="EQ"),0,""),LEN(X1449)-LEN(SUBSTITUTE(SUBSTITUTE(SUBSTITUTE(SUBSTITUTE(SUBSTITUTE(X1449,"|}","--"),"{|","--"),CHAR(10),""),"、",""),"|",""))+IF(AND(OR(I1449="EI",I1449="EO",I1449="EQ"),$AD$1="NESMA"),2,1)))</f>
        <v/>
      </c>
      <c r="O1449" s="84">
        <f>IF(I1449="EI",IF(OR(X1449="估算法",X1449="算法类"),"中",IF(X1449="无法识别","低",IF(L1449&lt;2,IF(N1449&lt;16,"低","中"),IF(L1449&lt;3,IF(N1449&lt;5,"低",IF(N1449&lt;16,"中","高")),IF(N1449&lt;5,"中","高"))))),IF(OR(I1449="EO",I1449="EQ"),IF(OR(X1449="估算法",X1449="算法类"),"中",IF(X1449="无法识别","低",IF(L1449&lt;2,IF(N1449&lt;20,"低","中"),IF(L1449&lt;4,IF(N1449&lt;6,"低",IF(N1449&lt;20,"中","高")),IF(N1449&lt;6,"中","高"))))),IF(OR(I1449="ILF",I1449="EIF"),IF(OR(X1449="估算法",X1449="算法类",X1449="无法识别"),"低",IF(M1449&lt;2,IF(N1449&lt;51,"低","中"),IF(M1449&lt;6,IF(N1449&lt;20,"低",IF(N1449&lt;51,"中","高")),IF(N1449&lt;20,"中","高")))),"不计算")))</f>
        <v/>
      </c>
      <c r="P1449" s="142">
        <f>IFERROR(IF(I1449="EI",IF(O1449="低",3,IF(O1449="中",4,6)),IF(I1449="EO",IF(O1449="低",4,IF(O1449="中",5,7)),IF(I1449="EQ",IF(O1449="低",3,IF(O1449="中",4,6)),IF(I1449="ILF",IF(O1449="低",7,IF(O1449="中",10,15)),IF(I1449="EIF",IF(O1449="低",5,IF(O1449="中",7,10)),"不计算")))))*Q1449,"不计算")</f>
        <v/>
      </c>
      <c r="Q1449" s="142" t="n">
        <v>1</v>
      </c>
      <c r="R1449" s="143">
        <f>调整因子!$F$13</f>
        <v/>
      </c>
      <c r="S1449" s="70" t="n">
        <v>1</v>
      </c>
      <c r="T1449" s="144">
        <f>IFERROR(P1449*R1449,0)</f>
        <v/>
      </c>
      <c r="U1449" s="145">
        <f>T1449*S1449</f>
        <v/>
      </c>
      <c r="V1449" s="96" t="inlineStr"/>
      <c r="W1449" s="96" t="inlineStr">
        <is>
          <t>配置项</t>
        </is>
      </c>
      <c r="X1449" s="111" t="inlineStr">
        <is>
          <t>通报配置表{配置ID、配置名称、配置类型|配置ID、配置名称、配置类型、配置值、创建时间}</t>
        </is>
      </c>
      <c r="Y1449" s="88">
        <f>IF(COUNTIFS(V:V,"*"&amp;H1449&amp;"*")&gt;0,"存在","不存在")</f>
        <v/>
      </c>
      <c r="Z1449" s="88">
        <f>IF(COUNTIFS(AA:AA,"*"&amp;H1449&amp;"*")&gt;0,"存在","不存在")</f>
        <v/>
      </c>
    </row>
    <row r="1450" hidden="1">
      <c r="A1450" s="69">
        <f>ROW()-1</f>
        <v/>
      </c>
      <c r="B1450" s="53" t="n"/>
      <c r="C1450" s="117" t="n">
        <v>2026</v>
      </c>
      <c r="E1450" s="53" t="n"/>
      <c r="F1450" s="53" t="n"/>
      <c r="G1450" s="53" t="n"/>
      <c r="H1450" s="96" t="inlineStr">
        <is>
          <t>通报模板表</t>
        </is>
      </c>
      <c r="I1450" s="76" t="inlineStr">
        <is>
          <t>ILF</t>
        </is>
      </c>
      <c r="J1450" s="95" t="n"/>
      <c r="K1450" s="95" t="n"/>
      <c r="L1450" s="83">
        <f>IF(OR(X1450="估算法",X1450="算法类",X1450="无法识别"),"",IF(V1450="",IF(OR(I1450="EI",I1450="EO",I1450="EQ"),0,""),LEN(V1450)-LEN(SUBSTITUTE(V1450,"、",""))+1))</f>
        <v/>
      </c>
      <c r="M1450" s="83">
        <f>IF(OR(X1450="估算法",X1450="算法类",X1450="无法识别"),"",IF(W1450="",IF(OR(I1450="ILF",I1450="EIF"),0,""),LEN(W1450)-LEN(SUBSTITUTE(W1450,"、",""))+1))</f>
        <v/>
      </c>
      <c r="N1450" s="83">
        <f>IF(OR(X1450="估算法",X1450="算法类",X1450="无法识别"),"",IF(X1450="",IF(OR(I1450="ILF",I1450="EIF",I1450="EI",I1450="EO",I1450="EQ"),0,""),LEN(X1450)-LEN(SUBSTITUTE(SUBSTITUTE(SUBSTITUTE(SUBSTITUTE(SUBSTITUTE(X1450,"|}","--"),"{|","--"),CHAR(10),""),"、",""),"|",""))+IF(AND(OR(I1450="EI",I1450="EO",I1450="EQ"),$AD$1="NESMA"),2,1)))</f>
        <v/>
      </c>
      <c r="O1450" s="84">
        <f>IF(I1450="EI",IF(OR(X1450="估算法",X1450="算法类"),"中",IF(X1450="无法识别","低",IF(L1450&lt;2,IF(N1450&lt;16,"低","中"),IF(L1450&lt;3,IF(N1450&lt;5,"低",IF(N1450&lt;16,"中","高")),IF(N1450&lt;5,"中","高"))))),IF(OR(I1450="EO",I1450="EQ"),IF(OR(X1450="估算法",X1450="算法类"),"中",IF(X1450="无法识别","低",IF(L1450&lt;2,IF(N1450&lt;20,"低","中"),IF(L1450&lt;4,IF(N1450&lt;6,"低",IF(N1450&lt;20,"中","高")),IF(N1450&lt;6,"中","高"))))),IF(OR(I1450="ILF",I1450="EIF"),IF(OR(X1450="估算法",X1450="算法类",X1450="无法识别"),"低",IF(M1450&lt;2,IF(N1450&lt;51,"低","中"),IF(M1450&lt;6,IF(N1450&lt;20,"低",IF(N1450&lt;51,"中","高")),IF(N1450&lt;20,"中","高")))),"不计算")))</f>
        <v/>
      </c>
      <c r="P1450" s="142">
        <f>IFERROR(IF(I1450="EI",IF(O1450="低",3,IF(O1450="中",4,6)),IF(I1450="EO",IF(O1450="低",4,IF(O1450="中",5,7)),IF(I1450="EQ",IF(O1450="低",3,IF(O1450="中",4,6)),IF(I1450="ILF",IF(O1450="低",7,IF(O1450="中",10,15)),IF(I1450="EIF",IF(O1450="低",5,IF(O1450="中",7,10)),"不计算")))))*Q1450,"不计算")</f>
        <v/>
      </c>
      <c r="Q1450" s="142" t="n">
        <v>1</v>
      </c>
      <c r="R1450" s="143">
        <f>调整因子!$F$13</f>
        <v/>
      </c>
      <c r="S1450" s="76" t="n">
        <v>1</v>
      </c>
      <c r="T1450" s="144">
        <f>IFERROR(P1450*R1450,0)</f>
        <v/>
      </c>
      <c r="U1450" s="145">
        <f>T1450*S1450</f>
        <v/>
      </c>
      <c r="V1450" s="96" t="inlineStr"/>
      <c r="W1450" s="96" t="inlineStr">
        <is>
          <t>数据记录</t>
        </is>
      </c>
      <c r="X1450" s="111" t="inlineStr">
        <is>
          <t>通报模板表{ID、名称、类型|ID、名称、类型、状态、创建时间、更新时间}</t>
        </is>
      </c>
      <c r="Y1450" s="88">
        <f>IF(COUNTIFS(V:V,"*"&amp;H1450&amp;"*")&gt;0,"存在","不存在")</f>
        <v/>
      </c>
      <c r="Z1450" s="88">
        <f>IF(COUNTIFS(AA:AA,"*"&amp;H1450&amp;"*")&gt;0,"存在","不存在")</f>
        <v/>
      </c>
    </row>
    <row r="1451" hidden="1">
      <c r="A1451" s="69">
        <f>ROW()-1</f>
        <v/>
      </c>
      <c r="B1451" s="53" t="n"/>
      <c r="C1451" s="117" t="n">
        <v>2026</v>
      </c>
      <c r="E1451" s="53" t="n"/>
      <c r="F1451" s="53" t="n"/>
      <c r="G1451" s="53" t="n"/>
      <c r="H1451" s="96" t="inlineStr">
        <is>
          <t>通报对象表</t>
        </is>
      </c>
      <c r="I1451" s="76" t="inlineStr">
        <is>
          <t>ILF</t>
        </is>
      </c>
      <c r="J1451" s="95" t="n"/>
      <c r="K1451" s="95" t="n"/>
      <c r="L1451" s="83">
        <f>IF(OR(X1451="估算法",X1451="算法类",X1451="无法识别"),"",IF(V1451="",IF(OR(I1451="EI",I1451="EO",I1451="EQ"),0,""),LEN(V1451)-LEN(SUBSTITUTE(V1451,"、",""))+1))</f>
        <v/>
      </c>
      <c r="M1451" s="83">
        <f>IF(OR(X1451="估算法",X1451="算法类",X1451="无法识别"),"",IF(W1451="",IF(OR(I1451="ILF",I1451="EIF"),0,""),LEN(W1451)-LEN(SUBSTITUTE(W1451,"、",""))+1))</f>
        <v/>
      </c>
      <c r="N1451" s="83">
        <f>IF(OR(X1451="估算法",X1451="算法类",X1451="无法识别"),"",IF(X1451="",IF(OR(I1451="ILF",I1451="EIF",I1451="EI",I1451="EO",I1451="EQ"),0,""),LEN(X1451)-LEN(SUBSTITUTE(SUBSTITUTE(SUBSTITUTE(SUBSTITUTE(SUBSTITUTE(X1451,"|}","--"),"{|","--"),CHAR(10),""),"、",""),"|",""))+IF(AND(OR(I1451="EI",I1451="EO",I1451="EQ"),$AD$1="NESMA"),2,1)))</f>
        <v/>
      </c>
      <c r="O1451" s="84">
        <f>IF(I1451="EI",IF(OR(X1451="估算法",X1451="算法类"),"中",IF(X1451="无法识别","低",IF(L1451&lt;2,IF(N1451&lt;16,"低","中"),IF(L1451&lt;3,IF(N1451&lt;5,"低",IF(N1451&lt;16,"中","高")),IF(N1451&lt;5,"中","高"))))),IF(OR(I1451="EO",I1451="EQ"),IF(OR(X1451="估算法",X1451="算法类"),"中",IF(X1451="无法识别","低",IF(L1451&lt;2,IF(N1451&lt;20,"低","中"),IF(L1451&lt;4,IF(N1451&lt;6,"低",IF(N1451&lt;20,"中","高")),IF(N1451&lt;6,"中","高"))))),IF(OR(I1451="ILF",I1451="EIF"),IF(OR(X1451="估算法",X1451="算法类",X1451="无法识别"),"低",IF(M1451&lt;2,IF(N1451&lt;51,"低","中"),IF(M1451&lt;6,IF(N1451&lt;20,"低",IF(N1451&lt;51,"中","高")),IF(N1451&lt;20,"中","高")))),"不计算")))</f>
        <v/>
      </c>
      <c r="P1451" s="142">
        <f>IFERROR(IF(I1451="EI",IF(O1451="低",3,IF(O1451="中",4,6)),IF(I1451="EO",IF(O1451="低",4,IF(O1451="中",5,7)),IF(I1451="EQ",IF(O1451="低",3,IF(O1451="中",4,6)),IF(I1451="ILF",IF(O1451="低",7,IF(O1451="中",10,15)),IF(I1451="EIF",IF(O1451="低",5,IF(O1451="中",7,10)),"不计算")))))*Q1451,"不计算")</f>
        <v/>
      </c>
      <c r="Q1451" s="142" t="n">
        <v>1</v>
      </c>
      <c r="R1451" s="143">
        <f>调整因子!$F$13</f>
        <v/>
      </c>
      <c r="S1451" s="70" t="n">
        <v>1</v>
      </c>
      <c r="T1451" s="144">
        <f>IFERROR(P1451*R1451,0)</f>
        <v/>
      </c>
      <c r="U1451" s="145">
        <f>T1451*S1451</f>
        <v/>
      </c>
      <c r="V1451" s="96" t="inlineStr"/>
      <c r="W1451" s="96" t="inlineStr">
        <is>
          <t>数据记录</t>
        </is>
      </c>
      <c r="X1451" s="111" t="inlineStr">
        <is>
          <t>通报对象表{ID、名称、类型|ID、名称、类型、状态、创建时间、更新时间}</t>
        </is>
      </c>
      <c r="Y1451" s="88">
        <f>IF(COUNTIFS(V:V,"*"&amp;H1451&amp;"*")&gt;0,"存在","不存在")</f>
        <v/>
      </c>
      <c r="Z1451" s="88">
        <f>IF(COUNTIFS(AA:AA,"*"&amp;H1451&amp;"*")&gt;0,"存在","不存在")</f>
        <v/>
      </c>
    </row>
    <row r="1452" hidden="1" ht="21.6" customHeight="1">
      <c r="A1452" s="69">
        <f>ROW()-1</f>
        <v/>
      </c>
      <c r="B1452" s="53" t="n"/>
      <c r="C1452" s="117" t="n">
        <v>2026</v>
      </c>
      <c r="E1452" s="53" t="n"/>
      <c r="F1452" s="53" t="n"/>
      <c r="G1452" s="53" t="n"/>
      <c r="H1452" s="96" t="inlineStr">
        <is>
          <t>配置通报规则</t>
        </is>
      </c>
      <c r="I1452" s="76" t="inlineStr">
        <is>
          <t>EI</t>
        </is>
      </c>
      <c r="J1452" s="95" t="n"/>
      <c r="K1452" s="95" t="n"/>
      <c r="L1452" s="83">
        <f>IF(OR(X1452="估算法",X1452="算法类",X1452="无法识别"),"",IF(V1452="",IF(OR(I1452="EI",I1452="EO",I1452="EQ"),0,""),LEN(V1452)-LEN(SUBSTITUTE(V1452,"、",""))+1))</f>
        <v/>
      </c>
      <c r="M1452" s="83">
        <f>IF(OR(X1452="估算法",X1452="算法类",X1452="无法识别"),"",IF(W1452="",IF(OR(I1452="ILF",I1452="EIF"),0,""),LEN(W1452)-LEN(SUBSTITUTE(W1452,"、",""))+1))</f>
        <v/>
      </c>
      <c r="N1452" s="83">
        <f>IF(OR(X1452="估算法",X1452="算法类",X1452="无法识别"),"",IF(X1452="",IF(OR(I1452="ILF",I1452="EIF",I1452="EI",I1452="EO",I1452="EQ"),0,""),LEN(X1452)-LEN(SUBSTITUTE(SUBSTITUTE(SUBSTITUTE(SUBSTITUTE(SUBSTITUTE(X1452,"|}","--"),"{|","--"),CHAR(10),""),"、",""),"|",""))+IF(AND(OR(I1452="EI",I1452="EO",I1452="EQ"),$AD$1="NESMA"),2,1)))</f>
        <v/>
      </c>
      <c r="O1452" s="84">
        <f>IF(I1452="EI",IF(OR(X1452="估算法",X1452="算法类"),"中",IF(X1452="无法识别","低",IF(L1452&lt;2,IF(N1452&lt;16,"低","中"),IF(L1452&lt;3,IF(N1452&lt;5,"低",IF(N1452&lt;16,"中","高")),IF(N1452&lt;5,"中","高"))))),IF(OR(I1452="EO",I1452="EQ"),IF(OR(X1452="估算法",X1452="算法类"),"中",IF(X1452="无法识别","低",IF(L1452&lt;2,IF(N1452&lt;20,"低","中"),IF(L1452&lt;4,IF(N1452&lt;6,"低",IF(N1452&lt;20,"中","高")),IF(N1452&lt;6,"中","高"))))),IF(OR(I1452="ILF",I1452="EIF"),IF(OR(X1452="估算法",X1452="算法类",X1452="无法识别"),"低",IF(M1452&lt;2,IF(N1452&lt;51,"低","中"),IF(M1452&lt;6,IF(N1452&lt;20,"低",IF(N1452&lt;51,"中","高")),IF(N1452&lt;20,"中","高")))),"不计算")))</f>
        <v/>
      </c>
      <c r="P1452" s="142">
        <f>IFERROR(IF(I1452="EI",IF(O1452="低",3,IF(O1452="中",4,6)),IF(I1452="EO",IF(O1452="低",4,IF(O1452="中",5,7)),IF(I1452="EQ",IF(O1452="低",3,IF(O1452="中",4,6)),IF(I1452="ILF",IF(O1452="低",7,IF(O1452="中",10,15)),IF(I1452="EIF",IF(O1452="低",5,IF(O1452="中",7,10)),"不计算")))))*Q1452,"不计算")</f>
        <v/>
      </c>
      <c r="Q1452" s="142" t="n">
        <v>1</v>
      </c>
      <c r="R1452" s="143">
        <f>调整因子!$F$13</f>
        <v/>
      </c>
      <c r="S1452" s="70" t="n">
        <v>1</v>
      </c>
      <c r="T1452" s="144">
        <f>IFERROR(P1452*R1452,0)</f>
        <v/>
      </c>
      <c r="U1452" s="145">
        <f>T1452*S1452</f>
        <v/>
      </c>
      <c r="V1452" s="96" t="inlineStr">
        <is>
          <t>任务优先级配置表</t>
        </is>
      </c>
      <c r="W1452" s="96" t="inlineStr"/>
      <c r="X1452" s="111" t="inlineStr">
        <is>
          <t>任务优先级配置表{任务ID、任务名称、任务类型、任务状态、创建时间、执行时间|任务ID、任务名称、任务类型}</t>
        </is>
      </c>
      <c r="Y1452" s="88" t="n"/>
      <c r="Z1452" s="88" t="n"/>
    </row>
    <row r="1453" hidden="1" ht="21.6" customHeight="1">
      <c r="A1453" s="69">
        <f>ROW()-1</f>
        <v/>
      </c>
      <c r="B1453" s="53" t="n"/>
      <c r="C1453" s="117" t="n">
        <v>2026</v>
      </c>
      <c r="E1453" s="53" t="n"/>
      <c r="F1453" s="53" t="n"/>
      <c r="G1453" s="53" t="n"/>
      <c r="H1453" s="96" t="inlineStr">
        <is>
          <t>编辑通报规则</t>
        </is>
      </c>
      <c r="I1453" s="76" t="inlineStr">
        <is>
          <t>EI</t>
        </is>
      </c>
      <c r="J1453" s="95" t="n"/>
      <c r="K1453" s="95" t="n"/>
      <c r="L1453" s="83">
        <f>IF(OR(X1453="估算法",X1453="算法类",X1453="无法识别"),"",IF(V1453="",IF(OR(I1453="EI",I1453="EO",I1453="EQ"),0,""),LEN(V1453)-LEN(SUBSTITUTE(V1453,"、",""))+1))</f>
        <v/>
      </c>
      <c r="M1453" s="83">
        <f>IF(OR(X1453="估算法",X1453="算法类",X1453="无法识别"),"",IF(W1453="",IF(OR(I1453="ILF",I1453="EIF"),0,""),LEN(W1453)-LEN(SUBSTITUTE(W1453,"、",""))+1))</f>
        <v/>
      </c>
      <c r="N1453" s="83">
        <f>IF(OR(X1453="估算法",X1453="算法类",X1453="无法识别"),"",IF(X1453="",IF(OR(I1453="ILF",I1453="EIF",I1453="EI",I1453="EO",I1453="EQ"),0,""),LEN(X1453)-LEN(SUBSTITUTE(SUBSTITUTE(SUBSTITUTE(SUBSTITUTE(SUBSTITUTE(X1453,"|}","--"),"{|","--"),CHAR(10),""),"、",""),"|",""))+IF(AND(OR(I1453="EI",I1453="EO",I1453="EQ"),$AD$1="NESMA"),2,1)))</f>
        <v/>
      </c>
      <c r="O1453" s="84">
        <f>IF(I1453="EI",IF(OR(X1453="估算法",X1453="算法类"),"中",IF(X1453="无法识别","低",IF(L1453&lt;2,IF(N1453&lt;16,"低","中"),IF(L1453&lt;3,IF(N1453&lt;5,"低",IF(N1453&lt;16,"中","高")),IF(N1453&lt;5,"中","高"))))),IF(OR(I1453="EO",I1453="EQ"),IF(OR(X1453="估算法",X1453="算法类"),"中",IF(X1453="无法识别","低",IF(L1453&lt;2,IF(N1453&lt;20,"低","中"),IF(L1453&lt;4,IF(N1453&lt;6,"低",IF(N1453&lt;20,"中","高")),IF(N1453&lt;6,"中","高"))))),IF(OR(I1453="ILF",I1453="EIF"),IF(OR(X1453="估算法",X1453="算法类",X1453="无法识别"),"低",IF(M1453&lt;2,IF(N1453&lt;51,"低","中"),IF(M1453&lt;6,IF(N1453&lt;20,"低",IF(N1453&lt;51,"中","高")),IF(N1453&lt;20,"中","高")))),"不计算")))</f>
        <v/>
      </c>
      <c r="P1453" s="142">
        <f>IFERROR(IF(I1453="EI",IF(O1453="低",3,IF(O1453="中",4,6)),IF(I1453="EO",IF(O1453="低",4,IF(O1453="中",5,7)),IF(I1453="EQ",IF(O1453="低",3,IF(O1453="中",4,6)),IF(I1453="ILF",IF(O1453="低",7,IF(O1453="中",10,15)),IF(I1453="EIF",IF(O1453="低",5,IF(O1453="中",7,10)),"不计算")))))*Q1453,"不计算")</f>
        <v/>
      </c>
      <c r="Q1453" s="142" t="n">
        <v>1</v>
      </c>
      <c r="R1453" s="143">
        <f>调整因子!$F$13</f>
        <v/>
      </c>
      <c r="S1453" s="76" t="n">
        <v>1</v>
      </c>
      <c r="T1453" s="144">
        <f>IFERROR(P1453*R1453,0)</f>
        <v/>
      </c>
      <c r="U1453" s="145">
        <f>T1453*S1453</f>
        <v/>
      </c>
      <c r="V1453" s="96" t="inlineStr">
        <is>
          <t>推送规则表</t>
        </is>
      </c>
      <c r="W1453" s="96" t="inlineStr"/>
      <c r="X1453" s="111" t="inlineStr">
        <is>
          <t>推送规则表{规则ID、规则名称、规则类型、规则条件、创建时间|规则ID、规则名称、规则类型}</t>
        </is>
      </c>
      <c r="Y1453" s="88" t="n"/>
      <c r="Z1453" s="88" t="n"/>
    </row>
    <row r="1454" hidden="1" ht="21.6" customHeight="1">
      <c r="A1454" s="69">
        <f>ROW()-1</f>
        <v/>
      </c>
      <c r="B1454" s="53" t="n"/>
      <c r="C1454" s="117" t="n">
        <v>2026</v>
      </c>
      <c r="E1454" s="53" t="n"/>
      <c r="F1454" s="53" t="n"/>
      <c r="G1454" s="53" t="n"/>
      <c r="H1454" s="96" t="inlineStr">
        <is>
          <t>删除通报规则</t>
        </is>
      </c>
      <c r="I1454" s="76" t="inlineStr">
        <is>
          <t>EI</t>
        </is>
      </c>
      <c r="J1454" s="95" t="n"/>
      <c r="K1454" s="95" t="n"/>
      <c r="L1454" s="83">
        <f>IF(OR(X1454="估算法",X1454="算法类",X1454="无法识别"),"",IF(V1454="",IF(OR(I1454="EI",I1454="EO",I1454="EQ"),0,""),LEN(V1454)-LEN(SUBSTITUTE(V1454,"、",""))+1))</f>
        <v/>
      </c>
      <c r="M1454" s="83">
        <f>IF(OR(X1454="估算法",X1454="算法类",X1454="无法识别"),"",IF(W1454="",IF(OR(I1454="ILF",I1454="EIF"),0,""),LEN(W1454)-LEN(SUBSTITUTE(W1454,"、",""))+1))</f>
        <v/>
      </c>
      <c r="N1454" s="83">
        <f>IF(OR(X1454="估算法",X1454="算法类",X1454="无法识别"),"",IF(X1454="",IF(OR(I1454="ILF",I1454="EIF",I1454="EI",I1454="EO",I1454="EQ"),0,""),LEN(X1454)-LEN(SUBSTITUTE(SUBSTITUTE(SUBSTITUTE(SUBSTITUTE(SUBSTITUTE(X1454,"|}","--"),"{|","--"),CHAR(10),""),"、",""),"|",""))+IF(AND(OR(I1454="EI",I1454="EO",I1454="EQ"),$AD$1="NESMA"),2,1)))</f>
        <v/>
      </c>
      <c r="O1454" s="84">
        <f>IF(I1454="EI",IF(OR(X1454="估算法",X1454="算法类"),"中",IF(X1454="无法识别","低",IF(L1454&lt;2,IF(N1454&lt;16,"低","中"),IF(L1454&lt;3,IF(N1454&lt;5,"低",IF(N1454&lt;16,"中","高")),IF(N1454&lt;5,"中","高"))))),IF(OR(I1454="EO",I1454="EQ"),IF(OR(X1454="估算法",X1454="算法类"),"中",IF(X1454="无法识别","低",IF(L1454&lt;2,IF(N1454&lt;20,"低","中"),IF(L1454&lt;4,IF(N1454&lt;6,"低",IF(N1454&lt;20,"中","高")),IF(N1454&lt;6,"中","高"))))),IF(OR(I1454="ILF",I1454="EIF"),IF(OR(X1454="估算法",X1454="算法类",X1454="无法识别"),"低",IF(M1454&lt;2,IF(N1454&lt;51,"低","中"),IF(M1454&lt;6,IF(N1454&lt;20,"低",IF(N1454&lt;51,"中","高")),IF(N1454&lt;20,"中","高")))),"不计算")))</f>
        <v/>
      </c>
      <c r="P1454" s="142">
        <f>IFERROR(IF(I1454="EI",IF(O1454="低",3,IF(O1454="中",4,6)),IF(I1454="EO",IF(O1454="低",4,IF(O1454="中",5,7)),IF(I1454="EQ",IF(O1454="低",3,IF(O1454="中",4,6)),IF(I1454="ILF",IF(O1454="低",7,IF(O1454="中",10,15)),IF(I1454="EIF",IF(O1454="低",5,IF(O1454="中",7,10)),"不计算")))))*Q1454,"不计算")</f>
        <v/>
      </c>
      <c r="Q1454" s="142" t="n">
        <v>0.333333333333333</v>
      </c>
      <c r="R1454" s="143">
        <f>调整因子!$F$13</f>
        <v/>
      </c>
      <c r="S1454" s="76" t="n">
        <v>1</v>
      </c>
      <c r="T1454" s="144">
        <f>IFERROR(P1454*R1454,0)</f>
        <v/>
      </c>
      <c r="U1454" s="145">
        <f>T1454*S1454</f>
        <v/>
      </c>
      <c r="V1454" s="96" t="inlineStr">
        <is>
          <t>推送规则表</t>
        </is>
      </c>
      <c r="W1454" s="96" t="inlineStr"/>
      <c r="X1454" s="111" t="inlineStr">
        <is>
          <t>推送规则表{规则ID、规则名称、规则类型、规则条件、创建时间|规则ID、规则名称、规则类型}</t>
        </is>
      </c>
      <c r="Y1454" s="88" t="n"/>
      <c r="Z1454" s="88" t="n"/>
    </row>
    <row r="1455" hidden="1" ht="43.2" customHeight="1">
      <c r="A1455" s="69">
        <f>ROW()-1</f>
        <v/>
      </c>
      <c r="B1455" s="53" t="n"/>
      <c r="C1455" s="117" t="n">
        <v>2026</v>
      </c>
      <c r="E1455" s="53" t="n"/>
      <c r="F1455" s="53" t="n"/>
      <c r="G1455" s="53" t="n"/>
      <c r="H1455" s="96" t="inlineStr">
        <is>
          <t>启用通报规则</t>
        </is>
      </c>
      <c r="I1455" s="76" t="inlineStr">
        <is>
          <t>EI</t>
        </is>
      </c>
      <c r="J1455" s="95" t="n"/>
      <c r="K1455" s="95" t="n"/>
      <c r="L1455" s="83">
        <f>IF(OR(X1455="估算法",X1455="算法类",X1455="无法识别"),"",IF(V1455="",IF(OR(I1455="EI",I1455="EO",I1455="EQ"),0,""),LEN(V1455)-LEN(SUBSTITUTE(V1455,"、",""))+1))</f>
        <v/>
      </c>
      <c r="M1455" s="83">
        <f>IF(OR(X1455="估算法",X1455="算法类",X1455="无法识别"),"",IF(W1455="",IF(OR(I1455="ILF",I1455="EIF"),0,""),LEN(W1455)-LEN(SUBSTITUTE(W1455,"、",""))+1))</f>
        <v/>
      </c>
      <c r="N1455" s="83">
        <f>IF(OR(X1455="估算法",X1455="算法类",X1455="无法识别"),"",IF(X1455="",IF(OR(I1455="ILF",I1455="EIF",I1455="EI",I1455="EO",I1455="EQ"),0,""),LEN(X1455)-LEN(SUBSTITUTE(SUBSTITUTE(SUBSTITUTE(SUBSTITUTE(SUBSTITUTE(X1455,"|}","--"),"{|","--"),CHAR(10),""),"、",""),"|",""))+IF(AND(OR(I1455="EI",I1455="EO",I1455="EQ"),$AD$1="NESMA"),2,1)))</f>
        <v/>
      </c>
      <c r="O1455" s="84">
        <f>IF(I1455="EI",IF(OR(X1455="估算法",X1455="算法类"),"中",IF(X1455="无法识别","低",IF(L1455&lt;2,IF(N1455&lt;16,"低","中"),IF(L1455&lt;3,IF(N1455&lt;5,"低",IF(N1455&lt;16,"中","高")),IF(N1455&lt;5,"中","高"))))),IF(OR(I1455="EO",I1455="EQ"),IF(OR(X1455="估算法",X1455="算法类"),"中",IF(X1455="无法识别","低",IF(L1455&lt;2,IF(N1455&lt;20,"低","中"),IF(L1455&lt;4,IF(N1455&lt;6,"低",IF(N1455&lt;20,"中","高")),IF(N1455&lt;6,"中","高"))))),IF(OR(I1455="ILF",I1455="EIF"),IF(OR(X1455="估算法",X1455="算法类",X1455="无法识别"),"低",IF(M1455&lt;2,IF(N1455&lt;51,"低","中"),IF(M1455&lt;6,IF(N1455&lt;20,"低",IF(N1455&lt;51,"中","高")),IF(N1455&lt;20,"中","高")))),"不计算")))</f>
        <v/>
      </c>
      <c r="P1455" s="142">
        <f>IFERROR(IF(I1455="EI",IF(O1455="低",3,IF(O1455="中",4,6)),IF(I1455="EO",IF(O1455="低",4,IF(O1455="中",5,7)),IF(I1455="EQ",IF(O1455="低",3,IF(O1455="中",4,6)),IF(I1455="ILF",IF(O1455="低",7,IF(O1455="中",10,15)),IF(I1455="EIF",IF(O1455="低",5,IF(O1455="中",7,10)),"不计算")))))*Q1455,"不计算")</f>
        <v/>
      </c>
      <c r="Q1455" s="142" t="n">
        <v>1</v>
      </c>
      <c r="R1455" s="143">
        <f>调整因子!$F$13</f>
        <v/>
      </c>
      <c r="S1455" s="70" t="n">
        <v>1</v>
      </c>
      <c r="T1455" s="144">
        <f>IFERROR(P1455*R1455,0)</f>
        <v/>
      </c>
      <c r="U1455" s="145">
        <f>T1455*S1455</f>
        <v/>
      </c>
      <c r="V1455" s="96" t="inlineStr">
        <is>
          <t>推送规则表、提醒规则表</t>
        </is>
      </c>
      <c r="W1455" s="96" t="inlineStr"/>
      <c r="X1455" s="111" t="inlineStr">
        <is>
          <t>推送规则表{规则ID、规则名称、规则类型、规则条件、创建时间|规则ID、规则名称、规则类型}
提醒规则表{规则ID、规则名称、规则类型、规则条件、创建时间|规则ID、规则名称、规则类型}</t>
        </is>
      </c>
      <c r="Y1455" s="88" t="n"/>
      <c r="Z1455" s="88" t="n"/>
    </row>
    <row r="1456" hidden="1" ht="43.2" customHeight="1">
      <c r="A1456" s="69">
        <f>ROW()-1</f>
        <v/>
      </c>
      <c r="B1456" s="53" t="n"/>
      <c r="C1456" s="117" t="n">
        <v>2026</v>
      </c>
      <c r="E1456" s="53" t="n"/>
      <c r="F1456" s="53" t="n"/>
      <c r="G1456" s="53" t="n"/>
      <c r="H1456" s="96" t="inlineStr">
        <is>
          <t>停用通报规则</t>
        </is>
      </c>
      <c r="I1456" s="76" t="n"/>
      <c r="J1456" s="95" t="n"/>
      <c r="K1456" s="95" t="inlineStr">
        <is>
          <t>和上行合并，启停为相同功能</t>
        </is>
      </c>
      <c r="L1456" s="83">
        <f>IF(OR(X1456="估算法",X1456="算法类",X1456="无法识别"),"",IF(V1456="",IF(OR(I1456="EI",I1456="EO",I1456="EQ"),0,""),LEN(V1456)-LEN(SUBSTITUTE(V1456,"、",""))+1))</f>
        <v/>
      </c>
      <c r="M1456" s="83">
        <f>IF(OR(X1456="估算法",X1456="算法类",X1456="无法识别"),"",IF(W1456="",IF(OR(I1456="ILF",I1456="EIF"),0,""),LEN(W1456)-LEN(SUBSTITUTE(W1456,"、",""))+1))</f>
        <v/>
      </c>
      <c r="N1456" s="83">
        <f>IF(OR(X1456="估算法",X1456="算法类",X1456="无法识别"),"",IF(X1456="",IF(OR(I1456="ILF",I1456="EIF",I1456="EI",I1456="EO",I1456="EQ"),0,""),LEN(X1456)-LEN(SUBSTITUTE(SUBSTITUTE(SUBSTITUTE(SUBSTITUTE(SUBSTITUTE(X1456,"|}","--"),"{|","--"),CHAR(10),""),"、",""),"|",""))+IF(AND(OR(I1456="EI",I1456="EO",I1456="EQ"),$AD$1="NESMA"),2,1)))</f>
        <v/>
      </c>
      <c r="O1456" s="84">
        <f>IF(I1456="EI",IF(OR(X1456="估算法",X1456="算法类"),"中",IF(X1456="无法识别","低",IF(L1456&lt;2,IF(N1456&lt;16,"低","中"),IF(L1456&lt;3,IF(N1456&lt;5,"低",IF(N1456&lt;16,"中","高")),IF(N1456&lt;5,"中","高"))))),IF(OR(I1456="EO",I1456="EQ"),IF(OR(X1456="估算法",X1456="算法类"),"中",IF(X1456="无法识别","低",IF(L1456&lt;2,IF(N1456&lt;20,"低","中"),IF(L1456&lt;4,IF(N1456&lt;6,"低",IF(N1456&lt;20,"中","高")),IF(N1456&lt;6,"中","高"))))),IF(OR(I1456="ILF",I1456="EIF"),IF(OR(X1456="估算法",X1456="算法类",X1456="无法识别"),"低",IF(M1456&lt;2,IF(N1456&lt;51,"低","中"),IF(M1456&lt;6,IF(N1456&lt;20,"低",IF(N1456&lt;51,"中","高")),IF(N1456&lt;20,"中","高")))),"不计算")))</f>
        <v/>
      </c>
      <c r="P1456" s="142">
        <f>IFERROR(IF(I1456="EI",IF(O1456="低",3,IF(O1456="中",4,6)),IF(I1456="EO",IF(O1456="低",4,IF(O1456="中",5,7)),IF(I1456="EQ",IF(O1456="低",3,IF(O1456="中",4,6)),IF(I1456="ILF",IF(O1456="低",7,IF(O1456="中",10,15)),IF(I1456="EIF",IF(O1456="低",5,IF(O1456="中",7,10)),"不计算")))))*Q1456,"不计算")</f>
        <v/>
      </c>
      <c r="Q1456" s="142" t="n">
        <v>1</v>
      </c>
      <c r="R1456" s="143">
        <f>调整因子!$F$13</f>
        <v/>
      </c>
      <c r="S1456" s="70" t="n">
        <v>1</v>
      </c>
      <c r="T1456" s="144">
        <f>IFERROR(P1456*R1456,0)</f>
        <v/>
      </c>
      <c r="U1456" s="145">
        <f>T1456*S1456</f>
        <v/>
      </c>
      <c r="V1456" s="96" t="inlineStr">
        <is>
          <t>推送规则表、提醒规则表</t>
        </is>
      </c>
      <c r="W1456" s="96" t="inlineStr"/>
      <c r="X1456" s="111" t="inlineStr">
        <is>
          <t>推送规则表{规则ID、规则名称、规则类型、规则条件、创建时间|规则ID、规则名称、规则类型}
提醒规则表{规则ID、规则名称、规则类型、规则条件、创建时间|规则ID、规则名称、规则类型}</t>
        </is>
      </c>
      <c r="Y1456" s="88" t="n"/>
      <c r="Z1456" s="88" t="n"/>
    </row>
    <row r="1457" hidden="1" ht="21.6" customHeight="1">
      <c r="A1457" s="69">
        <f>ROW()-1</f>
        <v/>
      </c>
      <c r="B1457" s="53" t="n"/>
      <c r="C1457" s="117" t="n">
        <v>2026</v>
      </c>
      <c r="E1457" s="53" t="n"/>
      <c r="F1457" s="53" t="n"/>
      <c r="G1457" s="53" t="n"/>
      <c r="H1457" s="96" t="inlineStr">
        <is>
          <t>导出通报配置</t>
        </is>
      </c>
      <c r="I1457" s="76" t="inlineStr">
        <is>
          <t>EO</t>
        </is>
      </c>
      <c r="J1457" s="95" t="n"/>
      <c r="K1457" s="95" t="n"/>
      <c r="L1457" s="83">
        <f>IF(OR(X1457="估算法",X1457="算法类",X1457="无法识别"),"",IF(V1457="",IF(OR(I1457="EI",I1457="EO",I1457="EQ"),0,""),LEN(V1457)-LEN(SUBSTITUTE(V1457,"、",""))+1))</f>
        <v/>
      </c>
      <c r="M1457" s="83">
        <f>IF(OR(X1457="估算法",X1457="算法类",X1457="无法识别"),"",IF(W1457="",IF(OR(I1457="ILF",I1457="EIF"),0,""),LEN(W1457)-LEN(SUBSTITUTE(W1457,"、",""))+1))</f>
        <v/>
      </c>
      <c r="N1457" s="83">
        <f>IF(OR(X1457="估算法",X1457="算法类",X1457="无法识别"),"",IF(X1457="",IF(OR(I1457="ILF",I1457="EIF",I1457="EI",I1457="EO",I1457="EQ"),0,""),LEN(X1457)-LEN(SUBSTITUTE(SUBSTITUTE(SUBSTITUTE(SUBSTITUTE(SUBSTITUTE(X1457,"|}","--"),"{|","--"),CHAR(10),""),"、",""),"|",""))+IF(AND(OR(I1457="EI",I1457="EO",I1457="EQ"),$AD$1="NESMA"),2,1)))</f>
        <v/>
      </c>
      <c r="O1457" s="84">
        <f>IF(I1457="EI",IF(OR(X1457="估算法",X1457="算法类"),"中",IF(X1457="无法识别","低",IF(L1457&lt;2,IF(N1457&lt;16,"低","中"),IF(L1457&lt;3,IF(N1457&lt;5,"低",IF(N1457&lt;16,"中","高")),IF(N1457&lt;5,"中","高"))))),IF(OR(I1457="EO",I1457="EQ"),IF(OR(X1457="估算法",X1457="算法类"),"中",IF(X1457="无法识别","低",IF(L1457&lt;2,IF(N1457&lt;20,"低","中"),IF(L1457&lt;4,IF(N1457&lt;6,"低",IF(N1457&lt;20,"中","高")),IF(N1457&lt;6,"中","高"))))),IF(OR(I1457="ILF",I1457="EIF"),IF(OR(X1457="估算法",X1457="算法类",X1457="无法识别"),"低",IF(M1457&lt;2,IF(N1457&lt;51,"低","中"),IF(M1457&lt;6,IF(N1457&lt;20,"低",IF(N1457&lt;51,"中","高")),IF(N1457&lt;20,"中","高")))),"不计算")))</f>
        <v/>
      </c>
      <c r="P1457" s="142">
        <f>IFERROR(IF(I1457="EI",IF(O1457="低",3,IF(O1457="中",4,6)),IF(I1457="EO",IF(O1457="低",4,IF(O1457="中",5,7)),IF(I1457="EQ",IF(O1457="低",3,IF(O1457="中",4,6)),IF(I1457="ILF",IF(O1457="低",7,IF(O1457="中",10,15)),IF(I1457="EIF",IF(O1457="低",5,IF(O1457="中",7,10)),"不计算")))))*Q1457,"不计算")</f>
        <v/>
      </c>
      <c r="Q1457" s="142" t="n">
        <v>1</v>
      </c>
      <c r="R1457" s="143">
        <f>调整因子!$F$13</f>
        <v/>
      </c>
      <c r="S1457" s="76" t="n">
        <v>1</v>
      </c>
      <c r="T1457" s="144">
        <f>IFERROR(P1457*R1457,0)</f>
        <v/>
      </c>
      <c r="U1457" s="145">
        <f>T1457*S1457</f>
        <v/>
      </c>
      <c r="V1457" s="96" t="inlineStr">
        <is>
          <t>任务优先级配置表</t>
        </is>
      </c>
      <c r="W1457" s="96" t="inlineStr"/>
      <c r="X1457" s="111" t="inlineStr">
        <is>
          <t>任务优先级配置表{任务ID、任务名称|任务ID、任务名称、任务类型、任务状态、创建时间、执行时间}</t>
        </is>
      </c>
      <c r="Y1457" s="88" t="n"/>
      <c r="Z1457" s="88" t="n"/>
    </row>
    <row r="1458" hidden="1" ht="21.6" customHeight="1">
      <c r="A1458" s="69">
        <f>ROW()-1</f>
        <v/>
      </c>
      <c r="B1458" s="53" t="n"/>
      <c r="C1458" s="117" t="n">
        <v>2026</v>
      </c>
      <c r="E1458" s="53" t="n"/>
      <c r="F1458" s="53" t="n"/>
      <c r="G1458" s="53" t="n"/>
      <c r="H1458" s="96" t="inlineStr">
        <is>
          <t>查询通报规则</t>
        </is>
      </c>
      <c r="I1458" s="76" t="inlineStr">
        <is>
          <t>EQ</t>
        </is>
      </c>
      <c r="J1458" s="95" t="n"/>
      <c r="K1458" s="95" t="n"/>
      <c r="L1458" s="83">
        <f>IF(OR(X1458="估算法",X1458="算法类",X1458="无法识别"),"",IF(V1458="",IF(OR(I1458="EI",I1458="EO",I1458="EQ"),0,""),LEN(V1458)-LEN(SUBSTITUTE(V1458,"、",""))+1))</f>
        <v/>
      </c>
      <c r="M1458" s="83">
        <f>IF(OR(X1458="估算法",X1458="算法类",X1458="无法识别"),"",IF(W1458="",IF(OR(I1458="ILF",I1458="EIF"),0,""),LEN(W1458)-LEN(SUBSTITUTE(W1458,"、",""))+1))</f>
        <v/>
      </c>
      <c r="N1458" s="83">
        <f>IF(OR(X1458="估算法",X1458="算法类",X1458="无法识别"),"",IF(X1458="",IF(OR(I1458="ILF",I1458="EIF",I1458="EI",I1458="EO",I1458="EQ"),0,""),LEN(X1458)-LEN(SUBSTITUTE(SUBSTITUTE(SUBSTITUTE(SUBSTITUTE(SUBSTITUTE(X1458,"|}","--"),"{|","--"),CHAR(10),""),"、",""),"|",""))+IF(AND(OR(I1458="EI",I1458="EO",I1458="EQ"),$AD$1="NESMA"),2,1)))</f>
        <v/>
      </c>
      <c r="O1458" s="84">
        <f>IF(I1458="EI",IF(OR(X1458="估算法",X1458="算法类"),"中",IF(X1458="无法识别","低",IF(L1458&lt;2,IF(N1458&lt;16,"低","中"),IF(L1458&lt;3,IF(N1458&lt;5,"低",IF(N1458&lt;16,"中","高")),IF(N1458&lt;5,"中","高"))))),IF(OR(I1458="EO",I1458="EQ"),IF(OR(X1458="估算法",X1458="算法类"),"中",IF(X1458="无法识别","低",IF(L1458&lt;2,IF(N1458&lt;20,"低","中"),IF(L1458&lt;4,IF(N1458&lt;6,"低",IF(N1458&lt;20,"中","高")),IF(N1458&lt;6,"中","高"))))),IF(OR(I1458="ILF",I1458="EIF"),IF(OR(X1458="估算法",X1458="算法类",X1458="无法识别"),"低",IF(M1458&lt;2,IF(N1458&lt;51,"低","中"),IF(M1458&lt;6,IF(N1458&lt;20,"低",IF(N1458&lt;51,"中","高")),IF(N1458&lt;20,"中","高")))),"不计算")))</f>
        <v/>
      </c>
      <c r="P1458" s="142">
        <f>IFERROR(IF(I1458="EI",IF(O1458="低",3,IF(O1458="中",4,6)),IF(I1458="EO",IF(O1458="低",4,IF(O1458="中",5,7)),IF(I1458="EQ",IF(O1458="低",3,IF(O1458="中",4,6)),IF(I1458="ILF",IF(O1458="低",7,IF(O1458="中",10,15)),IF(I1458="EIF",IF(O1458="低",5,IF(O1458="中",7,10)),"不计算")))))*Q1458,"不计算")</f>
        <v/>
      </c>
      <c r="Q1458" s="142" t="n">
        <v>1</v>
      </c>
      <c r="R1458" s="143">
        <f>调整因子!$F$13</f>
        <v/>
      </c>
      <c r="S1458" s="70" t="n">
        <v>1</v>
      </c>
      <c r="T1458" s="144">
        <f>IFERROR(P1458*R1458,0)</f>
        <v/>
      </c>
      <c r="U1458" s="145">
        <f>T1458*S1458</f>
        <v/>
      </c>
      <c r="V1458" s="96" t="inlineStr">
        <is>
          <t>推送规则表、提醒规则表</t>
        </is>
      </c>
      <c r="W1458" s="96" t="inlineStr"/>
      <c r="X1458" s="111" t="inlineStr">
        <is>
          <t>推送规则表{规则ID、规则名称|规则ID、规则名称、规则类型、规则条件、创建时间}
提醒规则表{规则ID、规则名称|规则ID、规则名称、规则类型、规则条件、创建时间}</t>
        </is>
      </c>
      <c r="Y1458" s="88" t="n"/>
      <c r="Z1458" s="88" t="n"/>
    </row>
    <row r="1459" hidden="1" ht="21.6" customHeight="1">
      <c r="A1459" s="69">
        <f>ROW()-1</f>
        <v/>
      </c>
      <c r="B1459" s="53" t="n"/>
      <c r="C1459" s="117" t="n">
        <v>2026</v>
      </c>
      <c r="E1459" s="53" t="n"/>
      <c r="F1459" s="53" t="n"/>
      <c r="G1459" s="54" t="n"/>
      <c r="H1459" s="96" t="inlineStr">
        <is>
          <t>查看通报详情</t>
        </is>
      </c>
      <c r="I1459" s="76" t="inlineStr">
        <is>
          <t>EQ</t>
        </is>
      </c>
      <c r="J1459" s="95" t="n"/>
      <c r="K1459" s="95" t="n"/>
      <c r="L1459" s="83">
        <f>IF(OR(X1459="估算法",X1459="算法类",X1459="无法识别"),"",IF(V1459="",IF(OR(I1459="EI",I1459="EO",I1459="EQ"),0,""),LEN(V1459)-LEN(SUBSTITUTE(V1459,"、",""))+1))</f>
        <v/>
      </c>
      <c r="M1459" s="83">
        <f>IF(OR(X1459="估算法",X1459="算法类",X1459="无法识别"),"",IF(W1459="",IF(OR(I1459="ILF",I1459="EIF"),0,""),LEN(W1459)-LEN(SUBSTITUTE(W1459,"、",""))+1))</f>
        <v/>
      </c>
      <c r="N1459" s="83">
        <f>IF(OR(X1459="估算法",X1459="算法类",X1459="无法识别"),"",IF(X1459="",IF(OR(I1459="ILF",I1459="EIF",I1459="EI",I1459="EO",I1459="EQ"),0,""),LEN(X1459)-LEN(SUBSTITUTE(SUBSTITUTE(SUBSTITUTE(SUBSTITUTE(SUBSTITUTE(X1459,"|}","--"),"{|","--"),CHAR(10),""),"、",""),"|",""))+IF(AND(OR(I1459="EI",I1459="EO",I1459="EQ"),$AD$1="NESMA"),2,1)))</f>
        <v/>
      </c>
      <c r="O1459" s="84">
        <f>IF(I1459="EI",IF(OR(X1459="估算法",X1459="算法类"),"中",IF(X1459="无法识别","低",IF(L1459&lt;2,IF(N1459&lt;16,"低","中"),IF(L1459&lt;3,IF(N1459&lt;5,"低",IF(N1459&lt;16,"中","高")),IF(N1459&lt;5,"中","高"))))),IF(OR(I1459="EO",I1459="EQ"),IF(OR(X1459="估算法",X1459="算法类"),"中",IF(X1459="无法识别","低",IF(L1459&lt;2,IF(N1459&lt;20,"低","中"),IF(L1459&lt;4,IF(N1459&lt;6,"低",IF(N1459&lt;20,"中","高")),IF(N1459&lt;6,"中","高"))))),IF(OR(I1459="ILF",I1459="EIF"),IF(OR(X1459="估算法",X1459="算法类",X1459="无法识别"),"低",IF(M1459&lt;2,IF(N1459&lt;51,"低","中"),IF(M1459&lt;6,IF(N1459&lt;20,"低",IF(N1459&lt;51,"中","高")),IF(N1459&lt;20,"中","高")))),"不计算")))</f>
        <v/>
      </c>
      <c r="P1459" s="142">
        <f>IFERROR(IF(I1459="EI",IF(O1459="低",3,IF(O1459="中",4,6)),IF(I1459="EO",IF(O1459="低",4,IF(O1459="中",5,7)),IF(I1459="EQ",IF(O1459="低",3,IF(O1459="中",4,6)),IF(I1459="ILF",IF(O1459="低",7,IF(O1459="中",10,15)),IF(I1459="EIF",IF(O1459="低",5,IF(O1459="中",7,10)),"不计算")))))*Q1459,"不计算")</f>
        <v/>
      </c>
      <c r="Q1459" s="142" t="n">
        <v>1</v>
      </c>
      <c r="R1459" s="143">
        <f>调整因子!$F$13</f>
        <v/>
      </c>
      <c r="S1459" s="70" t="n">
        <v>1</v>
      </c>
      <c r="T1459" s="144">
        <f>IFERROR(P1459*R1459,0)</f>
        <v/>
      </c>
      <c r="U1459" s="145">
        <f>T1459*S1459</f>
        <v/>
      </c>
      <c r="V1459" s="96" t="inlineStr">
        <is>
          <t>推送任务表</t>
        </is>
      </c>
      <c r="W1459" s="96" t="inlineStr"/>
      <c r="X1459" s="111" t="inlineStr">
        <is>
          <t>推送任务表{任务ID、任务名称|任务ID、任务名称、任务类型、任务状态、创建时间、执行时间}</t>
        </is>
      </c>
      <c r="Y1459" s="88" t="n"/>
      <c r="Z1459" s="88" t="n"/>
    </row>
    <row r="1460" hidden="1" ht="21.6" customHeight="1">
      <c r="A1460" s="69">
        <f>ROW()-1</f>
        <v/>
      </c>
      <c r="B1460" s="53" t="n"/>
      <c r="C1460" s="117" t="n">
        <v>2026</v>
      </c>
      <c r="E1460" s="53" t="n"/>
      <c r="F1460" s="53" t="n"/>
      <c r="G1460" s="111" t="inlineStr">
        <is>
          <t>预警通知管理</t>
        </is>
      </c>
      <c r="H1460" s="96" t="inlineStr">
        <is>
          <t>启用通知策略</t>
        </is>
      </c>
      <c r="I1460" s="76" t="inlineStr">
        <is>
          <t>EI</t>
        </is>
      </c>
      <c r="J1460" s="95" t="n"/>
      <c r="K1460" s="95" t="n"/>
      <c r="L1460" s="83">
        <f>IF(OR(X1460="估算法",X1460="算法类",X1460="无法识别"),"",IF(V1460="",IF(OR(I1460="EI",I1460="EO",I1460="EQ"),0,""),LEN(V1460)-LEN(SUBSTITUTE(V1460,"、",""))+1))</f>
        <v/>
      </c>
      <c r="M1460" s="83">
        <f>IF(OR(X1460="估算法",X1460="算法类",X1460="无法识别"),"",IF(W1460="",IF(OR(I1460="ILF",I1460="EIF"),0,""),LEN(W1460)-LEN(SUBSTITUTE(W1460,"、",""))+1))</f>
        <v/>
      </c>
      <c r="N1460" s="83">
        <f>IF(OR(X1460="估算法",X1460="算法类",X1460="无法识别"),"",IF(X1460="",IF(OR(I1460="ILF",I1460="EIF",I1460="EI",I1460="EO",I1460="EQ"),0,""),LEN(X1460)-LEN(SUBSTITUTE(SUBSTITUTE(SUBSTITUTE(SUBSTITUTE(SUBSTITUTE(X1460,"|}","--"),"{|","--"),CHAR(10),""),"、",""),"|",""))+IF(AND(OR(I1460="EI",I1460="EO",I1460="EQ"),$AD$1="NESMA"),2,1)))</f>
        <v/>
      </c>
      <c r="O1460" s="84">
        <f>IF(I1460="EI",IF(OR(X1460="估算法",X1460="算法类"),"中",IF(X1460="无法识别","低",IF(L1460&lt;2,IF(N1460&lt;16,"低","中"),IF(L1460&lt;3,IF(N1460&lt;5,"低",IF(N1460&lt;16,"中","高")),IF(N1460&lt;5,"中","高"))))),IF(OR(I1460="EO",I1460="EQ"),IF(OR(X1460="估算法",X1460="算法类"),"中",IF(X1460="无法识别","低",IF(L1460&lt;2,IF(N1460&lt;20,"低","中"),IF(L1460&lt;4,IF(N1460&lt;6,"低",IF(N1460&lt;20,"中","高")),IF(N1460&lt;6,"中","高"))))),IF(OR(I1460="ILF",I1460="EIF"),IF(OR(X1460="估算法",X1460="算法类",X1460="无法识别"),"低",IF(M1460&lt;2,IF(N1460&lt;51,"低","中"),IF(M1460&lt;6,IF(N1460&lt;20,"低",IF(N1460&lt;51,"中","高")),IF(N1460&lt;20,"中","高")))),"不计算")))</f>
        <v/>
      </c>
      <c r="P1460" s="142">
        <f>IFERROR(IF(I1460="EI",IF(O1460="低",3,IF(O1460="中",4,6)),IF(I1460="EO",IF(O1460="低",4,IF(O1460="中",5,7)),IF(I1460="EQ",IF(O1460="低",3,IF(O1460="中",4,6)),IF(I1460="ILF",IF(O1460="低",7,IF(O1460="中",10,15)),IF(I1460="EIF",IF(O1460="低",5,IF(O1460="中",7,10)),"不计算")))))*Q1460,"不计算")</f>
        <v/>
      </c>
      <c r="Q1460" s="142" t="n">
        <v>1</v>
      </c>
      <c r="R1460" s="143">
        <f>调整因子!$F$13</f>
        <v/>
      </c>
      <c r="S1460" s="76" t="n">
        <v>1</v>
      </c>
      <c r="T1460" s="144">
        <f>IFERROR(P1460*R1460,0)</f>
        <v/>
      </c>
      <c r="U1460" s="145">
        <f>T1460*S1460</f>
        <v/>
      </c>
      <c r="V1460" s="96" t="inlineStr">
        <is>
          <t>扫描策略模板表</t>
        </is>
      </c>
      <c r="W1460" s="96" t="inlineStr"/>
      <c r="X1460" s="111" t="inlineStr">
        <is>
          <t>扫描策略模板表{任务ID、任务名称、任务状态、扫描器类型、开始时间、结束时间、扫描结果|任务ID、任务名称、任务状态}</t>
        </is>
      </c>
      <c r="Y1460" s="88" t="n"/>
      <c r="Z1460" s="88" t="n"/>
    </row>
    <row r="1461" hidden="1" ht="21.6" customHeight="1">
      <c r="A1461" s="69">
        <f>ROW()-1</f>
        <v/>
      </c>
      <c r="B1461" s="53" t="n"/>
      <c r="C1461" s="117" t="n">
        <v>2026</v>
      </c>
      <c r="E1461" s="53" t="n"/>
      <c r="F1461" s="53" t="n"/>
      <c r="G1461" s="53" t="n"/>
      <c r="H1461" s="96" t="inlineStr">
        <is>
          <t>停用通知策略</t>
        </is>
      </c>
      <c r="I1461" s="76" t="n"/>
      <c r="J1461" s="95" t="n"/>
      <c r="K1461" s="95" t="inlineStr">
        <is>
          <t>和上行合并，启停为相同功能</t>
        </is>
      </c>
      <c r="L1461" s="83">
        <f>IF(OR(X1461="估算法",X1461="算法类",X1461="无法识别"),"",IF(V1461="",IF(OR(I1461="EI",I1461="EO",I1461="EQ"),0,""),LEN(V1461)-LEN(SUBSTITUTE(V1461,"、",""))+1))</f>
        <v/>
      </c>
      <c r="M1461" s="83">
        <f>IF(OR(X1461="估算法",X1461="算法类",X1461="无法识别"),"",IF(W1461="",IF(OR(I1461="ILF",I1461="EIF"),0,""),LEN(W1461)-LEN(SUBSTITUTE(W1461,"、",""))+1))</f>
        <v/>
      </c>
      <c r="N1461" s="83">
        <f>IF(OR(X1461="估算法",X1461="算法类",X1461="无法识别"),"",IF(X1461="",IF(OR(I1461="ILF",I1461="EIF",I1461="EI",I1461="EO",I1461="EQ"),0,""),LEN(X1461)-LEN(SUBSTITUTE(SUBSTITUTE(SUBSTITUTE(SUBSTITUTE(SUBSTITUTE(X1461,"|}","--"),"{|","--"),CHAR(10),""),"、",""),"|",""))+IF(AND(OR(I1461="EI",I1461="EO",I1461="EQ"),$AD$1="NESMA"),2,1)))</f>
        <v/>
      </c>
      <c r="O1461" s="84">
        <f>IF(I1461="EI",IF(OR(X1461="估算法",X1461="算法类"),"中",IF(X1461="无法识别","低",IF(L1461&lt;2,IF(N1461&lt;16,"低","中"),IF(L1461&lt;3,IF(N1461&lt;5,"低",IF(N1461&lt;16,"中","高")),IF(N1461&lt;5,"中","高"))))),IF(OR(I1461="EO",I1461="EQ"),IF(OR(X1461="估算法",X1461="算法类"),"中",IF(X1461="无法识别","低",IF(L1461&lt;2,IF(N1461&lt;20,"低","中"),IF(L1461&lt;4,IF(N1461&lt;6,"低",IF(N1461&lt;20,"中","高")),IF(N1461&lt;6,"中","高"))))),IF(OR(I1461="ILF",I1461="EIF"),IF(OR(X1461="估算法",X1461="算法类",X1461="无法识别"),"低",IF(M1461&lt;2,IF(N1461&lt;51,"低","中"),IF(M1461&lt;6,IF(N1461&lt;20,"低",IF(N1461&lt;51,"中","高")),IF(N1461&lt;20,"中","高")))),"不计算")))</f>
        <v/>
      </c>
      <c r="P1461" s="142">
        <f>IFERROR(IF(I1461="EI",IF(O1461="低",3,IF(O1461="中",4,6)),IF(I1461="EO",IF(O1461="低",4,IF(O1461="中",5,7)),IF(I1461="EQ",IF(O1461="低",3,IF(O1461="中",4,6)),IF(I1461="ILF",IF(O1461="低",7,IF(O1461="中",10,15)),IF(I1461="EIF",IF(O1461="低",5,IF(O1461="中",7,10)),"不计算")))))*Q1461,"不计算")</f>
        <v/>
      </c>
      <c r="Q1461" s="142" t="n">
        <v>1</v>
      </c>
      <c r="R1461" s="143">
        <f>调整因子!$F$13</f>
        <v/>
      </c>
      <c r="S1461" s="76" t="n">
        <v>1</v>
      </c>
      <c r="T1461" s="144">
        <f>IFERROR(P1461*R1461,0)</f>
        <v/>
      </c>
      <c r="U1461" s="145">
        <f>T1461*S1461</f>
        <v/>
      </c>
      <c r="V1461" s="96" t="inlineStr">
        <is>
          <t>扫描策略模板表</t>
        </is>
      </c>
      <c r="W1461" s="96" t="inlineStr"/>
      <c r="X1461" s="111" t="inlineStr">
        <is>
          <t>扫描策略模板表{任务ID、任务名称、任务状态、扫描器类型、开始时间、结束时间、扫描结果|任务ID、任务名称、任务状态}</t>
        </is>
      </c>
      <c r="Y1461" s="88" t="n"/>
      <c r="Z1461" s="88" t="n"/>
    </row>
    <row r="1462" hidden="1" ht="21.6" customHeight="1">
      <c r="A1462" s="69">
        <f>ROW()-1</f>
        <v/>
      </c>
      <c r="B1462" s="53" t="n"/>
      <c r="C1462" s="117" t="n">
        <v>2026</v>
      </c>
      <c r="E1462" s="53" t="n"/>
      <c r="F1462" s="53" t="n"/>
      <c r="G1462" s="53" t="n"/>
      <c r="H1462" s="96" t="inlineStr">
        <is>
          <t>导出通知记录</t>
        </is>
      </c>
      <c r="I1462" s="76" t="inlineStr">
        <is>
          <t>EO</t>
        </is>
      </c>
      <c r="J1462" s="95" t="n"/>
      <c r="K1462" s="95" t="n"/>
      <c r="L1462" s="83">
        <f>IF(OR(X1462="估算法",X1462="算法类",X1462="无法识别"),"",IF(V1462="",IF(OR(I1462="EI",I1462="EO",I1462="EQ"),0,""),LEN(V1462)-LEN(SUBSTITUTE(V1462,"、",""))+1))</f>
        <v/>
      </c>
      <c r="M1462" s="83">
        <f>IF(OR(X1462="估算法",X1462="算法类",X1462="无法识别"),"",IF(W1462="",IF(OR(I1462="ILF",I1462="EIF"),0,""),LEN(W1462)-LEN(SUBSTITUTE(W1462,"、",""))+1))</f>
        <v/>
      </c>
      <c r="N1462" s="83">
        <f>IF(OR(X1462="估算法",X1462="算法类",X1462="无法识别"),"",IF(X1462="",IF(OR(I1462="ILF",I1462="EIF",I1462="EI",I1462="EO",I1462="EQ"),0,""),LEN(X1462)-LEN(SUBSTITUTE(SUBSTITUTE(SUBSTITUTE(SUBSTITUTE(SUBSTITUTE(X1462,"|}","--"),"{|","--"),CHAR(10),""),"、",""),"|",""))+IF(AND(OR(I1462="EI",I1462="EO",I1462="EQ"),$AD$1="NESMA"),2,1)))</f>
        <v/>
      </c>
      <c r="O1462" s="84">
        <f>IF(I1462="EI",IF(OR(X1462="估算法",X1462="算法类"),"中",IF(X1462="无法识别","低",IF(L1462&lt;2,IF(N1462&lt;16,"低","中"),IF(L1462&lt;3,IF(N1462&lt;5,"低",IF(N1462&lt;16,"中","高")),IF(N1462&lt;5,"中","高"))))),IF(OR(I1462="EO",I1462="EQ"),IF(OR(X1462="估算法",X1462="算法类"),"中",IF(X1462="无法识别","低",IF(L1462&lt;2,IF(N1462&lt;20,"低","中"),IF(L1462&lt;4,IF(N1462&lt;6,"低",IF(N1462&lt;20,"中","高")),IF(N1462&lt;6,"中","高"))))),IF(OR(I1462="ILF",I1462="EIF"),IF(OR(X1462="估算法",X1462="算法类",X1462="无法识别"),"低",IF(M1462&lt;2,IF(N1462&lt;51,"低","中"),IF(M1462&lt;6,IF(N1462&lt;20,"低",IF(N1462&lt;51,"中","高")),IF(N1462&lt;20,"中","高")))),"不计算")))</f>
        <v/>
      </c>
      <c r="P1462" s="142">
        <f>IFERROR(IF(I1462="EI",IF(O1462="低",3,IF(O1462="中",4,6)),IF(I1462="EO",IF(O1462="低",4,IF(O1462="中",5,7)),IF(I1462="EQ",IF(O1462="低",3,IF(O1462="中",4,6)),IF(I1462="ILF",IF(O1462="低",7,IF(O1462="中",10,15)),IF(I1462="EIF",IF(O1462="低",5,IF(O1462="中",7,10)),"不计算")))))*Q1462,"不计算")</f>
        <v/>
      </c>
      <c r="Q1462" s="142" t="n">
        <v>1</v>
      </c>
      <c r="R1462" s="143">
        <f>调整因子!$F$13</f>
        <v/>
      </c>
      <c r="S1462" s="70" t="n">
        <v>1</v>
      </c>
      <c r="T1462" s="144">
        <f>IFERROR(P1462*R1462,0)</f>
        <v/>
      </c>
      <c r="U1462" s="145">
        <f>T1462*S1462</f>
        <v/>
      </c>
      <c r="V1462" s="96" t="inlineStr">
        <is>
          <t>数据清洗任务表</t>
        </is>
      </c>
      <c r="W1462" s="96" t="inlineStr"/>
      <c r="X1462" s="111" t="inlineStr">
        <is>
          <t>数据清洗任务表{任务ID、任务名称|任务ID、任务名称、任务类型、任务状态、创建时间、执行时间}</t>
        </is>
      </c>
      <c r="Y1462" s="88" t="n"/>
      <c r="Z1462" s="88" t="n"/>
    </row>
    <row r="1463" hidden="1" ht="32.4" customHeight="1">
      <c r="A1463" s="69">
        <f>ROW()-1</f>
        <v/>
      </c>
      <c r="B1463" s="53" t="n"/>
      <c r="C1463" s="117" t="n">
        <v>2026</v>
      </c>
      <c r="E1463" s="53" t="n"/>
      <c r="F1463" s="53" t="n"/>
      <c r="G1463" s="53" t="n"/>
      <c r="H1463" s="96" t="inlineStr">
        <is>
          <t>查询通知记录</t>
        </is>
      </c>
      <c r="I1463" s="76" t="inlineStr">
        <is>
          <t>EQ</t>
        </is>
      </c>
      <c r="J1463" s="95" t="n"/>
      <c r="K1463" s="95" t="n"/>
      <c r="L1463" s="83">
        <f>IF(OR(X1463="估算法",X1463="算法类",X1463="无法识别"),"",IF(V1463="",IF(OR(I1463="EI",I1463="EO",I1463="EQ"),0,""),LEN(V1463)-LEN(SUBSTITUTE(V1463,"、",""))+1))</f>
        <v/>
      </c>
      <c r="M1463" s="83">
        <f>IF(OR(X1463="估算法",X1463="算法类",X1463="无法识别"),"",IF(W1463="",IF(OR(I1463="ILF",I1463="EIF"),0,""),LEN(W1463)-LEN(SUBSTITUTE(W1463,"、",""))+1))</f>
        <v/>
      </c>
      <c r="N1463" s="83">
        <f>IF(OR(X1463="估算法",X1463="算法类",X1463="无法识别"),"",IF(X1463="",IF(OR(I1463="ILF",I1463="EIF",I1463="EI",I1463="EO",I1463="EQ"),0,""),LEN(X1463)-LEN(SUBSTITUTE(SUBSTITUTE(SUBSTITUTE(SUBSTITUTE(SUBSTITUTE(X1463,"|}","--"),"{|","--"),CHAR(10),""),"、",""),"|",""))+IF(AND(OR(I1463="EI",I1463="EO",I1463="EQ"),$AD$1="NESMA"),2,1)))</f>
        <v/>
      </c>
      <c r="O1463" s="84">
        <f>IF(I1463="EI",IF(OR(X1463="估算法",X1463="算法类"),"中",IF(X1463="无法识别","低",IF(L1463&lt;2,IF(N1463&lt;16,"低","中"),IF(L1463&lt;3,IF(N1463&lt;5,"低",IF(N1463&lt;16,"中","高")),IF(N1463&lt;5,"中","高"))))),IF(OR(I1463="EO",I1463="EQ"),IF(OR(X1463="估算法",X1463="算法类"),"中",IF(X1463="无法识别","低",IF(L1463&lt;2,IF(N1463&lt;20,"低","中"),IF(L1463&lt;4,IF(N1463&lt;6,"低",IF(N1463&lt;20,"中","高")),IF(N1463&lt;6,"中","高"))))),IF(OR(I1463="ILF",I1463="EIF"),IF(OR(X1463="估算法",X1463="算法类",X1463="无法识别"),"低",IF(M1463&lt;2,IF(N1463&lt;51,"低","中"),IF(M1463&lt;6,IF(N1463&lt;20,"低",IF(N1463&lt;51,"中","高")),IF(N1463&lt;20,"中","高")))),"不计算")))</f>
        <v/>
      </c>
      <c r="P1463" s="142">
        <f>IFERROR(IF(I1463="EI",IF(O1463="低",3,IF(O1463="中",4,6)),IF(I1463="EO",IF(O1463="低",4,IF(O1463="中",5,7)),IF(I1463="EQ",IF(O1463="低",3,IF(O1463="中",4,6)),IF(I1463="ILF",IF(O1463="低",7,IF(O1463="中",10,15)),IF(I1463="EIF",IF(O1463="低",5,IF(O1463="中",7,10)),"不计算")))))*Q1463,"不计算")</f>
        <v/>
      </c>
      <c r="Q1463" s="142" t="n">
        <v>1</v>
      </c>
      <c r="R1463" s="143">
        <f>调整因子!$F$13</f>
        <v/>
      </c>
      <c r="S1463" s="70" t="n">
        <v>1</v>
      </c>
      <c r="T1463" s="144">
        <f>IFERROR(P1463*R1463,0)</f>
        <v/>
      </c>
      <c r="U1463" s="145">
        <f>T1463*S1463</f>
        <v/>
      </c>
      <c r="V1463" s="96" t="inlineStr">
        <is>
          <t>方案审批表、任务优先级配置表</t>
        </is>
      </c>
      <c r="W1463" s="96" t="inlineStr"/>
      <c r="X1463" s="111" t="inlineStr">
        <is>
          <t>方案审批表{ID、名称|ID、名称、类型、状态、创建时间、更新时间}
任务优先级配置表{任务ID、任务名称|任务ID、任务名称、任务类型、任务状态、创建时间、执行时间}</t>
        </is>
      </c>
      <c r="Y1463" s="88" t="n"/>
      <c r="Z1463" s="88" t="n"/>
    </row>
    <row r="1464" hidden="1">
      <c r="A1464" s="69">
        <f>ROW()-1</f>
        <v/>
      </c>
      <c r="B1464" s="53" t="n"/>
      <c r="C1464" s="117" t="n">
        <v>2026</v>
      </c>
      <c r="E1464" s="53" t="n"/>
      <c r="F1464" s="54" t="n"/>
      <c r="G1464" s="54" t="n"/>
      <c r="H1464" s="96" t="inlineStr">
        <is>
          <t>查看通知详情</t>
        </is>
      </c>
      <c r="I1464" s="76" t="inlineStr">
        <is>
          <t>EQ</t>
        </is>
      </c>
      <c r="J1464" s="95" t="n"/>
      <c r="K1464" s="95" t="n"/>
      <c r="L1464" s="83">
        <f>IF(OR(X1464="估算法",X1464="算法类",X1464="无法识别"),"",IF(V1464="",IF(OR(I1464="EI",I1464="EO",I1464="EQ"),0,""),LEN(V1464)-LEN(SUBSTITUTE(V1464,"、",""))+1))</f>
        <v/>
      </c>
      <c r="M1464" s="83">
        <f>IF(OR(X1464="估算法",X1464="算法类",X1464="无法识别"),"",IF(W1464="",IF(OR(I1464="ILF",I1464="EIF"),0,""),LEN(W1464)-LEN(SUBSTITUTE(W1464,"、",""))+1))</f>
        <v/>
      </c>
      <c r="N1464" s="83">
        <f>IF(OR(X1464="估算法",X1464="算法类",X1464="无法识别"),"",IF(X1464="",IF(OR(I1464="ILF",I1464="EIF",I1464="EI",I1464="EO",I1464="EQ"),0,""),LEN(X1464)-LEN(SUBSTITUTE(SUBSTITUTE(SUBSTITUTE(SUBSTITUTE(SUBSTITUTE(X1464,"|}","--"),"{|","--"),CHAR(10),""),"、",""),"|",""))+IF(AND(OR(I1464="EI",I1464="EO",I1464="EQ"),$AD$1="NESMA"),2,1)))</f>
        <v/>
      </c>
      <c r="O1464" s="84">
        <f>IF(I1464="EI",IF(OR(X1464="估算法",X1464="算法类"),"中",IF(X1464="无法识别","低",IF(L1464&lt;2,IF(N1464&lt;16,"低","中"),IF(L1464&lt;3,IF(N1464&lt;5,"低",IF(N1464&lt;16,"中","高")),IF(N1464&lt;5,"中","高"))))),IF(OR(I1464="EO",I1464="EQ"),IF(OR(X1464="估算法",X1464="算法类"),"中",IF(X1464="无法识别","低",IF(L1464&lt;2,IF(N1464&lt;20,"低","中"),IF(L1464&lt;4,IF(N1464&lt;6,"低",IF(N1464&lt;20,"中","高")),IF(N1464&lt;6,"中","高"))))),IF(OR(I1464="ILF",I1464="EIF"),IF(OR(X1464="估算法",X1464="算法类",X1464="无法识别"),"低",IF(M1464&lt;2,IF(N1464&lt;51,"低","中"),IF(M1464&lt;6,IF(N1464&lt;20,"低",IF(N1464&lt;51,"中","高")),IF(N1464&lt;20,"中","高")))),"不计算")))</f>
        <v/>
      </c>
      <c r="P1464" s="142">
        <f>IFERROR(IF(I1464="EI",IF(O1464="低",3,IF(O1464="中",4,6)),IF(I1464="EO",IF(O1464="低",4,IF(O1464="中",5,7)),IF(I1464="EQ",IF(O1464="低",3,IF(O1464="中",4,6)),IF(I1464="ILF",IF(O1464="低",7,IF(O1464="中",10,15)),IF(I1464="EIF",IF(O1464="低",5,IF(O1464="中",7,10)),"不计算")))))*Q1464,"不计算")</f>
        <v/>
      </c>
      <c r="Q1464" s="142" t="n">
        <v>1</v>
      </c>
      <c r="R1464" s="143">
        <f>调整因子!$F$13</f>
        <v/>
      </c>
      <c r="S1464" s="76" t="n">
        <v>1</v>
      </c>
      <c r="T1464" s="144">
        <f>IFERROR(P1464*R1464,0)</f>
        <v/>
      </c>
      <c r="U1464" s="145">
        <f>T1464*S1464</f>
        <v/>
      </c>
      <c r="V1464" s="96" t="inlineStr">
        <is>
          <t>处置单关联表</t>
        </is>
      </c>
      <c r="W1464" s="96" t="inlineStr"/>
      <c r="X1464" s="111" t="inlineStr">
        <is>
          <t>处置单关联表{ID、名称|ID、名称、类型、状态、创建时间、更新时间}</t>
        </is>
      </c>
      <c r="Y1464" s="88" t="n"/>
      <c r="Z1464" s="88" t="n"/>
    </row>
    <row r="1465" hidden="1">
      <c r="A1465" s="69">
        <f>ROW()-1</f>
        <v/>
      </c>
      <c r="B1465" s="53" t="n"/>
      <c r="C1465" s="117" t="n">
        <v>2026</v>
      </c>
      <c r="E1465" s="53" t="n"/>
      <c r="F1465" s="111" t="inlineStr">
        <is>
          <t>漏洞闭环率统计与考核</t>
        </is>
      </c>
      <c r="G1465" s="111" t="inlineStr">
        <is>
          <t>报告模板管理</t>
        </is>
      </c>
      <c r="H1465" s="96" t="inlineStr">
        <is>
          <t>报告模板表</t>
        </is>
      </c>
      <c r="I1465" s="76" t="n"/>
      <c r="J1465" s="108" t="n"/>
      <c r="K1465" s="108" t="inlineStr">
        <is>
          <t>重复数据库表</t>
        </is>
      </c>
      <c r="L1465" s="83">
        <f>IF(OR(X1465="估算法",X1465="算法类",X1465="无法识别"),"",IF(V1465="",IF(OR(I1465="EI",I1465="EO",I1465="EQ"),0,""),LEN(V1465)-LEN(SUBSTITUTE(V1465,"、",""))+1))</f>
        <v/>
      </c>
      <c r="M1465" s="83">
        <f>IF(OR(X1465="估算法",X1465="算法类",X1465="无法识别"),"",IF(W1465="",IF(OR(I1465="ILF",I1465="EIF"),0,""),LEN(W1465)-LEN(SUBSTITUTE(W1465,"、",""))+1))</f>
        <v/>
      </c>
      <c r="N1465" s="83">
        <f>IF(OR(X1465="估算法",X1465="算法类",X1465="无法识别"),"",IF(X1465="",IF(OR(I1465="ILF",I1465="EIF",I1465="EI",I1465="EO",I1465="EQ"),0,""),LEN(X1465)-LEN(SUBSTITUTE(SUBSTITUTE(SUBSTITUTE(SUBSTITUTE(SUBSTITUTE(X1465,"|}","--"),"{|","--"),CHAR(10),""),"、",""),"|",""))+IF(AND(OR(I1465="EI",I1465="EO",I1465="EQ"),$AD$1="NESMA"),2,1)))</f>
        <v/>
      </c>
      <c r="O1465" s="84">
        <f>IF(I1465="EI",IF(OR(X1465="估算法",X1465="算法类"),"中",IF(X1465="无法识别","低",IF(L1465&lt;2,IF(N1465&lt;16,"低","中"),IF(L1465&lt;3,IF(N1465&lt;5,"低",IF(N1465&lt;16,"中","高")),IF(N1465&lt;5,"中","高"))))),IF(OR(I1465="EO",I1465="EQ"),IF(OR(X1465="估算法",X1465="算法类"),"中",IF(X1465="无法识别","低",IF(L1465&lt;2,IF(N1465&lt;20,"低","中"),IF(L1465&lt;4,IF(N1465&lt;6,"低",IF(N1465&lt;20,"中","高")),IF(N1465&lt;6,"中","高"))))),IF(OR(I1465="ILF",I1465="EIF"),IF(OR(X1465="估算法",X1465="算法类",X1465="无法识别"),"低",IF(M1465&lt;2,IF(N1465&lt;51,"低","中"),IF(M1465&lt;6,IF(N1465&lt;20,"低",IF(N1465&lt;51,"中","高")),IF(N1465&lt;20,"中","高")))),"不计算")))</f>
        <v/>
      </c>
      <c r="P1465" s="142">
        <f>IFERROR(IF(I1465="EI",IF(O1465="低",3,IF(O1465="中",4,6)),IF(I1465="EO",IF(O1465="低",4,IF(O1465="中",5,7)),IF(I1465="EQ",IF(O1465="低",3,IF(O1465="中",4,6)),IF(I1465="ILF",IF(O1465="低",7,IF(O1465="中",10,15)),IF(I1465="EIF",IF(O1465="低",5,IF(O1465="中",7,10)),"不计算")))))*Q1465,"不计算")</f>
        <v/>
      </c>
      <c r="Q1465" s="142" t="n">
        <v>1</v>
      </c>
      <c r="R1465" s="143">
        <f>调整因子!$F$13</f>
        <v/>
      </c>
      <c r="S1465" s="70" t="n">
        <v>1</v>
      </c>
      <c r="T1465" s="144">
        <f>IFERROR(P1465*R1465,0)</f>
        <v/>
      </c>
      <c r="U1465" s="145">
        <f>T1465*S1465</f>
        <v/>
      </c>
      <c r="V1465" s="96" t="inlineStr"/>
      <c r="W1465" s="96" t="inlineStr">
        <is>
          <t>数据记录</t>
        </is>
      </c>
      <c r="X1465" s="111" t="inlineStr">
        <is>
          <t>报告模板表{ID、名称、类型|ID、名称、类型、状态、创建时间、更新时间}</t>
        </is>
      </c>
      <c r="Y1465" s="88">
        <f>IF(COUNTIFS(V:V,"*"&amp;H1465&amp;"*")&gt;0,"存在","不存在")</f>
        <v/>
      </c>
      <c r="Z1465" s="88">
        <f>IF(COUNTIFS(AA:AA,"*"&amp;H1465&amp;"*")&gt;0,"存在","不存在")</f>
        <v/>
      </c>
    </row>
    <row r="1466" hidden="1" ht="21.6" customHeight="1">
      <c r="A1466" s="69">
        <f>ROW()-1</f>
        <v/>
      </c>
      <c r="B1466" s="53" t="n"/>
      <c r="C1466" s="117" t="n">
        <v>2026</v>
      </c>
      <c r="E1466" s="53" t="n"/>
      <c r="F1466" s="53" t="n"/>
      <c r="G1466" s="53" t="n"/>
      <c r="H1466" s="96" t="inlineStr">
        <is>
          <t>模板配置表</t>
        </is>
      </c>
      <c r="I1466" s="76" t="n"/>
      <c r="J1466" s="108" t="n"/>
      <c r="K1466" s="108" t="inlineStr">
        <is>
          <t>重复数据库表</t>
        </is>
      </c>
      <c r="L1466" s="83">
        <f>IF(OR(X1466="估算法",X1466="算法类",X1466="无法识别"),"",IF(V1466="",IF(OR(I1466="EI",I1466="EO",I1466="EQ"),0,""),LEN(V1466)-LEN(SUBSTITUTE(V1466,"、",""))+1))</f>
        <v/>
      </c>
      <c r="M1466" s="83">
        <f>IF(OR(X1466="估算法",X1466="算法类",X1466="无法识别"),"",IF(W1466="",IF(OR(I1466="ILF",I1466="EIF"),0,""),LEN(W1466)-LEN(SUBSTITUTE(W1466,"、",""))+1))</f>
        <v/>
      </c>
      <c r="N1466" s="83">
        <f>IF(OR(X1466="估算法",X1466="算法类",X1466="无法识别"),"",IF(X1466="",IF(OR(I1466="ILF",I1466="EIF",I1466="EI",I1466="EO",I1466="EQ"),0,""),LEN(X1466)-LEN(SUBSTITUTE(SUBSTITUTE(SUBSTITUTE(SUBSTITUTE(SUBSTITUTE(X1466,"|}","--"),"{|","--"),CHAR(10),""),"、",""),"|",""))+IF(AND(OR(I1466="EI",I1466="EO",I1466="EQ"),$AD$1="NESMA"),2,1)))</f>
        <v/>
      </c>
      <c r="O1466" s="84">
        <f>IF(I1466="EI",IF(OR(X1466="估算法",X1466="算法类"),"中",IF(X1466="无法识别","低",IF(L1466&lt;2,IF(N1466&lt;16,"低","中"),IF(L1466&lt;3,IF(N1466&lt;5,"低",IF(N1466&lt;16,"中","高")),IF(N1466&lt;5,"中","高"))))),IF(OR(I1466="EO",I1466="EQ"),IF(OR(X1466="估算法",X1466="算法类"),"中",IF(X1466="无法识别","低",IF(L1466&lt;2,IF(N1466&lt;20,"低","中"),IF(L1466&lt;4,IF(N1466&lt;6,"低",IF(N1466&lt;20,"中","高")),IF(N1466&lt;6,"中","高"))))),IF(OR(I1466="ILF",I1466="EIF"),IF(OR(X1466="估算法",X1466="算法类",X1466="无法识别"),"低",IF(M1466&lt;2,IF(N1466&lt;51,"低","中"),IF(M1466&lt;6,IF(N1466&lt;20,"低",IF(N1466&lt;51,"中","高")),IF(N1466&lt;20,"中","高")))),"不计算")))</f>
        <v/>
      </c>
      <c r="P1466" s="142">
        <f>IFERROR(IF(I1466="EI",IF(O1466="低",3,IF(O1466="中",4,6)),IF(I1466="EO",IF(O1466="低",4,IF(O1466="中",5,7)),IF(I1466="EQ",IF(O1466="低",3,IF(O1466="中",4,6)),IF(I1466="ILF",IF(O1466="低",7,IF(O1466="中",10,15)),IF(I1466="EIF",IF(O1466="低",5,IF(O1466="中",7,10)),"不计算")))))*Q1466,"不计算")</f>
        <v/>
      </c>
      <c r="Q1466" s="142" t="n">
        <v>1</v>
      </c>
      <c r="R1466" s="143">
        <f>调整因子!$F$13</f>
        <v/>
      </c>
      <c r="S1466" s="70" t="n">
        <v>1</v>
      </c>
      <c r="T1466" s="144">
        <f>IFERROR(P1466*R1466,0)</f>
        <v/>
      </c>
      <c r="U1466" s="145">
        <f>T1466*S1466</f>
        <v/>
      </c>
      <c r="V1466" s="96" t="inlineStr"/>
      <c r="W1466" s="96" t="inlineStr">
        <is>
          <t>配置项</t>
        </is>
      </c>
      <c r="X1466" s="111" t="inlineStr">
        <is>
          <t>模板配置表{配置ID、配置名称、配置类型|配置ID、配置名称、配置类型、配置值、创建时间}</t>
        </is>
      </c>
      <c r="Y1466" s="88">
        <f>IF(COUNTIFS(V:V,"*"&amp;H1466&amp;"*")&gt;0,"存在","不存在")</f>
        <v/>
      </c>
      <c r="Z1466" s="88">
        <f>IF(COUNTIFS(AA:AA,"*"&amp;H1466&amp;"*")&gt;0,"存在","不存在")</f>
        <v/>
      </c>
    </row>
    <row r="1467" hidden="1" ht="21.6" customHeight="1">
      <c r="A1467" s="69">
        <f>ROW()-1</f>
        <v/>
      </c>
      <c r="B1467" s="53" t="n"/>
      <c r="C1467" s="117" t="n">
        <v>2026</v>
      </c>
      <c r="E1467" s="53" t="n"/>
      <c r="F1467" s="53" t="n"/>
      <c r="G1467" s="53" t="n"/>
      <c r="H1467" s="96" t="inlineStr">
        <is>
          <t>编辑报告模板</t>
        </is>
      </c>
      <c r="I1467" s="76" t="inlineStr">
        <is>
          <t>EI</t>
        </is>
      </c>
      <c r="J1467" s="95" t="n"/>
      <c r="K1467" s="95" t="n"/>
      <c r="L1467" s="83">
        <f>IF(OR(X1467="估算法",X1467="算法类",X1467="无法识别"),"",IF(V1467="",IF(OR(I1467="EI",I1467="EO",I1467="EQ"),0,""),LEN(V1467)-LEN(SUBSTITUTE(V1467,"、",""))+1))</f>
        <v/>
      </c>
      <c r="M1467" s="83">
        <f>IF(OR(X1467="估算法",X1467="算法类",X1467="无法识别"),"",IF(W1467="",IF(OR(I1467="ILF",I1467="EIF"),0,""),LEN(W1467)-LEN(SUBSTITUTE(W1467,"、",""))+1))</f>
        <v/>
      </c>
      <c r="N1467" s="83">
        <f>IF(OR(X1467="估算法",X1467="算法类",X1467="无法识别"),"",IF(X1467="",IF(OR(I1467="ILF",I1467="EIF",I1467="EI",I1467="EO",I1467="EQ"),0,""),LEN(X1467)-LEN(SUBSTITUTE(SUBSTITUTE(SUBSTITUTE(SUBSTITUTE(SUBSTITUTE(X1467,"|}","--"),"{|","--"),CHAR(10),""),"、",""),"|",""))+IF(AND(OR(I1467="EI",I1467="EO",I1467="EQ"),$AD$1="NESMA"),2,1)))</f>
        <v/>
      </c>
      <c r="O1467" s="84">
        <f>IF(I1467="EI",IF(OR(X1467="估算法",X1467="算法类"),"中",IF(X1467="无法识别","低",IF(L1467&lt;2,IF(N1467&lt;16,"低","中"),IF(L1467&lt;3,IF(N1467&lt;5,"低",IF(N1467&lt;16,"中","高")),IF(N1467&lt;5,"中","高"))))),IF(OR(I1467="EO",I1467="EQ"),IF(OR(X1467="估算法",X1467="算法类"),"中",IF(X1467="无法识别","低",IF(L1467&lt;2,IF(N1467&lt;20,"低","中"),IF(L1467&lt;4,IF(N1467&lt;6,"低",IF(N1467&lt;20,"中","高")),IF(N1467&lt;6,"中","高"))))),IF(OR(I1467="ILF",I1467="EIF"),IF(OR(X1467="估算法",X1467="算法类",X1467="无法识别"),"低",IF(M1467&lt;2,IF(N1467&lt;51,"低","中"),IF(M1467&lt;6,IF(N1467&lt;20,"低",IF(N1467&lt;51,"中","高")),IF(N1467&lt;20,"中","高")))),"不计算")))</f>
        <v/>
      </c>
      <c r="P1467" s="142">
        <f>IFERROR(IF(I1467="EI",IF(O1467="低",3,IF(O1467="中",4,6)),IF(I1467="EO",IF(O1467="低",4,IF(O1467="中",5,7)),IF(I1467="EQ",IF(O1467="低",3,IF(O1467="中",4,6)),IF(I1467="ILF",IF(O1467="低",7,IF(O1467="中",10,15)),IF(I1467="EIF",IF(O1467="低",5,IF(O1467="中",7,10)),"不计算")))))*Q1467,"不计算")</f>
        <v/>
      </c>
      <c r="Q1467" s="142" t="n">
        <v>1</v>
      </c>
      <c r="R1467" s="143">
        <f>调整因子!$F$13</f>
        <v/>
      </c>
      <c r="S1467" s="76" t="n">
        <v>1</v>
      </c>
      <c r="T1467" s="144">
        <f>IFERROR(P1467*R1467,0)</f>
        <v/>
      </c>
      <c r="U1467" s="145">
        <f>T1467*S1467</f>
        <v/>
      </c>
      <c r="V1467" s="96" t="inlineStr">
        <is>
          <t>数据清洗任务表</t>
        </is>
      </c>
      <c r="W1467" s="96" t="inlineStr"/>
      <c r="X1467" s="111" t="inlineStr">
        <is>
          <t>数据清洗任务表{任务ID、任务名称、任务类型、任务状态、创建时间、执行时间|任务ID、任务名称、任务类型}</t>
        </is>
      </c>
      <c r="Y1467" s="88" t="n"/>
      <c r="Z1467" s="88" t="n"/>
    </row>
    <row r="1468" hidden="1" ht="32.4" customHeight="1">
      <c r="A1468" s="69">
        <f>ROW()-1</f>
        <v/>
      </c>
      <c r="B1468" s="53" t="n"/>
      <c r="C1468" s="117" t="n">
        <v>2026</v>
      </c>
      <c r="E1468" s="53" t="n"/>
      <c r="F1468" s="53" t="n"/>
      <c r="G1468" s="53" t="n"/>
      <c r="H1468" s="96" t="inlineStr">
        <is>
          <t>删除报告模板</t>
        </is>
      </c>
      <c r="I1468" s="76" t="inlineStr">
        <is>
          <t>EI</t>
        </is>
      </c>
      <c r="J1468" s="95" t="n"/>
      <c r="K1468" s="95" t="n"/>
      <c r="L1468" s="83">
        <f>IF(OR(X1468="估算法",X1468="算法类",X1468="无法识别"),"",IF(V1468="",IF(OR(I1468="EI",I1468="EO",I1468="EQ"),0,""),LEN(V1468)-LEN(SUBSTITUTE(V1468,"、",""))+1))</f>
        <v/>
      </c>
      <c r="M1468" s="83">
        <f>IF(OR(X1468="估算法",X1468="算法类",X1468="无法识别"),"",IF(W1468="",IF(OR(I1468="ILF",I1468="EIF"),0,""),LEN(W1468)-LEN(SUBSTITUTE(W1468,"、",""))+1))</f>
        <v/>
      </c>
      <c r="N1468" s="83">
        <f>IF(OR(X1468="估算法",X1468="算法类",X1468="无法识别"),"",IF(X1468="",IF(OR(I1468="ILF",I1468="EIF",I1468="EI",I1468="EO",I1468="EQ"),0,""),LEN(X1468)-LEN(SUBSTITUTE(SUBSTITUTE(SUBSTITUTE(SUBSTITUTE(SUBSTITUTE(X1468,"|}","--"),"{|","--"),CHAR(10),""),"、",""),"|",""))+IF(AND(OR(I1468="EI",I1468="EO",I1468="EQ"),$AD$1="NESMA"),2,1)))</f>
        <v/>
      </c>
      <c r="O1468" s="84">
        <f>IF(I1468="EI",IF(OR(X1468="估算法",X1468="算法类"),"中",IF(X1468="无法识别","低",IF(L1468&lt;2,IF(N1468&lt;16,"低","中"),IF(L1468&lt;3,IF(N1468&lt;5,"低",IF(N1468&lt;16,"中","高")),IF(N1468&lt;5,"中","高"))))),IF(OR(I1468="EO",I1468="EQ"),IF(OR(X1468="估算法",X1468="算法类"),"中",IF(X1468="无法识别","低",IF(L1468&lt;2,IF(N1468&lt;20,"低","中"),IF(L1468&lt;4,IF(N1468&lt;6,"低",IF(N1468&lt;20,"中","高")),IF(N1468&lt;6,"中","高"))))),IF(OR(I1468="ILF",I1468="EIF"),IF(OR(X1468="估算法",X1468="算法类",X1468="无法识别"),"低",IF(M1468&lt;2,IF(N1468&lt;51,"低","中"),IF(M1468&lt;6,IF(N1468&lt;20,"低",IF(N1468&lt;51,"中","高")),IF(N1468&lt;20,"中","高")))),"不计算")))</f>
        <v/>
      </c>
      <c r="P1468" s="142">
        <f>IFERROR(IF(I1468="EI",IF(O1468="低",3,IF(O1468="中",4,6)),IF(I1468="EO",IF(O1468="低",4,IF(O1468="中",5,7)),IF(I1468="EQ",IF(O1468="低",3,IF(O1468="中",4,6)),IF(I1468="ILF",IF(O1468="低",7,IF(O1468="中",10,15)),IF(I1468="EIF",IF(O1468="低",5,IF(O1468="中",7,10)),"不计算")))))*Q1468,"不计算")</f>
        <v/>
      </c>
      <c r="Q1468" s="142" t="n">
        <v>0.333333333333333</v>
      </c>
      <c r="R1468" s="143">
        <f>调整因子!$F$13</f>
        <v/>
      </c>
      <c r="S1468" s="76" t="n">
        <v>1</v>
      </c>
      <c r="T1468" s="144">
        <f>IFERROR(P1468*R1468,0)</f>
        <v/>
      </c>
      <c r="U1468" s="145">
        <f>T1468*S1468</f>
        <v/>
      </c>
      <c r="V1468" s="96" t="inlineStr">
        <is>
          <t>推送日志表、报告解析结果表</t>
        </is>
      </c>
      <c r="W1468" s="96" t="inlineStr"/>
      <c r="X1468" s="111" t="inlineStr">
        <is>
          <t>推送日志表{日志ID、操作人、操作类型、操作时间、操作内容|日志ID、操作人、操作类型}
报告解析结果表{ID、名称、类型、状态、创建时间、更新时间|ID、名称、类型}</t>
        </is>
      </c>
      <c r="Y1468" s="88" t="n"/>
      <c r="Z1468" s="88" t="n"/>
    </row>
    <row r="1469" hidden="1">
      <c r="A1469" s="69">
        <f>ROW()-1</f>
        <v/>
      </c>
      <c r="B1469" s="53" t="n"/>
      <c r="C1469" s="117" t="n">
        <v>2026</v>
      </c>
      <c r="E1469" s="53" t="n"/>
      <c r="F1469" s="53" t="n"/>
      <c r="G1469" s="53" t="n"/>
      <c r="H1469" s="96" t="inlineStr">
        <is>
          <t>启用报告模板</t>
        </is>
      </c>
      <c r="I1469" s="76" t="inlineStr">
        <is>
          <t>EI</t>
        </is>
      </c>
      <c r="J1469" s="95" t="n"/>
      <c r="K1469" s="95" t="n"/>
      <c r="L1469" s="83">
        <f>IF(OR(X1469="估算法",X1469="算法类",X1469="无法识别"),"",IF(V1469="",IF(OR(I1469="EI",I1469="EO",I1469="EQ"),0,""),LEN(V1469)-LEN(SUBSTITUTE(V1469,"、",""))+1))</f>
        <v/>
      </c>
      <c r="M1469" s="83">
        <f>IF(OR(X1469="估算法",X1469="算法类",X1469="无法识别"),"",IF(W1469="",IF(OR(I1469="ILF",I1469="EIF"),0,""),LEN(W1469)-LEN(SUBSTITUTE(W1469,"、",""))+1))</f>
        <v/>
      </c>
      <c r="N1469" s="83">
        <f>IF(OR(X1469="估算法",X1469="算法类",X1469="无法识别"),"",IF(X1469="",IF(OR(I1469="ILF",I1469="EIF",I1469="EI",I1469="EO",I1469="EQ"),0,""),LEN(X1469)-LEN(SUBSTITUTE(SUBSTITUTE(SUBSTITUTE(SUBSTITUTE(SUBSTITUTE(X1469,"|}","--"),"{|","--"),CHAR(10),""),"、",""),"|",""))+IF(AND(OR(I1469="EI",I1469="EO",I1469="EQ"),$AD$1="NESMA"),2,1)))</f>
        <v/>
      </c>
      <c r="O1469" s="84">
        <f>IF(I1469="EI",IF(OR(X1469="估算法",X1469="算法类"),"中",IF(X1469="无法识别","低",IF(L1469&lt;2,IF(N1469&lt;16,"低","中"),IF(L1469&lt;3,IF(N1469&lt;5,"低",IF(N1469&lt;16,"中","高")),IF(N1469&lt;5,"中","高"))))),IF(OR(I1469="EO",I1469="EQ"),IF(OR(X1469="估算法",X1469="算法类"),"中",IF(X1469="无法识别","低",IF(L1469&lt;2,IF(N1469&lt;20,"低","中"),IF(L1469&lt;4,IF(N1469&lt;6,"低",IF(N1469&lt;20,"中","高")),IF(N1469&lt;6,"中","高"))))),IF(OR(I1469="ILF",I1469="EIF"),IF(OR(X1469="估算法",X1469="算法类",X1469="无法识别"),"低",IF(M1469&lt;2,IF(N1469&lt;51,"低","中"),IF(M1469&lt;6,IF(N1469&lt;20,"低",IF(N1469&lt;51,"中","高")),IF(N1469&lt;20,"中","高")))),"不计算")))</f>
        <v/>
      </c>
      <c r="P1469" s="142">
        <f>IFERROR(IF(I1469="EI",IF(O1469="低",3,IF(O1469="中",4,6)),IF(I1469="EO",IF(O1469="低",4,IF(O1469="中",5,7)),IF(I1469="EQ",IF(O1469="低",3,IF(O1469="中",4,6)),IF(I1469="ILF",IF(O1469="低",7,IF(O1469="中",10,15)),IF(I1469="EIF",IF(O1469="低",5,IF(O1469="中",7,10)),"不计算")))))*Q1469,"不计算")</f>
        <v/>
      </c>
      <c r="Q1469" s="142" t="n">
        <v>1</v>
      </c>
      <c r="R1469" s="143">
        <f>调整因子!$F$13</f>
        <v/>
      </c>
      <c r="S1469" s="70" t="n">
        <v>1</v>
      </c>
      <c r="T1469" s="144">
        <f>IFERROR(P1469*R1469,0)</f>
        <v/>
      </c>
      <c r="U1469" s="145">
        <f>T1469*S1469</f>
        <v/>
      </c>
      <c r="V1469" s="96" t="inlineStr">
        <is>
          <t>方案审批表</t>
        </is>
      </c>
      <c r="W1469" s="96" t="inlineStr"/>
      <c r="X1469" s="111" t="inlineStr">
        <is>
          <t>方案审批表{ID、名称、类型、状态、创建时间、更新时间|ID、名称、类型}</t>
        </is>
      </c>
      <c r="Y1469" s="88" t="n"/>
      <c r="Z1469" s="88" t="n"/>
    </row>
    <row r="1470" hidden="1" ht="32.4" customHeight="1">
      <c r="A1470" s="69">
        <f>ROW()-1</f>
        <v/>
      </c>
      <c r="B1470" s="53" t="n"/>
      <c r="C1470" s="117" t="n">
        <v>2026</v>
      </c>
      <c r="E1470" s="53" t="n"/>
      <c r="F1470" s="53" t="n"/>
      <c r="G1470" s="53" t="n"/>
      <c r="H1470" s="96" t="inlineStr">
        <is>
          <t>停用报告模板</t>
        </is>
      </c>
      <c r="I1470" s="76" t="n"/>
      <c r="J1470" s="95" t="n"/>
      <c r="K1470" s="95" t="inlineStr">
        <is>
          <t>和上行合并，启停为相同功能</t>
        </is>
      </c>
      <c r="L1470" s="83">
        <f>IF(OR(X1470="估算法",X1470="算法类",X1470="无法识别"),"",IF(V1470="",IF(OR(I1470="EI",I1470="EO",I1470="EQ"),0,""),LEN(V1470)-LEN(SUBSTITUTE(V1470,"、",""))+1))</f>
        <v/>
      </c>
      <c r="M1470" s="83">
        <f>IF(OR(X1470="估算法",X1470="算法类",X1470="无法识别"),"",IF(W1470="",IF(OR(I1470="ILF",I1470="EIF"),0,""),LEN(W1470)-LEN(SUBSTITUTE(W1470,"、",""))+1))</f>
        <v/>
      </c>
      <c r="N1470" s="83">
        <f>IF(OR(X1470="估算法",X1470="算法类",X1470="无法识别"),"",IF(X1470="",IF(OR(I1470="ILF",I1470="EIF",I1470="EI",I1470="EO",I1470="EQ"),0,""),LEN(X1470)-LEN(SUBSTITUTE(SUBSTITUTE(SUBSTITUTE(SUBSTITUTE(SUBSTITUTE(X1470,"|}","--"),"{|","--"),CHAR(10),""),"、",""),"|",""))+IF(AND(OR(I1470="EI",I1470="EO",I1470="EQ"),$AD$1="NESMA"),2,1)))</f>
        <v/>
      </c>
      <c r="O1470" s="84">
        <f>IF(I1470="EI",IF(OR(X1470="估算法",X1470="算法类"),"中",IF(X1470="无法识别","低",IF(L1470&lt;2,IF(N1470&lt;16,"低","中"),IF(L1470&lt;3,IF(N1470&lt;5,"低",IF(N1470&lt;16,"中","高")),IF(N1470&lt;5,"中","高"))))),IF(OR(I1470="EO",I1470="EQ"),IF(OR(X1470="估算法",X1470="算法类"),"中",IF(X1470="无法识别","低",IF(L1470&lt;2,IF(N1470&lt;20,"低","中"),IF(L1470&lt;4,IF(N1470&lt;6,"低",IF(N1470&lt;20,"中","高")),IF(N1470&lt;6,"中","高"))))),IF(OR(I1470="ILF",I1470="EIF"),IF(OR(X1470="估算法",X1470="算法类",X1470="无法识别"),"低",IF(M1470&lt;2,IF(N1470&lt;51,"低","中"),IF(M1470&lt;6,IF(N1470&lt;20,"低",IF(N1470&lt;51,"中","高")),IF(N1470&lt;20,"中","高")))),"不计算")))</f>
        <v/>
      </c>
      <c r="P1470" s="142">
        <f>IFERROR(IF(I1470="EI",IF(O1470="低",3,IF(O1470="中",4,6)),IF(I1470="EO",IF(O1470="低",4,IF(O1470="中",5,7)),IF(I1470="EQ",IF(O1470="低",3,IF(O1470="中",4,6)),IF(I1470="ILF",IF(O1470="低",7,IF(O1470="中",10,15)),IF(I1470="EIF",IF(O1470="低",5,IF(O1470="中",7,10)),"不计算")))))*Q1470,"不计算")</f>
        <v/>
      </c>
      <c r="Q1470" s="142" t="n">
        <v>1</v>
      </c>
      <c r="R1470" s="143">
        <f>调整因子!$F$13</f>
        <v/>
      </c>
      <c r="S1470" s="70" t="n">
        <v>1</v>
      </c>
      <c r="T1470" s="144">
        <f>IFERROR(P1470*R1470,0)</f>
        <v/>
      </c>
      <c r="U1470" s="145">
        <f>T1470*S1470</f>
        <v/>
      </c>
      <c r="V1470" s="96" t="inlineStr">
        <is>
          <t>处置单配置表、修复方案表</t>
        </is>
      </c>
      <c r="W1470" s="96" t="inlineStr"/>
      <c r="X1470" s="111" t="inlineStr">
        <is>
          <t>处置单配置表{配置ID、配置名称、配置类型、配置值、创建时间|配置ID、配置名称、配置类型}
修复方案表{ID、名称、类型、状态、创建时间、更新时间|ID、名称、类型}</t>
        </is>
      </c>
      <c r="Y1470" s="88" t="n"/>
      <c r="Z1470" s="88" t="n"/>
    </row>
    <row r="1471" hidden="1" ht="43.2" customHeight="1">
      <c r="A1471" s="69">
        <f>ROW()-1</f>
        <v/>
      </c>
      <c r="B1471" s="53" t="n"/>
      <c r="C1471" s="117" t="n">
        <v>2026</v>
      </c>
      <c r="E1471" s="53" t="n"/>
      <c r="F1471" s="53" t="n"/>
      <c r="G1471" s="53" t="n"/>
      <c r="H1471" s="96" t="inlineStr">
        <is>
          <t>导出模板配置</t>
        </is>
      </c>
      <c r="I1471" s="76" t="inlineStr">
        <is>
          <t>EO</t>
        </is>
      </c>
      <c r="J1471" s="95" t="n"/>
      <c r="K1471" s="95" t="n"/>
      <c r="L1471" s="83">
        <f>IF(OR(X1471="估算法",X1471="算法类",X1471="无法识别"),"",IF(V1471="",IF(OR(I1471="EI",I1471="EO",I1471="EQ"),0,""),LEN(V1471)-LEN(SUBSTITUTE(V1471,"、",""))+1))</f>
        <v/>
      </c>
      <c r="M1471" s="83">
        <f>IF(OR(X1471="估算法",X1471="算法类",X1471="无法识别"),"",IF(W1471="",IF(OR(I1471="ILF",I1471="EIF"),0,""),LEN(W1471)-LEN(SUBSTITUTE(W1471,"、",""))+1))</f>
        <v/>
      </c>
      <c r="N1471" s="83">
        <f>IF(OR(X1471="估算法",X1471="算法类",X1471="无法识别"),"",IF(X1471="",IF(OR(I1471="ILF",I1471="EIF",I1471="EI",I1471="EO",I1471="EQ"),0,""),LEN(X1471)-LEN(SUBSTITUTE(SUBSTITUTE(SUBSTITUTE(SUBSTITUTE(SUBSTITUTE(X1471,"|}","--"),"{|","--"),CHAR(10),""),"、",""),"|",""))+IF(AND(OR(I1471="EI",I1471="EO",I1471="EQ"),$AD$1="NESMA"),2,1)))</f>
        <v/>
      </c>
      <c r="O1471" s="84">
        <f>IF(I1471="EI",IF(OR(X1471="估算法",X1471="算法类"),"中",IF(X1471="无法识别","低",IF(L1471&lt;2,IF(N1471&lt;16,"低","中"),IF(L1471&lt;3,IF(N1471&lt;5,"低",IF(N1471&lt;16,"中","高")),IF(N1471&lt;5,"中","高"))))),IF(OR(I1471="EO",I1471="EQ"),IF(OR(X1471="估算法",X1471="算法类"),"中",IF(X1471="无法识别","低",IF(L1471&lt;2,IF(N1471&lt;20,"低","中"),IF(L1471&lt;4,IF(N1471&lt;6,"低",IF(N1471&lt;20,"中","高")),IF(N1471&lt;6,"中","高"))))),IF(OR(I1471="ILF",I1471="EIF"),IF(OR(X1471="估算法",X1471="算法类",X1471="无法识别"),"低",IF(M1471&lt;2,IF(N1471&lt;51,"低","中"),IF(M1471&lt;6,IF(N1471&lt;20,"低",IF(N1471&lt;51,"中","高")),IF(N1471&lt;20,"中","高")))),"不计算")))</f>
        <v/>
      </c>
      <c r="P1471" s="142">
        <f>IFERROR(IF(I1471="EI",IF(O1471="低",3,IF(O1471="中",4,6)),IF(I1471="EO",IF(O1471="低",4,IF(O1471="中",5,7)),IF(I1471="EQ",IF(O1471="低",3,IF(O1471="中",4,6)),IF(I1471="ILF",IF(O1471="低",7,IF(O1471="中",10,15)),IF(I1471="EIF",IF(O1471="低",5,IF(O1471="中",7,10)),"不计算")))))*Q1471,"不计算")</f>
        <v/>
      </c>
      <c r="Q1471" s="142" t="n">
        <v>1</v>
      </c>
      <c r="R1471" s="143">
        <f>调整因子!$F$13</f>
        <v/>
      </c>
      <c r="S1471" s="76" t="n">
        <v>1</v>
      </c>
      <c r="T1471" s="144">
        <f>IFERROR(P1471*R1471,0)</f>
        <v/>
      </c>
      <c r="U1471" s="145">
        <f>T1471*S1471</f>
        <v/>
      </c>
      <c r="V1471" s="96" t="inlineStr">
        <is>
          <t>任务优先级配置表、模板参数配置表</t>
        </is>
      </c>
      <c r="W1471" s="96" t="inlineStr"/>
      <c r="X1471" s="111" t="inlineStr">
        <is>
          <t>任务优先级配置表{任务ID、任务名称|任务ID、任务名称、任务类型、任务状态、创建时间、执行时间}
模板参数配置表{配置ID、配置名称|配置ID、配置名称、配置类型、配置值、创建时间}</t>
        </is>
      </c>
      <c r="Y1471" s="88" t="n"/>
      <c r="Z1471" s="88" t="n"/>
    </row>
    <row r="1472" hidden="1" ht="32.4" customHeight="1">
      <c r="A1472" s="69">
        <f>ROW()-1</f>
        <v/>
      </c>
      <c r="B1472" s="53" t="n"/>
      <c r="C1472" s="117" t="n">
        <v>2026</v>
      </c>
      <c r="E1472" s="53" t="n"/>
      <c r="F1472" s="53" t="n"/>
      <c r="G1472" s="53" t="n"/>
      <c r="H1472" s="96" t="inlineStr">
        <is>
          <t>查询模板列表</t>
        </is>
      </c>
      <c r="I1472" s="76" t="inlineStr">
        <is>
          <t>EQ</t>
        </is>
      </c>
      <c r="J1472" s="95" t="n"/>
      <c r="K1472" s="95" t="n"/>
      <c r="L1472" s="83">
        <f>IF(OR(X1472="估算法",X1472="算法类",X1472="无法识别"),"",IF(V1472="",IF(OR(I1472="EI",I1472="EO",I1472="EQ"),0,""),LEN(V1472)-LEN(SUBSTITUTE(V1472,"、",""))+1))</f>
        <v/>
      </c>
      <c r="M1472" s="83">
        <f>IF(OR(X1472="估算法",X1472="算法类",X1472="无法识别"),"",IF(W1472="",IF(OR(I1472="ILF",I1472="EIF"),0,""),LEN(W1472)-LEN(SUBSTITUTE(W1472,"、",""))+1))</f>
        <v/>
      </c>
      <c r="N1472" s="83">
        <f>IF(OR(X1472="估算法",X1472="算法类",X1472="无法识别"),"",IF(X1472="",IF(OR(I1472="ILF",I1472="EIF",I1472="EI",I1472="EO",I1472="EQ"),0,""),LEN(X1472)-LEN(SUBSTITUTE(SUBSTITUTE(SUBSTITUTE(SUBSTITUTE(SUBSTITUTE(X1472,"|}","--"),"{|","--"),CHAR(10),""),"、",""),"|",""))+IF(AND(OR(I1472="EI",I1472="EO",I1472="EQ"),$AD$1="NESMA"),2,1)))</f>
        <v/>
      </c>
      <c r="O1472" s="84">
        <f>IF(I1472="EI",IF(OR(X1472="估算法",X1472="算法类"),"中",IF(X1472="无法识别","低",IF(L1472&lt;2,IF(N1472&lt;16,"低","中"),IF(L1472&lt;3,IF(N1472&lt;5,"低",IF(N1472&lt;16,"中","高")),IF(N1472&lt;5,"中","高"))))),IF(OR(I1472="EO",I1472="EQ"),IF(OR(X1472="估算法",X1472="算法类"),"中",IF(X1472="无法识别","低",IF(L1472&lt;2,IF(N1472&lt;20,"低","中"),IF(L1472&lt;4,IF(N1472&lt;6,"低",IF(N1472&lt;20,"中","高")),IF(N1472&lt;6,"中","高"))))),IF(OR(I1472="ILF",I1472="EIF"),IF(OR(X1472="估算法",X1472="算法类",X1472="无法识别"),"低",IF(M1472&lt;2,IF(N1472&lt;51,"低","中"),IF(M1472&lt;6,IF(N1472&lt;20,"低",IF(N1472&lt;51,"中","高")),IF(N1472&lt;20,"中","高")))),"不计算")))</f>
        <v/>
      </c>
      <c r="P1472" s="142">
        <f>IFERROR(IF(I1472="EI",IF(O1472="低",3,IF(O1472="中",4,6)),IF(I1472="EO",IF(O1472="低",4,IF(O1472="中",5,7)),IF(I1472="EQ",IF(O1472="低",3,IF(O1472="中",4,6)),IF(I1472="ILF",IF(O1472="低",7,IF(O1472="中",10,15)),IF(I1472="EIF",IF(O1472="低",5,IF(O1472="中",7,10)),"不计算")))))*Q1472,"不计算")</f>
        <v/>
      </c>
      <c r="Q1472" s="142" t="n">
        <v>1</v>
      </c>
      <c r="R1472" s="143">
        <f>调整因子!$F$13</f>
        <v/>
      </c>
      <c r="S1472" s="70" t="n">
        <v>1</v>
      </c>
      <c r="T1472" s="144">
        <f>IFERROR(P1472*R1472,0)</f>
        <v/>
      </c>
      <c r="U1472" s="145">
        <f>T1472*S1472</f>
        <v/>
      </c>
      <c r="V1472" s="96" t="inlineStr">
        <is>
          <t>推送任务表、报告导入记录表</t>
        </is>
      </c>
      <c r="W1472" s="96" t="inlineStr"/>
      <c r="X1472" s="111" t="inlineStr">
        <is>
          <t>推送任务表{任务ID、任务名称|任务ID、任务名称、任务类型、任务状态、创建时间、执行时间}
报告导入记录表{ID、名称|ID、名称、类型、状态、创建时间、更新时间}</t>
        </is>
      </c>
      <c r="Y1472" s="88" t="n"/>
      <c r="Z1472" s="88" t="n"/>
    </row>
    <row r="1473" hidden="1" ht="32.4" customHeight="1">
      <c r="A1473" s="69">
        <f>ROW()-1</f>
        <v/>
      </c>
      <c r="B1473" s="53" t="n"/>
      <c r="C1473" s="117" t="n">
        <v>2026</v>
      </c>
      <c r="E1473" s="53" t="n"/>
      <c r="F1473" s="53" t="n"/>
      <c r="G1473" s="54" t="n"/>
      <c r="H1473" s="96" t="inlineStr">
        <is>
          <t>查看模板详情</t>
        </is>
      </c>
      <c r="I1473" s="76" t="inlineStr">
        <is>
          <t>EQ</t>
        </is>
      </c>
      <c r="J1473" s="95" t="n"/>
      <c r="K1473" s="95" t="n"/>
      <c r="L1473" s="83">
        <f>IF(OR(X1473="估算法",X1473="算法类",X1473="无法识别"),"",IF(V1473="",IF(OR(I1473="EI",I1473="EO",I1473="EQ"),0,""),LEN(V1473)-LEN(SUBSTITUTE(V1473,"、",""))+1))</f>
        <v/>
      </c>
      <c r="M1473" s="83">
        <f>IF(OR(X1473="估算法",X1473="算法类",X1473="无法识别"),"",IF(W1473="",IF(OR(I1473="ILF",I1473="EIF"),0,""),LEN(W1473)-LEN(SUBSTITUTE(W1473,"、",""))+1))</f>
        <v/>
      </c>
      <c r="N1473" s="83">
        <f>IF(OR(X1473="估算法",X1473="算法类",X1473="无法识别"),"",IF(X1473="",IF(OR(I1473="ILF",I1473="EIF",I1473="EI",I1473="EO",I1473="EQ"),0,""),LEN(X1473)-LEN(SUBSTITUTE(SUBSTITUTE(SUBSTITUTE(SUBSTITUTE(SUBSTITUTE(X1473,"|}","--"),"{|","--"),CHAR(10),""),"、",""),"|",""))+IF(AND(OR(I1473="EI",I1473="EO",I1473="EQ"),$AD$1="NESMA"),2,1)))</f>
        <v/>
      </c>
      <c r="O1473" s="84">
        <f>IF(I1473="EI",IF(OR(X1473="估算法",X1473="算法类"),"中",IF(X1473="无法识别","低",IF(L1473&lt;2,IF(N1473&lt;16,"低","中"),IF(L1473&lt;3,IF(N1473&lt;5,"低",IF(N1473&lt;16,"中","高")),IF(N1473&lt;5,"中","高"))))),IF(OR(I1473="EO",I1473="EQ"),IF(OR(X1473="估算法",X1473="算法类"),"中",IF(X1473="无法识别","低",IF(L1473&lt;2,IF(N1473&lt;20,"低","中"),IF(L1473&lt;4,IF(N1473&lt;6,"低",IF(N1473&lt;20,"中","高")),IF(N1473&lt;6,"中","高"))))),IF(OR(I1473="ILF",I1473="EIF"),IF(OR(X1473="估算法",X1473="算法类",X1473="无法识别"),"低",IF(M1473&lt;2,IF(N1473&lt;51,"低","中"),IF(M1473&lt;6,IF(N1473&lt;20,"低",IF(N1473&lt;51,"中","高")),IF(N1473&lt;20,"中","高")))),"不计算")))</f>
        <v/>
      </c>
      <c r="P1473" s="142">
        <f>IFERROR(IF(I1473="EI",IF(O1473="低",3,IF(O1473="中",4,6)),IF(I1473="EO",IF(O1473="低",4,IF(O1473="中",5,7)),IF(I1473="EQ",IF(O1473="低",3,IF(O1473="中",4,6)),IF(I1473="ILF",IF(O1473="低",7,IF(O1473="中",10,15)),IF(I1473="EIF",IF(O1473="低",5,IF(O1473="中",7,10)),"不计算")))))*Q1473,"不计算")</f>
        <v/>
      </c>
      <c r="Q1473" s="142" t="n">
        <v>1</v>
      </c>
      <c r="R1473" s="143">
        <f>调整因子!$F$13</f>
        <v/>
      </c>
      <c r="S1473" s="70" t="n">
        <v>1</v>
      </c>
      <c r="T1473" s="144">
        <f>IFERROR(P1473*R1473,0)</f>
        <v/>
      </c>
      <c r="U1473" s="145">
        <f>T1473*S1473</f>
        <v/>
      </c>
      <c r="V1473" s="96" t="inlineStr">
        <is>
          <t>指标阈值表、同步任务调度表</t>
        </is>
      </c>
      <c r="W1473" s="96" t="inlineStr"/>
      <c r="X1473" s="111" t="inlineStr">
        <is>
          <t>指标阈值表{ID、名称|ID、名称、类型、状态、创建时间}
同步任务调度表{任务ID、任务名称|任务ID、任务名称、任务类型、任务状态、创建时间}</t>
        </is>
      </c>
      <c r="Y1473" s="88" t="n"/>
      <c r="Z1473" s="88" t="n"/>
    </row>
    <row r="1474" hidden="1" ht="43.2" customHeight="1">
      <c r="A1474" s="69">
        <f>ROW()-1</f>
        <v/>
      </c>
      <c r="B1474" s="53" t="n"/>
      <c r="C1474" s="117" t="n">
        <v>2026</v>
      </c>
      <c r="E1474" s="53" t="n"/>
      <c r="F1474" s="53" t="n"/>
      <c r="G1474" s="111" t="inlineStr">
        <is>
          <t>报告生成管理</t>
        </is>
      </c>
      <c r="H1474" s="96" t="inlineStr">
        <is>
          <t>编辑报告内容</t>
        </is>
      </c>
      <c r="I1474" s="76" t="inlineStr">
        <is>
          <t>EI</t>
        </is>
      </c>
      <c r="J1474" s="95" t="n"/>
      <c r="K1474" s="95" t="n"/>
      <c r="L1474" s="83">
        <f>IF(OR(X1474="估算法",X1474="算法类",X1474="无法识别"),"",IF(V1474="",IF(OR(I1474="EI",I1474="EO",I1474="EQ"),0,""),LEN(V1474)-LEN(SUBSTITUTE(V1474,"、",""))+1))</f>
        <v/>
      </c>
      <c r="M1474" s="83">
        <f>IF(OR(X1474="估算法",X1474="算法类",X1474="无法识别"),"",IF(W1474="",IF(OR(I1474="ILF",I1474="EIF"),0,""),LEN(W1474)-LEN(SUBSTITUTE(W1474,"、",""))+1))</f>
        <v/>
      </c>
      <c r="N1474" s="83">
        <f>IF(OR(X1474="估算法",X1474="算法类",X1474="无法识别"),"",IF(X1474="",IF(OR(I1474="ILF",I1474="EIF",I1474="EI",I1474="EO",I1474="EQ"),0,""),LEN(X1474)-LEN(SUBSTITUTE(SUBSTITUTE(SUBSTITUTE(SUBSTITUTE(SUBSTITUTE(X1474,"|}","--"),"{|","--"),CHAR(10),""),"、",""),"|",""))+IF(AND(OR(I1474="EI",I1474="EO",I1474="EQ"),$AD$1="NESMA"),2,1)))</f>
        <v/>
      </c>
      <c r="O1474" s="84">
        <f>IF(I1474="EI",IF(OR(X1474="估算法",X1474="算法类"),"中",IF(X1474="无法识别","低",IF(L1474&lt;2,IF(N1474&lt;16,"低","中"),IF(L1474&lt;3,IF(N1474&lt;5,"低",IF(N1474&lt;16,"中","高")),IF(N1474&lt;5,"中","高"))))),IF(OR(I1474="EO",I1474="EQ"),IF(OR(X1474="估算法",X1474="算法类"),"中",IF(X1474="无法识别","低",IF(L1474&lt;2,IF(N1474&lt;20,"低","中"),IF(L1474&lt;4,IF(N1474&lt;6,"低",IF(N1474&lt;20,"中","高")),IF(N1474&lt;6,"中","高"))))),IF(OR(I1474="ILF",I1474="EIF"),IF(OR(X1474="估算法",X1474="算法类",X1474="无法识别"),"低",IF(M1474&lt;2,IF(N1474&lt;51,"低","中"),IF(M1474&lt;6,IF(N1474&lt;20,"低",IF(N1474&lt;51,"中","高")),IF(N1474&lt;20,"中","高")))),"不计算")))</f>
        <v/>
      </c>
      <c r="P1474" s="142">
        <f>IFERROR(IF(I1474="EI",IF(O1474="低",3,IF(O1474="中",4,6)),IF(I1474="EO",IF(O1474="低",4,IF(O1474="中",5,7)),IF(I1474="EQ",IF(O1474="低",3,IF(O1474="中",4,6)),IF(I1474="ILF",IF(O1474="低",7,IF(O1474="中",10,15)),IF(I1474="EIF",IF(O1474="低",5,IF(O1474="中",7,10)),"不计算")))))*Q1474,"不计算")</f>
        <v/>
      </c>
      <c r="Q1474" s="142" t="n">
        <v>1</v>
      </c>
      <c r="R1474" s="143">
        <f>调整因子!$F$13</f>
        <v/>
      </c>
      <c r="S1474" s="76" t="n">
        <v>1</v>
      </c>
      <c r="T1474" s="144">
        <f>IFERROR(P1474*R1474,0)</f>
        <v/>
      </c>
      <c r="U1474" s="145">
        <f>T1474*S1474</f>
        <v/>
      </c>
      <c r="V1474" s="96" t="inlineStr">
        <is>
          <t>任务日志表、通报配置表</t>
        </is>
      </c>
      <c r="W1474" s="96" t="inlineStr"/>
      <c r="X1474" s="111" t="inlineStr">
        <is>
          <t>任务日志表{任务ID、任务名称、任务类型、任务状态、创建时间、执行时间|任务ID、任务名称、任务类型}
通报配置表{配置ID、配置名称、配置类型、配置值、创建时间|配置ID、配置名称、配置类型}</t>
        </is>
      </c>
      <c r="Y1474" s="88" t="n"/>
      <c r="Z1474" s="88" t="n"/>
    </row>
    <row r="1475" hidden="1" ht="43.2" customHeight="1">
      <c r="A1475" s="69">
        <f>ROW()-1</f>
        <v/>
      </c>
      <c r="B1475" s="53" t="n"/>
      <c r="C1475" s="117" t="n">
        <v>2026</v>
      </c>
      <c r="E1475" s="53" t="n"/>
      <c r="F1475" s="53" t="n"/>
      <c r="G1475" s="53" t="n"/>
      <c r="H1475" s="96" t="inlineStr">
        <is>
          <t>删除报告记录</t>
        </is>
      </c>
      <c r="I1475" s="76" t="inlineStr">
        <is>
          <t>EI</t>
        </is>
      </c>
      <c r="J1475" s="95" t="n"/>
      <c r="K1475" s="95" t="n"/>
      <c r="L1475" s="83">
        <f>IF(OR(X1475="估算法",X1475="算法类",X1475="无法识别"),"",IF(V1475="",IF(OR(I1475="EI",I1475="EO",I1475="EQ"),0,""),LEN(V1475)-LEN(SUBSTITUTE(V1475,"、",""))+1))</f>
        <v/>
      </c>
      <c r="M1475" s="83">
        <f>IF(OR(X1475="估算法",X1475="算法类",X1475="无法识别"),"",IF(W1475="",IF(OR(I1475="ILF",I1475="EIF"),0,""),LEN(W1475)-LEN(SUBSTITUTE(W1475,"、",""))+1))</f>
        <v/>
      </c>
      <c r="N1475" s="83">
        <f>IF(OR(X1475="估算法",X1475="算法类",X1475="无法识别"),"",IF(X1475="",IF(OR(I1475="ILF",I1475="EIF",I1475="EI",I1475="EO",I1475="EQ"),0,""),LEN(X1475)-LEN(SUBSTITUTE(SUBSTITUTE(SUBSTITUTE(SUBSTITUTE(SUBSTITUTE(X1475,"|}","--"),"{|","--"),CHAR(10),""),"、",""),"|",""))+IF(AND(OR(I1475="EI",I1475="EO",I1475="EQ"),$AD$1="NESMA"),2,1)))</f>
        <v/>
      </c>
      <c r="O1475" s="84">
        <f>IF(I1475="EI",IF(OR(X1475="估算法",X1475="算法类"),"中",IF(X1475="无法识别","低",IF(L1475&lt;2,IF(N1475&lt;16,"低","中"),IF(L1475&lt;3,IF(N1475&lt;5,"低",IF(N1475&lt;16,"中","高")),IF(N1475&lt;5,"中","高"))))),IF(OR(I1475="EO",I1475="EQ"),IF(OR(X1475="估算法",X1475="算法类"),"中",IF(X1475="无法识别","低",IF(L1475&lt;2,IF(N1475&lt;20,"低","中"),IF(L1475&lt;4,IF(N1475&lt;6,"低",IF(N1475&lt;20,"中","高")),IF(N1475&lt;6,"中","高"))))),IF(OR(I1475="ILF",I1475="EIF"),IF(OR(X1475="估算法",X1475="算法类",X1475="无法识别"),"低",IF(M1475&lt;2,IF(N1475&lt;51,"低","中"),IF(M1475&lt;6,IF(N1475&lt;20,"低",IF(N1475&lt;51,"中","高")),IF(N1475&lt;20,"中","高")))),"不计算")))</f>
        <v/>
      </c>
      <c r="P1475" s="142">
        <f>IFERROR(IF(I1475="EI",IF(O1475="低",3,IF(O1475="中",4,6)),IF(I1475="EO",IF(O1475="低",4,IF(O1475="中",5,7)),IF(I1475="EQ",IF(O1475="低",3,IF(O1475="中",4,6)),IF(I1475="ILF",IF(O1475="低",7,IF(O1475="中",10,15)),IF(I1475="EIF",IF(O1475="低",5,IF(O1475="中",7,10)),"不计算")))))*Q1475,"不计算")</f>
        <v/>
      </c>
      <c r="Q1475" s="142" t="n">
        <v>0.333333333333333</v>
      </c>
      <c r="R1475" s="143">
        <f>调整因子!$F$13</f>
        <v/>
      </c>
      <c r="S1475" s="76" t="n">
        <v>1</v>
      </c>
      <c r="T1475" s="144">
        <f>IFERROR(P1475*R1475,0)</f>
        <v/>
      </c>
      <c r="U1475" s="145">
        <f>T1475*S1475</f>
        <v/>
      </c>
      <c r="V1475" s="96" t="inlineStr">
        <is>
          <t>审计日志表、复测任务表</t>
        </is>
      </c>
      <c r="W1475" s="96" t="inlineStr"/>
      <c r="X1475" s="111" t="inlineStr">
        <is>
          <t>审计日志表{日志ID、操作人、操作类型、操作时间、操作内容|日志ID、操作人、操作类型}
复测任务表{任务ID、任务名称、任务类型、任务状态、创建时间、执行时间|任务ID、任务名称、任务类型}</t>
        </is>
      </c>
      <c r="Y1475" s="88" t="n"/>
      <c r="Z1475" s="88" t="n"/>
    </row>
    <row r="1476" hidden="1" ht="32.4" customHeight="1">
      <c r="A1476" s="69">
        <f>ROW()-1</f>
        <v/>
      </c>
      <c r="B1476" s="53" t="n"/>
      <c r="C1476" s="117" t="n">
        <v>2026</v>
      </c>
      <c r="E1476" s="53" t="n"/>
      <c r="F1476" s="53" t="n"/>
      <c r="G1476" s="53" t="n"/>
      <c r="H1476" s="96" t="inlineStr">
        <is>
          <t>导出报告文件</t>
        </is>
      </c>
      <c r="I1476" s="76" t="inlineStr">
        <is>
          <t>EO</t>
        </is>
      </c>
      <c r="J1476" s="95" t="n"/>
      <c r="K1476" s="95" t="n"/>
      <c r="L1476" s="83">
        <f>IF(OR(X1476="估算法",X1476="算法类",X1476="无法识别"),"",IF(V1476="",IF(OR(I1476="EI",I1476="EO",I1476="EQ"),0,""),LEN(V1476)-LEN(SUBSTITUTE(V1476,"、",""))+1))</f>
        <v/>
      </c>
      <c r="M1476" s="83">
        <f>IF(OR(X1476="估算法",X1476="算法类",X1476="无法识别"),"",IF(W1476="",IF(OR(I1476="ILF",I1476="EIF"),0,""),LEN(W1476)-LEN(SUBSTITUTE(W1476,"、",""))+1))</f>
        <v/>
      </c>
      <c r="N1476" s="83">
        <f>IF(OR(X1476="估算法",X1476="算法类",X1476="无法识别"),"",IF(X1476="",IF(OR(I1476="ILF",I1476="EIF",I1476="EI",I1476="EO",I1476="EQ"),0,""),LEN(X1476)-LEN(SUBSTITUTE(SUBSTITUTE(SUBSTITUTE(SUBSTITUTE(SUBSTITUTE(X1476,"|}","--"),"{|","--"),CHAR(10),""),"、",""),"|",""))+IF(AND(OR(I1476="EI",I1476="EO",I1476="EQ"),$AD$1="NESMA"),2,1)))</f>
        <v/>
      </c>
      <c r="O1476" s="84">
        <f>IF(I1476="EI",IF(OR(X1476="估算法",X1476="算法类"),"中",IF(X1476="无法识别","低",IF(L1476&lt;2,IF(N1476&lt;16,"低","中"),IF(L1476&lt;3,IF(N1476&lt;5,"低",IF(N1476&lt;16,"中","高")),IF(N1476&lt;5,"中","高"))))),IF(OR(I1476="EO",I1476="EQ"),IF(OR(X1476="估算法",X1476="算法类"),"中",IF(X1476="无法识别","低",IF(L1476&lt;2,IF(N1476&lt;20,"低","中"),IF(L1476&lt;4,IF(N1476&lt;6,"低",IF(N1476&lt;20,"中","高")),IF(N1476&lt;6,"中","高"))))),IF(OR(I1476="ILF",I1476="EIF"),IF(OR(X1476="估算法",X1476="算法类",X1476="无法识别"),"低",IF(M1476&lt;2,IF(N1476&lt;51,"低","中"),IF(M1476&lt;6,IF(N1476&lt;20,"低",IF(N1476&lt;51,"中","高")),IF(N1476&lt;20,"中","高")))),"不计算")))</f>
        <v/>
      </c>
      <c r="P1476" s="142">
        <f>IFERROR(IF(I1476="EI",IF(O1476="低",3,IF(O1476="中",4,6)),IF(I1476="EO",IF(O1476="低",4,IF(O1476="中",5,7)),IF(I1476="EQ",IF(O1476="低",3,IF(O1476="中",4,6)),IF(I1476="ILF",IF(O1476="低",7,IF(O1476="中",10,15)),IF(I1476="EIF",IF(O1476="低",5,IF(O1476="中",7,10)),"不计算")))))*Q1476,"不计算")</f>
        <v/>
      </c>
      <c r="Q1476" s="142" t="n">
        <v>1</v>
      </c>
      <c r="R1476" s="143">
        <f>调整因子!$F$13</f>
        <v/>
      </c>
      <c r="S1476" s="70" t="n">
        <v>1</v>
      </c>
      <c r="T1476" s="144">
        <f>IFERROR(P1476*R1476,0)</f>
        <v/>
      </c>
      <c r="U1476" s="145">
        <f>T1476*S1476</f>
        <v/>
      </c>
      <c r="V1476" s="96" t="inlineStr">
        <is>
          <t>处置流程定义表、数据清洗任务表</t>
        </is>
      </c>
      <c r="W1476" s="96" t="inlineStr"/>
      <c r="X1476" s="111" t="inlineStr">
        <is>
          <t>处置流程定义表{ID、名称|ID、名称、类型、状态、创建时间}
数据清洗任务表{任务ID、任务名称|任务ID、任务名称、任务类型、任务状态、创建时间}</t>
        </is>
      </c>
      <c r="Y1476" s="88" t="n"/>
      <c r="Z1476" s="88" t="n"/>
    </row>
    <row r="1477" hidden="1" ht="21.6" customHeight="1">
      <c r="A1477" s="69">
        <f>ROW()-1</f>
        <v/>
      </c>
      <c r="B1477" s="53" t="n"/>
      <c r="C1477" s="117" t="n">
        <v>2026</v>
      </c>
      <c r="E1477" s="53" t="n"/>
      <c r="F1477" s="53" t="n"/>
      <c r="G1477" s="53" t="n"/>
      <c r="H1477" s="96" t="inlineStr">
        <is>
          <t>下载报告文档</t>
        </is>
      </c>
      <c r="I1477" s="76" t="inlineStr">
        <is>
          <t>EO</t>
        </is>
      </c>
      <c r="J1477" s="95" t="n"/>
      <c r="K1477" s="95" t="n"/>
      <c r="L1477" s="83">
        <f>IF(OR(X1477="估算法",X1477="算法类",X1477="无法识别"),"",IF(V1477="",IF(OR(I1477="EI",I1477="EO",I1477="EQ"),0,""),LEN(V1477)-LEN(SUBSTITUTE(V1477,"、",""))+1))</f>
        <v/>
      </c>
      <c r="M1477" s="83">
        <f>IF(OR(X1477="估算法",X1477="算法类",X1477="无法识别"),"",IF(W1477="",IF(OR(I1477="ILF",I1477="EIF"),0,""),LEN(W1477)-LEN(SUBSTITUTE(W1477,"、",""))+1))</f>
        <v/>
      </c>
      <c r="N1477" s="83">
        <f>IF(OR(X1477="估算法",X1477="算法类",X1477="无法识别"),"",IF(X1477="",IF(OR(I1477="ILF",I1477="EIF",I1477="EI",I1477="EO",I1477="EQ"),0,""),LEN(X1477)-LEN(SUBSTITUTE(SUBSTITUTE(SUBSTITUTE(SUBSTITUTE(SUBSTITUTE(X1477,"|}","--"),"{|","--"),CHAR(10),""),"、",""),"|",""))+IF(AND(OR(I1477="EI",I1477="EO",I1477="EQ"),$AD$1="NESMA"),2,1)))</f>
        <v/>
      </c>
      <c r="O1477" s="84">
        <f>IF(I1477="EI",IF(OR(X1477="估算法",X1477="算法类"),"中",IF(X1477="无法识别","低",IF(L1477&lt;2,IF(N1477&lt;16,"低","中"),IF(L1477&lt;3,IF(N1477&lt;5,"低",IF(N1477&lt;16,"中","高")),IF(N1477&lt;5,"中","高"))))),IF(OR(I1477="EO",I1477="EQ"),IF(OR(X1477="估算法",X1477="算法类"),"中",IF(X1477="无法识别","低",IF(L1477&lt;2,IF(N1477&lt;20,"低","中"),IF(L1477&lt;4,IF(N1477&lt;6,"低",IF(N1477&lt;20,"中","高")),IF(N1477&lt;6,"中","高"))))),IF(OR(I1477="ILF",I1477="EIF"),IF(OR(X1477="估算法",X1477="算法类",X1477="无法识别"),"低",IF(M1477&lt;2,IF(N1477&lt;51,"低","中"),IF(M1477&lt;6,IF(N1477&lt;20,"低",IF(N1477&lt;51,"中","高")),IF(N1477&lt;20,"中","高")))),"不计算")))</f>
        <v/>
      </c>
      <c r="P1477" s="142">
        <f>IFERROR(IF(I1477="EI",IF(O1477="低",3,IF(O1477="中",4,6)),IF(I1477="EO",IF(O1477="低",4,IF(O1477="中",5,7)),IF(I1477="EQ",IF(O1477="低",3,IF(O1477="中",4,6)),IF(I1477="ILF",IF(O1477="低",7,IF(O1477="中",10,15)),IF(I1477="EIF",IF(O1477="低",5,IF(O1477="中",7,10)),"不计算")))))*Q1477,"不计算")</f>
        <v/>
      </c>
      <c r="Q1477" s="142" t="n">
        <v>1</v>
      </c>
      <c r="R1477" s="143">
        <f>调整因子!$F$13</f>
        <v/>
      </c>
      <c r="S1477" s="70" t="n">
        <v>1</v>
      </c>
      <c r="T1477" s="144">
        <f>IFERROR(P1477*R1477,0)</f>
        <v/>
      </c>
      <c r="U1477" s="145">
        <f>T1477*S1477</f>
        <v/>
      </c>
      <c r="V1477" s="96" t="inlineStr">
        <is>
          <t>漏洞处置推送接口配置表</t>
        </is>
      </c>
      <c r="W1477" s="96" t="inlineStr"/>
      <c r="X1477" s="111" t="inlineStr">
        <is>
          <t>漏洞处置推送接口配置表{漏洞ID、漏洞名称|漏洞ID、漏洞名称、漏洞等级、漏洞类型、CVE编号、发现时间、修复状态}</t>
        </is>
      </c>
      <c r="Y1477" s="88" t="n"/>
      <c r="Z1477" s="88" t="n"/>
    </row>
    <row r="1478" hidden="1" ht="32.4" customHeight="1">
      <c r="A1478" s="69">
        <f>ROW()-1</f>
        <v/>
      </c>
      <c r="B1478" s="53" t="n"/>
      <c r="C1478" s="117" t="n">
        <v>2026</v>
      </c>
      <c r="E1478" s="53" t="n"/>
      <c r="F1478" s="53" t="n"/>
      <c r="G1478" s="53" t="n"/>
      <c r="H1478" s="96" t="inlineStr">
        <is>
          <t>推送报告通知</t>
        </is>
      </c>
      <c r="I1478" s="76" t="inlineStr">
        <is>
          <t>EO</t>
        </is>
      </c>
      <c r="J1478" s="95" t="n"/>
      <c r="K1478" s="95" t="n"/>
      <c r="L1478" s="83">
        <f>IF(OR(X1478="估算法",X1478="算法类",X1478="无法识别"),"",IF(V1478="",IF(OR(I1478="EI",I1478="EO",I1478="EQ"),0,""),LEN(V1478)-LEN(SUBSTITUTE(V1478,"、",""))+1))</f>
        <v/>
      </c>
      <c r="M1478" s="83">
        <f>IF(OR(X1478="估算法",X1478="算法类",X1478="无法识别"),"",IF(W1478="",IF(OR(I1478="ILF",I1478="EIF"),0,""),LEN(W1478)-LEN(SUBSTITUTE(W1478,"、",""))+1))</f>
        <v/>
      </c>
      <c r="N1478" s="83">
        <f>IF(OR(X1478="估算法",X1478="算法类",X1478="无法识别"),"",IF(X1478="",IF(OR(I1478="ILF",I1478="EIF",I1478="EI",I1478="EO",I1478="EQ"),0,""),LEN(X1478)-LEN(SUBSTITUTE(SUBSTITUTE(SUBSTITUTE(SUBSTITUTE(SUBSTITUTE(X1478,"|}","--"),"{|","--"),CHAR(10),""),"、",""),"|",""))+IF(AND(OR(I1478="EI",I1478="EO",I1478="EQ"),$AD$1="NESMA"),2,1)))</f>
        <v/>
      </c>
      <c r="O1478" s="84">
        <f>IF(I1478="EI",IF(OR(X1478="估算法",X1478="算法类"),"中",IF(X1478="无法识别","低",IF(L1478&lt;2,IF(N1478&lt;16,"低","中"),IF(L1478&lt;3,IF(N1478&lt;5,"低",IF(N1478&lt;16,"中","高")),IF(N1478&lt;5,"中","高"))))),IF(OR(I1478="EO",I1478="EQ"),IF(OR(X1478="估算法",X1478="算法类"),"中",IF(X1478="无法识别","低",IF(L1478&lt;2,IF(N1478&lt;20,"低","中"),IF(L1478&lt;4,IF(N1478&lt;6,"低",IF(N1478&lt;20,"中","高")),IF(N1478&lt;6,"中","高"))))),IF(OR(I1478="ILF",I1478="EIF"),IF(OR(X1478="估算法",X1478="算法类",X1478="无法识别"),"低",IF(M1478&lt;2,IF(N1478&lt;51,"低","中"),IF(M1478&lt;6,IF(N1478&lt;20,"低",IF(N1478&lt;51,"中","高")),IF(N1478&lt;20,"中","高")))),"不计算")))</f>
        <v/>
      </c>
      <c r="P1478" s="142">
        <f>IFERROR(IF(I1478="EI",IF(O1478="低",3,IF(O1478="中",4,6)),IF(I1478="EO",IF(O1478="低",4,IF(O1478="中",5,7)),IF(I1478="EQ",IF(O1478="低",3,IF(O1478="中",4,6)),IF(I1478="ILF",IF(O1478="低",7,IF(O1478="中",10,15)),IF(I1478="EIF",IF(O1478="低",5,IF(O1478="中",7,10)),"不计算")))))*Q1478,"不计算")</f>
        <v/>
      </c>
      <c r="Q1478" s="142" t="n">
        <v>1</v>
      </c>
      <c r="R1478" s="143">
        <f>调整因子!$F$13</f>
        <v/>
      </c>
      <c r="S1478" s="76" t="n">
        <v>1</v>
      </c>
      <c r="T1478" s="144">
        <f>IFERROR(P1478*R1478,0)</f>
        <v/>
      </c>
      <c r="U1478" s="145">
        <f>T1478*S1478</f>
        <v/>
      </c>
      <c r="V1478" s="96" t="inlineStr">
        <is>
          <t>修复方案表、漏洞处置推送接口配置表</t>
        </is>
      </c>
      <c r="W1478" s="96" t="inlineStr"/>
      <c r="X1478" s="111" t="inlineStr">
        <is>
          <t>修复方案表{ID、名称|ID、名称、类型、状态、创建时间、更新时间}
漏洞处置推送接口配置表{漏洞ID、漏洞名称|漏洞ID、漏洞名称、漏洞等级、漏洞类型、CVE编号、发现时间、修复状态}</t>
        </is>
      </c>
      <c r="Y1478" s="88" t="n"/>
      <c r="Z1478" s="88" t="n"/>
    </row>
    <row r="1479" hidden="1" ht="32.4" customHeight="1">
      <c r="A1479" s="69">
        <f>ROW()-1</f>
        <v/>
      </c>
      <c r="B1479" s="53" t="n"/>
      <c r="C1479" s="117" t="n">
        <v>2026</v>
      </c>
      <c r="E1479" s="53" t="n"/>
      <c r="F1479" s="53" t="n"/>
      <c r="G1479" s="53" t="n"/>
      <c r="H1479" s="96" t="inlineStr">
        <is>
          <t>查询报告列表</t>
        </is>
      </c>
      <c r="I1479" s="76" t="inlineStr">
        <is>
          <t>EQ</t>
        </is>
      </c>
      <c r="J1479" s="95" t="n"/>
      <c r="K1479" s="95" t="n"/>
      <c r="L1479" s="83">
        <f>IF(OR(X1479="估算法",X1479="算法类",X1479="无法识别"),"",IF(V1479="",IF(OR(I1479="EI",I1479="EO",I1479="EQ"),0,""),LEN(V1479)-LEN(SUBSTITUTE(V1479,"、",""))+1))</f>
        <v/>
      </c>
      <c r="M1479" s="83">
        <f>IF(OR(X1479="估算法",X1479="算法类",X1479="无法识别"),"",IF(W1479="",IF(OR(I1479="ILF",I1479="EIF"),0,""),LEN(W1479)-LEN(SUBSTITUTE(W1479,"、",""))+1))</f>
        <v/>
      </c>
      <c r="N1479" s="83">
        <f>IF(OR(X1479="估算法",X1479="算法类",X1479="无法识别"),"",IF(X1479="",IF(OR(I1479="ILF",I1479="EIF",I1479="EI",I1479="EO",I1479="EQ"),0,""),LEN(X1479)-LEN(SUBSTITUTE(SUBSTITUTE(SUBSTITUTE(SUBSTITUTE(SUBSTITUTE(X1479,"|}","--"),"{|","--"),CHAR(10),""),"、",""),"|",""))+IF(AND(OR(I1479="EI",I1479="EO",I1479="EQ"),$AD$1="NESMA"),2,1)))</f>
        <v/>
      </c>
      <c r="O1479" s="84">
        <f>IF(I1479="EI",IF(OR(X1479="估算法",X1479="算法类"),"中",IF(X1479="无法识别","低",IF(L1479&lt;2,IF(N1479&lt;16,"低","中"),IF(L1479&lt;3,IF(N1479&lt;5,"低",IF(N1479&lt;16,"中","高")),IF(N1479&lt;5,"中","高"))))),IF(OR(I1479="EO",I1479="EQ"),IF(OR(X1479="估算法",X1479="算法类"),"中",IF(X1479="无法识别","低",IF(L1479&lt;2,IF(N1479&lt;20,"低","中"),IF(L1479&lt;4,IF(N1479&lt;6,"低",IF(N1479&lt;20,"中","高")),IF(N1479&lt;6,"中","高"))))),IF(OR(I1479="ILF",I1479="EIF"),IF(OR(X1479="估算法",X1479="算法类",X1479="无法识别"),"低",IF(M1479&lt;2,IF(N1479&lt;51,"低","中"),IF(M1479&lt;6,IF(N1479&lt;20,"低",IF(N1479&lt;51,"中","高")),IF(N1479&lt;20,"中","高")))),"不计算")))</f>
        <v/>
      </c>
      <c r="P1479" s="142">
        <f>IFERROR(IF(I1479="EI",IF(O1479="低",3,IF(O1479="中",4,6)),IF(I1479="EO",IF(O1479="低",4,IF(O1479="中",5,7)),IF(I1479="EQ",IF(O1479="低",3,IF(O1479="中",4,6)),IF(I1479="ILF",IF(O1479="低",7,IF(O1479="中",10,15)),IF(I1479="EIF",IF(O1479="低",5,IF(O1479="中",7,10)),"不计算")))))*Q1479,"不计算")</f>
        <v/>
      </c>
      <c r="Q1479" s="142" t="n">
        <v>1</v>
      </c>
      <c r="R1479" s="143">
        <f>调整因子!$F$13</f>
        <v/>
      </c>
      <c r="S1479" s="70" t="n">
        <v>1</v>
      </c>
      <c r="T1479" s="144">
        <f>IFERROR(P1479*R1479,0)</f>
        <v/>
      </c>
      <c r="U1479" s="145">
        <f>T1479*S1479</f>
        <v/>
      </c>
      <c r="V1479" s="96" t="inlineStr">
        <is>
          <t>推送任务表、报告导入记录表</t>
        </is>
      </c>
      <c r="W1479" s="96" t="inlineStr"/>
      <c r="X1479" s="111" t="inlineStr">
        <is>
          <t>推送任务表{任务ID、任务名称|任务ID、任务名称、任务类型、任务状态、创建时间、执行时间}
报告导入记录表{ID、名称|ID、名称、类型、状态、创建时间、更新时间}</t>
        </is>
      </c>
      <c r="Y1479" s="88" t="n"/>
      <c r="Z1479" s="88" t="n"/>
    </row>
    <row r="1480" hidden="1" ht="32.4" customHeight="1">
      <c r="A1480" s="69">
        <f>ROW()-1</f>
        <v/>
      </c>
      <c r="B1480" s="53" t="n"/>
      <c r="C1480" s="117" t="n">
        <v>2026</v>
      </c>
      <c r="E1480" s="54" t="n"/>
      <c r="F1480" s="54" t="n"/>
      <c r="G1480" s="54" t="n"/>
      <c r="H1480" s="96" t="inlineStr">
        <is>
          <t>查看报告详情</t>
        </is>
      </c>
      <c r="I1480" s="76" t="inlineStr">
        <is>
          <t>EQ</t>
        </is>
      </c>
      <c r="J1480" s="95" t="n"/>
      <c r="K1480" s="95" t="n"/>
      <c r="L1480" s="83">
        <f>IF(OR(X1480="估算法",X1480="算法类",X1480="无法识别"),"",IF(V1480="",IF(OR(I1480="EI",I1480="EO",I1480="EQ"),0,""),LEN(V1480)-LEN(SUBSTITUTE(V1480,"、",""))+1))</f>
        <v/>
      </c>
      <c r="M1480" s="83">
        <f>IF(OR(X1480="估算法",X1480="算法类",X1480="无法识别"),"",IF(W1480="",IF(OR(I1480="ILF",I1480="EIF"),0,""),LEN(W1480)-LEN(SUBSTITUTE(W1480,"、",""))+1))</f>
        <v/>
      </c>
      <c r="N1480" s="83">
        <f>IF(OR(X1480="估算法",X1480="算法类",X1480="无法识别"),"",IF(X1480="",IF(OR(I1480="ILF",I1480="EIF",I1480="EI",I1480="EO",I1480="EQ"),0,""),LEN(X1480)-LEN(SUBSTITUTE(SUBSTITUTE(SUBSTITUTE(SUBSTITUTE(SUBSTITUTE(X1480,"|}","--"),"{|","--"),CHAR(10),""),"、",""),"|",""))+IF(AND(OR(I1480="EI",I1480="EO",I1480="EQ"),$AD$1="NESMA"),2,1)))</f>
        <v/>
      </c>
      <c r="O1480" s="84">
        <f>IF(I1480="EI",IF(OR(X1480="估算法",X1480="算法类"),"中",IF(X1480="无法识别","低",IF(L1480&lt;2,IF(N1480&lt;16,"低","中"),IF(L1480&lt;3,IF(N1480&lt;5,"低",IF(N1480&lt;16,"中","高")),IF(N1480&lt;5,"中","高"))))),IF(OR(I1480="EO",I1480="EQ"),IF(OR(X1480="估算法",X1480="算法类"),"中",IF(X1480="无法识别","低",IF(L1480&lt;2,IF(N1480&lt;20,"低","中"),IF(L1480&lt;4,IF(N1480&lt;6,"低",IF(N1480&lt;20,"中","高")),IF(N1480&lt;6,"中","高"))))),IF(OR(I1480="ILF",I1480="EIF"),IF(OR(X1480="估算法",X1480="算法类",X1480="无法识别"),"低",IF(M1480&lt;2,IF(N1480&lt;51,"低","中"),IF(M1480&lt;6,IF(N1480&lt;20,"低",IF(N1480&lt;51,"中","高")),IF(N1480&lt;20,"中","高")))),"不计算")))</f>
        <v/>
      </c>
      <c r="P1480" s="142">
        <f>IFERROR(IF(I1480="EI",IF(O1480="低",3,IF(O1480="中",4,6)),IF(I1480="EO",IF(O1480="低",4,IF(O1480="中",5,7)),IF(I1480="EQ",IF(O1480="低",3,IF(O1480="中",4,6)),IF(I1480="ILF",IF(O1480="低",7,IF(O1480="中",10,15)),IF(I1480="EIF",IF(O1480="低",5,IF(O1480="中",7,10)),"不计算")))))*Q1480,"不计算")</f>
        <v/>
      </c>
      <c r="Q1480" s="142" t="n">
        <v>1</v>
      </c>
      <c r="R1480" s="143">
        <f>调整因子!$F$13</f>
        <v/>
      </c>
      <c r="S1480" s="70" t="n">
        <v>1</v>
      </c>
      <c r="T1480" s="144">
        <f>IFERROR(P1480*R1480,0)</f>
        <v/>
      </c>
      <c r="U1480" s="145">
        <f>T1480*S1480</f>
        <v/>
      </c>
      <c r="V1480" s="96" t="inlineStr">
        <is>
          <t>通报配置表、漏洞查询接口配置表</t>
        </is>
      </c>
      <c r="W1480" s="96" t="inlineStr"/>
      <c r="X1480" s="111" t="inlineStr">
        <is>
          <t>通报配置表{配置ID、配置名称|配置ID、配置名称、配置类型、配置值、创建时间}
漏洞查询接口配置表{漏洞ID、漏洞名称|漏洞ID、漏洞名称、漏洞等级、漏洞类型、CVE编号}</t>
        </is>
      </c>
      <c r="Y1480" s="88" t="n"/>
      <c r="Z1480" s="88" t="n"/>
    </row>
    <row r="1481" hidden="1" ht="21.6" customHeight="1">
      <c r="A1481" s="69">
        <f>ROW()-1</f>
        <v/>
      </c>
      <c r="B1481" s="53" t="n"/>
      <c r="C1481" s="117" t="n">
        <v>2026</v>
      </c>
      <c r="E1481" s="111" t="inlineStr">
        <is>
          <t>对外接口服务</t>
        </is>
      </c>
      <c r="F1481" s="111" t="inlineStr">
        <is>
          <t>扫描任务创建API</t>
        </is>
      </c>
      <c r="G1481" s="111" t="inlineStr">
        <is>
          <t>资产查询接口管理</t>
        </is>
      </c>
      <c r="H1481" s="96" t="inlineStr">
        <is>
          <t>资产查询接口配置表</t>
        </is>
      </c>
      <c r="I1481" s="76" t="inlineStr">
        <is>
          <t>ILF</t>
        </is>
      </c>
      <c r="J1481" s="95" t="n"/>
      <c r="K1481" s="95" t="n"/>
      <c r="L1481" s="83">
        <f>IF(OR(X1481="估算法",X1481="算法类",X1481="无法识别"),"",IF(V1481="",IF(OR(I1481="EI",I1481="EO",I1481="EQ"),0,""),LEN(V1481)-LEN(SUBSTITUTE(V1481,"、",""))+1))</f>
        <v/>
      </c>
      <c r="M1481" s="83">
        <f>IF(OR(X1481="估算法",X1481="算法类",X1481="无法识别"),"",IF(W1481="",IF(OR(I1481="ILF",I1481="EIF"),0,""),LEN(W1481)-LEN(SUBSTITUTE(W1481,"、",""))+1))</f>
        <v/>
      </c>
      <c r="N1481" s="83">
        <f>IF(OR(X1481="估算法",X1481="算法类",X1481="无法识别"),"",IF(X1481="",IF(OR(I1481="ILF",I1481="EIF",I1481="EI",I1481="EO",I1481="EQ"),0,""),LEN(X1481)-LEN(SUBSTITUTE(SUBSTITUTE(SUBSTITUTE(SUBSTITUTE(SUBSTITUTE(X1481,"|}","--"),"{|","--"),CHAR(10),""),"、",""),"|",""))+IF(AND(OR(I1481="EI",I1481="EO",I1481="EQ"),$AD$1="NESMA"),2,1)))</f>
        <v/>
      </c>
      <c r="O1481" s="84">
        <f>IF(I1481="EI",IF(OR(X1481="估算法",X1481="算法类"),"中",IF(X1481="无法识别","低",IF(L1481&lt;2,IF(N1481&lt;16,"低","中"),IF(L1481&lt;3,IF(N1481&lt;5,"低",IF(N1481&lt;16,"中","高")),IF(N1481&lt;5,"中","高"))))),IF(OR(I1481="EO",I1481="EQ"),IF(OR(X1481="估算法",X1481="算法类"),"中",IF(X1481="无法识别","低",IF(L1481&lt;2,IF(N1481&lt;20,"低","中"),IF(L1481&lt;4,IF(N1481&lt;6,"低",IF(N1481&lt;20,"中","高")),IF(N1481&lt;6,"中","高"))))),IF(OR(I1481="ILF",I1481="EIF"),IF(OR(X1481="估算法",X1481="算法类",X1481="无法识别"),"低",IF(M1481&lt;2,IF(N1481&lt;51,"低","中"),IF(M1481&lt;6,IF(N1481&lt;20,"低",IF(N1481&lt;51,"中","高")),IF(N1481&lt;20,"中","高")))),"不计算")))</f>
        <v/>
      </c>
      <c r="P1481" s="142">
        <f>IFERROR(IF(I1481="EI",IF(O1481="低",3,IF(O1481="中",4,6)),IF(I1481="EO",IF(O1481="低",4,IF(O1481="中",5,7)),IF(I1481="EQ",IF(O1481="低",3,IF(O1481="中",4,6)),IF(I1481="ILF",IF(O1481="低",7,IF(O1481="中",10,15)),IF(I1481="EIF",IF(O1481="低",5,IF(O1481="中",7,10)),"不计算")))))*Q1481,"不计算")</f>
        <v/>
      </c>
      <c r="Q1481" s="142" t="n">
        <v>1</v>
      </c>
      <c r="R1481" s="143">
        <f>调整因子!$F$13</f>
        <v/>
      </c>
      <c r="S1481" s="76" t="n">
        <v>1</v>
      </c>
      <c r="T1481" s="144">
        <f>IFERROR(P1481*R1481,0)</f>
        <v/>
      </c>
      <c r="U1481" s="145">
        <f>T1481*S1481</f>
        <v/>
      </c>
      <c r="V1481" s="96" t="inlineStr"/>
      <c r="W1481" s="96" t="inlineStr">
        <is>
          <t>主机资产</t>
        </is>
      </c>
      <c r="X1481" s="111" t="inlineStr">
        <is>
          <t>资产查询接口配置表{资产ID、资产名称、IP地址|资产ID、资产名称、IP地址、资产类型、资产状态、创建时间、更新时间}</t>
        </is>
      </c>
      <c r="Y1481" s="88">
        <f>IF(COUNTIFS(V:V,"*"&amp;H1481&amp;"*")&gt;0,"存在","不存在")</f>
        <v/>
      </c>
      <c r="Z1481" s="88">
        <f>IF(COUNTIFS(AA:AA,"*"&amp;H1481&amp;"*")&gt;0,"存在","不存在")</f>
        <v/>
      </c>
    </row>
    <row r="1482" hidden="1" ht="21.6" customHeight="1">
      <c r="A1482" s="69">
        <f>ROW()-1</f>
        <v/>
      </c>
      <c r="B1482" s="53" t="n"/>
      <c r="C1482" s="117" t="n">
        <v>2026</v>
      </c>
      <c r="E1482" s="53" t="n"/>
      <c r="F1482" s="53" t="n"/>
      <c r="G1482" s="53" t="n"/>
      <c r="H1482" s="96" t="inlineStr">
        <is>
          <t>接口参数配置表</t>
        </is>
      </c>
      <c r="I1482" s="76" t="inlineStr">
        <is>
          <t>ILF</t>
        </is>
      </c>
      <c r="J1482" s="95" t="n"/>
      <c r="K1482" s="95" t="n"/>
      <c r="L1482" s="83">
        <f>IF(OR(X1482="估算法",X1482="算法类",X1482="无法识别"),"",IF(V1482="",IF(OR(I1482="EI",I1482="EO",I1482="EQ"),0,""),LEN(V1482)-LEN(SUBSTITUTE(V1482,"、",""))+1))</f>
        <v/>
      </c>
      <c r="M1482" s="83">
        <f>IF(OR(X1482="估算法",X1482="算法类",X1482="无法识别"),"",IF(W1482="",IF(OR(I1482="ILF",I1482="EIF"),0,""),LEN(W1482)-LEN(SUBSTITUTE(W1482,"、",""))+1))</f>
        <v/>
      </c>
      <c r="N1482" s="83">
        <f>IF(OR(X1482="估算法",X1482="算法类",X1482="无法识别"),"",IF(X1482="",IF(OR(I1482="ILF",I1482="EIF",I1482="EI",I1482="EO",I1482="EQ"),0,""),LEN(X1482)-LEN(SUBSTITUTE(SUBSTITUTE(SUBSTITUTE(SUBSTITUTE(SUBSTITUTE(X1482,"|}","--"),"{|","--"),CHAR(10),""),"、",""),"|",""))+IF(AND(OR(I1482="EI",I1482="EO",I1482="EQ"),$AD$1="NESMA"),2,1)))</f>
        <v/>
      </c>
      <c r="O1482" s="84">
        <f>IF(I1482="EI",IF(OR(X1482="估算法",X1482="算法类"),"中",IF(X1482="无法识别","低",IF(L1482&lt;2,IF(N1482&lt;16,"低","中"),IF(L1482&lt;3,IF(N1482&lt;5,"低",IF(N1482&lt;16,"中","高")),IF(N1482&lt;5,"中","高"))))),IF(OR(I1482="EO",I1482="EQ"),IF(OR(X1482="估算法",X1482="算法类"),"中",IF(X1482="无法识别","低",IF(L1482&lt;2,IF(N1482&lt;20,"低","中"),IF(L1482&lt;4,IF(N1482&lt;6,"低",IF(N1482&lt;20,"中","高")),IF(N1482&lt;6,"中","高"))))),IF(OR(I1482="ILF",I1482="EIF"),IF(OR(X1482="估算法",X1482="算法类",X1482="无法识别"),"低",IF(M1482&lt;2,IF(N1482&lt;51,"低","中"),IF(M1482&lt;6,IF(N1482&lt;20,"低",IF(N1482&lt;51,"中","高")),IF(N1482&lt;20,"中","高")))),"不计算")))</f>
        <v/>
      </c>
      <c r="P1482" s="142">
        <f>IFERROR(IF(I1482="EI",IF(O1482="低",3,IF(O1482="中",4,6)),IF(I1482="EO",IF(O1482="低",4,IF(O1482="中",5,7)),IF(I1482="EQ",IF(O1482="低",3,IF(O1482="中",4,6)),IF(I1482="ILF",IF(O1482="低",7,IF(O1482="中",10,15)),IF(I1482="EIF",IF(O1482="低",5,IF(O1482="中",7,10)),"不计算")))))*Q1482,"不计算")</f>
        <v/>
      </c>
      <c r="Q1482" s="142" t="n">
        <v>1</v>
      </c>
      <c r="R1482" s="143">
        <f>调整因子!$F$13</f>
        <v/>
      </c>
      <c r="S1482" s="76" t="n">
        <v>1</v>
      </c>
      <c r="T1482" s="144">
        <f>IFERROR(P1482*R1482,0)</f>
        <v/>
      </c>
      <c r="U1482" s="145">
        <f>T1482*S1482</f>
        <v/>
      </c>
      <c r="V1482" s="96" t="inlineStr"/>
      <c r="W1482" s="96" t="inlineStr">
        <is>
          <t>配置项</t>
        </is>
      </c>
      <c r="X1482" s="111" t="inlineStr">
        <is>
          <t>接口参数配置表{配置ID、配置名称、配置类型|配置ID、配置名称、配置类型、配置值、创建时间}</t>
        </is>
      </c>
      <c r="Y1482" s="88">
        <f>IF(COUNTIFS(V:V,"*"&amp;H1482&amp;"*")&gt;0,"存在","不存在")</f>
        <v/>
      </c>
      <c r="Z1482" s="88">
        <f>IF(COUNTIFS(AA:AA,"*"&amp;H1482&amp;"*")&gt;0,"存在","不存在")</f>
        <v/>
      </c>
    </row>
    <row r="1483" hidden="1" ht="21.6" customHeight="1">
      <c r="A1483" s="69">
        <f>ROW()-1</f>
        <v/>
      </c>
      <c r="B1483" s="53" t="n"/>
      <c r="C1483" s="117" t="n">
        <v>2026</v>
      </c>
      <c r="E1483" s="53" t="n"/>
      <c r="F1483" s="53" t="n"/>
      <c r="G1483" s="53" t="n"/>
      <c r="H1483" s="96" t="inlineStr">
        <is>
          <t>资产查询接口</t>
        </is>
      </c>
      <c r="I1483" s="76" t="inlineStr">
        <is>
          <t>EIF</t>
        </is>
      </c>
      <c r="J1483" s="95" t="n"/>
      <c r="K1483" s="95" t="n"/>
      <c r="L1483" s="83">
        <f>IF(OR(X1483="估算法",X1483="算法类",X1483="无法识别"),"",IF(V1483="",IF(OR(I1483="EI",I1483="EO",I1483="EQ"),0,""),LEN(V1483)-LEN(SUBSTITUTE(V1483,"、",""))+1))</f>
        <v/>
      </c>
      <c r="M1483" s="83">
        <f>IF(OR(X1483="估算法",X1483="算法类",X1483="无法识别"),"",IF(W1483="",IF(OR(I1483="ILF",I1483="EIF"),0,""),LEN(W1483)-LEN(SUBSTITUTE(W1483,"、",""))+1))</f>
        <v/>
      </c>
      <c r="N1483" s="83">
        <f>IF(OR(X1483="估算法",X1483="算法类",X1483="无法识别"),"",IF(X1483="",IF(OR(I1483="ILF",I1483="EIF",I1483="EI",I1483="EO",I1483="EQ"),0,""),LEN(X1483)-LEN(SUBSTITUTE(SUBSTITUTE(SUBSTITUTE(SUBSTITUTE(SUBSTITUTE(X1483,"|}","--"),"{|","--"),CHAR(10),""),"、",""),"|",""))+IF(AND(OR(I1483="EI",I1483="EO",I1483="EQ"),$AD$1="NESMA"),2,1)))</f>
        <v/>
      </c>
      <c r="O1483" s="84">
        <f>IF(I1483="EI",IF(OR(X1483="估算法",X1483="算法类"),"中",IF(X1483="无法识别","低",IF(L1483&lt;2,IF(N1483&lt;16,"低","中"),IF(L1483&lt;3,IF(N1483&lt;5,"低",IF(N1483&lt;16,"中","高")),IF(N1483&lt;5,"中","高"))))),IF(OR(I1483="EO",I1483="EQ"),IF(OR(X1483="估算法",X1483="算法类"),"中",IF(X1483="无法识别","低",IF(L1483&lt;2,IF(N1483&lt;20,"低","中"),IF(L1483&lt;4,IF(N1483&lt;6,"低",IF(N1483&lt;20,"中","高")),IF(N1483&lt;6,"中","高"))))),IF(OR(I1483="ILF",I1483="EIF"),IF(OR(X1483="估算法",X1483="算法类",X1483="无法识别"),"低",IF(M1483&lt;2,IF(N1483&lt;51,"低","中"),IF(M1483&lt;6,IF(N1483&lt;20,"低",IF(N1483&lt;51,"中","高")),IF(N1483&lt;20,"中","高")))),"不计算")))</f>
        <v/>
      </c>
      <c r="P1483" s="142">
        <f>IFERROR(IF(I1483="EI",IF(O1483="低",3,IF(O1483="中",4,6)),IF(I1483="EO",IF(O1483="低",4,IF(O1483="中",5,7)),IF(I1483="EQ",IF(O1483="低",3,IF(O1483="中",4,6)),IF(I1483="ILF",IF(O1483="低",7,IF(O1483="中",10,15)),IF(I1483="EIF",IF(O1483="低",5,IF(O1483="中",7,10)),"不计算")))))*Q1483,"不计算")</f>
        <v/>
      </c>
      <c r="Q1483" s="142" t="n">
        <v>1</v>
      </c>
      <c r="R1483" s="143">
        <f>调整因子!$F$13</f>
        <v/>
      </c>
      <c r="S1483" s="70" t="n">
        <v>1</v>
      </c>
      <c r="T1483" s="144">
        <f>IFERROR(P1483*R1483,0)</f>
        <v/>
      </c>
      <c r="U1483" s="145">
        <f>T1483*S1483</f>
        <v/>
      </c>
      <c r="V1483" s="96" t="inlineStr"/>
      <c r="W1483" s="96" t="inlineStr">
        <is>
          <t>接口数据</t>
        </is>
      </c>
      <c r="X1483" s="111" t="inlineStr">
        <is>
          <t>资产查询接口{资产ID、资产名称|资产ID、资产名称、IP地址、资产类型、资产状态、创建时间、更新时间}</t>
        </is>
      </c>
      <c r="Y1483" s="88">
        <f>IF(COUNTIFS(V:V,"*"&amp;H1483&amp;"*")&gt;0,"存在","不存在")</f>
        <v/>
      </c>
      <c r="Z1483" s="88">
        <f>IF(COUNTIFS(AA:AA,"*"&amp;H1483&amp;"*")&gt;0,"存在","不存在")</f>
        <v/>
      </c>
    </row>
    <row r="1484" hidden="1" ht="21.6" customHeight="1">
      <c r="A1484" s="69">
        <f>ROW()-1</f>
        <v/>
      </c>
      <c r="B1484" s="53" t="n"/>
      <c r="C1484" s="117" t="n">
        <v>2026</v>
      </c>
      <c r="E1484" s="53" t="n"/>
      <c r="F1484" s="53" t="n"/>
      <c r="G1484" s="53" t="n"/>
      <c r="H1484" s="96" t="inlineStr">
        <is>
          <t>配置资产查询接口</t>
        </is>
      </c>
      <c r="I1484" s="76" t="inlineStr">
        <is>
          <t>EQ</t>
        </is>
      </c>
      <c r="J1484" s="95" t="n"/>
      <c r="K1484" s="95" t="inlineStr">
        <is>
          <t>查询</t>
        </is>
      </c>
      <c r="L1484" s="83">
        <f>IF(OR(X1484="估算法",X1484="算法类",X1484="无法识别"),"",IF(V1484="",IF(OR(I1484="EI",I1484="EO",I1484="EQ"),0,""),LEN(V1484)-LEN(SUBSTITUTE(V1484,"、",""))+1))</f>
        <v/>
      </c>
      <c r="M1484" s="83">
        <f>IF(OR(X1484="估算法",X1484="算法类",X1484="无法识别"),"",IF(W1484="",IF(OR(I1484="ILF",I1484="EIF"),0,""),LEN(W1484)-LEN(SUBSTITUTE(W1484,"、",""))+1))</f>
        <v/>
      </c>
      <c r="N1484" s="83">
        <f>IF(OR(X1484="估算法",X1484="算法类",X1484="无法识别"),"",IF(X1484="",IF(OR(I1484="ILF",I1484="EIF",I1484="EI",I1484="EO",I1484="EQ"),0,""),LEN(X1484)-LEN(SUBSTITUTE(SUBSTITUTE(SUBSTITUTE(SUBSTITUTE(SUBSTITUTE(X1484,"|}","--"),"{|","--"),CHAR(10),""),"、",""),"|",""))+IF(AND(OR(I1484="EI",I1484="EO",I1484="EQ"),$AD$1="NESMA"),2,1)))</f>
        <v/>
      </c>
      <c r="O1484" s="84">
        <f>IF(I1484="EI",IF(OR(X1484="估算法",X1484="算法类"),"中",IF(X1484="无法识别","低",IF(L1484&lt;2,IF(N1484&lt;16,"低","中"),IF(L1484&lt;3,IF(N1484&lt;5,"低",IF(N1484&lt;16,"中","高")),IF(N1484&lt;5,"中","高"))))),IF(OR(I1484="EO",I1484="EQ"),IF(OR(X1484="估算法",X1484="算法类"),"中",IF(X1484="无法识别","低",IF(L1484&lt;2,IF(N1484&lt;20,"低","中"),IF(L1484&lt;4,IF(N1484&lt;6,"低",IF(N1484&lt;20,"中","高")),IF(N1484&lt;6,"中","高"))))),IF(OR(I1484="ILF",I1484="EIF"),IF(OR(X1484="估算法",X1484="算法类",X1484="无法识别"),"低",IF(M1484&lt;2,IF(N1484&lt;51,"低","中"),IF(M1484&lt;6,IF(N1484&lt;20,"低",IF(N1484&lt;51,"中","高")),IF(N1484&lt;20,"中","高")))),"不计算")))</f>
        <v/>
      </c>
      <c r="P1484" s="142">
        <f>IFERROR(IF(I1484="EI",IF(O1484="低",3,IF(O1484="中",4,6)),IF(I1484="EO",IF(O1484="低",4,IF(O1484="中",5,7)),IF(I1484="EQ",IF(O1484="低",3,IF(O1484="中",4,6)),IF(I1484="ILF",IF(O1484="低",7,IF(O1484="中",10,15)),IF(I1484="EIF",IF(O1484="低",5,IF(O1484="中",7,10)),"不计算")))))*Q1484,"不计算")</f>
        <v/>
      </c>
      <c r="Q1484" s="142" t="n">
        <v>1</v>
      </c>
      <c r="R1484" s="143">
        <f>调整因子!$F$13</f>
        <v/>
      </c>
      <c r="S1484" s="70" t="n">
        <v>1</v>
      </c>
      <c r="T1484" s="144">
        <f>IFERROR(P1484*R1484,0)</f>
        <v/>
      </c>
      <c r="U1484" s="145">
        <f>T1484*S1484</f>
        <v/>
      </c>
      <c r="V1484" s="96" t="inlineStr">
        <is>
          <t>资产同步任务表</t>
        </is>
      </c>
      <c r="W1484" s="96" t="inlineStr"/>
      <c r="X1484" s="111" t="inlineStr">
        <is>
          <t>资产同步任务表{资产ID、资产名称、IP地址、资产类型、资产状态、创建时间、更新时间|资产ID、资产名称、IP地址}</t>
        </is>
      </c>
      <c r="Y1484" s="88" t="n"/>
      <c r="Z1484" s="88" t="n"/>
    </row>
    <row r="1485" hidden="1" ht="43.2" customHeight="1">
      <c r="A1485" s="69">
        <f>ROW()-1</f>
        <v/>
      </c>
      <c r="B1485" s="53" t="n"/>
      <c r="C1485" s="117" t="n">
        <v>2026</v>
      </c>
      <c r="E1485" s="53" t="n"/>
      <c r="F1485" s="53" t="n"/>
      <c r="G1485" s="53" t="n"/>
      <c r="H1485" s="96" t="inlineStr">
        <is>
          <t>编辑资产查询接口</t>
        </is>
      </c>
      <c r="I1485" s="76" t="n"/>
      <c r="J1485" s="95" t="n"/>
      <c r="K1485" s="95" t="inlineStr">
        <is>
          <t>功能描述为相同查询接口信息</t>
        </is>
      </c>
      <c r="L1485" s="83">
        <f>IF(OR(X1485="估算法",X1485="算法类",X1485="无法识别"),"",IF(V1485="",IF(OR(I1485="EI",I1485="EO",I1485="EQ"),0,""),LEN(V1485)-LEN(SUBSTITUTE(V1485,"、",""))+1))</f>
        <v/>
      </c>
      <c r="M1485" s="83">
        <f>IF(OR(X1485="估算法",X1485="算法类",X1485="无法识别"),"",IF(W1485="",IF(OR(I1485="ILF",I1485="EIF"),0,""),LEN(W1485)-LEN(SUBSTITUTE(W1485,"、",""))+1))</f>
        <v/>
      </c>
      <c r="N1485" s="83">
        <f>IF(OR(X1485="估算法",X1485="算法类",X1485="无法识别"),"",IF(X1485="",IF(OR(I1485="ILF",I1485="EIF",I1485="EI",I1485="EO",I1485="EQ"),0,""),LEN(X1485)-LEN(SUBSTITUTE(SUBSTITUTE(SUBSTITUTE(SUBSTITUTE(SUBSTITUTE(X1485,"|}","--"),"{|","--"),CHAR(10),""),"、",""),"|",""))+IF(AND(OR(I1485="EI",I1485="EO",I1485="EQ"),$AD$1="NESMA"),2,1)))</f>
        <v/>
      </c>
      <c r="O1485" s="84">
        <f>IF(I1485="EI",IF(OR(X1485="估算法",X1485="算法类"),"中",IF(X1485="无法识别","低",IF(L1485&lt;2,IF(N1485&lt;16,"低","中"),IF(L1485&lt;3,IF(N1485&lt;5,"低",IF(N1485&lt;16,"中","高")),IF(N1485&lt;5,"中","高"))))),IF(OR(I1485="EO",I1485="EQ"),IF(OR(X1485="估算法",X1485="算法类"),"中",IF(X1485="无法识别","低",IF(L1485&lt;2,IF(N1485&lt;20,"低","中"),IF(L1485&lt;4,IF(N1485&lt;6,"低",IF(N1485&lt;20,"中","高")),IF(N1485&lt;6,"中","高"))))),IF(OR(I1485="ILF",I1485="EIF"),IF(OR(X1485="估算法",X1485="算法类",X1485="无法识别"),"低",IF(M1485&lt;2,IF(N1485&lt;51,"低","中"),IF(M1485&lt;6,IF(N1485&lt;20,"低",IF(N1485&lt;51,"中","高")),IF(N1485&lt;20,"中","高")))),"不计算")))</f>
        <v/>
      </c>
      <c r="P1485" s="142">
        <f>IFERROR(IF(I1485="EI",IF(O1485="低",3,IF(O1485="中",4,6)),IF(I1485="EO",IF(O1485="低",4,IF(O1485="中",5,7)),IF(I1485="EQ",IF(O1485="低",3,IF(O1485="中",4,6)),IF(I1485="ILF",IF(O1485="低",7,IF(O1485="中",10,15)),IF(I1485="EIF",IF(O1485="低",5,IF(O1485="中",7,10)),"不计算")))))*Q1485,"不计算")</f>
        <v/>
      </c>
      <c r="Q1485" s="142" t="n">
        <v>1</v>
      </c>
      <c r="R1485" s="143">
        <f>调整因子!$F$13</f>
        <v/>
      </c>
      <c r="S1485" s="76" t="n">
        <v>1</v>
      </c>
      <c r="T1485" s="144">
        <f>IFERROR(P1485*R1485,0)</f>
        <v/>
      </c>
      <c r="U1485" s="145">
        <f>T1485*S1485</f>
        <v/>
      </c>
      <c r="V1485" s="96" t="inlineStr">
        <is>
          <t>资产同步任务表、资产扫描覆盖表</t>
        </is>
      </c>
      <c r="W1485" s="96" t="inlineStr"/>
      <c r="X1485" s="111" t="inlineStr">
        <is>
          <t>资产同步任务表{资产ID、资产名称、IP地址、资产类型、资产状态、创建时间、更新时间|资产ID、资产名称、IP地址}
资产扫描覆盖表{资产ID、资产名称、IP地址、资产类型、资产状态、创建时间、更新时间|资产ID、资产名称、IP地址}</t>
        </is>
      </c>
      <c r="Y1485" s="88" t="n"/>
      <c r="Z1485" s="88" t="n"/>
    </row>
    <row r="1486" hidden="1" ht="43.2" customHeight="1">
      <c r="A1486" s="69">
        <f>ROW()-1</f>
        <v/>
      </c>
      <c r="B1486" s="53" t="n"/>
      <c r="C1486" s="117" t="n">
        <v>2026</v>
      </c>
      <c r="E1486" s="53" t="n"/>
      <c r="F1486" s="53" t="n"/>
      <c r="G1486" s="53" t="n"/>
      <c r="H1486" s="96" t="inlineStr">
        <is>
          <t>删除资产查询接口</t>
        </is>
      </c>
      <c r="I1486" s="76" t="n"/>
      <c r="J1486" s="95" t="n"/>
      <c r="K1486" s="95" t="inlineStr">
        <is>
          <t>功能描述为相同查询接口信息</t>
        </is>
      </c>
      <c r="L1486" s="83">
        <f>IF(OR(X1486="估算法",X1486="算法类",X1486="无法识别"),"",IF(V1486="",IF(OR(I1486="EI",I1486="EO",I1486="EQ"),0,""),LEN(V1486)-LEN(SUBSTITUTE(V1486,"、",""))+1))</f>
        <v/>
      </c>
      <c r="M1486" s="83">
        <f>IF(OR(X1486="估算法",X1486="算法类",X1486="无法识别"),"",IF(W1486="",IF(OR(I1486="ILF",I1486="EIF"),0,""),LEN(W1486)-LEN(SUBSTITUTE(W1486,"、",""))+1))</f>
        <v/>
      </c>
      <c r="N1486" s="83">
        <f>IF(OR(X1486="估算法",X1486="算法类",X1486="无法识别"),"",IF(X1486="",IF(OR(I1486="ILF",I1486="EIF",I1486="EI",I1486="EO",I1486="EQ"),0,""),LEN(X1486)-LEN(SUBSTITUTE(SUBSTITUTE(SUBSTITUTE(SUBSTITUTE(SUBSTITUTE(X1486,"|}","--"),"{|","--"),CHAR(10),""),"、",""),"|",""))+IF(AND(OR(I1486="EI",I1486="EO",I1486="EQ"),$AD$1="NESMA"),2,1)))</f>
        <v/>
      </c>
      <c r="O1486" s="84">
        <f>IF(I1486="EI",IF(OR(X1486="估算法",X1486="算法类"),"中",IF(X1486="无法识别","低",IF(L1486&lt;2,IF(N1486&lt;16,"低","中"),IF(L1486&lt;3,IF(N1486&lt;5,"低",IF(N1486&lt;16,"中","高")),IF(N1486&lt;5,"中","高"))))),IF(OR(I1486="EO",I1486="EQ"),IF(OR(X1486="估算法",X1486="算法类"),"中",IF(X1486="无法识别","低",IF(L1486&lt;2,IF(N1486&lt;20,"低","中"),IF(L1486&lt;4,IF(N1486&lt;6,"低",IF(N1486&lt;20,"中","高")),IF(N1486&lt;6,"中","高"))))),IF(OR(I1486="ILF",I1486="EIF"),IF(OR(X1486="估算法",X1486="算法类",X1486="无法识别"),"低",IF(M1486&lt;2,IF(N1486&lt;51,"低","中"),IF(M1486&lt;6,IF(N1486&lt;20,"低",IF(N1486&lt;51,"中","高")),IF(N1486&lt;20,"中","高")))),"不计算")))</f>
        <v/>
      </c>
      <c r="P1486" s="142">
        <f>IFERROR(IF(I1486="EI",IF(O1486="低",3,IF(O1486="中",4,6)),IF(I1486="EO",IF(O1486="低",4,IF(O1486="中",5,7)),IF(I1486="EQ",IF(O1486="低",3,IF(O1486="中",4,6)),IF(I1486="ILF",IF(O1486="低",7,IF(O1486="中",10,15)),IF(I1486="EIF",IF(O1486="低",5,IF(O1486="中",7,10)),"不计算")))))*Q1486,"不计算")</f>
        <v/>
      </c>
      <c r="Q1486" s="142" t="n">
        <v>0.333333333333333</v>
      </c>
      <c r="R1486" s="143">
        <f>调整因子!$F$13</f>
        <v/>
      </c>
      <c r="S1486" s="70" t="n">
        <v>1</v>
      </c>
      <c r="T1486" s="144">
        <f>IFERROR(P1486*R1486,0)</f>
        <v/>
      </c>
      <c r="U1486" s="145">
        <f>T1486*S1486</f>
        <v/>
      </c>
      <c r="V1486" s="96" t="inlineStr">
        <is>
          <t>资产同步任务表、资产扫描覆盖表</t>
        </is>
      </c>
      <c r="W1486" s="96" t="inlineStr"/>
      <c r="X1486" s="111" t="inlineStr">
        <is>
          <t>资产同步任务表{资产ID、资产名称、IP地址、资产类型、资产状态、创建时间、更新时间|资产ID、资产名称、IP地址}
资产扫描覆盖表{资产ID、资产名称、IP地址、资产类型、资产状态、创建时间、更新时间|资产ID、资产名称、IP地址}</t>
        </is>
      </c>
      <c r="Y1486" s="88" t="n"/>
      <c r="Z1486" s="88" t="n"/>
    </row>
    <row r="1487" hidden="1" ht="21.6" customHeight="1">
      <c r="A1487" s="69">
        <f>ROW()-1</f>
        <v/>
      </c>
      <c r="B1487" s="53" t="n"/>
      <c r="C1487" s="117" t="n">
        <v>2026</v>
      </c>
      <c r="E1487" s="53" t="n"/>
      <c r="F1487" s="53" t="n"/>
      <c r="G1487" s="53" t="n"/>
      <c r="H1487" s="96" t="inlineStr">
        <is>
          <t>启用资产查询接口</t>
        </is>
      </c>
      <c r="I1487" s="76" t="n"/>
      <c r="J1487" s="95" t="n"/>
      <c r="K1487" s="95" t="inlineStr">
        <is>
          <t>功能描述为相同查询接口信息</t>
        </is>
      </c>
      <c r="L1487" s="83">
        <f>IF(OR(X1487="估算法",X1487="算法类",X1487="无法识别"),"",IF(V1487="",IF(OR(I1487="EI",I1487="EO",I1487="EQ"),0,""),LEN(V1487)-LEN(SUBSTITUTE(V1487,"、",""))+1))</f>
        <v/>
      </c>
      <c r="M1487" s="83">
        <f>IF(OR(X1487="估算法",X1487="算法类",X1487="无法识别"),"",IF(W1487="",IF(OR(I1487="ILF",I1487="EIF"),0,""),LEN(W1487)-LEN(SUBSTITUTE(W1487,"、",""))+1))</f>
        <v/>
      </c>
      <c r="N1487" s="83">
        <f>IF(OR(X1487="估算法",X1487="算法类",X1487="无法识别"),"",IF(X1487="",IF(OR(I1487="ILF",I1487="EIF",I1487="EI",I1487="EO",I1487="EQ"),0,""),LEN(X1487)-LEN(SUBSTITUTE(SUBSTITUTE(SUBSTITUTE(SUBSTITUTE(SUBSTITUTE(X1487,"|}","--"),"{|","--"),CHAR(10),""),"、",""),"|",""))+IF(AND(OR(I1487="EI",I1487="EO",I1487="EQ"),$AD$1="NESMA"),2,1)))</f>
        <v/>
      </c>
      <c r="O1487" s="84">
        <f>IF(I1487="EI",IF(OR(X1487="估算法",X1487="算法类"),"中",IF(X1487="无法识别","低",IF(L1487&lt;2,IF(N1487&lt;16,"低","中"),IF(L1487&lt;3,IF(N1487&lt;5,"低",IF(N1487&lt;16,"中","高")),IF(N1487&lt;5,"中","高"))))),IF(OR(I1487="EO",I1487="EQ"),IF(OR(X1487="估算法",X1487="算法类"),"中",IF(X1487="无法识别","低",IF(L1487&lt;2,IF(N1487&lt;20,"低","中"),IF(L1487&lt;4,IF(N1487&lt;6,"低",IF(N1487&lt;20,"中","高")),IF(N1487&lt;6,"中","高"))))),IF(OR(I1487="ILF",I1487="EIF"),IF(OR(X1487="估算法",X1487="算法类",X1487="无法识别"),"低",IF(M1487&lt;2,IF(N1487&lt;51,"低","中"),IF(M1487&lt;6,IF(N1487&lt;20,"低",IF(N1487&lt;51,"中","高")),IF(N1487&lt;20,"中","高")))),"不计算")))</f>
        <v/>
      </c>
      <c r="P1487" s="142">
        <f>IFERROR(IF(I1487="EI",IF(O1487="低",3,IF(O1487="中",4,6)),IF(I1487="EO",IF(O1487="低",4,IF(O1487="中",5,7)),IF(I1487="EQ",IF(O1487="低",3,IF(O1487="中",4,6)),IF(I1487="ILF",IF(O1487="低",7,IF(O1487="中",10,15)),IF(I1487="EIF",IF(O1487="低",5,IF(O1487="中",7,10)),"不计算")))))*Q1487,"不计算")</f>
        <v/>
      </c>
      <c r="Q1487" s="142" t="n">
        <v>1</v>
      </c>
      <c r="R1487" s="143">
        <f>调整因子!$F$13</f>
        <v/>
      </c>
      <c r="S1487" s="70" t="n">
        <v>1</v>
      </c>
      <c r="T1487" s="144">
        <f>IFERROR(P1487*R1487,0)</f>
        <v/>
      </c>
      <c r="U1487" s="145">
        <f>T1487*S1487</f>
        <v/>
      </c>
      <c r="V1487" s="96" t="inlineStr">
        <is>
          <t>资产同步任务表</t>
        </is>
      </c>
      <c r="W1487" s="96" t="inlineStr"/>
      <c r="X1487" s="111" t="inlineStr">
        <is>
          <t>资产同步任务表{资产ID、资产名称、IP地址、资产类型、资产状态、创建时间、更新时间|资产ID、资产名称、IP地址}</t>
        </is>
      </c>
      <c r="Y1487" s="88" t="n"/>
      <c r="Z1487" s="88" t="n"/>
    </row>
    <row r="1488" hidden="1" ht="43.2" customHeight="1">
      <c r="A1488" s="69">
        <f>ROW()-1</f>
        <v/>
      </c>
      <c r="B1488" s="53" t="n"/>
      <c r="C1488" s="117" t="n">
        <v>2026</v>
      </c>
      <c r="E1488" s="53" t="n"/>
      <c r="F1488" s="53" t="n"/>
      <c r="G1488" s="54" t="n"/>
      <c r="H1488" s="96" t="inlineStr">
        <is>
          <t>停用资产查询接口</t>
        </is>
      </c>
      <c r="I1488" s="76" t="n"/>
      <c r="J1488" s="95" t="n"/>
      <c r="K1488" s="95" t="inlineStr">
        <is>
          <t>功能描述为相同查询接口信息</t>
        </is>
      </c>
      <c r="L1488" s="83">
        <f>IF(OR(X1488="估算法",X1488="算法类",X1488="无法识别"),"",IF(V1488="",IF(OR(I1488="EI",I1488="EO",I1488="EQ"),0,""),LEN(V1488)-LEN(SUBSTITUTE(V1488,"、",""))+1))</f>
        <v/>
      </c>
      <c r="M1488" s="83">
        <f>IF(OR(X1488="估算法",X1488="算法类",X1488="无法识别"),"",IF(W1488="",IF(OR(I1488="ILF",I1488="EIF"),0,""),LEN(W1488)-LEN(SUBSTITUTE(W1488,"、",""))+1))</f>
        <v/>
      </c>
      <c r="N1488" s="83">
        <f>IF(OR(X1488="估算法",X1488="算法类",X1488="无法识别"),"",IF(X1488="",IF(OR(I1488="ILF",I1488="EIF",I1488="EI",I1488="EO",I1488="EQ"),0,""),LEN(X1488)-LEN(SUBSTITUTE(SUBSTITUTE(SUBSTITUTE(SUBSTITUTE(SUBSTITUTE(X1488,"|}","--"),"{|","--"),CHAR(10),""),"、",""),"|",""))+IF(AND(OR(I1488="EI",I1488="EO",I1488="EQ"),$AD$1="NESMA"),2,1)))</f>
        <v/>
      </c>
      <c r="O1488" s="84">
        <f>IF(I1488="EI",IF(OR(X1488="估算法",X1488="算法类"),"中",IF(X1488="无法识别","低",IF(L1488&lt;2,IF(N1488&lt;16,"低","中"),IF(L1488&lt;3,IF(N1488&lt;5,"低",IF(N1488&lt;16,"中","高")),IF(N1488&lt;5,"中","高"))))),IF(OR(I1488="EO",I1488="EQ"),IF(OR(X1488="估算法",X1488="算法类"),"中",IF(X1488="无法识别","低",IF(L1488&lt;2,IF(N1488&lt;20,"低","中"),IF(L1488&lt;4,IF(N1488&lt;6,"低",IF(N1488&lt;20,"中","高")),IF(N1488&lt;6,"中","高"))))),IF(OR(I1488="ILF",I1488="EIF"),IF(OR(X1488="估算法",X1488="算法类",X1488="无法识别"),"低",IF(M1488&lt;2,IF(N1488&lt;51,"低","中"),IF(M1488&lt;6,IF(N1488&lt;20,"低",IF(N1488&lt;51,"中","高")),IF(N1488&lt;20,"中","高")))),"不计算")))</f>
        <v/>
      </c>
      <c r="P1488" s="142">
        <f>IFERROR(IF(I1488="EI",IF(O1488="低",3,IF(O1488="中",4,6)),IF(I1488="EO",IF(O1488="低",4,IF(O1488="中",5,7)),IF(I1488="EQ",IF(O1488="低",3,IF(O1488="中",4,6)),IF(I1488="ILF",IF(O1488="低",7,IF(O1488="中",10,15)),IF(I1488="EIF",IF(O1488="低",5,IF(O1488="中",7,10)),"不计算")))))*Q1488,"不计算")</f>
        <v/>
      </c>
      <c r="Q1488" s="142" t="n">
        <v>1</v>
      </c>
      <c r="R1488" s="143">
        <f>调整因子!$F$13</f>
        <v/>
      </c>
      <c r="S1488" s="76" t="n">
        <v>1</v>
      </c>
      <c r="T1488" s="144">
        <f>IFERROR(P1488*R1488,0)</f>
        <v/>
      </c>
      <c r="U1488" s="145">
        <f>T1488*S1488</f>
        <v/>
      </c>
      <c r="V1488" s="96" t="inlineStr">
        <is>
          <t>资产同步任务表、资产扫描覆盖表</t>
        </is>
      </c>
      <c r="W1488" s="96" t="inlineStr"/>
      <c r="X1488" s="111" t="inlineStr">
        <is>
          <t>资产同步任务表{资产ID、资产名称、IP地址、资产类型、资产状态、创建时间、更新时间|资产ID、资产名称、IP地址}
资产扫描覆盖表{资产ID、资产名称、IP地址、资产类型、资产状态、创建时间、更新时间|资产ID、资产名称、IP地址}</t>
        </is>
      </c>
      <c r="Y1488" s="88" t="n"/>
      <c r="Z1488" s="88" t="n"/>
    </row>
    <row r="1489" hidden="1" ht="21.6" customHeight="1">
      <c r="A1489" s="69">
        <f>ROW()-1</f>
        <v/>
      </c>
      <c r="B1489" s="53" t="n"/>
      <c r="C1489" s="117" t="n">
        <v>2026</v>
      </c>
      <c r="E1489" s="53" t="n"/>
      <c r="F1489" s="53" t="n"/>
      <c r="G1489" s="111" t="inlineStr">
        <is>
          <t>资产创建更新接口管理</t>
        </is>
      </c>
      <c r="H1489" s="96" t="inlineStr">
        <is>
          <t>资产删除接口</t>
        </is>
      </c>
      <c r="I1489" s="76" t="inlineStr">
        <is>
          <t>EIF</t>
        </is>
      </c>
      <c r="J1489" s="108" t="n"/>
      <c r="K1489" s="108" t="inlineStr">
        <is>
          <t>此外部接口文件未被本系统所使用</t>
        </is>
      </c>
      <c r="L1489" s="83">
        <f>IF(OR(X1489="估算法",X1489="算法类",X1489="无法识别"),"",IF(V1489="",IF(OR(I1489="EI",I1489="EO",I1489="EQ"),0,""),LEN(V1489)-LEN(SUBSTITUTE(V1489,"、",""))+1))</f>
        <v/>
      </c>
      <c r="M1489" s="83">
        <f>IF(OR(X1489="估算法",X1489="算法类",X1489="无法识别"),"",IF(W1489="",IF(OR(I1489="ILF",I1489="EIF"),0,""),LEN(W1489)-LEN(SUBSTITUTE(W1489,"、",""))+1))</f>
        <v/>
      </c>
      <c r="N1489" s="83">
        <f>IF(OR(X1489="估算法",X1489="算法类",X1489="无法识别"),"",IF(X1489="",IF(OR(I1489="ILF",I1489="EIF",I1489="EI",I1489="EO",I1489="EQ"),0,""),LEN(X1489)-LEN(SUBSTITUTE(SUBSTITUTE(SUBSTITUTE(SUBSTITUTE(SUBSTITUTE(X1489,"|}","--"),"{|","--"),CHAR(10),""),"、",""),"|",""))+IF(AND(OR(I1489="EI",I1489="EO",I1489="EQ"),$AD$1="NESMA"),2,1)))</f>
        <v/>
      </c>
      <c r="O1489" s="84">
        <f>IF(I1489="EI",IF(OR(X1489="估算法",X1489="算法类"),"中",IF(X1489="无法识别","低",IF(L1489&lt;2,IF(N1489&lt;16,"低","中"),IF(L1489&lt;3,IF(N1489&lt;5,"低",IF(N1489&lt;16,"中","高")),IF(N1489&lt;5,"中","高"))))),IF(OR(I1489="EO",I1489="EQ"),IF(OR(X1489="估算法",X1489="算法类"),"中",IF(X1489="无法识别","低",IF(L1489&lt;2,IF(N1489&lt;20,"低","中"),IF(L1489&lt;4,IF(N1489&lt;6,"低",IF(N1489&lt;20,"中","高")),IF(N1489&lt;6,"中","高"))))),IF(OR(I1489="ILF",I1489="EIF"),IF(OR(X1489="估算法",X1489="算法类",X1489="无法识别"),"低",IF(M1489&lt;2,IF(N1489&lt;51,"低","中"),IF(M1489&lt;6,IF(N1489&lt;20,"低",IF(N1489&lt;51,"中","高")),IF(N1489&lt;20,"中","高")))),"不计算")))</f>
        <v/>
      </c>
      <c r="P1489" s="142">
        <f>IFERROR(IF(I1489="EI",IF(O1489="低",3,IF(O1489="中",4,6)),IF(I1489="EO",IF(O1489="低",4,IF(O1489="中",5,7)),IF(I1489="EQ",IF(O1489="低",3,IF(O1489="中",4,6)),IF(I1489="ILF",IF(O1489="低",7,IF(O1489="中",10,15)),IF(I1489="EIF",IF(O1489="低",5,IF(O1489="中",7,10)),"不计算")))))*Q1489,"不计算")</f>
        <v/>
      </c>
      <c r="Q1489" s="142" t="n">
        <v>0.333333333333333</v>
      </c>
      <c r="R1489" s="143">
        <f>调整因子!$F$13</f>
        <v/>
      </c>
      <c r="S1489" s="76" t="n">
        <v>1</v>
      </c>
      <c r="T1489" s="144">
        <f>IFERROR(P1489*R1489,0)</f>
        <v/>
      </c>
      <c r="U1489" s="145">
        <f>T1489*S1489</f>
        <v/>
      </c>
      <c r="V1489" s="96" t="inlineStr"/>
      <c r="W1489" s="96" t="inlineStr">
        <is>
          <t>接口数据</t>
        </is>
      </c>
      <c r="X1489" s="111" t="inlineStr">
        <is>
          <t>资产删除接口{资产ID、资产名称|资产ID、资产名称、IP地址、资产类型、资产状态、创建时间、更新时间}</t>
        </is>
      </c>
      <c r="Y1489" s="88">
        <f>IF(COUNTIFS(V:V,"*"&amp;H1489&amp;"*")&gt;0,"存在","不存在")</f>
        <v/>
      </c>
      <c r="Z1489" s="88">
        <f>IF(COUNTIFS(AA:AA,"*"&amp;H1489&amp;"*")&gt;0,"存在","不存在")</f>
        <v/>
      </c>
      <c r="AA1489" s="76" t="inlineStr">
        <is>
          <t>EIF</t>
        </is>
      </c>
    </row>
    <row r="1490" hidden="1" ht="21.6" customHeight="1">
      <c r="A1490" s="69">
        <f>ROW()-1</f>
        <v/>
      </c>
      <c r="B1490" s="53" t="n"/>
      <c r="C1490" s="117" t="n">
        <v>2026</v>
      </c>
      <c r="E1490" s="53" t="n"/>
      <c r="F1490" s="53" t="n"/>
      <c r="G1490" s="53" t="n"/>
      <c r="H1490" s="96" t="inlineStr">
        <is>
          <t>删除创建更新接口</t>
        </is>
      </c>
      <c r="I1490" s="76" t="inlineStr">
        <is>
          <t>EI</t>
        </is>
      </c>
      <c r="J1490" s="95" t="n"/>
      <c r="K1490" s="95" t="n"/>
      <c r="L1490" s="83">
        <f>IF(OR(X1490="估算法",X1490="算法类",X1490="无法识别"),"",IF(V1490="",IF(OR(I1490="EI",I1490="EO",I1490="EQ"),0,""),LEN(V1490)-LEN(SUBSTITUTE(V1490,"、",""))+1))</f>
        <v/>
      </c>
      <c r="M1490" s="83">
        <f>IF(OR(X1490="估算法",X1490="算法类",X1490="无法识别"),"",IF(W1490="",IF(OR(I1490="ILF",I1490="EIF"),0,""),LEN(W1490)-LEN(SUBSTITUTE(W1490,"、",""))+1))</f>
        <v/>
      </c>
      <c r="N1490" s="83">
        <f>IF(OR(X1490="估算法",X1490="算法类",X1490="无法识别"),"",IF(X1490="",IF(OR(I1490="ILF",I1490="EIF",I1490="EI",I1490="EO",I1490="EQ"),0,""),LEN(X1490)-LEN(SUBSTITUTE(SUBSTITUTE(SUBSTITUTE(SUBSTITUTE(SUBSTITUTE(X1490,"|}","--"),"{|","--"),CHAR(10),""),"、",""),"|",""))+IF(AND(OR(I1490="EI",I1490="EO",I1490="EQ"),$AD$1="NESMA"),2,1)))</f>
        <v/>
      </c>
      <c r="O1490" s="84">
        <f>IF(I1490="EI",IF(OR(X1490="估算法",X1490="算法类"),"中",IF(X1490="无法识别","低",IF(L1490&lt;2,IF(N1490&lt;16,"低","中"),IF(L1490&lt;3,IF(N1490&lt;5,"低",IF(N1490&lt;16,"中","高")),IF(N1490&lt;5,"中","高"))))),IF(OR(I1490="EO",I1490="EQ"),IF(OR(X1490="估算法",X1490="算法类"),"中",IF(X1490="无法识别","低",IF(L1490&lt;2,IF(N1490&lt;20,"低","中"),IF(L1490&lt;4,IF(N1490&lt;6,"低",IF(N1490&lt;20,"中","高")),IF(N1490&lt;6,"中","高"))))),IF(OR(I1490="ILF",I1490="EIF"),IF(OR(X1490="估算法",X1490="算法类",X1490="无法识别"),"低",IF(M1490&lt;2,IF(N1490&lt;51,"低","中"),IF(M1490&lt;6,IF(N1490&lt;20,"低",IF(N1490&lt;51,"中","高")),IF(N1490&lt;20,"中","高")))),"不计算")))</f>
        <v/>
      </c>
      <c r="P1490" s="142">
        <f>IFERROR(IF(I1490="EI",IF(O1490="低",3,IF(O1490="中",4,6)),IF(I1490="EO",IF(O1490="低",4,IF(O1490="中",5,7)),IF(I1490="EQ",IF(O1490="低",3,IF(O1490="中",4,6)),IF(I1490="ILF",IF(O1490="低",7,IF(O1490="中",10,15)),IF(I1490="EIF",IF(O1490="低",5,IF(O1490="中",7,10)),"不计算")))))*Q1490,"不计算")</f>
        <v/>
      </c>
      <c r="Q1490" s="142" t="n">
        <v>0.333333333333333</v>
      </c>
      <c r="R1490" s="143">
        <f>调整因子!$F$13</f>
        <v/>
      </c>
      <c r="S1490" s="70" t="n">
        <v>1</v>
      </c>
      <c r="T1490" s="144">
        <f>IFERROR(P1490*R1490,0)</f>
        <v/>
      </c>
      <c r="U1490" s="145">
        <f>T1490*S1490</f>
        <v/>
      </c>
      <c r="V1490" s="96" t="inlineStr">
        <is>
          <t>推送规则表</t>
        </is>
      </c>
      <c r="W1490" s="96" t="inlineStr"/>
      <c r="X1490" s="111" t="inlineStr">
        <is>
          <t>推送规则表{规则ID、规则名称、规则类型、规则条件、创建时间|规则ID、规则名称、规则类型}</t>
        </is>
      </c>
      <c r="Y1490" s="88" t="n"/>
      <c r="Z1490" s="88" t="n"/>
    </row>
    <row r="1491" hidden="1" ht="21.6" customHeight="1">
      <c r="A1491" s="69">
        <f>ROW()-1</f>
        <v/>
      </c>
      <c r="B1491" s="53" t="n"/>
      <c r="C1491" s="117" t="n">
        <v>2026</v>
      </c>
      <c r="E1491" s="53" t="n"/>
      <c r="F1491" s="53" t="n"/>
      <c r="G1491" s="53" t="n"/>
      <c r="H1491" s="96" t="inlineStr">
        <is>
          <t>启用创建更新接口</t>
        </is>
      </c>
      <c r="I1491" s="76" t="inlineStr">
        <is>
          <t>EI</t>
        </is>
      </c>
      <c r="J1491" s="95" t="n"/>
      <c r="K1491" s="95" t="n"/>
      <c r="L1491" s="83">
        <f>IF(OR(X1491="估算法",X1491="算法类",X1491="无法识别"),"",IF(V1491="",IF(OR(I1491="EI",I1491="EO",I1491="EQ"),0,""),LEN(V1491)-LEN(SUBSTITUTE(V1491,"、",""))+1))</f>
        <v/>
      </c>
      <c r="M1491" s="83">
        <f>IF(OR(X1491="估算法",X1491="算法类",X1491="无法识别"),"",IF(W1491="",IF(OR(I1491="ILF",I1491="EIF"),0,""),LEN(W1491)-LEN(SUBSTITUTE(W1491,"、",""))+1))</f>
        <v/>
      </c>
      <c r="N1491" s="83">
        <f>IF(OR(X1491="估算法",X1491="算法类",X1491="无法识别"),"",IF(X1491="",IF(OR(I1491="ILF",I1491="EIF",I1491="EI",I1491="EO",I1491="EQ"),0,""),LEN(X1491)-LEN(SUBSTITUTE(SUBSTITUTE(SUBSTITUTE(SUBSTITUTE(SUBSTITUTE(X1491,"|}","--"),"{|","--"),CHAR(10),""),"、",""),"|",""))+IF(AND(OR(I1491="EI",I1491="EO",I1491="EQ"),$AD$1="NESMA"),2,1)))</f>
        <v/>
      </c>
      <c r="O1491" s="84">
        <f>IF(I1491="EI",IF(OR(X1491="估算法",X1491="算法类"),"中",IF(X1491="无法识别","低",IF(L1491&lt;2,IF(N1491&lt;16,"低","中"),IF(L1491&lt;3,IF(N1491&lt;5,"低",IF(N1491&lt;16,"中","高")),IF(N1491&lt;5,"中","高"))))),IF(OR(I1491="EO",I1491="EQ"),IF(OR(X1491="估算法",X1491="算法类"),"中",IF(X1491="无法识别","低",IF(L1491&lt;2,IF(N1491&lt;20,"低","中"),IF(L1491&lt;4,IF(N1491&lt;6,"低",IF(N1491&lt;20,"中","高")),IF(N1491&lt;6,"中","高"))))),IF(OR(I1491="ILF",I1491="EIF"),IF(OR(X1491="估算法",X1491="算法类",X1491="无法识别"),"低",IF(M1491&lt;2,IF(N1491&lt;51,"低","中"),IF(M1491&lt;6,IF(N1491&lt;20,"低",IF(N1491&lt;51,"中","高")),IF(N1491&lt;20,"中","高")))),"不计算")))</f>
        <v/>
      </c>
      <c r="P1491" s="142">
        <f>IFERROR(IF(I1491="EI",IF(O1491="低",3,IF(O1491="中",4,6)),IF(I1491="EO",IF(O1491="低",4,IF(O1491="中",5,7)),IF(I1491="EQ",IF(O1491="低",3,IF(O1491="中",4,6)),IF(I1491="ILF",IF(O1491="低",7,IF(O1491="中",10,15)),IF(I1491="EIF",IF(O1491="低",5,IF(O1491="中",7,10)),"不计算")))))*Q1491,"不计算")</f>
        <v/>
      </c>
      <c r="Q1491" s="142" t="n">
        <v>1</v>
      </c>
      <c r="R1491" s="143">
        <f>调整因子!$F$13</f>
        <v/>
      </c>
      <c r="S1491" s="70" t="n">
        <v>1</v>
      </c>
      <c r="T1491" s="144">
        <f>IFERROR(P1491*R1491,0)</f>
        <v/>
      </c>
      <c r="U1491" s="145">
        <f>T1491*S1491</f>
        <v/>
      </c>
      <c r="V1491" s="96" t="inlineStr">
        <is>
          <t>处置单关联表、修复方案表</t>
        </is>
      </c>
      <c r="W1491" s="96" t="inlineStr"/>
      <c r="X1491" s="111" t="inlineStr">
        <is>
          <t>处置单关联表{ID、名称、类型、状态、创建时间、更新时间|ID、名称、类型}
修复方案表{ID、名称、类型、状态、创建时间、更新时间|ID、名称、类型}</t>
        </is>
      </c>
      <c r="Y1491" s="88" t="n"/>
      <c r="Z1491" s="88" t="n"/>
    </row>
    <row r="1492" hidden="1">
      <c r="A1492" s="69">
        <f>ROW()-1</f>
        <v/>
      </c>
      <c r="B1492" s="53" t="n"/>
      <c r="C1492" s="117" t="n">
        <v>2026</v>
      </c>
      <c r="E1492" s="53" t="n"/>
      <c r="F1492" s="53" t="n"/>
      <c r="G1492" s="53" t="n"/>
      <c r="H1492" s="96" t="inlineStr">
        <is>
          <t>停用创建更新接口</t>
        </is>
      </c>
      <c r="I1492" s="76" t="n"/>
      <c r="J1492" s="95" t="n"/>
      <c r="K1492" s="95" t="inlineStr">
        <is>
          <t>和上行合并，启停为相同功能</t>
        </is>
      </c>
      <c r="L1492" s="83">
        <f>IF(OR(X1492="估算法",X1492="算法类",X1492="无法识别"),"",IF(V1492="",IF(OR(I1492="EI",I1492="EO",I1492="EQ"),0,""),LEN(V1492)-LEN(SUBSTITUTE(V1492,"、",""))+1))</f>
        <v/>
      </c>
      <c r="M1492" s="83">
        <f>IF(OR(X1492="估算法",X1492="算法类",X1492="无法识别"),"",IF(W1492="",IF(OR(I1492="ILF",I1492="EIF"),0,""),LEN(W1492)-LEN(SUBSTITUTE(W1492,"、",""))+1))</f>
        <v/>
      </c>
      <c r="N1492" s="83">
        <f>IF(OR(X1492="估算法",X1492="算法类",X1492="无法识别"),"",IF(X1492="",IF(OR(I1492="ILF",I1492="EIF",I1492="EI",I1492="EO",I1492="EQ"),0,""),LEN(X1492)-LEN(SUBSTITUTE(SUBSTITUTE(SUBSTITUTE(SUBSTITUTE(SUBSTITUTE(X1492,"|}","--"),"{|","--"),CHAR(10),""),"、",""),"|",""))+IF(AND(OR(I1492="EI",I1492="EO",I1492="EQ"),$AD$1="NESMA"),2,1)))</f>
        <v/>
      </c>
      <c r="O1492" s="84">
        <f>IF(I1492="EI",IF(OR(X1492="估算法",X1492="算法类"),"中",IF(X1492="无法识别","低",IF(L1492&lt;2,IF(N1492&lt;16,"低","中"),IF(L1492&lt;3,IF(N1492&lt;5,"低",IF(N1492&lt;16,"中","高")),IF(N1492&lt;5,"中","高"))))),IF(OR(I1492="EO",I1492="EQ"),IF(OR(X1492="估算法",X1492="算法类"),"中",IF(X1492="无法识别","低",IF(L1492&lt;2,IF(N1492&lt;20,"低","中"),IF(L1492&lt;4,IF(N1492&lt;6,"低",IF(N1492&lt;20,"中","高")),IF(N1492&lt;6,"中","高"))))),IF(OR(I1492="ILF",I1492="EIF"),IF(OR(X1492="估算法",X1492="算法类",X1492="无法识别"),"低",IF(M1492&lt;2,IF(N1492&lt;51,"低","中"),IF(M1492&lt;6,IF(N1492&lt;20,"低",IF(N1492&lt;51,"中","高")),IF(N1492&lt;20,"中","高")))),"不计算")))</f>
        <v/>
      </c>
      <c r="P1492" s="142">
        <f>IFERROR(IF(I1492="EI",IF(O1492="低",3,IF(O1492="中",4,6)),IF(I1492="EO",IF(O1492="低",4,IF(O1492="中",5,7)),IF(I1492="EQ",IF(O1492="低",3,IF(O1492="中",4,6)),IF(I1492="ILF",IF(O1492="低",7,IF(O1492="中",10,15)),IF(I1492="EIF",IF(O1492="低",5,IF(O1492="中",7,10)),"不计算")))))*Q1492,"不计算")</f>
        <v/>
      </c>
      <c r="Q1492" s="142" t="n">
        <v>1</v>
      </c>
      <c r="R1492" s="143">
        <f>调整因子!$F$13</f>
        <v/>
      </c>
      <c r="S1492" s="76" t="n">
        <v>1</v>
      </c>
      <c r="T1492" s="144">
        <f>IFERROR(P1492*R1492,0)</f>
        <v/>
      </c>
      <c r="U1492" s="145">
        <f>T1492*S1492</f>
        <v/>
      </c>
      <c r="V1492" s="96" t="inlineStr">
        <is>
          <t>调用统计表</t>
        </is>
      </c>
      <c r="W1492" s="96" t="inlineStr"/>
      <c r="X1492" s="111" t="inlineStr">
        <is>
          <t>调用统计表{ID、名称、类型、状态、创建时间、更新时间|ID、名称、类型}</t>
        </is>
      </c>
      <c r="Y1492" s="88" t="n"/>
      <c r="Z1492" s="88" t="n"/>
    </row>
    <row r="1493" hidden="1" ht="43.2" customHeight="1">
      <c r="A1493" s="69">
        <f>ROW()-1</f>
        <v/>
      </c>
      <c r="B1493" s="53" t="n"/>
      <c r="C1493" s="117" t="n">
        <v>2026</v>
      </c>
      <c r="E1493" s="53" t="n"/>
      <c r="F1493" s="53" t="n"/>
      <c r="G1493" s="53" t="n"/>
      <c r="H1493" s="96" t="inlineStr">
        <is>
          <t>删除资产数据</t>
        </is>
      </c>
      <c r="I1493" s="76" t="inlineStr">
        <is>
          <t>EI</t>
        </is>
      </c>
      <c r="J1493" s="95" t="n"/>
      <c r="K1493" s="95" t="n"/>
      <c r="L1493" s="83">
        <f>IF(OR(X1493="估算法",X1493="算法类",X1493="无法识别"),"",IF(V1493="",IF(OR(I1493="EI",I1493="EO",I1493="EQ"),0,""),LEN(V1493)-LEN(SUBSTITUTE(V1493,"、",""))+1))</f>
        <v/>
      </c>
      <c r="M1493" s="83">
        <f>IF(OR(X1493="估算法",X1493="算法类",X1493="无法识别"),"",IF(W1493="",IF(OR(I1493="ILF",I1493="EIF"),0,""),LEN(W1493)-LEN(SUBSTITUTE(W1493,"、",""))+1))</f>
        <v/>
      </c>
      <c r="N1493" s="83">
        <f>IF(OR(X1493="估算法",X1493="算法类",X1493="无法识别"),"",IF(X1493="",IF(OR(I1493="ILF",I1493="EIF",I1493="EI",I1493="EO",I1493="EQ"),0,""),LEN(X1493)-LEN(SUBSTITUTE(SUBSTITUTE(SUBSTITUTE(SUBSTITUTE(SUBSTITUTE(X1493,"|}","--"),"{|","--"),CHAR(10),""),"、",""),"|",""))+IF(AND(OR(I1493="EI",I1493="EO",I1493="EQ"),$AD$1="NESMA"),2,1)))</f>
        <v/>
      </c>
      <c r="O1493" s="84">
        <f>IF(I1493="EI",IF(OR(X1493="估算法",X1493="算法类"),"中",IF(X1493="无法识别","低",IF(L1493&lt;2,IF(N1493&lt;16,"低","中"),IF(L1493&lt;3,IF(N1493&lt;5,"低",IF(N1493&lt;16,"中","高")),IF(N1493&lt;5,"中","高"))))),IF(OR(I1493="EO",I1493="EQ"),IF(OR(X1493="估算法",X1493="算法类"),"中",IF(X1493="无法识别","低",IF(L1493&lt;2,IF(N1493&lt;20,"低","中"),IF(L1493&lt;4,IF(N1493&lt;6,"低",IF(N1493&lt;20,"中","高")),IF(N1493&lt;6,"中","高"))))),IF(OR(I1493="ILF",I1493="EIF"),IF(OR(X1493="估算法",X1493="算法类",X1493="无法识别"),"低",IF(M1493&lt;2,IF(N1493&lt;51,"低","中"),IF(M1493&lt;6,IF(N1493&lt;20,"低",IF(N1493&lt;51,"中","高")),IF(N1493&lt;20,"中","高")))),"不计算")))</f>
        <v/>
      </c>
      <c r="P1493" s="142">
        <f>IFERROR(IF(I1493="EI",IF(O1493="低",3,IF(O1493="中",4,6)),IF(I1493="EO",IF(O1493="低",4,IF(O1493="中",5,7)),IF(I1493="EQ",IF(O1493="低",3,IF(O1493="中",4,6)),IF(I1493="ILF",IF(O1493="低",7,IF(O1493="中",10,15)),IF(I1493="EIF",IF(O1493="低",5,IF(O1493="中",7,10)),"不计算")))))*Q1493,"不计算")</f>
        <v/>
      </c>
      <c r="Q1493" s="142" t="n">
        <v>0.333333333333333</v>
      </c>
      <c r="R1493" s="143">
        <f>调整因子!$F$13</f>
        <v/>
      </c>
      <c r="S1493" s="70" t="n">
        <v>1</v>
      </c>
      <c r="T1493" s="144">
        <f>IFERROR(P1493*R1493,0)</f>
        <v/>
      </c>
      <c r="U1493" s="145">
        <f>T1493*S1493</f>
        <v/>
      </c>
      <c r="V1493" s="96" t="inlineStr">
        <is>
          <t>资产同步任务表、资产扫描覆盖表</t>
        </is>
      </c>
      <c r="W1493" s="96" t="inlineStr"/>
      <c r="X1493" s="111" t="inlineStr">
        <is>
          <t>资产同步任务表{资产ID、资产名称、IP地址、资产类型、资产状态、创建时间、更新时间|资产ID、资产名称、IP地址}
资产扫描覆盖表{资产ID、资产名称、IP地址、资产类型、资产状态、创建时间、更新时间|资产ID、资产名称、IP地址}</t>
        </is>
      </c>
      <c r="Y1493" s="88" t="n"/>
      <c r="Z1493" s="88" t="n"/>
    </row>
    <row r="1494" hidden="1" ht="32.4" customHeight="1">
      <c r="A1494" s="69">
        <f>ROW()-1</f>
        <v/>
      </c>
      <c r="B1494" s="53" t="n"/>
      <c r="C1494" s="117" t="n">
        <v>2026</v>
      </c>
      <c r="E1494" s="53" t="n"/>
      <c r="F1494" s="53" t="n"/>
      <c r="G1494" s="53" t="n"/>
      <c r="H1494" s="96" t="inlineStr">
        <is>
          <t>推送操作通知</t>
        </is>
      </c>
      <c r="I1494" s="76" t="inlineStr">
        <is>
          <t>EO</t>
        </is>
      </c>
      <c r="J1494" s="95" t="n"/>
      <c r="K1494" s="95" t="n"/>
      <c r="L1494" s="83">
        <f>IF(OR(X1494="估算法",X1494="算法类",X1494="无法识别"),"",IF(V1494="",IF(OR(I1494="EI",I1494="EO",I1494="EQ"),0,""),LEN(V1494)-LEN(SUBSTITUTE(V1494,"、",""))+1))</f>
        <v/>
      </c>
      <c r="M1494" s="83">
        <f>IF(OR(X1494="估算法",X1494="算法类",X1494="无法识别"),"",IF(W1494="",IF(OR(I1494="ILF",I1494="EIF"),0,""),LEN(W1494)-LEN(SUBSTITUTE(W1494,"、",""))+1))</f>
        <v/>
      </c>
      <c r="N1494" s="83">
        <f>IF(OR(X1494="估算法",X1494="算法类",X1494="无法识别"),"",IF(X1494="",IF(OR(I1494="ILF",I1494="EIF",I1494="EI",I1494="EO",I1494="EQ"),0,""),LEN(X1494)-LEN(SUBSTITUTE(SUBSTITUTE(SUBSTITUTE(SUBSTITUTE(SUBSTITUTE(X1494,"|}","--"),"{|","--"),CHAR(10),""),"、",""),"|",""))+IF(AND(OR(I1494="EI",I1494="EO",I1494="EQ"),$AD$1="NESMA"),2,1)))</f>
        <v/>
      </c>
      <c r="O1494" s="84">
        <f>IF(I1494="EI",IF(OR(X1494="估算法",X1494="算法类"),"中",IF(X1494="无法识别","低",IF(L1494&lt;2,IF(N1494&lt;16,"低","中"),IF(L1494&lt;3,IF(N1494&lt;5,"低",IF(N1494&lt;16,"中","高")),IF(N1494&lt;5,"中","高"))))),IF(OR(I1494="EO",I1494="EQ"),IF(OR(X1494="估算法",X1494="算法类"),"中",IF(X1494="无法识别","低",IF(L1494&lt;2,IF(N1494&lt;20,"低","中"),IF(L1494&lt;4,IF(N1494&lt;6,"低",IF(N1494&lt;20,"中","高")),IF(N1494&lt;6,"中","高"))))),IF(OR(I1494="ILF",I1494="EIF"),IF(OR(X1494="估算法",X1494="算法类",X1494="无法识别"),"低",IF(M1494&lt;2,IF(N1494&lt;51,"低","中"),IF(M1494&lt;6,IF(N1494&lt;20,"低",IF(N1494&lt;51,"中","高")),IF(N1494&lt;20,"中","高")))),"不计算")))</f>
        <v/>
      </c>
      <c r="P1494" s="142">
        <f>IFERROR(IF(I1494="EI",IF(O1494="低",3,IF(O1494="中",4,6)),IF(I1494="EO",IF(O1494="低",4,IF(O1494="中",5,7)),IF(I1494="EQ",IF(O1494="低",3,IF(O1494="中",4,6)),IF(I1494="ILF",IF(O1494="低",7,IF(O1494="中",10,15)),IF(I1494="EIF",IF(O1494="低",5,IF(O1494="中",7,10)),"不计算")))))*Q1494,"不计算")</f>
        <v/>
      </c>
      <c r="Q1494" s="142" t="n">
        <v>1</v>
      </c>
      <c r="R1494" s="143">
        <f>调整因子!$F$13</f>
        <v/>
      </c>
      <c r="S1494" s="70" t="n">
        <v>1</v>
      </c>
      <c r="T1494" s="144">
        <f>IFERROR(P1494*R1494,0)</f>
        <v/>
      </c>
      <c r="U1494" s="145">
        <f>T1494*S1494</f>
        <v/>
      </c>
      <c r="V1494" s="96" t="inlineStr">
        <is>
          <t>报告导入记录表、漏洞查询接口配置表</t>
        </is>
      </c>
      <c r="W1494" s="96" t="inlineStr"/>
      <c r="X1494" s="111" t="inlineStr">
        <is>
          <t>报告导入记录表{ID、名称|ID、名称、类型、状态、创建时间、更新时间}
漏洞查询接口配置表{漏洞ID、漏洞名称|漏洞ID、漏洞名称、漏洞等级、漏洞类型、CVE编号、发现时间、修复状态}</t>
        </is>
      </c>
      <c r="Y1494" s="88" t="n"/>
      <c r="Z1494" s="88" t="n"/>
    </row>
    <row r="1495" hidden="1" ht="32.4" customHeight="1">
      <c r="A1495" s="69">
        <f>ROW()-1</f>
        <v/>
      </c>
      <c r="B1495" s="53" t="n"/>
      <c r="C1495" s="117" t="n">
        <v>2026</v>
      </c>
      <c r="E1495" s="53" t="n"/>
      <c r="F1495" s="53" t="n"/>
      <c r="G1495" s="53" t="n"/>
      <c r="H1495" s="96" t="inlineStr">
        <is>
          <t>查询接口状态</t>
        </is>
      </c>
      <c r="I1495" s="76" t="inlineStr">
        <is>
          <t>EQ</t>
        </is>
      </c>
      <c r="J1495" s="95" t="n"/>
      <c r="K1495" s="95" t="n"/>
      <c r="L1495" s="83">
        <f>IF(OR(X1495="估算法",X1495="算法类",X1495="无法识别"),"",IF(V1495="",IF(OR(I1495="EI",I1495="EO",I1495="EQ"),0,""),LEN(V1495)-LEN(SUBSTITUTE(V1495,"、",""))+1))</f>
        <v/>
      </c>
      <c r="M1495" s="83">
        <f>IF(OR(X1495="估算法",X1495="算法类",X1495="无法识别"),"",IF(W1495="",IF(OR(I1495="ILF",I1495="EIF"),0,""),LEN(W1495)-LEN(SUBSTITUTE(W1495,"、",""))+1))</f>
        <v/>
      </c>
      <c r="N1495" s="83">
        <f>IF(OR(X1495="估算法",X1495="算法类",X1495="无法识别"),"",IF(X1495="",IF(OR(I1495="ILF",I1495="EIF",I1495="EI",I1495="EO",I1495="EQ"),0,""),LEN(X1495)-LEN(SUBSTITUTE(SUBSTITUTE(SUBSTITUTE(SUBSTITUTE(SUBSTITUTE(X1495,"|}","--"),"{|","--"),CHAR(10),""),"、",""),"|",""))+IF(AND(OR(I1495="EI",I1495="EO",I1495="EQ"),$AD$1="NESMA"),2,1)))</f>
        <v/>
      </c>
      <c r="O1495" s="84">
        <f>IF(I1495="EI",IF(OR(X1495="估算法",X1495="算法类"),"中",IF(X1495="无法识别","低",IF(L1495&lt;2,IF(N1495&lt;16,"低","中"),IF(L1495&lt;3,IF(N1495&lt;5,"低",IF(N1495&lt;16,"中","高")),IF(N1495&lt;5,"中","高"))))),IF(OR(I1495="EO",I1495="EQ"),IF(OR(X1495="估算法",X1495="算法类"),"中",IF(X1495="无法识别","低",IF(L1495&lt;2,IF(N1495&lt;20,"低","中"),IF(L1495&lt;4,IF(N1495&lt;6,"低",IF(N1495&lt;20,"中","高")),IF(N1495&lt;6,"中","高"))))),IF(OR(I1495="ILF",I1495="EIF"),IF(OR(X1495="估算法",X1495="算法类",X1495="无法识别"),"低",IF(M1495&lt;2,IF(N1495&lt;51,"低","中"),IF(M1495&lt;6,IF(N1495&lt;20,"低",IF(N1495&lt;51,"中","高")),IF(N1495&lt;20,"中","高")))),"不计算")))</f>
        <v/>
      </c>
      <c r="P1495" s="142">
        <f>IFERROR(IF(I1495="EI",IF(O1495="低",3,IF(O1495="中",4,6)),IF(I1495="EO",IF(O1495="低",4,IF(O1495="中",5,7)),IF(I1495="EQ",IF(O1495="低",3,IF(O1495="中",4,6)),IF(I1495="ILF",IF(O1495="低",7,IF(O1495="中",10,15)),IF(I1495="EIF",IF(O1495="低",5,IF(O1495="中",7,10)),"不计算")))))*Q1495,"不计算")</f>
        <v/>
      </c>
      <c r="Q1495" s="142" t="n">
        <v>1</v>
      </c>
      <c r="R1495" s="143">
        <f>调整因子!$F$13</f>
        <v/>
      </c>
      <c r="S1495" s="76" t="n">
        <v>1</v>
      </c>
      <c r="T1495" s="144">
        <f>IFERROR(P1495*R1495,0)</f>
        <v/>
      </c>
      <c r="U1495" s="145">
        <f>T1495*S1495</f>
        <v/>
      </c>
      <c r="V1495" s="96" t="inlineStr">
        <is>
          <t>日志采集配置表、审计日志表</t>
        </is>
      </c>
      <c r="W1495" s="96" t="inlineStr"/>
      <c r="X1495" s="111" t="inlineStr">
        <is>
          <t>日志采集配置表{配置ID、配置名称|配置ID、配置名称、配置类型、配置值、创建时间}
审计日志表{日志ID、操作人|日志ID、操作人、操作类型、操作时间、操作内容}</t>
        </is>
      </c>
      <c r="Y1495" s="88" t="n"/>
      <c r="Z1495" s="88" t="n"/>
    </row>
    <row r="1496" hidden="1" ht="32.4" customHeight="1">
      <c r="A1496" s="69">
        <f>ROW()-1</f>
        <v/>
      </c>
      <c r="B1496" s="53" t="n"/>
      <c r="C1496" s="117" t="n">
        <v>2026</v>
      </c>
      <c r="E1496" s="53" t="n"/>
      <c r="F1496" s="54" t="n"/>
      <c r="G1496" s="54" t="n"/>
      <c r="H1496" s="96" t="inlineStr">
        <is>
          <t>查看接口详情</t>
        </is>
      </c>
      <c r="I1496" s="76" t="n"/>
      <c r="J1496" s="95" t="n"/>
      <c r="K1496" s="95" t="inlineStr">
        <is>
          <t>重复功能</t>
        </is>
      </c>
      <c r="L1496" s="83">
        <f>IF(OR(X1496="估算法",X1496="算法类",X1496="无法识别"),"",IF(V1496="",IF(OR(I1496="EI",I1496="EO",I1496="EQ"),0,""),LEN(V1496)-LEN(SUBSTITUTE(V1496,"、",""))+1))</f>
        <v/>
      </c>
      <c r="M1496" s="83">
        <f>IF(OR(X1496="估算法",X1496="算法类",X1496="无法识别"),"",IF(W1496="",IF(OR(I1496="ILF",I1496="EIF"),0,""),LEN(W1496)-LEN(SUBSTITUTE(W1496,"、",""))+1))</f>
        <v/>
      </c>
      <c r="N1496" s="83">
        <f>IF(OR(X1496="估算法",X1496="算法类",X1496="无法识别"),"",IF(X1496="",IF(OR(I1496="ILF",I1496="EIF",I1496="EI",I1496="EO",I1496="EQ"),0,""),LEN(X1496)-LEN(SUBSTITUTE(SUBSTITUTE(SUBSTITUTE(SUBSTITUTE(SUBSTITUTE(X1496,"|}","--"),"{|","--"),CHAR(10),""),"、",""),"|",""))+IF(AND(OR(I1496="EI",I1496="EO",I1496="EQ"),$AD$1="NESMA"),2,1)))</f>
        <v/>
      </c>
      <c r="O1496" s="84">
        <f>IF(I1496="EI",IF(OR(X1496="估算法",X1496="算法类"),"中",IF(X1496="无法识别","低",IF(L1496&lt;2,IF(N1496&lt;16,"低","中"),IF(L1496&lt;3,IF(N1496&lt;5,"低",IF(N1496&lt;16,"中","高")),IF(N1496&lt;5,"中","高"))))),IF(OR(I1496="EO",I1496="EQ"),IF(OR(X1496="估算法",X1496="算法类"),"中",IF(X1496="无法识别","低",IF(L1496&lt;2,IF(N1496&lt;20,"低","中"),IF(L1496&lt;4,IF(N1496&lt;6,"低",IF(N1496&lt;20,"中","高")),IF(N1496&lt;6,"中","高"))))),IF(OR(I1496="ILF",I1496="EIF"),IF(OR(X1496="估算法",X1496="算法类",X1496="无法识别"),"低",IF(M1496&lt;2,IF(N1496&lt;51,"低","中"),IF(M1496&lt;6,IF(N1496&lt;20,"低",IF(N1496&lt;51,"中","高")),IF(N1496&lt;20,"中","高")))),"不计算")))</f>
        <v/>
      </c>
      <c r="P1496" s="142">
        <f>IFERROR(IF(I1496="EI",IF(O1496="低",3,IF(O1496="中",4,6)),IF(I1496="EO",IF(O1496="低",4,IF(O1496="中",5,7)),IF(I1496="EQ",IF(O1496="低",3,IF(O1496="中",4,6)),IF(I1496="ILF",IF(O1496="低",7,IF(O1496="中",10,15)),IF(I1496="EIF",IF(O1496="低",5,IF(O1496="中",7,10)),"不计算")))))*Q1496,"不计算")</f>
        <v/>
      </c>
      <c r="Q1496" s="142" t="n">
        <v>1</v>
      </c>
      <c r="R1496" s="143">
        <f>调整因子!$F$13</f>
        <v/>
      </c>
      <c r="S1496" s="76" t="n">
        <v>1</v>
      </c>
      <c r="T1496" s="144">
        <f>IFERROR(P1496*R1496,0)</f>
        <v/>
      </c>
      <c r="U1496" s="145">
        <f>T1496*S1496</f>
        <v/>
      </c>
      <c r="V1496" s="96" t="inlineStr">
        <is>
          <t>指标阈值表、离线扫描报告表</t>
        </is>
      </c>
      <c r="W1496" s="96" t="inlineStr"/>
      <c r="X1496" s="111" t="inlineStr">
        <is>
          <t>指标阈值表{ID、名称|ID、名称、类型、状态、创建时间、更新时间}
离线扫描报告表{任务ID、任务名称|任务ID、任务名称、任务状态、扫描器类型、开始时间、结束时间、扫描结果}</t>
        </is>
      </c>
      <c r="Y1496" s="88" t="n"/>
      <c r="Z1496" s="88" t="n"/>
    </row>
    <row r="1497" hidden="1" ht="21.6" customHeight="1">
      <c r="A1497" s="69">
        <f>ROW()-1</f>
        <v/>
      </c>
      <c r="B1497" s="53" t="n"/>
      <c r="C1497" s="117" t="n">
        <v>2026</v>
      </c>
      <c r="E1497" s="53" t="n"/>
      <c r="F1497" s="111" t="inlineStr">
        <is>
          <t>多扫描器结果合并引擎</t>
        </is>
      </c>
      <c r="G1497" s="111" t="inlineStr">
        <is>
          <t>扫描任务接口管理</t>
        </is>
      </c>
      <c r="H1497" s="96" t="inlineStr">
        <is>
          <t>扫描任务接口配置表</t>
        </is>
      </c>
      <c r="I1497" s="76" t="inlineStr">
        <is>
          <t>ILF</t>
        </is>
      </c>
      <c r="J1497" s="95" t="n"/>
      <c r="K1497" s="95" t="n"/>
      <c r="L1497" s="83">
        <f>IF(OR(X1497="估算法",X1497="算法类",X1497="无法识别"),"",IF(V1497="",IF(OR(I1497="EI",I1497="EO",I1497="EQ"),0,""),LEN(V1497)-LEN(SUBSTITUTE(V1497,"、",""))+1))</f>
        <v/>
      </c>
      <c r="M1497" s="83">
        <f>IF(OR(X1497="估算法",X1497="算法类",X1497="无法识别"),"",IF(W1497="",IF(OR(I1497="ILF",I1497="EIF"),0,""),LEN(W1497)-LEN(SUBSTITUTE(W1497,"、",""))+1))</f>
        <v/>
      </c>
      <c r="N1497" s="83">
        <f>IF(OR(X1497="估算法",X1497="算法类",X1497="无法识别"),"",IF(X1497="",IF(OR(I1497="ILF",I1497="EIF",I1497="EI",I1497="EO",I1497="EQ"),0,""),LEN(X1497)-LEN(SUBSTITUTE(SUBSTITUTE(SUBSTITUTE(SUBSTITUTE(SUBSTITUTE(X1497,"|}","--"),"{|","--"),CHAR(10),""),"、",""),"|",""))+IF(AND(OR(I1497="EI",I1497="EO",I1497="EQ"),$AD$1="NESMA"),2,1)))</f>
        <v/>
      </c>
      <c r="O1497" s="84">
        <f>IF(I1497="EI",IF(OR(X1497="估算法",X1497="算法类"),"中",IF(X1497="无法识别","低",IF(L1497&lt;2,IF(N1497&lt;16,"低","中"),IF(L1497&lt;3,IF(N1497&lt;5,"低",IF(N1497&lt;16,"中","高")),IF(N1497&lt;5,"中","高"))))),IF(OR(I1497="EO",I1497="EQ"),IF(OR(X1497="估算法",X1497="算法类"),"中",IF(X1497="无法识别","低",IF(L1497&lt;2,IF(N1497&lt;20,"低","中"),IF(L1497&lt;4,IF(N1497&lt;6,"低",IF(N1497&lt;20,"中","高")),IF(N1497&lt;6,"中","高"))))),IF(OR(I1497="ILF",I1497="EIF"),IF(OR(X1497="估算法",X1497="算法类",X1497="无法识别"),"低",IF(M1497&lt;2,IF(N1497&lt;51,"低","中"),IF(M1497&lt;6,IF(N1497&lt;20,"低",IF(N1497&lt;51,"中","高")),IF(N1497&lt;20,"中","高")))),"不计算")))</f>
        <v/>
      </c>
      <c r="P1497" s="142">
        <f>IFERROR(IF(I1497="EI",IF(O1497="低",3,IF(O1497="中",4,6)),IF(I1497="EO",IF(O1497="低",4,IF(O1497="中",5,7)),IF(I1497="EQ",IF(O1497="低",3,IF(O1497="中",4,6)),IF(I1497="ILF",IF(O1497="低",7,IF(O1497="中",10,15)),IF(I1497="EIF",IF(O1497="低",5,IF(O1497="中",7,10)),"不计算")))))*Q1497,"不计算")</f>
        <v/>
      </c>
      <c r="Q1497" s="142" t="n">
        <v>1</v>
      </c>
      <c r="R1497" s="143">
        <f>调整因子!$F$13</f>
        <v/>
      </c>
      <c r="S1497" s="70" t="n">
        <v>1</v>
      </c>
      <c r="T1497" s="144">
        <f>IFERROR(P1497*R1497,0)</f>
        <v/>
      </c>
      <c r="U1497" s="145">
        <f>T1497*S1497</f>
        <v/>
      </c>
      <c r="V1497" s="96" t="inlineStr"/>
      <c r="W1497" s="96" t="inlineStr">
        <is>
          <t>扫描任务</t>
        </is>
      </c>
      <c r="X1497" s="111" t="inlineStr">
        <is>
          <t>扫描任务接口配置表{任务ID、任务名称、任务状态|任务ID、任务名称、任务状态、扫描器类型、开始时间、结束时间、扫描结果}</t>
        </is>
      </c>
      <c r="Y1497" s="88">
        <f>IF(COUNTIFS(V:V,"*"&amp;H1497&amp;"*")&gt;0,"存在","不存在")</f>
        <v/>
      </c>
      <c r="Z1497" s="88">
        <f>IF(COUNTIFS(AA:AA,"*"&amp;H1497&amp;"*")&gt;0,"存在","不存在")</f>
        <v/>
      </c>
    </row>
    <row r="1498" hidden="1" ht="21.6" customHeight="1">
      <c r="A1498" s="69">
        <f>ROW()-1</f>
        <v/>
      </c>
      <c r="B1498" s="53" t="n"/>
      <c r="C1498" s="117" t="n">
        <v>2026</v>
      </c>
      <c r="E1498" s="53" t="n"/>
      <c r="F1498" s="53" t="n"/>
      <c r="G1498" s="53" t="n"/>
      <c r="H1498" s="96" t="inlineStr">
        <is>
          <t>接口参数表</t>
        </is>
      </c>
      <c r="I1498" s="76" t="inlineStr">
        <is>
          <t>ILF</t>
        </is>
      </c>
      <c r="J1498" s="95" t="n"/>
      <c r="K1498" s="95" t="n"/>
      <c r="L1498" s="83">
        <f>IF(OR(X1498="估算法",X1498="算法类",X1498="无法识别"),"",IF(V1498="",IF(OR(I1498="EI",I1498="EO",I1498="EQ"),0,""),LEN(V1498)-LEN(SUBSTITUTE(V1498,"、",""))+1))</f>
        <v/>
      </c>
      <c r="M1498" s="83">
        <f>IF(OR(X1498="估算法",X1498="算法类",X1498="无法识别"),"",IF(W1498="",IF(OR(I1498="ILF",I1498="EIF"),0,""),LEN(W1498)-LEN(SUBSTITUTE(W1498,"、",""))+1))</f>
        <v/>
      </c>
      <c r="N1498" s="83">
        <f>IF(OR(X1498="估算法",X1498="算法类",X1498="无法识别"),"",IF(X1498="",IF(OR(I1498="ILF",I1498="EIF",I1498="EI",I1498="EO",I1498="EQ"),0,""),LEN(X1498)-LEN(SUBSTITUTE(SUBSTITUTE(SUBSTITUTE(SUBSTITUTE(SUBSTITUTE(X1498,"|}","--"),"{|","--"),CHAR(10),""),"、",""),"|",""))+IF(AND(OR(I1498="EI",I1498="EO",I1498="EQ"),$AD$1="NESMA"),2,1)))</f>
        <v/>
      </c>
      <c r="O1498" s="84">
        <f>IF(I1498="EI",IF(OR(X1498="估算法",X1498="算法类"),"中",IF(X1498="无法识别","低",IF(L1498&lt;2,IF(N1498&lt;16,"低","中"),IF(L1498&lt;3,IF(N1498&lt;5,"低",IF(N1498&lt;16,"中","高")),IF(N1498&lt;5,"中","高"))))),IF(OR(I1498="EO",I1498="EQ"),IF(OR(X1498="估算法",X1498="算法类"),"中",IF(X1498="无法识别","低",IF(L1498&lt;2,IF(N1498&lt;20,"低","中"),IF(L1498&lt;4,IF(N1498&lt;6,"低",IF(N1498&lt;20,"中","高")),IF(N1498&lt;6,"中","高"))))),IF(OR(I1498="ILF",I1498="EIF"),IF(OR(X1498="估算法",X1498="算法类",X1498="无法识别"),"低",IF(M1498&lt;2,IF(N1498&lt;51,"低","中"),IF(M1498&lt;6,IF(N1498&lt;20,"低",IF(N1498&lt;51,"中","高")),IF(N1498&lt;20,"中","高")))),"不计算")))</f>
        <v/>
      </c>
      <c r="P1498" s="142">
        <f>IFERROR(IF(I1498="EI",IF(O1498="低",3,IF(O1498="中",4,6)),IF(I1498="EO",IF(O1498="低",4,IF(O1498="中",5,7)),IF(I1498="EQ",IF(O1498="低",3,IF(O1498="中",4,6)),IF(I1498="ILF",IF(O1498="低",7,IF(O1498="中",10,15)),IF(I1498="EIF",IF(O1498="低",5,IF(O1498="中",7,10)),"不计算")))))*Q1498,"不计算")</f>
        <v/>
      </c>
      <c r="Q1498" s="142" t="n">
        <v>1</v>
      </c>
      <c r="R1498" s="143">
        <f>调整因子!$F$13</f>
        <v/>
      </c>
      <c r="S1498" s="70" t="n">
        <v>1</v>
      </c>
      <c r="T1498" s="144">
        <f>IFERROR(P1498*R1498,0)</f>
        <v/>
      </c>
      <c r="U1498" s="145">
        <f>T1498*S1498</f>
        <v/>
      </c>
      <c r="V1498" s="96" t="inlineStr"/>
      <c r="W1498" s="96" t="inlineStr">
        <is>
          <t>数据记录</t>
        </is>
      </c>
      <c r="X1498" s="111" t="inlineStr">
        <is>
          <t>接口参数表{接口ID、接口名称、接口类型|接口ID、接口名称、接口类型、接口地址、调用时间}</t>
        </is>
      </c>
      <c r="Y1498" s="88">
        <f>IF(COUNTIFS(V:V,"*"&amp;H1498&amp;"*")&gt;0,"存在","不存在")</f>
        <v/>
      </c>
      <c r="Z1498" s="88">
        <f>IF(COUNTIFS(AA:AA,"*"&amp;H1498&amp;"*")&gt;0,"存在","不存在")</f>
        <v/>
      </c>
    </row>
    <row r="1499" hidden="1" ht="43.2" customHeight="1">
      <c r="A1499" s="69">
        <f>ROW()-1</f>
        <v/>
      </c>
      <c r="B1499" s="53" t="n"/>
      <c r="C1499" s="117" t="n">
        <v>2026</v>
      </c>
      <c r="E1499" s="53" t="n"/>
      <c r="F1499" s="53" t="n"/>
      <c r="G1499" s="53" t="n"/>
      <c r="H1499" s="96" t="inlineStr">
        <is>
          <t>编辑扫描任务接口</t>
        </is>
      </c>
      <c r="I1499" s="76" t="inlineStr">
        <is>
          <t>EI</t>
        </is>
      </c>
      <c r="J1499" s="95" t="n"/>
      <c r="K1499" s="95" t="n"/>
      <c r="L1499" s="83">
        <f>IF(OR(X1499="估算法",X1499="算法类",X1499="无法识别"),"",IF(V1499="",IF(OR(I1499="EI",I1499="EO",I1499="EQ"),0,""),LEN(V1499)-LEN(SUBSTITUTE(V1499,"、",""))+1))</f>
        <v/>
      </c>
      <c r="M1499" s="83">
        <f>IF(OR(X1499="估算法",X1499="算法类",X1499="无法识别"),"",IF(W1499="",IF(OR(I1499="ILF",I1499="EIF"),0,""),LEN(W1499)-LEN(SUBSTITUTE(W1499,"、",""))+1))</f>
        <v/>
      </c>
      <c r="N1499" s="83">
        <f>IF(OR(X1499="估算法",X1499="算法类",X1499="无法识别"),"",IF(X1499="",IF(OR(I1499="ILF",I1499="EIF",I1499="EI",I1499="EO",I1499="EQ"),0,""),LEN(X1499)-LEN(SUBSTITUTE(SUBSTITUTE(SUBSTITUTE(SUBSTITUTE(SUBSTITUTE(X1499,"|}","--"),"{|","--"),CHAR(10),""),"、",""),"|",""))+IF(AND(OR(I1499="EI",I1499="EO",I1499="EQ"),$AD$1="NESMA"),2,1)))</f>
        <v/>
      </c>
      <c r="O1499" s="84">
        <f>IF(I1499="EI",IF(OR(X1499="估算法",X1499="算法类"),"中",IF(X1499="无法识别","低",IF(L1499&lt;2,IF(N1499&lt;16,"低","中"),IF(L1499&lt;3,IF(N1499&lt;5,"低",IF(N1499&lt;16,"中","高")),IF(N1499&lt;5,"中","高"))))),IF(OR(I1499="EO",I1499="EQ"),IF(OR(X1499="估算法",X1499="算法类"),"中",IF(X1499="无法识别","低",IF(L1499&lt;2,IF(N1499&lt;20,"低","中"),IF(L1499&lt;4,IF(N1499&lt;6,"低",IF(N1499&lt;20,"中","高")),IF(N1499&lt;6,"中","高"))))),IF(OR(I1499="ILF",I1499="EIF"),IF(OR(X1499="估算法",X1499="算法类",X1499="无法识别"),"低",IF(M1499&lt;2,IF(N1499&lt;51,"低","中"),IF(M1499&lt;6,IF(N1499&lt;20,"低",IF(N1499&lt;51,"中","高")),IF(N1499&lt;20,"中","高")))),"不计算")))</f>
        <v/>
      </c>
      <c r="P1499" s="142">
        <f>IFERROR(IF(I1499="EI",IF(O1499="低",3,IF(O1499="中",4,6)),IF(I1499="EO",IF(O1499="低",4,IF(O1499="中",5,7)),IF(I1499="EQ",IF(O1499="低",3,IF(O1499="中",4,6)),IF(I1499="ILF",IF(O1499="低",7,IF(O1499="中",10,15)),IF(I1499="EIF",IF(O1499="低",5,IF(O1499="中",7,10)),"不计算")))))*Q1499,"不计算")</f>
        <v/>
      </c>
      <c r="Q1499" s="142" t="n">
        <v>1</v>
      </c>
      <c r="R1499" s="143">
        <f>调整因子!$F$13</f>
        <v/>
      </c>
      <c r="S1499" s="76" t="n">
        <v>1</v>
      </c>
      <c r="T1499" s="144">
        <f>IFERROR(P1499*R1499,0)</f>
        <v/>
      </c>
      <c r="U1499" s="145">
        <f>T1499*S1499</f>
        <v/>
      </c>
      <c r="V1499" s="96" t="inlineStr">
        <is>
          <t>数据清洗任务表、资产同步任务表</t>
        </is>
      </c>
      <c r="W1499" s="96" t="inlineStr"/>
      <c r="X1499"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499" s="88" t="n"/>
      <c r="Z1499" s="88" t="n"/>
    </row>
    <row r="1500" hidden="1" ht="21.6" customHeight="1">
      <c r="A1500" s="69">
        <f>ROW()-1</f>
        <v/>
      </c>
      <c r="B1500" s="53" t="n"/>
      <c r="C1500" s="117" t="n">
        <v>2026</v>
      </c>
      <c r="E1500" s="53" t="n"/>
      <c r="F1500" s="53" t="n"/>
      <c r="G1500" s="53" t="n"/>
      <c r="H1500" s="96" t="inlineStr">
        <is>
          <t>删除扫描任务接口</t>
        </is>
      </c>
      <c r="I1500" s="76" t="inlineStr">
        <is>
          <t>EI</t>
        </is>
      </c>
      <c r="J1500" s="95" t="n"/>
      <c r="K1500" s="95" t="n"/>
      <c r="L1500" s="83">
        <f>IF(OR(X1500="估算法",X1500="算法类",X1500="无法识别"),"",IF(V1500="",IF(OR(I1500="EI",I1500="EO",I1500="EQ"),0,""),LEN(V1500)-LEN(SUBSTITUTE(V1500,"、",""))+1))</f>
        <v/>
      </c>
      <c r="M1500" s="83">
        <f>IF(OR(X1500="估算法",X1500="算法类",X1500="无法识别"),"",IF(W1500="",IF(OR(I1500="ILF",I1500="EIF"),0,""),LEN(W1500)-LEN(SUBSTITUTE(W1500,"、",""))+1))</f>
        <v/>
      </c>
      <c r="N1500" s="83">
        <f>IF(OR(X1500="估算法",X1500="算法类",X1500="无法识别"),"",IF(X1500="",IF(OR(I1500="ILF",I1500="EIF",I1500="EI",I1500="EO",I1500="EQ"),0,""),LEN(X1500)-LEN(SUBSTITUTE(SUBSTITUTE(SUBSTITUTE(SUBSTITUTE(SUBSTITUTE(X1500,"|}","--"),"{|","--"),CHAR(10),""),"、",""),"|",""))+IF(AND(OR(I1500="EI",I1500="EO",I1500="EQ"),$AD$1="NESMA"),2,1)))</f>
        <v/>
      </c>
      <c r="O1500" s="84">
        <f>IF(I1500="EI",IF(OR(X1500="估算法",X1500="算法类"),"中",IF(X1500="无法识别","低",IF(L1500&lt;2,IF(N1500&lt;16,"低","中"),IF(L1500&lt;3,IF(N1500&lt;5,"低",IF(N1500&lt;16,"中","高")),IF(N1500&lt;5,"中","高"))))),IF(OR(I1500="EO",I1500="EQ"),IF(OR(X1500="估算法",X1500="算法类"),"中",IF(X1500="无法识别","低",IF(L1500&lt;2,IF(N1500&lt;20,"低","中"),IF(L1500&lt;4,IF(N1500&lt;6,"低",IF(N1500&lt;20,"中","高")),IF(N1500&lt;6,"中","高"))))),IF(OR(I1500="ILF",I1500="EIF"),IF(OR(X1500="估算法",X1500="算法类",X1500="无法识别"),"低",IF(M1500&lt;2,IF(N1500&lt;51,"低","中"),IF(M1500&lt;6,IF(N1500&lt;20,"低",IF(N1500&lt;51,"中","高")),IF(N1500&lt;20,"中","高")))),"不计算")))</f>
        <v/>
      </c>
      <c r="P1500" s="142">
        <f>IFERROR(IF(I1500="EI",IF(O1500="低",3,IF(O1500="中",4,6)),IF(I1500="EO",IF(O1500="低",4,IF(O1500="中",5,7)),IF(I1500="EQ",IF(O1500="低",3,IF(O1500="中",4,6)),IF(I1500="ILF",IF(O1500="低",7,IF(O1500="中",10,15)),IF(I1500="EIF",IF(O1500="低",5,IF(O1500="中",7,10)),"不计算")))))*Q1500,"不计算")</f>
        <v/>
      </c>
      <c r="Q1500" s="142" t="n">
        <v>0.333333333333333</v>
      </c>
      <c r="R1500" s="143">
        <f>调整因子!$F$13</f>
        <v/>
      </c>
      <c r="S1500" s="70" t="n">
        <v>1</v>
      </c>
      <c r="T1500" s="144">
        <f>IFERROR(P1500*R1500,0)</f>
        <v/>
      </c>
      <c r="U1500" s="145">
        <f>T1500*S1500</f>
        <v/>
      </c>
      <c r="V1500" s="96" t="inlineStr">
        <is>
          <t>数据清洗任务表</t>
        </is>
      </c>
      <c r="W1500" s="96" t="inlineStr"/>
      <c r="X1500" s="111" t="inlineStr">
        <is>
          <t>数据清洗任务表{任务ID、任务名称、任务类型、任务状态、创建时间、执行时间|任务ID、任务名称、任务类型}</t>
        </is>
      </c>
      <c r="Y1500" s="88" t="n"/>
      <c r="Z1500" s="88" t="n"/>
    </row>
    <row r="1501" hidden="1" ht="43.2" customHeight="1">
      <c r="A1501" s="69">
        <f>ROW()-1</f>
        <v/>
      </c>
      <c r="B1501" s="53" t="n"/>
      <c r="C1501" s="117" t="n">
        <v>2026</v>
      </c>
      <c r="E1501" s="53" t="n"/>
      <c r="F1501" s="53" t="n"/>
      <c r="G1501" s="53" t="n"/>
      <c r="H1501" s="96" t="inlineStr">
        <is>
          <t>启用扫描任务接口</t>
        </is>
      </c>
      <c r="I1501" s="76" t="inlineStr">
        <is>
          <t>EI</t>
        </is>
      </c>
      <c r="J1501" s="95" t="n"/>
      <c r="K1501" s="95" t="n"/>
      <c r="L1501" s="83">
        <f>IF(OR(X1501="估算法",X1501="算法类",X1501="无法识别"),"",IF(V1501="",IF(OR(I1501="EI",I1501="EO",I1501="EQ"),0,""),LEN(V1501)-LEN(SUBSTITUTE(V1501,"、",""))+1))</f>
        <v/>
      </c>
      <c r="M1501" s="83">
        <f>IF(OR(X1501="估算法",X1501="算法类",X1501="无法识别"),"",IF(W1501="",IF(OR(I1501="ILF",I1501="EIF"),0,""),LEN(W1501)-LEN(SUBSTITUTE(W1501,"、",""))+1))</f>
        <v/>
      </c>
      <c r="N1501" s="83">
        <f>IF(OR(X1501="估算法",X1501="算法类",X1501="无法识别"),"",IF(X1501="",IF(OR(I1501="ILF",I1501="EIF",I1501="EI",I1501="EO",I1501="EQ"),0,""),LEN(X1501)-LEN(SUBSTITUTE(SUBSTITUTE(SUBSTITUTE(SUBSTITUTE(SUBSTITUTE(X1501,"|}","--"),"{|","--"),CHAR(10),""),"、",""),"|",""))+IF(AND(OR(I1501="EI",I1501="EO",I1501="EQ"),$AD$1="NESMA"),2,1)))</f>
        <v/>
      </c>
      <c r="O1501" s="84">
        <f>IF(I1501="EI",IF(OR(X1501="估算法",X1501="算法类"),"中",IF(X1501="无法识别","低",IF(L1501&lt;2,IF(N1501&lt;16,"低","中"),IF(L1501&lt;3,IF(N1501&lt;5,"低",IF(N1501&lt;16,"中","高")),IF(N1501&lt;5,"中","高"))))),IF(OR(I1501="EO",I1501="EQ"),IF(OR(X1501="估算法",X1501="算法类"),"中",IF(X1501="无法识别","低",IF(L1501&lt;2,IF(N1501&lt;20,"低","中"),IF(L1501&lt;4,IF(N1501&lt;6,"低",IF(N1501&lt;20,"中","高")),IF(N1501&lt;6,"中","高"))))),IF(OR(I1501="ILF",I1501="EIF"),IF(OR(X1501="估算法",X1501="算法类",X1501="无法识别"),"低",IF(M1501&lt;2,IF(N1501&lt;51,"低","中"),IF(M1501&lt;6,IF(N1501&lt;20,"低",IF(N1501&lt;51,"中","高")),IF(N1501&lt;20,"中","高")))),"不计算")))</f>
        <v/>
      </c>
      <c r="P1501" s="142">
        <f>IFERROR(IF(I1501="EI",IF(O1501="低",3,IF(O1501="中",4,6)),IF(I1501="EO",IF(O1501="低",4,IF(O1501="中",5,7)),IF(I1501="EQ",IF(O1501="低",3,IF(O1501="中",4,6)),IF(I1501="ILF",IF(O1501="低",7,IF(O1501="中",10,15)),IF(I1501="EIF",IF(O1501="低",5,IF(O1501="中",7,10)),"不计算")))))*Q1501,"不计算")</f>
        <v/>
      </c>
      <c r="Q1501" s="142" t="n">
        <v>1</v>
      </c>
      <c r="R1501" s="143">
        <f>调整因子!$F$13</f>
        <v/>
      </c>
      <c r="S1501" s="70" t="n">
        <v>1</v>
      </c>
      <c r="T1501" s="144">
        <f>IFERROR(P1501*R1501,0)</f>
        <v/>
      </c>
      <c r="U1501" s="145">
        <f>T1501*S1501</f>
        <v/>
      </c>
      <c r="V1501" s="96" t="inlineStr">
        <is>
          <t>数据清洗任务表、资产同步任务表</t>
        </is>
      </c>
      <c r="W1501" s="96" t="inlineStr"/>
      <c r="X1501"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501" s="88" t="n"/>
      <c r="Z1501" s="88" t="n"/>
    </row>
    <row r="1502" hidden="1" ht="43.2" customHeight="1">
      <c r="A1502" s="69">
        <f>ROW()-1</f>
        <v/>
      </c>
      <c r="B1502" s="53" t="n"/>
      <c r="C1502" s="117" t="n">
        <v>2026</v>
      </c>
      <c r="E1502" s="53" t="n"/>
      <c r="F1502" s="53" t="n"/>
      <c r="G1502" s="53" t="n"/>
      <c r="H1502" s="96" t="inlineStr">
        <is>
          <t>停用扫描任务接口</t>
        </is>
      </c>
      <c r="I1502" s="76" t="n"/>
      <c r="J1502" s="95" t="n"/>
      <c r="K1502" s="95" t="inlineStr">
        <is>
          <t>和上行合并，启停为相同功能</t>
        </is>
      </c>
      <c r="L1502" s="83">
        <f>IF(OR(X1502="估算法",X1502="算法类",X1502="无法识别"),"",IF(V1502="",IF(OR(I1502="EI",I1502="EO",I1502="EQ"),0,""),LEN(V1502)-LEN(SUBSTITUTE(V1502,"、",""))+1))</f>
        <v/>
      </c>
      <c r="M1502" s="83">
        <f>IF(OR(X1502="估算法",X1502="算法类",X1502="无法识别"),"",IF(W1502="",IF(OR(I1502="ILF",I1502="EIF"),0,""),LEN(W1502)-LEN(SUBSTITUTE(W1502,"、",""))+1))</f>
        <v/>
      </c>
      <c r="N1502" s="83">
        <f>IF(OR(X1502="估算法",X1502="算法类",X1502="无法识别"),"",IF(X1502="",IF(OR(I1502="ILF",I1502="EIF",I1502="EI",I1502="EO",I1502="EQ"),0,""),LEN(X1502)-LEN(SUBSTITUTE(SUBSTITUTE(SUBSTITUTE(SUBSTITUTE(SUBSTITUTE(X1502,"|}","--"),"{|","--"),CHAR(10),""),"、",""),"|",""))+IF(AND(OR(I1502="EI",I1502="EO",I1502="EQ"),$AD$1="NESMA"),2,1)))</f>
        <v/>
      </c>
      <c r="O1502" s="84">
        <f>IF(I1502="EI",IF(OR(X1502="估算法",X1502="算法类"),"中",IF(X1502="无法识别","低",IF(L1502&lt;2,IF(N1502&lt;16,"低","中"),IF(L1502&lt;3,IF(N1502&lt;5,"低",IF(N1502&lt;16,"中","高")),IF(N1502&lt;5,"中","高"))))),IF(OR(I1502="EO",I1502="EQ"),IF(OR(X1502="估算法",X1502="算法类"),"中",IF(X1502="无法识别","低",IF(L1502&lt;2,IF(N1502&lt;20,"低","中"),IF(L1502&lt;4,IF(N1502&lt;6,"低",IF(N1502&lt;20,"中","高")),IF(N1502&lt;6,"中","高"))))),IF(OR(I1502="ILF",I1502="EIF"),IF(OR(X1502="估算法",X1502="算法类",X1502="无法识别"),"低",IF(M1502&lt;2,IF(N1502&lt;51,"低","中"),IF(M1502&lt;6,IF(N1502&lt;20,"低",IF(N1502&lt;51,"中","高")),IF(N1502&lt;20,"中","高")))),"不计算")))</f>
        <v/>
      </c>
      <c r="P1502" s="142">
        <f>IFERROR(IF(I1502="EI",IF(O1502="低",3,IF(O1502="中",4,6)),IF(I1502="EO",IF(O1502="低",4,IF(O1502="中",5,7)),IF(I1502="EQ",IF(O1502="低",3,IF(O1502="中",4,6)),IF(I1502="ILF",IF(O1502="低",7,IF(O1502="中",10,15)),IF(I1502="EIF",IF(O1502="低",5,IF(O1502="中",7,10)),"不计算")))))*Q1502,"不计算")</f>
        <v/>
      </c>
      <c r="Q1502" s="142" t="n">
        <v>1</v>
      </c>
      <c r="R1502" s="143">
        <f>调整因子!$F$13</f>
        <v/>
      </c>
      <c r="S1502" s="76" t="n">
        <v>1</v>
      </c>
      <c r="T1502" s="144">
        <f>IFERROR(P1502*R1502,0)</f>
        <v/>
      </c>
      <c r="U1502" s="145">
        <f>T1502*S1502</f>
        <v/>
      </c>
      <c r="V1502" s="96" t="inlineStr">
        <is>
          <t>数据清洗任务表、资产同步任务表</t>
        </is>
      </c>
      <c r="W1502" s="96" t="inlineStr"/>
      <c r="X1502"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502" s="88" t="n"/>
      <c r="Z1502" s="88" t="n"/>
    </row>
    <row r="1503" hidden="1" ht="21.6" customHeight="1">
      <c r="A1503" s="69">
        <f>ROW()-1</f>
        <v/>
      </c>
      <c r="B1503" s="53" t="n"/>
      <c r="C1503" s="117" t="n">
        <v>2026</v>
      </c>
      <c r="E1503" s="53" t="n"/>
      <c r="F1503" s="53" t="n"/>
      <c r="G1503" s="53" t="n"/>
      <c r="H1503" s="96" t="inlineStr">
        <is>
          <t>推送任务通知</t>
        </is>
      </c>
      <c r="I1503" s="76" t="inlineStr">
        <is>
          <t>EO</t>
        </is>
      </c>
      <c r="J1503" s="95" t="n"/>
      <c r="K1503" s="95" t="n"/>
      <c r="L1503" s="83">
        <f>IF(OR(X1503="估算法",X1503="算法类",X1503="无法识别"),"",IF(V1503="",IF(OR(I1503="EI",I1503="EO",I1503="EQ"),0,""),LEN(V1503)-LEN(SUBSTITUTE(V1503,"、",""))+1))</f>
        <v/>
      </c>
      <c r="M1503" s="83">
        <f>IF(OR(X1503="估算法",X1503="算法类",X1503="无法识别"),"",IF(W1503="",IF(OR(I1503="ILF",I1503="EIF"),0,""),LEN(W1503)-LEN(SUBSTITUTE(W1503,"、",""))+1))</f>
        <v/>
      </c>
      <c r="N1503" s="83">
        <f>IF(OR(X1503="估算法",X1503="算法类",X1503="无法识别"),"",IF(X1503="",IF(OR(I1503="ILF",I1503="EIF",I1503="EI",I1503="EO",I1503="EQ"),0,""),LEN(X1503)-LEN(SUBSTITUTE(SUBSTITUTE(SUBSTITUTE(SUBSTITUTE(SUBSTITUTE(X1503,"|}","--"),"{|","--"),CHAR(10),""),"、",""),"|",""))+IF(AND(OR(I1503="EI",I1503="EO",I1503="EQ"),$AD$1="NESMA"),2,1)))</f>
        <v/>
      </c>
      <c r="O1503" s="84">
        <f>IF(I1503="EI",IF(OR(X1503="估算法",X1503="算法类"),"中",IF(X1503="无法识别","低",IF(L1503&lt;2,IF(N1503&lt;16,"低","中"),IF(L1503&lt;3,IF(N1503&lt;5,"低",IF(N1503&lt;16,"中","高")),IF(N1503&lt;5,"中","高"))))),IF(OR(I1503="EO",I1503="EQ"),IF(OR(X1503="估算法",X1503="算法类"),"中",IF(X1503="无法识别","低",IF(L1503&lt;2,IF(N1503&lt;20,"低","中"),IF(L1503&lt;4,IF(N1503&lt;6,"低",IF(N1503&lt;20,"中","高")),IF(N1503&lt;6,"中","高"))))),IF(OR(I1503="ILF",I1503="EIF"),IF(OR(X1503="估算法",X1503="算法类",X1503="无法识别"),"低",IF(M1503&lt;2,IF(N1503&lt;51,"低","中"),IF(M1503&lt;6,IF(N1503&lt;20,"低",IF(N1503&lt;51,"中","高")),IF(N1503&lt;20,"中","高")))),"不计算")))</f>
        <v/>
      </c>
      <c r="P1503" s="142">
        <f>IFERROR(IF(I1503="EI",IF(O1503="低",3,IF(O1503="中",4,6)),IF(I1503="EO",IF(O1503="低",4,IF(O1503="中",5,7)),IF(I1503="EQ",IF(O1503="低",3,IF(O1503="中",4,6)),IF(I1503="ILF",IF(O1503="低",7,IF(O1503="中",10,15)),IF(I1503="EIF",IF(O1503="低",5,IF(O1503="中",7,10)),"不计算")))))*Q1503,"不计算")</f>
        <v/>
      </c>
      <c r="Q1503" s="142" t="n">
        <v>1</v>
      </c>
      <c r="R1503" s="143">
        <f>调整因子!$F$13</f>
        <v/>
      </c>
      <c r="S1503" s="76" t="n">
        <v>1</v>
      </c>
      <c r="T1503" s="144">
        <f>IFERROR(P1503*R1503,0)</f>
        <v/>
      </c>
      <c r="U1503" s="145">
        <f>T1503*S1503</f>
        <v/>
      </c>
      <c r="V1503" s="96" t="inlineStr">
        <is>
          <t>数据清洗任务表</t>
        </is>
      </c>
      <c r="W1503" s="96" t="inlineStr"/>
      <c r="X1503" s="111" t="inlineStr">
        <is>
          <t>数据清洗任务表{任务ID、任务名称|任务ID、任务名称、任务类型、任务状态、创建时间、执行时间}</t>
        </is>
      </c>
      <c r="Y1503" s="88" t="n"/>
      <c r="Z1503" s="88" t="n"/>
    </row>
    <row r="1504" hidden="1" ht="21.6" customHeight="1">
      <c r="A1504" s="69">
        <f>ROW()-1</f>
        <v/>
      </c>
      <c r="B1504" s="53" t="n"/>
      <c r="C1504" s="117" t="n">
        <v>2026</v>
      </c>
      <c r="E1504" s="53" t="n"/>
      <c r="F1504" s="53" t="n"/>
      <c r="G1504" s="53" t="n"/>
      <c r="H1504" s="96" t="inlineStr">
        <is>
          <t>查询接口状态</t>
        </is>
      </c>
      <c r="I1504" s="76" t="inlineStr">
        <is>
          <t>EQ</t>
        </is>
      </c>
      <c r="J1504" s="95" t="n"/>
      <c r="K1504" s="95" t="n"/>
      <c r="L1504" s="83">
        <f>IF(OR(X1504="估算法",X1504="算法类",X1504="无法识别"),"",IF(V1504="",IF(OR(I1504="EI",I1504="EO",I1504="EQ"),0,""),LEN(V1504)-LEN(SUBSTITUTE(V1504,"、",""))+1))</f>
        <v/>
      </c>
      <c r="M1504" s="83">
        <f>IF(OR(X1504="估算法",X1504="算法类",X1504="无法识别"),"",IF(W1504="",IF(OR(I1504="ILF",I1504="EIF"),0,""),LEN(W1504)-LEN(SUBSTITUTE(W1504,"、",""))+1))</f>
        <v/>
      </c>
      <c r="N1504" s="83">
        <f>IF(OR(X1504="估算法",X1504="算法类",X1504="无法识别"),"",IF(X1504="",IF(OR(I1504="ILF",I1504="EIF",I1504="EI",I1504="EO",I1504="EQ"),0,""),LEN(X1504)-LEN(SUBSTITUTE(SUBSTITUTE(SUBSTITUTE(SUBSTITUTE(SUBSTITUTE(X1504,"|}","--"),"{|","--"),CHAR(10),""),"、",""),"|",""))+IF(AND(OR(I1504="EI",I1504="EO",I1504="EQ"),$AD$1="NESMA"),2,1)))</f>
        <v/>
      </c>
      <c r="O1504" s="84">
        <f>IF(I1504="EI",IF(OR(X1504="估算法",X1504="算法类"),"中",IF(X1504="无法识别","低",IF(L1504&lt;2,IF(N1504&lt;16,"低","中"),IF(L1504&lt;3,IF(N1504&lt;5,"低",IF(N1504&lt;16,"中","高")),IF(N1504&lt;5,"中","高"))))),IF(OR(I1504="EO",I1504="EQ"),IF(OR(X1504="估算法",X1504="算法类"),"中",IF(X1504="无法识别","低",IF(L1504&lt;2,IF(N1504&lt;20,"低","中"),IF(L1504&lt;4,IF(N1504&lt;6,"低",IF(N1504&lt;20,"中","高")),IF(N1504&lt;6,"中","高"))))),IF(OR(I1504="ILF",I1504="EIF"),IF(OR(X1504="估算法",X1504="算法类",X1504="无法识别"),"低",IF(M1504&lt;2,IF(N1504&lt;51,"低","中"),IF(M1504&lt;6,IF(N1504&lt;20,"低",IF(N1504&lt;51,"中","高")),IF(N1504&lt;20,"中","高")))),"不计算")))</f>
        <v/>
      </c>
      <c r="P1504" s="142">
        <f>IFERROR(IF(I1504="EI",IF(O1504="低",3,IF(O1504="中",4,6)),IF(I1504="EO",IF(O1504="低",4,IF(O1504="中",5,7)),IF(I1504="EQ",IF(O1504="低",3,IF(O1504="中",4,6)),IF(I1504="ILF",IF(O1504="低",7,IF(O1504="中",10,15)),IF(I1504="EIF",IF(O1504="低",5,IF(O1504="中",7,10)),"不计算")))))*Q1504,"不计算")</f>
        <v/>
      </c>
      <c r="Q1504" s="142" t="n">
        <v>1</v>
      </c>
      <c r="R1504" s="143">
        <f>调整因子!$F$13</f>
        <v/>
      </c>
      <c r="S1504" s="70" t="n">
        <v>1</v>
      </c>
      <c r="T1504" s="144">
        <f>IFERROR(P1504*R1504,0)</f>
        <v/>
      </c>
      <c r="U1504" s="145">
        <f>T1504*S1504</f>
        <v/>
      </c>
      <c r="V1504" s="96" t="inlineStr">
        <is>
          <t>验证任务表</t>
        </is>
      </c>
      <c r="W1504" s="96" t="inlineStr"/>
      <c r="X1504" s="111" t="inlineStr">
        <is>
          <t>验证任务表{任务ID、任务名称|任务ID、任务名称、任务类型、任务状态、创建时间、执行时间}</t>
        </is>
      </c>
      <c r="Y1504" s="88" t="n"/>
      <c r="Z1504" s="88" t="n"/>
    </row>
    <row r="1505" hidden="1" ht="21.6" customHeight="1">
      <c r="A1505" s="69">
        <f>ROW()-1</f>
        <v/>
      </c>
      <c r="B1505" s="53" t="n"/>
      <c r="C1505" s="117" t="n">
        <v>2026</v>
      </c>
      <c r="E1505" s="53" t="n"/>
      <c r="F1505" s="53" t="n"/>
      <c r="G1505" s="54" t="n"/>
      <c r="H1505" s="96" t="inlineStr">
        <is>
          <t>查看接口详情</t>
        </is>
      </c>
      <c r="I1505" s="76" t="n"/>
      <c r="J1505" s="95" t="n"/>
      <c r="K1505" s="95" t="inlineStr">
        <is>
          <t>和上行合并，无区别</t>
        </is>
      </c>
      <c r="L1505" s="83">
        <f>IF(OR(X1505="估算法",X1505="算法类",X1505="无法识别"),"",IF(V1505="",IF(OR(I1505="EI",I1505="EO",I1505="EQ"),0,""),LEN(V1505)-LEN(SUBSTITUTE(V1505,"、",""))+1))</f>
        <v/>
      </c>
      <c r="M1505" s="83">
        <f>IF(OR(X1505="估算法",X1505="算法类",X1505="无法识别"),"",IF(W1505="",IF(OR(I1505="ILF",I1505="EIF"),0,""),LEN(W1505)-LEN(SUBSTITUTE(W1505,"、",""))+1))</f>
        <v/>
      </c>
      <c r="N1505" s="83">
        <f>IF(OR(X1505="估算法",X1505="算法类",X1505="无法识别"),"",IF(X1505="",IF(OR(I1505="ILF",I1505="EIF",I1505="EI",I1505="EO",I1505="EQ"),0,""),LEN(X1505)-LEN(SUBSTITUTE(SUBSTITUTE(SUBSTITUTE(SUBSTITUTE(SUBSTITUTE(X1505,"|}","--"),"{|","--"),CHAR(10),""),"、",""),"|",""))+IF(AND(OR(I1505="EI",I1505="EO",I1505="EQ"),$AD$1="NESMA"),2,1)))</f>
        <v/>
      </c>
      <c r="O1505" s="84">
        <f>IF(I1505="EI",IF(OR(X1505="估算法",X1505="算法类"),"中",IF(X1505="无法识别","低",IF(L1505&lt;2,IF(N1505&lt;16,"低","中"),IF(L1505&lt;3,IF(N1505&lt;5,"低",IF(N1505&lt;16,"中","高")),IF(N1505&lt;5,"中","高"))))),IF(OR(I1505="EO",I1505="EQ"),IF(OR(X1505="估算法",X1505="算法类"),"中",IF(X1505="无法识别","低",IF(L1505&lt;2,IF(N1505&lt;20,"低","中"),IF(L1505&lt;4,IF(N1505&lt;6,"低",IF(N1505&lt;20,"中","高")),IF(N1505&lt;6,"中","高"))))),IF(OR(I1505="ILF",I1505="EIF"),IF(OR(X1505="估算法",X1505="算法类",X1505="无法识别"),"低",IF(M1505&lt;2,IF(N1505&lt;51,"低","中"),IF(M1505&lt;6,IF(N1505&lt;20,"低",IF(N1505&lt;51,"中","高")),IF(N1505&lt;20,"中","高")))),"不计算")))</f>
        <v/>
      </c>
      <c r="P1505" s="142">
        <f>IFERROR(IF(I1505="EI",IF(O1505="低",3,IF(O1505="中",4,6)),IF(I1505="EO",IF(O1505="低",4,IF(O1505="中",5,7)),IF(I1505="EQ",IF(O1505="低",3,IF(O1505="中",4,6)),IF(I1505="ILF",IF(O1505="低",7,IF(O1505="中",10,15)),IF(I1505="EIF",IF(O1505="低",5,IF(O1505="中",7,10)),"不计算")))))*Q1505,"不计算")</f>
        <v/>
      </c>
      <c r="Q1505" s="142" t="n">
        <v>1</v>
      </c>
      <c r="R1505" s="143">
        <f>调整因子!$F$13</f>
        <v/>
      </c>
      <c r="S1505" s="70" t="n">
        <v>1</v>
      </c>
      <c r="T1505" s="144">
        <f>IFERROR(P1505*R1505,0)</f>
        <v/>
      </c>
      <c r="U1505" s="145">
        <f>T1505*S1505</f>
        <v/>
      </c>
      <c r="V1505" s="96" t="inlineStr">
        <is>
          <t>推送失败重试表、接口参数表</t>
        </is>
      </c>
      <c r="W1505" s="96" t="inlineStr"/>
      <c r="X1505" s="111" t="inlineStr">
        <is>
          <t>推送失败重试表{ID、名称|ID、名称、类型、状态、创建时间}
接口参数表{接口ID、接口名称|接口ID、接口名称、接口类型、接口地址、调用时间}</t>
        </is>
      </c>
      <c r="Y1505" s="88" t="n"/>
      <c r="Z1505" s="88" t="n"/>
    </row>
    <row r="1506" hidden="1" ht="21.6" customHeight="1">
      <c r="A1506" s="69">
        <f>ROW()-1</f>
        <v/>
      </c>
      <c r="B1506" s="53" t="n"/>
      <c r="C1506" s="117" t="n">
        <v>2026</v>
      </c>
      <c r="E1506" s="53" t="n"/>
      <c r="F1506" s="53" t="n"/>
      <c r="G1506" s="111" t="inlineStr">
        <is>
          <t>扫描结果接口管理</t>
        </is>
      </c>
      <c r="H1506" s="96" t="inlineStr">
        <is>
          <t>编辑扫描结果接口</t>
        </is>
      </c>
      <c r="I1506" s="76" t="inlineStr">
        <is>
          <t>EI</t>
        </is>
      </c>
      <c r="J1506" s="95" t="n"/>
      <c r="K1506" s="95" t="n"/>
      <c r="L1506" s="83">
        <f>IF(OR(X1506="估算法",X1506="算法类",X1506="无法识别"),"",IF(V1506="",IF(OR(I1506="EI",I1506="EO",I1506="EQ"),0,""),LEN(V1506)-LEN(SUBSTITUTE(V1506,"、",""))+1))</f>
        <v/>
      </c>
      <c r="M1506" s="83">
        <f>IF(OR(X1506="估算法",X1506="算法类",X1506="无法识别"),"",IF(W1506="",IF(OR(I1506="ILF",I1506="EIF"),0,""),LEN(W1506)-LEN(SUBSTITUTE(W1506,"、",""))+1))</f>
        <v/>
      </c>
      <c r="N1506" s="83">
        <f>IF(OR(X1506="估算法",X1506="算法类",X1506="无法识别"),"",IF(X1506="",IF(OR(I1506="ILF",I1506="EIF",I1506="EI",I1506="EO",I1506="EQ"),0,""),LEN(X1506)-LEN(SUBSTITUTE(SUBSTITUTE(SUBSTITUTE(SUBSTITUTE(SUBSTITUTE(X1506,"|}","--"),"{|","--"),CHAR(10),""),"、",""),"|",""))+IF(AND(OR(I1506="EI",I1506="EO",I1506="EQ"),$AD$1="NESMA"),2,1)))</f>
        <v/>
      </c>
      <c r="O1506" s="84">
        <f>IF(I1506="EI",IF(OR(X1506="估算法",X1506="算法类"),"中",IF(X1506="无法识别","低",IF(L1506&lt;2,IF(N1506&lt;16,"低","中"),IF(L1506&lt;3,IF(N1506&lt;5,"低",IF(N1506&lt;16,"中","高")),IF(N1506&lt;5,"中","高"))))),IF(OR(I1506="EO",I1506="EQ"),IF(OR(X1506="估算法",X1506="算法类"),"中",IF(X1506="无法识别","低",IF(L1506&lt;2,IF(N1506&lt;20,"低","中"),IF(L1506&lt;4,IF(N1506&lt;6,"低",IF(N1506&lt;20,"中","高")),IF(N1506&lt;6,"中","高"))))),IF(OR(I1506="ILF",I1506="EIF"),IF(OR(X1506="估算法",X1506="算法类",X1506="无法识别"),"低",IF(M1506&lt;2,IF(N1506&lt;51,"低","中"),IF(M1506&lt;6,IF(N1506&lt;20,"低",IF(N1506&lt;51,"中","高")),IF(N1506&lt;20,"中","高")))),"不计算")))</f>
        <v/>
      </c>
      <c r="P1506" s="142">
        <f>IFERROR(IF(I1506="EI",IF(O1506="低",3,IF(O1506="中",4,6)),IF(I1506="EO",IF(O1506="低",4,IF(O1506="中",5,7)),IF(I1506="EQ",IF(O1506="低",3,IF(O1506="中",4,6)),IF(I1506="ILF",IF(O1506="低",7,IF(O1506="中",10,15)),IF(I1506="EIF",IF(O1506="低",5,IF(O1506="中",7,10)),"不计算")))))*Q1506,"不计算")</f>
        <v/>
      </c>
      <c r="Q1506" s="142" t="n">
        <v>0.333333333333333</v>
      </c>
      <c r="R1506" s="143">
        <f>调整因子!$F$13</f>
        <v/>
      </c>
      <c r="S1506" s="76" t="n">
        <v>1</v>
      </c>
      <c r="T1506" s="144">
        <f>IFERROR(P1506*R1506,0)</f>
        <v/>
      </c>
      <c r="U1506" s="145">
        <f>T1506*S1506</f>
        <v/>
      </c>
      <c r="V1506" s="96" t="inlineStr">
        <is>
          <t>资产扫描覆盖表</t>
        </is>
      </c>
      <c r="W1506" s="96" t="inlineStr"/>
      <c r="X1506" s="111" t="inlineStr">
        <is>
          <t>资产扫描覆盖表{资产ID、资产名称、IP地址、资产类型、资产状态、创建时间、更新时间|资产ID、资产名称、IP地址}</t>
        </is>
      </c>
      <c r="Y1506" s="88" t="n"/>
      <c r="Z1506" s="88" t="n"/>
    </row>
    <row r="1507" hidden="1" ht="21.6" customHeight="1">
      <c r="A1507" s="69">
        <f>ROW()-1</f>
        <v/>
      </c>
      <c r="B1507" s="53" t="n"/>
      <c r="C1507" s="117" t="n">
        <v>2026</v>
      </c>
      <c r="E1507" s="53" t="n"/>
      <c r="F1507" s="53" t="n"/>
      <c r="G1507" s="53" t="n"/>
      <c r="H1507" s="96" t="inlineStr">
        <is>
          <t>删除扫描结果接口</t>
        </is>
      </c>
      <c r="I1507" s="76" t="inlineStr">
        <is>
          <t>EI</t>
        </is>
      </c>
      <c r="J1507" s="95" t="n"/>
      <c r="K1507" s="95" t="n"/>
      <c r="L1507" s="83">
        <f>IF(OR(X1507="估算法",X1507="算法类",X1507="无法识别"),"",IF(V1507="",IF(OR(I1507="EI",I1507="EO",I1507="EQ"),0,""),LEN(V1507)-LEN(SUBSTITUTE(V1507,"、",""))+1))</f>
        <v/>
      </c>
      <c r="M1507" s="83">
        <f>IF(OR(X1507="估算法",X1507="算法类",X1507="无法识别"),"",IF(W1507="",IF(OR(I1507="ILF",I1507="EIF"),0,""),LEN(W1507)-LEN(SUBSTITUTE(W1507,"、",""))+1))</f>
        <v/>
      </c>
      <c r="N1507" s="83">
        <f>IF(OR(X1507="估算法",X1507="算法类",X1507="无法识别"),"",IF(X1507="",IF(OR(I1507="ILF",I1507="EIF",I1507="EI",I1507="EO",I1507="EQ"),0,""),LEN(X1507)-LEN(SUBSTITUTE(SUBSTITUTE(SUBSTITUTE(SUBSTITUTE(SUBSTITUTE(X1507,"|}","--"),"{|","--"),CHAR(10),""),"、",""),"|",""))+IF(AND(OR(I1507="EI",I1507="EO",I1507="EQ"),$AD$1="NESMA"),2,1)))</f>
        <v/>
      </c>
      <c r="O1507" s="84">
        <f>IF(I1507="EI",IF(OR(X1507="估算法",X1507="算法类"),"中",IF(X1507="无法识别","低",IF(L1507&lt;2,IF(N1507&lt;16,"低","中"),IF(L1507&lt;3,IF(N1507&lt;5,"低",IF(N1507&lt;16,"中","高")),IF(N1507&lt;5,"中","高"))))),IF(OR(I1507="EO",I1507="EQ"),IF(OR(X1507="估算法",X1507="算法类"),"中",IF(X1507="无法识别","低",IF(L1507&lt;2,IF(N1507&lt;20,"低","中"),IF(L1507&lt;4,IF(N1507&lt;6,"低",IF(N1507&lt;20,"中","高")),IF(N1507&lt;6,"中","高"))))),IF(OR(I1507="ILF",I1507="EIF"),IF(OR(X1507="估算法",X1507="算法类",X1507="无法识别"),"低",IF(M1507&lt;2,IF(N1507&lt;51,"低","中"),IF(M1507&lt;6,IF(N1507&lt;20,"低",IF(N1507&lt;51,"中","高")),IF(N1507&lt;20,"中","高")))),"不计算")))</f>
        <v/>
      </c>
      <c r="P1507" s="142">
        <f>IFERROR(IF(I1507="EI",IF(O1507="低",3,IF(O1507="中",4,6)),IF(I1507="EO",IF(O1507="低",4,IF(O1507="中",5,7)),IF(I1507="EQ",IF(O1507="低",3,IF(O1507="中",4,6)),IF(I1507="ILF",IF(O1507="低",7,IF(O1507="中",10,15)),IF(I1507="EIF",IF(O1507="低",5,IF(O1507="中",7,10)),"不计算")))))*Q1507,"不计算")</f>
        <v/>
      </c>
      <c r="Q1507" s="142" t="n">
        <v>0.333333333333333</v>
      </c>
      <c r="R1507" s="143">
        <f>调整因子!$F$13</f>
        <v/>
      </c>
      <c r="S1507" s="70" t="n">
        <v>1</v>
      </c>
      <c r="T1507" s="144">
        <f>IFERROR(P1507*R1507,0)</f>
        <v/>
      </c>
      <c r="U1507" s="145">
        <f>T1507*S1507</f>
        <v/>
      </c>
      <c r="V1507" s="96" t="inlineStr">
        <is>
          <t>资产扫描覆盖表</t>
        </is>
      </c>
      <c r="W1507" s="96" t="inlineStr"/>
      <c r="X1507" s="111" t="inlineStr">
        <is>
          <t>资产扫描覆盖表{资产ID、资产名称、IP地址、资产类型、资产状态、创建时间、更新时间|资产ID、资产名称、IP地址}</t>
        </is>
      </c>
      <c r="Y1507" s="88" t="n"/>
      <c r="Z1507" s="88" t="n"/>
    </row>
    <row r="1508" hidden="1" ht="21.6" customHeight="1">
      <c r="A1508" s="69">
        <f>ROW()-1</f>
        <v/>
      </c>
      <c r="B1508" s="53" t="n"/>
      <c r="C1508" s="117" t="n">
        <v>2026</v>
      </c>
      <c r="E1508" s="53" t="n"/>
      <c r="F1508" s="53" t="n"/>
      <c r="G1508" s="53" t="n"/>
      <c r="H1508" s="96" t="inlineStr">
        <is>
          <t>启用扫描结果接口</t>
        </is>
      </c>
      <c r="I1508" s="76" t="inlineStr">
        <is>
          <t>EI</t>
        </is>
      </c>
      <c r="J1508" s="95" t="n"/>
      <c r="K1508" s="95" t="n"/>
      <c r="L1508" s="83">
        <f>IF(OR(X1508="估算法",X1508="算法类",X1508="无法识别"),"",IF(V1508="",IF(OR(I1508="EI",I1508="EO",I1508="EQ"),0,""),LEN(V1508)-LEN(SUBSTITUTE(V1508,"、",""))+1))</f>
        <v/>
      </c>
      <c r="M1508" s="83">
        <f>IF(OR(X1508="估算法",X1508="算法类",X1508="无法识别"),"",IF(W1508="",IF(OR(I1508="ILF",I1508="EIF"),0,""),LEN(W1508)-LEN(SUBSTITUTE(W1508,"、",""))+1))</f>
        <v/>
      </c>
      <c r="N1508" s="83">
        <f>IF(OR(X1508="估算法",X1508="算法类",X1508="无法识别"),"",IF(X1508="",IF(OR(I1508="ILF",I1508="EIF",I1508="EI",I1508="EO",I1508="EQ"),0,""),LEN(X1508)-LEN(SUBSTITUTE(SUBSTITUTE(SUBSTITUTE(SUBSTITUTE(SUBSTITUTE(X1508,"|}","--"),"{|","--"),CHAR(10),""),"、",""),"|",""))+IF(AND(OR(I1508="EI",I1508="EO",I1508="EQ"),$AD$1="NESMA"),2,1)))</f>
        <v/>
      </c>
      <c r="O1508" s="84">
        <f>IF(I1508="EI",IF(OR(X1508="估算法",X1508="算法类"),"中",IF(X1508="无法识别","低",IF(L1508&lt;2,IF(N1508&lt;16,"低","中"),IF(L1508&lt;3,IF(N1508&lt;5,"低",IF(N1508&lt;16,"中","高")),IF(N1508&lt;5,"中","高"))))),IF(OR(I1508="EO",I1508="EQ"),IF(OR(X1508="估算法",X1508="算法类"),"中",IF(X1508="无法识别","低",IF(L1508&lt;2,IF(N1508&lt;20,"低","中"),IF(L1508&lt;4,IF(N1508&lt;6,"低",IF(N1508&lt;20,"中","高")),IF(N1508&lt;6,"中","高"))))),IF(OR(I1508="ILF",I1508="EIF"),IF(OR(X1508="估算法",X1508="算法类",X1508="无法识别"),"低",IF(M1508&lt;2,IF(N1508&lt;51,"低","中"),IF(M1508&lt;6,IF(N1508&lt;20,"低",IF(N1508&lt;51,"中","高")),IF(N1508&lt;20,"中","高")))),"不计算")))</f>
        <v/>
      </c>
      <c r="P1508" s="142">
        <f>IFERROR(IF(I1508="EI",IF(O1508="低",3,IF(O1508="中",4,6)),IF(I1508="EO",IF(O1508="低",4,IF(O1508="中",5,7)),IF(I1508="EQ",IF(O1508="低",3,IF(O1508="中",4,6)),IF(I1508="ILF",IF(O1508="低",7,IF(O1508="中",10,15)),IF(I1508="EIF",IF(O1508="低",5,IF(O1508="中",7,10)),"不计算")))))*Q1508,"不计算")</f>
        <v/>
      </c>
      <c r="Q1508" s="142" t="n">
        <v>0.333333333333333</v>
      </c>
      <c r="R1508" s="143">
        <f>调整因子!$F$13</f>
        <v/>
      </c>
      <c r="S1508" s="70" t="n">
        <v>1</v>
      </c>
      <c r="T1508" s="144">
        <f>IFERROR(P1508*R1508,0)</f>
        <v/>
      </c>
      <c r="U1508" s="145">
        <f>T1508*S1508</f>
        <v/>
      </c>
      <c r="V1508" s="96" t="inlineStr">
        <is>
          <t>资产扫描覆盖表</t>
        </is>
      </c>
      <c r="W1508" s="96" t="inlineStr"/>
      <c r="X1508" s="111" t="inlineStr">
        <is>
          <t>资产扫描覆盖表{资产ID、资产名称、IP地址、资产类型、资产状态、创建时间、更新时间|资产ID、资产名称、IP地址}</t>
        </is>
      </c>
      <c r="Y1508" s="88" t="n"/>
      <c r="Z1508" s="88" t="n"/>
    </row>
    <row r="1509" hidden="1" ht="21.6" customHeight="1">
      <c r="A1509" s="69">
        <f>ROW()-1</f>
        <v/>
      </c>
      <c r="B1509" s="53" t="n"/>
      <c r="C1509" s="117" t="n">
        <v>2026</v>
      </c>
      <c r="E1509" s="53" t="n"/>
      <c r="F1509" s="53" t="n"/>
      <c r="G1509" s="53" t="n"/>
      <c r="H1509" s="96" t="inlineStr">
        <is>
          <t>停用扫描结果接口</t>
        </is>
      </c>
      <c r="I1509" s="76" t="n"/>
      <c r="J1509" s="95" t="n"/>
      <c r="K1509" s="95" t="inlineStr">
        <is>
          <t>和上行合并，启停为相同功能</t>
        </is>
      </c>
      <c r="L1509" s="83">
        <f>IF(OR(X1509="估算法",X1509="算法类",X1509="无法识别"),"",IF(V1509="",IF(OR(I1509="EI",I1509="EO",I1509="EQ"),0,""),LEN(V1509)-LEN(SUBSTITUTE(V1509,"、",""))+1))</f>
        <v/>
      </c>
      <c r="M1509" s="83">
        <f>IF(OR(X1509="估算法",X1509="算法类",X1509="无法识别"),"",IF(W1509="",IF(OR(I1509="ILF",I1509="EIF"),0,""),LEN(W1509)-LEN(SUBSTITUTE(W1509,"、",""))+1))</f>
        <v/>
      </c>
      <c r="N1509" s="83">
        <f>IF(OR(X1509="估算法",X1509="算法类",X1509="无法识别"),"",IF(X1509="",IF(OR(I1509="ILF",I1509="EIF",I1509="EI",I1509="EO",I1509="EQ"),0,""),LEN(X1509)-LEN(SUBSTITUTE(SUBSTITUTE(SUBSTITUTE(SUBSTITUTE(SUBSTITUTE(X1509,"|}","--"),"{|","--"),CHAR(10),""),"、",""),"|",""))+IF(AND(OR(I1509="EI",I1509="EO",I1509="EQ"),$AD$1="NESMA"),2,1)))</f>
        <v/>
      </c>
      <c r="O1509" s="84">
        <f>IF(I1509="EI",IF(OR(X1509="估算法",X1509="算法类"),"中",IF(X1509="无法识别","低",IF(L1509&lt;2,IF(N1509&lt;16,"低","中"),IF(L1509&lt;3,IF(N1509&lt;5,"低",IF(N1509&lt;16,"中","高")),IF(N1509&lt;5,"中","高"))))),IF(OR(I1509="EO",I1509="EQ"),IF(OR(X1509="估算法",X1509="算法类"),"中",IF(X1509="无法识别","低",IF(L1509&lt;2,IF(N1509&lt;20,"低","中"),IF(L1509&lt;4,IF(N1509&lt;6,"低",IF(N1509&lt;20,"中","高")),IF(N1509&lt;6,"中","高"))))),IF(OR(I1509="ILF",I1509="EIF"),IF(OR(X1509="估算法",X1509="算法类",X1509="无法识别"),"低",IF(M1509&lt;2,IF(N1509&lt;51,"低","中"),IF(M1509&lt;6,IF(N1509&lt;20,"低",IF(N1509&lt;51,"中","高")),IF(N1509&lt;20,"中","高")))),"不计算")))</f>
        <v/>
      </c>
      <c r="P1509" s="142">
        <f>IFERROR(IF(I1509="EI",IF(O1509="低",3,IF(O1509="中",4,6)),IF(I1509="EO",IF(O1509="低",4,IF(O1509="中",5,7)),IF(I1509="EQ",IF(O1509="低",3,IF(O1509="中",4,6)),IF(I1509="ILF",IF(O1509="低",7,IF(O1509="中",10,15)),IF(I1509="EIF",IF(O1509="低",5,IF(O1509="中",7,10)),"不计算")))))*Q1509,"不计算")</f>
        <v/>
      </c>
      <c r="Q1509" s="142" t="n">
        <v>0.333333333333333</v>
      </c>
      <c r="R1509" s="143">
        <f>调整因子!$F$13</f>
        <v/>
      </c>
      <c r="S1509" s="76" t="n">
        <v>1</v>
      </c>
      <c r="T1509" s="144">
        <f>IFERROR(P1509*R1509,0)</f>
        <v/>
      </c>
      <c r="U1509" s="145">
        <f>T1509*S1509</f>
        <v/>
      </c>
      <c r="V1509" s="96" t="inlineStr">
        <is>
          <t>资产扫描覆盖表</t>
        </is>
      </c>
      <c r="W1509" s="96" t="inlineStr"/>
      <c r="X1509" s="111" t="inlineStr">
        <is>
          <t>资产扫描覆盖表{资产ID、资产名称、IP地址、资产类型、资产状态、创建时间、更新时间|资产ID、资产名称、IP地址}</t>
        </is>
      </c>
      <c r="Y1509" s="88" t="n"/>
      <c r="Z1509" s="88" t="n"/>
    </row>
    <row r="1510" hidden="1" ht="21.6" customHeight="1">
      <c r="A1510" s="69">
        <f>ROW()-1</f>
        <v/>
      </c>
      <c r="B1510" s="53" t="n"/>
      <c r="C1510" s="117" t="n">
        <v>2026</v>
      </c>
      <c r="E1510" s="53" t="n"/>
      <c r="F1510" s="53" t="n"/>
      <c r="G1510" s="53" t="n"/>
      <c r="H1510" s="96" t="inlineStr">
        <is>
          <t>推送结果通知</t>
        </is>
      </c>
      <c r="I1510" s="76" t="inlineStr">
        <is>
          <t>EO</t>
        </is>
      </c>
      <c r="J1510" s="95" t="n"/>
      <c r="K1510" s="95" t="n"/>
      <c r="L1510" s="83">
        <f>IF(OR(X1510="估算法",X1510="算法类",X1510="无法识别"),"",IF(V1510="",IF(OR(I1510="EI",I1510="EO",I1510="EQ"),0,""),LEN(V1510)-LEN(SUBSTITUTE(V1510,"、",""))+1))</f>
        <v/>
      </c>
      <c r="M1510" s="83">
        <f>IF(OR(X1510="估算法",X1510="算法类",X1510="无法识别"),"",IF(W1510="",IF(OR(I1510="ILF",I1510="EIF"),0,""),LEN(W1510)-LEN(SUBSTITUTE(W1510,"、",""))+1))</f>
        <v/>
      </c>
      <c r="N1510" s="83">
        <f>IF(OR(X1510="估算法",X1510="算法类",X1510="无法识别"),"",IF(X1510="",IF(OR(I1510="ILF",I1510="EIF",I1510="EI",I1510="EO",I1510="EQ"),0,""),LEN(X1510)-LEN(SUBSTITUTE(SUBSTITUTE(SUBSTITUTE(SUBSTITUTE(SUBSTITUTE(X1510,"|}","--"),"{|","--"),CHAR(10),""),"、",""),"|",""))+IF(AND(OR(I1510="EI",I1510="EO",I1510="EQ"),$AD$1="NESMA"),2,1)))</f>
        <v/>
      </c>
      <c r="O1510" s="84">
        <f>IF(I1510="EI",IF(OR(X1510="估算法",X1510="算法类"),"中",IF(X1510="无法识别","低",IF(L1510&lt;2,IF(N1510&lt;16,"低","中"),IF(L1510&lt;3,IF(N1510&lt;5,"低",IF(N1510&lt;16,"中","高")),IF(N1510&lt;5,"中","高"))))),IF(OR(I1510="EO",I1510="EQ"),IF(OR(X1510="估算法",X1510="算法类"),"中",IF(X1510="无法识别","低",IF(L1510&lt;2,IF(N1510&lt;20,"低","中"),IF(L1510&lt;4,IF(N1510&lt;6,"低",IF(N1510&lt;20,"中","高")),IF(N1510&lt;6,"中","高"))))),IF(OR(I1510="ILF",I1510="EIF"),IF(OR(X1510="估算法",X1510="算法类",X1510="无法识别"),"低",IF(M1510&lt;2,IF(N1510&lt;51,"低","中"),IF(M1510&lt;6,IF(N1510&lt;20,"低",IF(N1510&lt;51,"中","高")),IF(N1510&lt;20,"中","高")))),"不计算")))</f>
        <v/>
      </c>
      <c r="P1510" s="142">
        <f>IFERROR(IF(I1510="EI",IF(O1510="低",3,IF(O1510="中",4,6)),IF(I1510="EO",IF(O1510="低",4,IF(O1510="中",5,7)),IF(I1510="EQ",IF(O1510="低",3,IF(O1510="中",4,6)),IF(I1510="ILF",IF(O1510="低",7,IF(O1510="中",10,15)),IF(I1510="EIF",IF(O1510="低",5,IF(O1510="中",7,10)),"不计算")))))*Q1510,"不计算")</f>
        <v/>
      </c>
      <c r="Q1510" s="142" t="n">
        <v>0.333333333333333</v>
      </c>
      <c r="R1510" s="143">
        <f>调整因子!$F$13</f>
        <v/>
      </c>
      <c r="S1510" s="76" t="n">
        <v>1</v>
      </c>
      <c r="T1510" s="144">
        <f>IFERROR(P1510*R1510,0)</f>
        <v/>
      </c>
      <c r="U1510" s="145">
        <f>T1510*S1510</f>
        <v/>
      </c>
      <c r="V1510" s="96" t="inlineStr">
        <is>
          <t>性能数据表、处置流程定义表</t>
        </is>
      </c>
      <c r="W1510" s="96" t="inlineStr"/>
      <c r="X1510" s="111" t="inlineStr">
        <is>
          <t>性能数据表{ID、名称|ID、名称、类型、状态、创建时间、更新时间}
处置流程定义表{ID、名称|ID、名称、类型、状态、创建时间、更新时间}</t>
        </is>
      </c>
      <c r="Y1510" s="88" t="n"/>
      <c r="Z1510" s="88" t="n"/>
    </row>
    <row r="1511" hidden="1" ht="21.6" customHeight="1">
      <c r="A1511" s="69">
        <f>ROW()-1</f>
        <v/>
      </c>
      <c r="B1511" s="53" t="n"/>
      <c r="C1511" s="117" t="n">
        <v>2026</v>
      </c>
      <c r="E1511" s="53" t="n"/>
      <c r="F1511" s="53" t="n"/>
      <c r="G1511" s="53" t="n"/>
      <c r="H1511" s="96" t="inlineStr">
        <is>
          <t>查询接口状态</t>
        </is>
      </c>
      <c r="I1511" s="76" t="inlineStr">
        <is>
          <t>EQ</t>
        </is>
      </c>
      <c r="J1511" s="95" t="n"/>
      <c r="K1511" s="95" t="n"/>
      <c r="L1511" s="83">
        <f>IF(OR(X1511="估算法",X1511="算法类",X1511="无法识别"),"",IF(V1511="",IF(OR(I1511="EI",I1511="EO",I1511="EQ"),0,""),LEN(V1511)-LEN(SUBSTITUTE(V1511,"、",""))+1))</f>
        <v/>
      </c>
      <c r="M1511" s="83">
        <f>IF(OR(X1511="估算法",X1511="算法类",X1511="无法识别"),"",IF(W1511="",IF(OR(I1511="ILF",I1511="EIF"),0,""),LEN(W1511)-LEN(SUBSTITUTE(W1511,"、",""))+1))</f>
        <v/>
      </c>
      <c r="N1511" s="83">
        <f>IF(OR(X1511="估算法",X1511="算法类",X1511="无法识别"),"",IF(X1511="",IF(OR(I1511="ILF",I1511="EIF",I1511="EI",I1511="EO",I1511="EQ"),0,""),LEN(X1511)-LEN(SUBSTITUTE(SUBSTITUTE(SUBSTITUTE(SUBSTITUTE(SUBSTITUTE(X1511,"|}","--"),"{|","--"),CHAR(10),""),"、",""),"|",""))+IF(AND(OR(I1511="EI",I1511="EO",I1511="EQ"),$AD$1="NESMA"),2,1)))</f>
        <v/>
      </c>
      <c r="O1511" s="84">
        <f>IF(I1511="EI",IF(OR(X1511="估算法",X1511="算法类"),"中",IF(X1511="无法识别","低",IF(L1511&lt;2,IF(N1511&lt;16,"低","中"),IF(L1511&lt;3,IF(N1511&lt;5,"低",IF(N1511&lt;16,"中","高")),IF(N1511&lt;5,"中","高"))))),IF(OR(I1511="EO",I1511="EQ"),IF(OR(X1511="估算法",X1511="算法类"),"中",IF(X1511="无法识别","低",IF(L1511&lt;2,IF(N1511&lt;20,"低","中"),IF(L1511&lt;4,IF(N1511&lt;6,"低",IF(N1511&lt;20,"中","高")),IF(N1511&lt;6,"中","高"))))),IF(OR(I1511="ILF",I1511="EIF"),IF(OR(X1511="估算法",X1511="算法类",X1511="无法识别"),"低",IF(M1511&lt;2,IF(N1511&lt;51,"低","中"),IF(M1511&lt;6,IF(N1511&lt;20,"低",IF(N1511&lt;51,"中","高")),IF(N1511&lt;20,"中","高")))),"不计算")))</f>
        <v/>
      </c>
      <c r="P1511" s="142">
        <f>IFERROR(IF(I1511="EI",IF(O1511="低",3,IF(O1511="中",4,6)),IF(I1511="EO",IF(O1511="低",4,IF(O1511="中",5,7)),IF(I1511="EQ",IF(O1511="低",3,IF(O1511="中",4,6)),IF(I1511="ILF",IF(O1511="低",7,IF(O1511="中",10,15)),IF(I1511="EIF",IF(O1511="低",5,IF(O1511="中",7,10)),"不计算")))))*Q1511,"不计算")</f>
        <v/>
      </c>
      <c r="Q1511" s="142" t="n">
        <v>0.333333333333333</v>
      </c>
      <c r="R1511" s="143">
        <f>调整因子!$F$13</f>
        <v/>
      </c>
      <c r="S1511" s="70" t="n">
        <v>1</v>
      </c>
      <c r="T1511" s="144">
        <f>IFERROR(P1511*R1511,0)</f>
        <v/>
      </c>
      <c r="U1511" s="145">
        <f>T1511*S1511</f>
        <v/>
      </c>
      <c r="V1511" s="96" t="inlineStr">
        <is>
          <t>资产查询接口配置表</t>
        </is>
      </c>
      <c r="W1511" s="96" t="inlineStr"/>
      <c r="X1511" s="111" t="inlineStr">
        <is>
          <t>资产查询接口配置表{资产ID、资产名称|资产ID、资产名称、IP地址、资产类型、资产状态、创建时间、更新时间}</t>
        </is>
      </c>
      <c r="Y1511" s="88" t="n"/>
      <c r="Z1511" s="88" t="n"/>
    </row>
    <row r="1512" hidden="1" ht="32.4" customHeight="1">
      <c r="A1512" s="69">
        <f>ROW()-1</f>
        <v/>
      </c>
      <c r="B1512" s="53" t="n"/>
      <c r="C1512" s="117" t="n">
        <v>2026</v>
      </c>
      <c r="E1512" s="53" t="n"/>
      <c r="F1512" s="54" t="n"/>
      <c r="G1512" s="54" t="n"/>
      <c r="H1512" s="96" t="inlineStr">
        <is>
          <t>查看接口详情</t>
        </is>
      </c>
      <c r="I1512" s="76" t="n"/>
      <c r="J1512" s="95" t="n"/>
      <c r="K1512" s="95" t="inlineStr">
        <is>
          <t>和上行合并，无区别</t>
        </is>
      </c>
      <c r="L1512" s="83">
        <f>IF(OR(X1512="估算法",X1512="算法类",X1512="无法识别"),"",IF(V1512="",IF(OR(I1512="EI",I1512="EO",I1512="EQ"),0,""),LEN(V1512)-LEN(SUBSTITUTE(V1512,"、",""))+1))</f>
        <v/>
      </c>
      <c r="M1512" s="83">
        <f>IF(OR(X1512="估算法",X1512="算法类",X1512="无法识别"),"",IF(W1512="",IF(OR(I1512="ILF",I1512="EIF"),0,""),LEN(W1512)-LEN(SUBSTITUTE(W1512,"、",""))+1))</f>
        <v/>
      </c>
      <c r="N1512" s="83">
        <f>IF(OR(X1512="估算法",X1512="算法类",X1512="无法识别"),"",IF(X1512="",IF(OR(I1512="ILF",I1512="EIF",I1512="EI",I1512="EO",I1512="EQ"),0,""),LEN(X1512)-LEN(SUBSTITUTE(SUBSTITUTE(SUBSTITUTE(SUBSTITUTE(SUBSTITUTE(X1512,"|}","--"),"{|","--"),CHAR(10),""),"、",""),"|",""))+IF(AND(OR(I1512="EI",I1512="EO",I1512="EQ"),$AD$1="NESMA"),2,1)))</f>
        <v/>
      </c>
      <c r="O1512" s="84">
        <f>IF(I1512="EI",IF(OR(X1512="估算法",X1512="算法类"),"中",IF(X1512="无法识别","低",IF(L1512&lt;2,IF(N1512&lt;16,"低","中"),IF(L1512&lt;3,IF(N1512&lt;5,"低",IF(N1512&lt;16,"中","高")),IF(N1512&lt;5,"中","高"))))),IF(OR(I1512="EO",I1512="EQ"),IF(OR(X1512="估算法",X1512="算法类"),"中",IF(X1512="无法识别","低",IF(L1512&lt;2,IF(N1512&lt;20,"低","中"),IF(L1512&lt;4,IF(N1512&lt;6,"低",IF(N1512&lt;20,"中","高")),IF(N1512&lt;6,"中","高"))))),IF(OR(I1512="ILF",I1512="EIF"),IF(OR(X1512="估算法",X1512="算法类",X1512="无法识别"),"低",IF(M1512&lt;2,IF(N1512&lt;51,"低","中"),IF(M1512&lt;6,IF(N1512&lt;20,"低",IF(N1512&lt;51,"中","高")),IF(N1512&lt;20,"中","高")))),"不计算")))</f>
        <v/>
      </c>
      <c r="P1512" s="142">
        <f>IFERROR(IF(I1512="EI",IF(O1512="低",3,IF(O1512="中",4,6)),IF(I1512="EO",IF(O1512="低",4,IF(O1512="中",5,7)),IF(I1512="EQ",IF(O1512="低",3,IF(O1512="中",4,6)),IF(I1512="ILF",IF(O1512="低",7,IF(O1512="中",10,15)),IF(I1512="EIF",IF(O1512="低",5,IF(O1512="中",7,10)),"不计算")))))*Q1512,"不计算")</f>
        <v/>
      </c>
      <c r="Q1512" s="142" t="n">
        <v>0.333333333333333</v>
      </c>
      <c r="R1512" s="143">
        <f>调整因子!$F$13</f>
        <v/>
      </c>
      <c r="S1512" s="70" t="n">
        <v>1</v>
      </c>
      <c r="T1512" s="144">
        <f>IFERROR(P1512*R1512,0)</f>
        <v/>
      </c>
      <c r="U1512" s="145">
        <f>T1512*S1512</f>
        <v/>
      </c>
      <c r="V1512" s="96" t="inlineStr">
        <is>
          <t>漏洞统计数据表、报告模板表</t>
        </is>
      </c>
      <c r="W1512" s="96" t="inlineStr"/>
      <c r="X1512" s="111" t="inlineStr">
        <is>
          <t>漏洞统计数据表{漏洞ID、漏洞名称|漏洞ID、漏洞名称、漏洞等级、漏洞类型、CVE编号、发现时间、修复状态}
报告模板表{ID、名称|ID、名称、类型、状态、创建时间、更新时间}</t>
        </is>
      </c>
      <c r="Y1512" s="88" t="n"/>
      <c r="Z1512" s="88" t="n"/>
    </row>
    <row r="1513" hidden="1" ht="21.6" customHeight="1">
      <c r="A1513" s="69">
        <f>ROW()-1</f>
        <v/>
      </c>
      <c r="B1513" s="53" t="n"/>
      <c r="C1513" s="117" t="n">
        <v>2026</v>
      </c>
      <c r="E1513" s="53" t="n"/>
      <c r="F1513" s="111" t="inlineStr">
        <is>
          <t>修复状态接收与同步</t>
        </is>
      </c>
      <c r="G1513" s="111" t="inlineStr">
        <is>
          <t>漏洞查询接口管理</t>
        </is>
      </c>
      <c r="H1513" s="96" t="inlineStr">
        <is>
          <t>漏洞查询接口配置表</t>
        </is>
      </c>
      <c r="I1513" s="76" t="inlineStr">
        <is>
          <t>ILF</t>
        </is>
      </c>
      <c r="J1513" s="95" t="n"/>
      <c r="K1513" s="95" t="n"/>
      <c r="L1513" s="83">
        <f>IF(OR(X1513="估算法",X1513="算法类",X1513="无法识别"),"",IF(V1513="",IF(OR(I1513="EI",I1513="EO",I1513="EQ"),0,""),LEN(V1513)-LEN(SUBSTITUTE(V1513,"、",""))+1))</f>
        <v/>
      </c>
      <c r="M1513" s="83">
        <f>IF(OR(X1513="估算法",X1513="算法类",X1513="无法识别"),"",IF(W1513="",IF(OR(I1513="ILF",I1513="EIF"),0,""),LEN(W1513)-LEN(SUBSTITUTE(W1513,"、",""))+1))</f>
        <v/>
      </c>
      <c r="N1513" s="83">
        <f>IF(OR(X1513="估算法",X1513="算法类",X1513="无法识别"),"",IF(X1513="",IF(OR(I1513="ILF",I1513="EIF",I1513="EI",I1513="EO",I1513="EQ"),0,""),LEN(X1513)-LEN(SUBSTITUTE(SUBSTITUTE(SUBSTITUTE(SUBSTITUTE(SUBSTITUTE(X1513,"|}","--"),"{|","--"),CHAR(10),""),"、",""),"|",""))+IF(AND(OR(I1513="EI",I1513="EO",I1513="EQ"),$AD$1="NESMA"),2,1)))</f>
        <v/>
      </c>
      <c r="O1513" s="84">
        <f>IF(I1513="EI",IF(OR(X1513="估算法",X1513="算法类"),"中",IF(X1513="无法识别","低",IF(L1513&lt;2,IF(N1513&lt;16,"低","中"),IF(L1513&lt;3,IF(N1513&lt;5,"低",IF(N1513&lt;16,"中","高")),IF(N1513&lt;5,"中","高"))))),IF(OR(I1513="EO",I1513="EQ"),IF(OR(X1513="估算法",X1513="算法类"),"中",IF(X1513="无法识别","低",IF(L1513&lt;2,IF(N1513&lt;20,"低","中"),IF(L1513&lt;4,IF(N1513&lt;6,"低",IF(N1513&lt;20,"中","高")),IF(N1513&lt;6,"中","高"))))),IF(OR(I1513="ILF",I1513="EIF"),IF(OR(X1513="估算法",X1513="算法类",X1513="无法识别"),"低",IF(M1513&lt;2,IF(N1513&lt;51,"低","中"),IF(M1513&lt;6,IF(N1513&lt;20,"低",IF(N1513&lt;51,"中","高")),IF(N1513&lt;20,"中","高")))),"不计算")))</f>
        <v/>
      </c>
      <c r="P1513" s="142">
        <f>IFERROR(IF(I1513="EI",IF(O1513="低",3,IF(O1513="中",4,6)),IF(I1513="EO",IF(O1513="低",4,IF(O1513="中",5,7)),IF(I1513="EQ",IF(O1513="低",3,IF(O1513="中",4,6)),IF(I1513="ILF",IF(O1513="低",7,IF(O1513="中",10,15)),IF(I1513="EIF",IF(O1513="低",5,IF(O1513="中",7,10)),"不计算")))))*Q1513,"不计算")</f>
        <v/>
      </c>
      <c r="Q1513" s="142" t="n">
        <v>1</v>
      </c>
      <c r="R1513" s="143">
        <f>调整因子!$F$13</f>
        <v/>
      </c>
      <c r="S1513" s="76" t="n">
        <v>1</v>
      </c>
      <c r="T1513" s="144">
        <f>IFERROR(P1513*R1513,0)</f>
        <v/>
      </c>
      <c r="U1513" s="145">
        <f>T1513*S1513</f>
        <v/>
      </c>
      <c r="V1513" s="96" t="inlineStr"/>
      <c r="W1513" s="96" t="inlineStr">
        <is>
          <t>系统漏洞、Web漏洞、弱口令</t>
        </is>
      </c>
      <c r="X1513" s="111" t="inlineStr">
        <is>
          <t>漏洞查询接口配置表{漏洞ID、漏洞名称、漏洞等级|漏洞ID、漏洞名称、漏洞等级、漏洞类型、CVE编号、发现时间、修复状态}</t>
        </is>
      </c>
      <c r="Y1513" s="88">
        <f>IF(COUNTIFS(V:V,"*"&amp;H1513&amp;"*")&gt;0,"存在","不存在")</f>
        <v/>
      </c>
      <c r="Z1513" s="88">
        <f>IF(COUNTIFS(AA:AA,"*"&amp;H1513&amp;"*")&gt;0,"存在","不存在")</f>
        <v/>
      </c>
    </row>
    <row r="1514" hidden="1" ht="21.6" customHeight="1">
      <c r="A1514" s="69">
        <f>ROW()-1</f>
        <v/>
      </c>
      <c r="B1514" s="53" t="n"/>
      <c r="C1514" s="117" t="n">
        <v>2026</v>
      </c>
      <c r="E1514" s="53" t="n"/>
      <c r="F1514" s="53" t="n"/>
      <c r="G1514" s="53" t="n"/>
      <c r="H1514" s="96" t="inlineStr">
        <is>
          <t>漏洞查询接口</t>
        </is>
      </c>
      <c r="I1514" s="76" t="inlineStr">
        <is>
          <t>EIF</t>
        </is>
      </c>
      <c r="J1514" s="95" t="n"/>
      <c r="K1514" s="95" t="n"/>
      <c r="L1514" s="83">
        <f>IF(OR(X1514="估算法",X1514="算法类",X1514="无法识别"),"",IF(V1514="",IF(OR(I1514="EI",I1514="EO",I1514="EQ"),0,""),LEN(V1514)-LEN(SUBSTITUTE(V1514,"、",""))+1))</f>
        <v/>
      </c>
      <c r="M1514" s="83">
        <f>IF(OR(X1514="估算法",X1514="算法类",X1514="无法识别"),"",IF(W1514="",IF(OR(I1514="ILF",I1514="EIF"),0,""),LEN(W1514)-LEN(SUBSTITUTE(W1514,"、",""))+1))</f>
        <v/>
      </c>
      <c r="N1514" s="83">
        <f>IF(OR(X1514="估算法",X1514="算法类",X1514="无法识别"),"",IF(X1514="",IF(OR(I1514="ILF",I1514="EIF",I1514="EI",I1514="EO",I1514="EQ"),0,""),LEN(X1514)-LEN(SUBSTITUTE(SUBSTITUTE(SUBSTITUTE(SUBSTITUTE(SUBSTITUTE(X1514,"|}","--"),"{|","--"),CHAR(10),""),"、",""),"|",""))+IF(AND(OR(I1514="EI",I1514="EO",I1514="EQ"),$AD$1="NESMA"),2,1)))</f>
        <v/>
      </c>
      <c r="O1514" s="84">
        <f>IF(I1514="EI",IF(OR(X1514="估算法",X1514="算法类"),"中",IF(X1514="无法识别","低",IF(L1514&lt;2,IF(N1514&lt;16,"低","中"),IF(L1514&lt;3,IF(N1514&lt;5,"低",IF(N1514&lt;16,"中","高")),IF(N1514&lt;5,"中","高"))))),IF(OR(I1514="EO",I1514="EQ"),IF(OR(X1514="估算法",X1514="算法类"),"中",IF(X1514="无法识别","低",IF(L1514&lt;2,IF(N1514&lt;20,"低","中"),IF(L1514&lt;4,IF(N1514&lt;6,"低",IF(N1514&lt;20,"中","高")),IF(N1514&lt;6,"中","高"))))),IF(OR(I1514="ILF",I1514="EIF"),IF(OR(X1514="估算法",X1514="算法类",X1514="无法识别"),"低",IF(M1514&lt;2,IF(N1514&lt;51,"低","中"),IF(M1514&lt;6,IF(N1514&lt;20,"低",IF(N1514&lt;51,"中","高")),IF(N1514&lt;20,"中","高")))),"不计算")))</f>
        <v/>
      </c>
      <c r="P1514" s="142">
        <f>IFERROR(IF(I1514="EI",IF(O1514="低",3,IF(O1514="中",4,6)),IF(I1514="EO",IF(O1514="低",4,IF(O1514="中",5,7)),IF(I1514="EQ",IF(O1514="低",3,IF(O1514="中",4,6)),IF(I1514="ILF",IF(O1514="低",7,IF(O1514="中",10,15)),IF(I1514="EIF",IF(O1514="低",5,IF(O1514="中",7,10)),"不计算")))))*Q1514,"不计算")</f>
        <v/>
      </c>
      <c r="Q1514" s="142" t="n">
        <v>1</v>
      </c>
      <c r="R1514" s="143">
        <f>调整因子!$F$13</f>
        <v/>
      </c>
      <c r="S1514" s="70" t="n">
        <v>1</v>
      </c>
      <c r="T1514" s="144">
        <f>IFERROR(P1514*R1514,0)</f>
        <v/>
      </c>
      <c r="U1514" s="145">
        <f>T1514*S1514</f>
        <v/>
      </c>
      <c r="V1514" s="96" t="inlineStr"/>
      <c r="W1514" s="96" t="inlineStr">
        <is>
          <t>接口数据</t>
        </is>
      </c>
      <c r="X1514" s="111" t="inlineStr">
        <is>
          <t>漏洞查询接口{漏洞ID、漏洞名称|漏洞ID、漏洞名称、漏洞等级、漏洞类型、CVE编号、发现时间、修复状态}</t>
        </is>
      </c>
      <c r="Y1514" s="88">
        <f>IF(COUNTIFS(V:V,"*"&amp;H1514&amp;"*")&gt;0,"存在","不存在")</f>
        <v/>
      </c>
      <c r="Z1514" s="88">
        <f>IF(COUNTIFS(AA:AA,"*"&amp;H1514&amp;"*")&gt;0,"存在","不存在")</f>
        <v/>
      </c>
    </row>
    <row r="1515" hidden="1" ht="21.6" customHeight="1">
      <c r="A1515" s="69">
        <f>ROW()-1</f>
        <v/>
      </c>
      <c r="B1515" s="53" t="n"/>
      <c r="C1515" s="117" t="n">
        <v>2026</v>
      </c>
      <c r="E1515" s="53" t="n"/>
      <c r="F1515" s="53" t="n"/>
      <c r="G1515" s="53" t="n"/>
      <c r="H1515" s="96" t="inlineStr">
        <is>
          <t>配置漏洞查询接口</t>
        </is>
      </c>
      <c r="I1515" s="76" t="inlineStr">
        <is>
          <t>EI</t>
        </is>
      </c>
      <c r="J1515" s="95" t="n"/>
      <c r="K1515" s="95" t="n"/>
      <c r="L1515" s="83">
        <f>IF(OR(X1515="估算法",X1515="算法类",X1515="无法识别"),"",IF(V1515="",IF(OR(I1515="EI",I1515="EO",I1515="EQ"),0,""),LEN(V1515)-LEN(SUBSTITUTE(V1515,"、",""))+1))</f>
        <v/>
      </c>
      <c r="M1515" s="83">
        <f>IF(OR(X1515="估算法",X1515="算法类",X1515="无法识别"),"",IF(W1515="",IF(OR(I1515="ILF",I1515="EIF"),0,""),LEN(W1515)-LEN(SUBSTITUTE(W1515,"、",""))+1))</f>
        <v/>
      </c>
      <c r="N1515" s="83">
        <f>IF(OR(X1515="估算法",X1515="算法类",X1515="无法识别"),"",IF(X1515="",IF(OR(I1515="ILF",I1515="EIF",I1515="EI",I1515="EO",I1515="EQ"),0,""),LEN(X1515)-LEN(SUBSTITUTE(SUBSTITUTE(SUBSTITUTE(SUBSTITUTE(SUBSTITUTE(X1515,"|}","--"),"{|","--"),CHAR(10),""),"、",""),"|",""))+IF(AND(OR(I1515="EI",I1515="EO",I1515="EQ"),$AD$1="NESMA"),2,1)))</f>
        <v/>
      </c>
      <c r="O1515" s="84">
        <f>IF(I1515="EI",IF(OR(X1515="估算法",X1515="算法类"),"中",IF(X1515="无法识别","低",IF(L1515&lt;2,IF(N1515&lt;16,"低","中"),IF(L1515&lt;3,IF(N1515&lt;5,"低",IF(N1515&lt;16,"中","高")),IF(N1515&lt;5,"中","高"))))),IF(OR(I1515="EO",I1515="EQ"),IF(OR(X1515="估算法",X1515="算法类"),"中",IF(X1515="无法识别","低",IF(L1515&lt;2,IF(N1515&lt;20,"低","中"),IF(L1515&lt;4,IF(N1515&lt;6,"低",IF(N1515&lt;20,"中","高")),IF(N1515&lt;6,"中","高"))))),IF(OR(I1515="ILF",I1515="EIF"),IF(OR(X1515="估算法",X1515="算法类",X1515="无法识别"),"低",IF(M1515&lt;2,IF(N1515&lt;51,"低","中"),IF(M1515&lt;6,IF(N1515&lt;20,"低",IF(N1515&lt;51,"中","高")),IF(N1515&lt;20,"中","高")))),"不计算")))</f>
        <v/>
      </c>
      <c r="P1515" s="142">
        <f>IFERROR(IF(I1515="EI",IF(O1515="低",3,IF(O1515="中",4,6)),IF(I1515="EO",IF(O1515="低",4,IF(O1515="中",5,7)),IF(I1515="EQ",IF(O1515="低",3,IF(O1515="中",4,6)),IF(I1515="ILF",IF(O1515="低",7,IF(O1515="中",10,15)),IF(I1515="EIF",IF(O1515="低",5,IF(O1515="中",7,10)),"不计算")))))*Q1515,"不计算")</f>
        <v/>
      </c>
      <c r="Q1515" s="142" t="n">
        <v>0.333333333333333</v>
      </c>
      <c r="R1515" s="143">
        <f>调整因子!$F$13</f>
        <v/>
      </c>
      <c r="S1515" s="70" t="n">
        <v>1</v>
      </c>
      <c r="T1515" s="144">
        <f>IFERROR(P1515*R1515,0)</f>
        <v/>
      </c>
      <c r="U1515" s="145">
        <f>T1515*S1515</f>
        <v/>
      </c>
      <c r="V1515" s="96" t="inlineStr">
        <is>
          <t>任务优先级配置表</t>
        </is>
      </c>
      <c r="W1515" s="96" t="inlineStr"/>
      <c r="X1515" s="111" t="inlineStr">
        <is>
          <t>任务优先级配置表{任务ID、任务名称、任务类型、任务状态、创建时间、执行时间|任务ID、任务名称、任务类型}</t>
        </is>
      </c>
      <c r="Y1515" s="88" t="n"/>
      <c r="Z1515" s="88" t="n"/>
    </row>
    <row r="1516" hidden="1" ht="43.2" customHeight="1">
      <c r="A1516" s="69">
        <f>ROW()-1</f>
        <v/>
      </c>
      <c r="B1516" s="53" t="n"/>
      <c r="C1516" s="117" t="n">
        <v>2026</v>
      </c>
      <c r="E1516" s="53" t="n"/>
      <c r="F1516" s="53" t="n"/>
      <c r="G1516" s="53" t="n"/>
      <c r="H1516" s="96" t="inlineStr">
        <is>
          <t>编辑漏洞查询接口</t>
        </is>
      </c>
      <c r="I1516" s="76" t="inlineStr">
        <is>
          <t>EI</t>
        </is>
      </c>
      <c r="J1516" s="95" t="n"/>
      <c r="K1516" s="95" t="n"/>
      <c r="L1516" s="83">
        <f>IF(OR(X1516="估算法",X1516="算法类",X1516="无法识别"),"",IF(V1516="",IF(OR(I1516="EI",I1516="EO",I1516="EQ"),0,""),LEN(V1516)-LEN(SUBSTITUTE(V1516,"、",""))+1))</f>
        <v/>
      </c>
      <c r="M1516" s="83">
        <f>IF(OR(X1516="估算法",X1516="算法类",X1516="无法识别"),"",IF(W1516="",IF(OR(I1516="ILF",I1516="EIF"),0,""),LEN(W1516)-LEN(SUBSTITUTE(W1516,"、",""))+1))</f>
        <v/>
      </c>
      <c r="N1516" s="83">
        <f>IF(OR(X1516="估算法",X1516="算法类",X1516="无法识别"),"",IF(X1516="",IF(OR(I1516="ILF",I1516="EIF",I1516="EI",I1516="EO",I1516="EQ"),0,""),LEN(X1516)-LEN(SUBSTITUTE(SUBSTITUTE(SUBSTITUTE(SUBSTITUTE(SUBSTITUTE(X1516,"|}","--"),"{|","--"),CHAR(10),""),"、",""),"|",""))+IF(AND(OR(I1516="EI",I1516="EO",I1516="EQ"),$AD$1="NESMA"),2,1)))</f>
        <v/>
      </c>
      <c r="O1516" s="84">
        <f>IF(I1516="EI",IF(OR(X1516="估算法",X1516="算法类"),"中",IF(X1516="无法识别","低",IF(L1516&lt;2,IF(N1516&lt;16,"低","中"),IF(L1516&lt;3,IF(N1516&lt;5,"低",IF(N1516&lt;16,"中","高")),IF(N1516&lt;5,"中","高"))))),IF(OR(I1516="EO",I1516="EQ"),IF(OR(X1516="估算法",X1516="算法类"),"中",IF(X1516="无法识别","低",IF(L1516&lt;2,IF(N1516&lt;20,"低","中"),IF(L1516&lt;4,IF(N1516&lt;6,"低",IF(N1516&lt;20,"中","高")),IF(N1516&lt;6,"中","高"))))),IF(OR(I1516="ILF",I1516="EIF"),IF(OR(X1516="估算法",X1516="算法类",X1516="无法识别"),"低",IF(M1516&lt;2,IF(N1516&lt;51,"低","中"),IF(M1516&lt;6,IF(N1516&lt;20,"低",IF(N1516&lt;51,"中","高")),IF(N1516&lt;20,"中","高")))),"不计算")))</f>
        <v/>
      </c>
      <c r="P1516" s="142">
        <f>IFERROR(IF(I1516="EI",IF(O1516="低",3,IF(O1516="中",4,6)),IF(I1516="EO",IF(O1516="低",4,IF(O1516="中",5,7)),IF(I1516="EQ",IF(O1516="低",3,IF(O1516="中",4,6)),IF(I1516="ILF",IF(O1516="低",7,IF(O1516="中",10,15)),IF(I1516="EIF",IF(O1516="低",5,IF(O1516="中",7,10)),"不计算")))))*Q1516,"不计算")</f>
        <v/>
      </c>
      <c r="Q1516" s="142" t="n">
        <v>0.333333333333333</v>
      </c>
      <c r="R1516" s="143">
        <f>调整因子!$F$13</f>
        <v/>
      </c>
      <c r="S1516" s="76" t="n">
        <v>1</v>
      </c>
      <c r="T1516" s="144">
        <f>IFERROR(P1516*R1516,0)</f>
        <v/>
      </c>
      <c r="U1516" s="145">
        <f>T1516*S1516</f>
        <v/>
      </c>
      <c r="V1516" s="96" t="inlineStr">
        <is>
          <t>漏洞处置单表、漏洞统计数据表</t>
        </is>
      </c>
      <c r="W1516" s="96" t="inlineStr"/>
      <c r="X1516" s="111"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Y1516" s="88" t="n"/>
      <c r="Z1516" s="88" t="n"/>
    </row>
    <row r="1517" hidden="1" ht="21.6" customHeight="1">
      <c r="A1517" s="69">
        <f>ROW()-1</f>
        <v/>
      </c>
      <c r="B1517" s="53" t="n"/>
      <c r="C1517" s="117" t="n">
        <v>2026</v>
      </c>
      <c r="E1517" s="53" t="n"/>
      <c r="F1517" s="53" t="n"/>
      <c r="G1517" s="53" t="n"/>
      <c r="H1517" s="96" t="inlineStr">
        <is>
          <t>删除漏洞查询接口</t>
        </is>
      </c>
      <c r="I1517" s="76" t="inlineStr">
        <is>
          <t>EI</t>
        </is>
      </c>
      <c r="J1517" s="95" t="n"/>
      <c r="K1517" s="95" t="n"/>
      <c r="L1517" s="83">
        <f>IF(OR(X1517="估算法",X1517="算法类",X1517="无法识别"),"",IF(V1517="",IF(OR(I1517="EI",I1517="EO",I1517="EQ"),0,""),LEN(V1517)-LEN(SUBSTITUTE(V1517,"、",""))+1))</f>
        <v/>
      </c>
      <c r="M1517" s="83">
        <f>IF(OR(X1517="估算法",X1517="算法类",X1517="无法识别"),"",IF(W1517="",IF(OR(I1517="ILF",I1517="EIF"),0,""),LEN(W1517)-LEN(SUBSTITUTE(W1517,"、",""))+1))</f>
        <v/>
      </c>
      <c r="N1517" s="83">
        <f>IF(OR(X1517="估算法",X1517="算法类",X1517="无法识别"),"",IF(X1517="",IF(OR(I1517="ILF",I1517="EIF",I1517="EI",I1517="EO",I1517="EQ"),0,""),LEN(X1517)-LEN(SUBSTITUTE(SUBSTITUTE(SUBSTITUTE(SUBSTITUTE(SUBSTITUTE(X1517,"|}","--"),"{|","--"),CHAR(10),""),"、",""),"|",""))+IF(AND(OR(I1517="EI",I1517="EO",I1517="EQ"),$AD$1="NESMA"),2,1)))</f>
        <v/>
      </c>
      <c r="O1517" s="84">
        <f>IF(I1517="EI",IF(OR(X1517="估算法",X1517="算法类"),"中",IF(X1517="无法识别","低",IF(L1517&lt;2,IF(N1517&lt;16,"低","中"),IF(L1517&lt;3,IF(N1517&lt;5,"低",IF(N1517&lt;16,"中","高")),IF(N1517&lt;5,"中","高"))))),IF(OR(I1517="EO",I1517="EQ"),IF(OR(X1517="估算法",X1517="算法类"),"中",IF(X1517="无法识别","低",IF(L1517&lt;2,IF(N1517&lt;20,"低","中"),IF(L1517&lt;4,IF(N1517&lt;6,"低",IF(N1517&lt;20,"中","高")),IF(N1517&lt;6,"中","高"))))),IF(OR(I1517="ILF",I1517="EIF"),IF(OR(X1517="估算法",X1517="算法类",X1517="无法识别"),"低",IF(M1517&lt;2,IF(N1517&lt;51,"低","中"),IF(M1517&lt;6,IF(N1517&lt;20,"低",IF(N1517&lt;51,"中","高")),IF(N1517&lt;20,"中","高")))),"不计算")))</f>
        <v/>
      </c>
      <c r="P1517" s="142">
        <f>IFERROR(IF(I1517="EI",IF(O1517="低",3,IF(O1517="中",4,6)),IF(I1517="EO",IF(O1517="低",4,IF(O1517="中",5,7)),IF(I1517="EQ",IF(O1517="低",3,IF(O1517="中",4,6)),IF(I1517="ILF",IF(O1517="低",7,IF(O1517="中",10,15)),IF(I1517="EIF",IF(O1517="低",5,IF(O1517="中",7,10)),"不计算")))))*Q1517,"不计算")</f>
        <v/>
      </c>
      <c r="Q1517" s="142" t="n">
        <v>0.333333333333333</v>
      </c>
      <c r="R1517" s="143">
        <f>调整因子!$F$13</f>
        <v/>
      </c>
      <c r="S1517" s="76" t="n">
        <v>1</v>
      </c>
      <c r="T1517" s="144">
        <f>IFERROR(P1517*R1517,0)</f>
        <v/>
      </c>
      <c r="U1517" s="145">
        <f>T1517*S1517</f>
        <v/>
      </c>
      <c r="V1517" s="96" t="inlineStr">
        <is>
          <t>漏洞处置单表</t>
        </is>
      </c>
      <c r="W1517" s="96" t="inlineStr"/>
      <c r="X1517" s="111" t="inlineStr">
        <is>
          <t>漏洞处置单表{漏洞ID、漏洞名称、漏洞等级、漏洞类型、CVE编号、发现时间、修复状态|漏洞ID、漏洞名称、漏洞等级}</t>
        </is>
      </c>
      <c r="Y1517" s="88" t="n"/>
      <c r="Z1517" s="88" t="n"/>
    </row>
    <row r="1518" hidden="1" ht="43.2" customHeight="1">
      <c r="A1518" s="69">
        <f>ROW()-1</f>
        <v/>
      </c>
      <c r="B1518" s="53" t="n"/>
      <c r="C1518" s="117" t="n">
        <v>2026</v>
      </c>
      <c r="E1518" s="53" t="n"/>
      <c r="F1518" s="53" t="n"/>
      <c r="G1518" s="53" t="n"/>
      <c r="H1518" s="96" t="inlineStr">
        <is>
          <t>启用漏洞查询接口</t>
        </is>
      </c>
      <c r="I1518" s="76" t="inlineStr">
        <is>
          <t>EI</t>
        </is>
      </c>
      <c r="J1518" s="95" t="n"/>
      <c r="K1518" s="95" t="n"/>
      <c r="L1518" s="83">
        <f>IF(OR(X1518="估算法",X1518="算法类",X1518="无法识别"),"",IF(V1518="",IF(OR(I1518="EI",I1518="EO",I1518="EQ"),0,""),LEN(V1518)-LEN(SUBSTITUTE(V1518,"、",""))+1))</f>
        <v/>
      </c>
      <c r="M1518" s="83">
        <f>IF(OR(X1518="估算法",X1518="算法类",X1518="无法识别"),"",IF(W1518="",IF(OR(I1518="ILF",I1518="EIF"),0,""),LEN(W1518)-LEN(SUBSTITUTE(W1518,"、",""))+1))</f>
        <v/>
      </c>
      <c r="N1518" s="83">
        <f>IF(OR(X1518="估算法",X1518="算法类",X1518="无法识别"),"",IF(X1518="",IF(OR(I1518="ILF",I1518="EIF",I1518="EI",I1518="EO",I1518="EQ"),0,""),LEN(X1518)-LEN(SUBSTITUTE(SUBSTITUTE(SUBSTITUTE(SUBSTITUTE(SUBSTITUTE(X1518,"|}","--"),"{|","--"),CHAR(10),""),"、",""),"|",""))+IF(AND(OR(I1518="EI",I1518="EO",I1518="EQ"),$AD$1="NESMA"),2,1)))</f>
        <v/>
      </c>
      <c r="O1518" s="84">
        <f>IF(I1518="EI",IF(OR(X1518="估算法",X1518="算法类"),"中",IF(X1518="无法识别","低",IF(L1518&lt;2,IF(N1518&lt;16,"低","中"),IF(L1518&lt;3,IF(N1518&lt;5,"低",IF(N1518&lt;16,"中","高")),IF(N1518&lt;5,"中","高"))))),IF(OR(I1518="EO",I1518="EQ"),IF(OR(X1518="估算法",X1518="算法类"),"中",IF(X1518="无法识别","低",IF(L1518&lt;2,IF(N1518&lt;20,"低","中"),IF(L1518&lt;4,IF(N1518&lt;6,"低",IF(N1518&lt;20,"中","高")),IF(N1518&lt;6,"中","高"))))),IF(OR(I1518="ILF",I1518="EIF"),IF(OR(X1518="估算法",X1518="算法类",X1518="无法识别"),"低",IF(M1518&lt;2,IF(N1518&lt;51,"低","中"),IF(M1518&lt;6,IF(N1518&lt;20,"低",IF(N1518&lt;51,"中","高")),IF(N1518&lt;20,"中","高")))),"不计算")))</f>
        <v/>
      </c>
      <c r="P1518" s="142">
        <f>IFERROR(IF(I1518="EI",IF(O1518="低",3,IF(O1518="中",4,6)),IF(I1518="EO",IF(O1518="低",4,IF(O1518="中",5,7)),IF(I1518="EQ",IF(O1518="低",3,IF(O1518="中",4,6)),IF(I1518="ILF",IF(O1518="低",7,IF(O1518="中",10,15)),IF(I1518="EIF",IF(O1518="低",5,IF(O1518="中",7,10)),"不计算")))))*Q1518,"不计算")</f>
        <v/>
      </c>
      <c r="Q1518" s="142" t="n">
        <v>0.333333333333333</v>
      </c>
      <c r="R1518" s="143">
        <f>调整因子!$F$13</f>
        <v/>
      </c>
      <c r="S1518" s="70" t="n">
        <v>1</v>
      </c>
      <c r="T1518" s="144">
        <f>IFERROR(P1518*R1518,0)</f>
        <v/>
      </c>
      <c r="U1518" s="145">
        <f>T1518*S1518</f>
        <v/>
      </c>
      <c r="V1518" s="96" t="inlineStr">
        <is>
          <t>漏洞处置单表、漏洞统计数据表</t>
        </is>
      </c>
      <c r="W1518" s="96" t="inlineStr"/>
      <c r="X1518" s="111"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Y1518" s="88" t="n"/>
      <c r="Z1518" s="88" t="n"/>
    </row>
    <row r="1519" hidden="1" ht="21.6" customHeight="1">
      <c r="A1519" s="69">
        <f>ROW()-1</f>
        <v/>
      </c>
      <c r="B1519" s="53" t="n"/>
      <c r="C1519" s="117" t="n">
        <v>2026</v>
      </c>
      <c r="E1519" s="53" t="n"/>
      <c r="F1519" s="53" t="n"/>
      <c r="G1519" s="53" t="n"/>
      <c r="H1519" s="96" t="inlineStr">
        <is>
          <t>停用漏洞查询接口</t>
        </is>
      </c>
      <c r="I1519" s="76" t="n"/>
      <c r="J1519" s="95" t="n"/>
      <c r="K1519" s="95" t="inlineStr">
        <is>
          <t>和上行合并，启停为相同功能</t>
        </is>
      </c>
      <c r="L1519" s="83">
        <f>IF(OR(X1519="估算法",X1519="算法类",X1519="无法识别"),"",IF(V1519="",IF(OR(I1519="EI",I1519="EO",I1519="EQ"),0,""),LEN(V1519)-LEN(SUBSTITUTE(V1519,"、",""))+1))</f>
        <v/>
      </c>
      <c r="M1519" s="83">
        <f>IF(OR(X1519="估算法",X1519="算法类",X1519="无法识别"),"",IF(W1519="",IF(OR(I1519="ILF",I1519="EIF"),0,""),LEN(W1519)-LEN(SUBSTITUTE(W1519,"、",""))+1))</f>
        <v/>
      </c>
      <c r="N1519" s="83">
        <f>IF(OR(X1519="估算法",X1519="算法类",X1519="无法识别"),"",IF(X1519="",IF(OR(I1519="ILF",I1519="EIF",I1519="EI",I1519="EO",I1519="EQ"),0,""),LEN(X1519)-LEN(SUBSTITUTE(SUBSTITUTE(SUBSTITUTE(SUBSTITUTE(SUBSTITUTE(X1519,"|}","--"),"{|","--"),CHAR(10),""),"、",""),"|",""))+IF(AND(OR(I1519="EI",I1519="EO",I1519="EQ"),$AD$1="NESMA"),2,1)))</f>
        <v/>
      </c>
      <c r="O1519" s="84">
        <f>IF(I1519="EI",IF(OR(X1519="估算法",X1519="算法类"),"中",IF(X1519="无法识别","低",IF(L1519&lt;2,IF(N1519&lt;16,"低","中"),IF(L1519&lt;3,IF(N1519&lt;5,"低",IF(N1519&lt;16,"中","高")),IF(N1519&lt;5,"中","高"))))),IF(OR(I1519="EO",I1519="EQ"),IF(OR(X1519="估算法",X1519="算法类"),"中",IF(X1519="无法识别","低",IF(L1519&lt;2,IF(N1519&lt;20,"低","中"),IF(L1519&lt;4,IF(N1519&lt;6,"低",IF(N1519&lt;20,"中","高")),IF(N1519&lt;6,"中","高"))))),IF(OR(I1519="ILF",I1519="EIF"),IF(OR(X1519="估算法",X1519="算法类",X1519="无法识别"),"低",IF(M1519&lt;2,IF(N1519&lt;51,"低","中"),IF(M1519&lt;6,IF(N1519&lt;20,"低",IF(N1519&lt;51,"中","高")),IF(N1519&lt;20,"中","高")))),"不计算")))</f>
        <v/>
      </c>
      <c r="P1519" s="142">
        <f>IFERROR(IF(I1519="EI",IF(O1519="低",3,IF(O1519="中",4,6)),IF(I1519="EO",IF(O1519="低",4,IF(O1519="中",5,7)),IF(I1519="EQ",IF(O1519="低",3,IF(O1519="中",4,6)),IF(I1519="ILF",IF(O1519="低",7,IF(O1519="中",10,15)),IF(I1519="EIF",IF(O1519="低",5,IF(O1519="中",7,10)),"不计算")))))*Q1519,"不计算")</f>
        <v/>
      </c>
      <c r="Q1519" s="142" t="n">
        <v>0.333333333333333</v>
      </c>
      <c r="R1519" s="143">
        <f>调整因子!$F$13</f>
        <v/>
      </c>
      <c r="S1519" s="70" t="n">
        <v>1</v>
      </c>
      <c r="T1519" s="144">
        <f>IFERROR(P1519*R1519,0)</f>
        <v/>
      </c>
      <c r="U1519" s="145">
        <f>T1519*S1519</f>
        <v/>
      </c>
      <c r="V1519" s="96" t="inlineStr">
        <is>
          <t>漏洞处置单表</t>
        </is>
      </c>
      <c r="W1519" s="96" t="inlineStr"/>
      <c r="X1519" s="111" t="inlineStr">
        <is>
          <t>漏洞处置单表{漏洞ID、漏洞名称、漏洞等级、漏洞类型、CVE编号、发现时间、修复状态|漏洞ID、漏洞名称、漏洞等级}</t>
        </is>
      </c>
      <c r="Y1519" s="88" t="n"/>
      <c r="Z1519" s="88" t="n"/>
    </row>
    <row r="1520" hidden="1" ht="21.6" customHeight="1">
      <c r="A1520" s="69">
        <f>ROW()-1</f>
        <v/>
      </c>
      <c r="B1520" s="53" t="n"/>
      <c r="C1520" s="117" t="n">
        <v>2026</v>
      </c>
      <c r="E1520" s="53" t="n"/>
      <c r="F1520" s="53" t="n"/>
      <c r="G1520" s="53" t="n"/>
      <c r="H1520" s="96" t="inlineStr">
        <is>
          <t>返回查询结果</t>
        </is>
      </c>
      <c r="I1520" s="76" t="inlineStr">
        <is>
          <t>EO</t>
        </is>
      </c>
      <c r="J1520" s="95" t="n"/>
      <c r="K1520" s="95" t="n"/>
      <c r="L1520" s="83">
        <f>IF(OR(X1520="估算法",X1520="算法类",X1520="无法识别"),"",IF(V1520="",IF(OR(I1520="EI",I1520="EO",I1520="EQ"),0,""),LEN(V1520)-LEN(SUBSTITUTE(V1520,"、",""))+1))</f>
        <v/>
      </c>
      <c r="M1520" s="83">
        <f>IF(OR(X1520="估算法",X1520="算法类",X1520="无法识别"),"",IF(W1520="",IF(OR(I1520="ILF",I1520="EIF"),0,""),LEN(W1520)-LEN(SUBSTITUTE(W1520,"、",""))+1))</f>
        <v/>
      </c>
      <c r="N1520" s="83">
        <f>IF(OR(X1520="估算法",X1520="算法类",X1520="无法识别"),"",IF(X1520="",IF(OR(I1520="ILF",I1520="EIF",I1520="EI",I1520="EO",I1520="EQ"),0,""),LEN(X1520)-LEN(SUBSTITUTE(SUBSTITUTE(SUBSTITUTE(SUBSTITUTE(SUBSTITUTE(X1520,"|}","--"),"{|","--"),CHAR(10),""),"、",""),"|",""))+IF(AND(OR(I1520="EI",I1520="EO",I1520="EQ"),$AD$1="NESMA"),2,1)))</f>
        <v/>
      </c>
      <c r="O1520" s="84">
        <f>IF(I1520="EI",IF(OR(X1520="估算法",X1520="算法类"),"中",IF(X1520="无法识别","低",IF(L1520&lt;2,IF(N1520&lt;16,"低","中"),IF(L1520&lt;3,IF(N1520&lt;5,"低",IF(N1520&lt;16,"中","高")),IF(N1520&lt;5,"中","高"))))),IF(OR(I1520="EO",I1520="EQ"),IF(OR(X1520="估算法",X1520="算法类"),"中",IF(X1520="无法识别","低",IF(L1520&lt;2,IF(N1520&lt;20,"低","中"),IF(L1520&lt;4,IF(N1520&lt;6,"低",IF(N1520&lt;20,"中","高")),IF(N1520&lt;6,"中","高"))))),IF(OR(I1520="ILF",I1520="EIF"),IF(OR(X1520="估算法",X1520="算法类",X1520="无法识别"),"低",IF(M1520&lt;2,IF(N1520&lt;51,"低","中"),IF(M1520&lt;6,IF(N1520&lt;20,"低",IF(N1520&lt;51,"中","高")),IF(N1520&lt;20,"中","高")))),"不计算")))</f>
        <v/>
      </c>
      <c r="P1520" s="142">
        <f>IFERROR(IF(I1520="EI",IF(O1520="低",3,IF(O1520="中",4,6)),IF(I1520="EO",IF(O1520="低",4,IF(O1520="中",5,7)),IF(I1520="EQ",IF(O1520="低",3,IF(O1520="中",4,6)),IF(I1520="ILF",IF(O1520="低",7,IF(O1520="中",10,15)),IF(I1520="EIF",IF(O1520="低",5,IF(O1520="中",7,10)),"不计算")))))*Q1520,"不计算")</f>
        <v/>
      </c>
      <c r="Q1520" s="142" t="n">
        <v>0.333333333333333</v>
      </c>
      <c r="R1520" s="143">
        <f>调整因子!$F$13</f>
        <v/>
      </c>
      <c r="S1520" s="76" t="n">
        <v>1</v>
      </c>
      <c r="T1520" s="144">
        <f>IFERROR(P1520*R1520,0)</f>
        <v/>
      </c>
      <c r="U1520" s="145">
        <f>T1520*S1520</f>
        <v/>
      </c>
      <c r="V1520" s="96" t="inlineStr">
        <is>
          <t>资产扫描覆盖表</t>
        </is>
      </c>
      <c r="W1520" s="96" t="inlineStr"/>
      <c r="X1520" s="111" t="inlineStr">
        <is>
          <t>资产扫描覆盖表{资产ID、资产名称|资产ID、资产名称、IP地址、资产类型、资产状态、创建时间、更新时间}</t>
        </is>
      </c>
      <c r="Y1520" s="88" t="n"/>
      <c r="Z1520" s="88" t="n"/>
    </row>
    <row r="1521" hidden="1" ht="21.6" customHeight="1">
      <c r="A1521" s="69">
        <f>ROW()-1</f>
        <v/>
      </c>
      <c r="B1521" s="53" t="n"/>
      <c r="C1521" s="117" t="n">
        <v>2026</v>
      </c>
      <c r="E1521" s="53" t="n"/>
      <c r="F1521" s="53" t="n"/>
      <c r="G1521" s="53" t="n"/>
      <c r="H1521" s="96" t="inlineStr">
        <is>
          <t>推送错误信息</t>
        </is>
      </c>
      <c r="I1521" s="76" t="n"/>
      <c r="J1521" s="95" t="n"/>
      <c r="K1521" s="95" t="inlineStr">
        <is>
          <t>和上行合并，异常分支</t>
        </is>
      </c>
      <c r="L1521" s="83">
        <f>IF(OR(X1521="估算法",X1521="算法类",X1521="无法识别"),"",IF(V1521="",IF(OR(I1521="EI",I1521="EO",I1521="EQ"),0,""),LEN(V1521)-LEN(SUBSTITUTE(V1521,"、",""))+1))</f>
        <v/>
      </c>
      <c r="M1521" s="83">
        <f>IF(OR(X1521="估算法",X1521="算法类",X1521="无法识别"),"",IF(W1521="",IF(OR(I1521="ILF",I1521="EIF"),0,""),LEN(W1521)-LEN(SUBSTITUTE(W1521,"、",""))+1))</f>
        <v/>
      </c>
      <c r="N1521" s="83">
        <f>IF(OR(X1521="估算法",X1521="算法类",X1521="无法识别"),"",IF(X1521="",IF(OR(I1521="ILF",I1521="EIF",I1521="EI",I1521="EO",I1521="EQ"),0,""),LEN(X1521)-LEN(SUBSTITUTE(SUBSTITUTE(SUBSTITUTE(SUBSTITUTE(SUBSTITUTE(X1521,"|}","--"),"{|","--"),CHAR(10),""),"、",""),"|",""))+IF(AND(OR(I1521="EI",I1521="EO",I1521="EQ"),$AD$1="NESMA"),2,1)))</f>
        <v/>
      </c>
      <c r="O1521" s="84">
        <f>IF(I1521="EI",IF(OR(X1521="估算法",X1521="算法类"),"中",IF(X1521="无法识别","低",IF(L1521&lt;2,IF(N1521&lt;16,"低","中"),IF(L1521&lt;3,IF(N1521&lt;5,"低",IF(N1521&lt;16,"中","高")),IF(N1521&lt;5,"中","高"))))),IF(OR(I1521="EO",I1521="EQ"),IF(OR(X1521="估算法",X1521="算法类"),"中",IF(X1521="无法识别","低",IF(L1521&lt;2,IF(N1521&lt;20,"低","中"),IF(L1521&lt;4,IF(N1521&lt;6,"低",IF(N1521&lt;20,"中","高")),IF(N1521&lt;6,"中","高"))))),IF(OR(I1521="ILF",I1521="EIF"),IF(OR(X1521="估算法",X1521="算法类",X1521="无法识别"),"低",IF(M1521&lt;2,IF(N1521&lt;51,"低","中"),IF(M1521&lt;6,IF(N1521&lt;20,"低",IF(N1521&lt;51,"中","高")),IF(N1521&lt;20,"中","高")))),"不计算")))</f>
        <v/>
      </c>
      <c r="P1521" s="142">
        <f>IFERROR(IF(I1521="EI",IF(O1521="低",3,IF(O1521="中",4,6)),IF(I1521="EO",IF(O1521="低",4,IF(O1521="中",5,7)),IF(I1521="EQ",IF(O1521="低",3,IF(O1521="中",4,6)),IF(I1521="ILF",IF(O1521="低",7,IF(O1521="中",10,15)),IF(I1521="EIF",IF(O1521="低",5,IF(O1521="中",7,10)),"不计算")))))*Q1521,"不计算")</f>
        <v/>
      </c>
      <c r="Q1521" s="142" t="n">
        <v>0.333333333333333</v>
      </c>
      <c r="R1521" s="143">
        <f>调整因子!$F$13</f>
        <v/>
      </c>
      <c r="S1521" s="70" t="n">
        <v>1</v>
      </c>
      <c r="T1521" s="144">
        <f>IFERROR(P1521*R1521,0)</f>
        <v/>
      </c>
      <c r="U1521" s="145">
        <f>T1521*S1521</f>
        <v/>
      </c>
      <c r="V1521" s="96" t="inlineStr">
        <is>
          <t>漏洞趋势数据表</t>
        </is>
      </c>
      <c r="W1521" s="96" t="inlineStr"/>
      <c r="X1521" s="111" t="inlineStr">
        <is>
          <t>漏洞趋势数据表{漏洞ID、漏洞名称|漏洞ID、漏洞名称、漏洞等级、漏洞类型、CVE编号、发现时间、修复状态}</t>
        </is>
      </c>
      <c r="Y1521" s="88" t="n"/>
      <c r="Z1521" s="88" t="n"/>
    </row>
    <row r="1522" hidden="1" ht="43.2" customHeight="1">
      <c r="A1522" s="69">
        <f>ROW()-1</f>
        <v/>
      </c>
      <c r="B1522" s="53" t="n"/>
      <c r="C1522" s="117" t="n">
        <v>2026</v>
      </c>
      <c r="E1522" s="53" t="n"/>
      <c r="F1522" s="53" t="n"/>
      <c r="G1522" s="53" t="n"/>
      <c r="H1522" s="96" t="inlineStr">
        <is>
          <t>查询接口状态</t>
        </is>
      </c>
      <c r="I1522" s="76" t="inlineStr">
        <is>
          <t>EQ</t>
        </is>
      </c>
      <c r="J1522" s="95" t="n"/>
      <c r="K1522" s="95" t="n"/>
      <c r="L1522" s="83">
        <f>IF(OR(X1522="估算法",X1522="算法类",X1522="无法识别"),"",IF(V1522="",IF(OR(I1522="EI",I1522="EO",I1522="EQ"),0,""),LEN(V1522)-LEN(SUBSTITUTE(V1522,"、",""))+1))</f>
        <v/>
      </c>
      <c r="M1522" s="83">
        <f>IF(OR(X1522="估算法",X1522="算法类",X1522="无法识别"),"",IF(W1522="",IF(OR(I1522="ILF",I1522="EIF"),0,""),LEN(W1522)-LEN(SUBSTITUTE(W1522,"、",""))+1))</f>
        <v/>
      </c>
      <c r="N1522" s="83">
        <f>IF(OR(X1522="估算法",X1522="算法类",X1522="无法识别"),"",IF(X1522="",IF(OR(I1522="ILF",I1522="EIF",I1522="EI",I1522="EO",I1522="EQ"),0,""),LEN(X1522)-LEN(SUBSTITUTE(SUBSTITUTE(SUBSTITUTE(SUBSTITUTE(SUBSTITUTE(X1522,"|}","--"),"{|","--"),CHAR(10),""),"、",""),"|",""))+IF(AND(OR(I1522="EI",I1522="EO",I1522="EQ"),$AD$1="NESMA"),2,1)))</f>
        <v/>
      </c>
      <c r="O1522" s="84">
        <f>IF(I1522="EI",IF(OR(X1522="估算法",X1522="算法类"),"中",IF(X1522="无法识别","低",IF(L1522&lt;2,IF(N1522&lt;16,"低","中"),IF(L1522&lt;3,IF(N1522&lt;5,"低",IF(N1522&lt;16,"中","高")),IF(N1522&lt;5,"中","高"))))),IF(OR(I1522="EO",I1522="EQ"),IF(OR(X1522="估算法",X1522="算法类"),"中",IF(X1522="无法识别","低",IF(L1522&lt;2,IF(N1522&lt;20,"低","中"),IF(L1522&lt;4,IF(N1522&lt;6,"低",IF(N1522&lt;20,"中","高")),IF(N1522&lt;6,"中","高"))))),IF(OR(I1522="ILF",I1522="EIF"),IF(OR(X1522="估算法",X1522="算法类",X1522="无法识别"),"低",IF(M1522&lt;2,IF(N1522&lt;51,"低","中"),IF(M1522&lt;6,IF(N1522&lt;20,"低",IF(N1522&lt;51,"中","高")),IF(N1522&lt;20,"中","高")))),"不计算")))</f>
        <v/>
      </c>
      <c r="P1522" s="142">
        <f>IFERROR(IF(I1522="EI",IF(O1522="低",3,IF(O1522="中",4,6)),IF(I1522="EO",IF(O1522="低",4,IF(O1522="中",5,7)),IF(I1522="EQ",IF(O1522="低",3,IF(O1522="中",4,6)),IF(I1522="ILF",IF(O1522="低",7,IF(O1522="中",10,15)),IF(I1522="EIF",IF(O1522="低",5,IF(O1522="中",7,10)),"不计算")))))*Q1522,"不计算")</f>
        <v/>
      </c>
      <c r="Q1522" s="142" t="n">
        <v>0.333333333333333</v>
      </c>
      <c r="R1522" s="143">
        <f>调整因子!$F$13</f>
        <v/>
      </c>
      <c r="S1522" s="70" t="n">
        <v>1</v>
      </c>
      <c r="T1522" s="144">
        <f>IFERROR(P1522*R1522,0)</f>
        <v/>
      </c>
      <c r="U1522" s="145">
        <f>T1522*S1522</f>
        <v/>
      </c>
      <c r="V1522" s="96" t="inlineStr">
        <is>
          <t>同步任务调度表、任务优先级配置表</t>
        </is>
      </c>
      <c r="W1522" s="96" t="inlineStr"/>
      <c r="X1522" s="111" t="inlineStr">
        <is>
          <t>同步任务调度表{任务ID、任务名称|任务ID、任务名称、任务类型、任务状态、创建时间、执行时间}
任务优先级配置表{任务ID、任务名称|任务ID、任务名称、任务类型、任务状态、创建时间、执行时间}</t>
        </is>
      </c>
      <c r="Y1522" s="88" t="n"/>
      <c r="Z1522" s="88" t="n"/>
    </row>
    <row r="1523" hidden="1" ht="32.4" customHeight="1">
      <c r="A1523" s="69">
        <f>ROW()-1</f>
        <v/>
      </c>
      <c r="B1523" s="53" t="n"/>
      <c r="C1523" s="117" t="n">
        <v>2026</v>
      </c>
      <c r="E1523" s="53" t="n"/>
      <c r="F1523" s="53" t="n"/>
      <c r="G1523" s="54" t="n"/>
      <c r="H1523" s="96" t="inlineStr">
        <is>
          <t>查看接口日志</t>
        </is>
      </c>
      <c r="I1523" s="76" t="inlineStr">
        <is>
          <t>EQ</t>
        </is>
      </c>
      <c r="J1523" s="95" t="n"/>
      <c r="K1523" s="95" t="n"/>
      <c r="L1523" s="83">
        <f>IF(OR(X1523="估算法",X1523="算法类",X1523="无法识别"),"",IF(V1523="",IF(OR(I1523="EI",I1523="EO",I1523="EQ"),0,""),LEN(V1523)-LEN(SUBSTITUTE(V1523,"、",""))+1))</f>
        <v/>
      </c>
      <c r="M1523" s="83">
        <f>IF(OR(X1523="估算法",X1523="算法类",X1523="无法识别"),"",IF(W1523="",IF(OR(I1523="ILF",I1523="EIF"),0,""),LEN(W1523)-LEN(SUBSTITUTE(W1523,"、",""))+1))</f>
        <v/>
      </c>
      <c r="N1523" s="83">
        <f>IF(OR(X1523="估算法",X1523="算法类",X1523="无法识别"),"",IF(X1523="",IF(OR(I1523="ILF",I1523="EIF",I1523="EI",I1523="EO",I1523="EQ"),0,""),LEN(X1523)-LEN(SUBSTITUTE(SUBSTITUTE(SUBSTITUTE(SUBSTITUTE(SUBSTITUTE(X1523,"|}","--"),"{|","--"),CHAR(10),""),"、",""),"|",""))+IF(AND(OR(I1523="EI",I1523="EO",I1523="EQ"),$AD$1="NESMA"),2,1)))</f>
        <v/>
      </c>
      <c r="O1523" s="84">
        <f>IF(I1523="EI",IF(OR(X1523="估算法",X1523="算法类"),"中",IF(X1523="无法识别","低",IF(L1523&lt;2,IF(N1523&lt;16,"低","中"),IF(L1523&lt;3,IF(N1523&lt;5,"低",IF(N1523&lt;16,"中","高")),IF(N1523&lt;5,"中","高"))))),IF(OR(I1523="EO",I1523="EQ"),IF(OR(X1523="估算法",X1523="算法类"),"中",IF(X1523="无法识别","低",IF(L1523&lt;2,IF(N1523&lt;20,"低","中"),IF(L1523&lt;4,IF(N1523&lt;6,"低",IF(N1523&lt;20,"中","高")),IF(N1523&lt;6,"中","高"))))),IF(OR(I1523="ILF",I1523="EIF"),IF(OR(X1523="估算法",X1523="算法类",X1523="无法识别"),"低",IF(M1523&lt;2,IF(N1523&lt;51,"低","中"),IF(M1523&lt;6,IF(N1523&lt;20,"低",IF(N1523&lt;51,"中","高")),IF(N1523&lt;20,"中","高")))),"不计算")))</f>
        <v/>
      </c>
      <c r="P1523" s="142">
        <f>IFERROR(IF(I1523="EI",IF(O1523="低",3,IF(O1523="中",4,6)),IF(I1523="EO",IF(O1523="低",4,IF(O1523="中",5,7)),IF(I1523="EQ",IF(O1523="低",3,IF(O1523="中",4,6)),IF(I1523="ILF",IF(O1523="低",7,IF(O1523="中",10,15)),IF(I1523="EIF",IF(O1523="低",5,IF(O1523="中",7,10)),"不计算")))))*Q1523,"不计算")</f>
        <v/>
      </c>
      <c r="Q1523" s="142" t="n">
        <v>0.333333333333333</v>
      </c>
      <c r="R1523" s="143">
        <f>调整因子!$F$13</f>
        <v/>
      </c>
      <c r="S1523" s="76" t="n">
        <v>1</v>
      </c>
      <c r="T1523" s="144">
        <f>IFERROR(P1523*R1523,0)</f>
        <v/>
      </c>
      <c r="U1523" s="145">
        <f>T1523*S1523</f>
        <v/>
      </c>
      <c r="V1523" s="96" t="inlineStr">
        <is>
          <t>任务日志表、推送日志表</t>
        </is>
      </c>
      <c r="W1523" s="96" t="inlineStr"/>
      <c r="X1523" s="111" t="inlineStr">
        <is>
          <t>任务日志表{任务ID、任务名称|任务ID、任务名称、任务类型、任务状态、创建时间、执行时间}
推送日志表{日志ID、操作人|日志ID、操作人、操作类型、操作时间、操作内容}</t>
        </is>
      </c>
      <c r="Y1523" s="88" t="n"/>
      <c r="Z1523" s="88" t="n"/>
    </row>
    <row r="1524" hidden="1" ht="21.6" customHeight="1">
      <c r="A1524" s="69">
        <f>ROW()-1</f>
        <v/>
      </c>
      <c r="B1524" s="53" t="n"/>
      <c r="C1524" s="117" t="n">
        <v>2026</v>
      </c>
      <c r="E1524" s="53" t="n"/>
      <c r="F1524" s="53" t="n"/>
      <c r="G1524" s="111" t="inlineStr">
        <is>
          <t>漏洞处置推送接口管理</t>
        </is>
      </c>
      <c r="H1524" s="96" t="inlineStr">
        <is>
          <t>漏洞处置推送接口配置表</t>
        </is>
      </c>
      <c r="I1524" s="76" t="inlineStr">
        <is>
          <t>ILF</t>
        </is>
      </c>
      <c r="J1524" s="95" t="n"/>
      <c r="K1524" s="95" t="n"/>
      <c r="L1524" s="83">
        <f>IF(OR(X1524="估算法",X1524="算法类",X1524="无法识别"),"",IF(V1524="",IF(OR(I1524="EI",I1524="EO",I1524="EQ"),0,""),LEN(V1524)-LEN(SUBSTITUTE(V1524,"、",""))+1))</f>
        <v/>
      </c>
      <c r="M1524" s="83">
        <f>IF(OR(X1524="估算法",X1524="算法类",X1524="无法识别"),"",IF(W1524="",IF(OR(I1524="ILF",I1524="EIF"),0,""),LEN(W1524)-LEN(SUBSTITUTE(W1524,"、",""))+1))</f>
        <v/>
      </c>
      <c r="N1524" s="83">
        <f>IF(OR(X1524="估算法",X1524="算法类",X1524="无法识别"),"",IF(X1524="",IF(OR(I1524="ILF",I1524="EIF",I1524="EI",I1524="EO",I1524="EQ"),0,""),LEN(X1524)-LEN(SUBSTITUTE(SUBSTITUTE(SUBSTITUTE(SUBSTITUTE(SUBSTITUTE(X1524,"|}","--"),"{|","--"),CHAR(10),""),"、",""),"|",""))+IF(AND(OR(I1524="EI",I1524="EO",I1524="EQ"),$AD$1="NESMA"),2,1)))</f>
        <v/>
      </c>
      <c r="O1524" s="84">
        <f>IF(I1524="EI",IF(OR(X1524="估算法",X1524="算法类"),"中",IF(X1524="无法识别","低",IF(L1524&lt;2,IF(N1524&lt;16,"低","中"),IF(L1524&lt;3,IF(N1524&lt;5,"低",IF(N1524&lt;16,"中","高")),IF(N1524&lt;5,"中","高"))))),IF(OR(I1524="EO",I1524="EQ"),IF(OR(X1524="估算法",X1524="算法类"),"中",IF(X1524="无法识别","低",IF(L1524&lt;2,IF(N1524&lt;20,"低","中"),IF(L1524&lt;4,IF(N1524&lt;6,"低",IF(N1524&lt;20,"中","高")),IF(N1524&lt;6,"中","高"))))),IF(OR(I1524="ILF",I1524="EIF"),IF(OR(X1524="估算法",X1524="算法类",X1524="无法识别"),"低",IF(M1524&lt;2,IF(N1524&lt;51,"低","中"),IF(M1524&lt;6,IF(N1524&lt;20,"低",IF(N1524&lt;51,"中","高")),IF(N1524&lt;20,"中","高")))),"不计算")))</f>
        <v/>
      </c>
      <c r="P1524" s="142">
        <f>IFERROR(IF(I1524="EI",IF(O1524="低",3,IF(O1524="中",4,6)),IF(I1524="EO",IF(O1524="低",4,IF(O1524="中",5,7)),IF(I1524="EQ",IF(O1524="低",3,IF(O1524="中",4,6)),IF(I1524="ILF",IF(O1524="低",7,IF(O1524="中",10,15)),IF(I1524="EIF",IF(O1524="低",5,IF(O1524="中",7,10)),"不计算")))))*Q1524,"不计算")</f>
        <v/>
      </c>
      <c r="Q1524" s="142" t="n">
        <v>1</v>
      </c>
      <c r="R1524" s="143">
        <f>调整因子!$F$13</f>
        <v/>
      </c>
      <c r="S1524" s="76" t="n">
        <v>1</v>
      </c>
      <c r="T1524" s="144">
        <f>IFERROR(P1524*R1524,0)</f>
        <v/>
      </c>
      <c r="U1524" s="145">
        <f>T1524*S1524</f>
        <v/>
      </c>
      <c r="V1524" s="96" t="inlineStr"/>
      <c r="W1524" s="96" t="inlineStr">
        <is>
          <t>系统漏洞</t>
        </is>
      </c>
      <c r="X1524" s="111" t="inlineStr">
        <is>
          <t>漏洞处置推送接口配置表{漏洞ID、漏洞名称、漏洞等级|漏洞ID、漏洞名称、漏洞等级、漏洞类型、CVE编号、发现时间、修复状态}</t>
        </is>
      </c>
      <c r="Y1524" s="88">
        <f>IF(COUNTIFS(V:V,"*"&amp;H1524&amp;"*")&gt;0,"存在","不存在")</f>
        <v/>
      </c>
      <c r="Z1524" s="88">
        <f>IF(COUNTIFS(AA:AA,"*"&amp;H1524&amp;"*")&gt;0,"存在","不存在")</f>
        <v/>
      </c>
    </row>
    <row r="1525" hidden="1" ht="21.6" customHeight="1">
      <c r="A1525" s="69">
        <f>ROW()-1</f>
        <v/>
      </c>
      <c r="B1525" s="53" t="n"/>
      <c r="C1525" s="117" t="n">
        <v>2026</v>
      </c>
      <c r="E1525" s="53" t="n"/>
      <c r="F1525" s="53" t="n"/>
      <c r="G1525" s="53" t="n"/>
      <c r="H1525" s="96" t="inlineStr">
        <is>
          <t>推送规则表</t>
        </is>
      </c>
      <c r="I1525" s="76" t="inlineStr">
        <is>
          <t>ILF</t>
        </is>
      </c>
      <c r="J1525" s="95" t="n"/>
      <c r="K1525" s="95" t="n"/>
      <c r="L1525" s="83">
        <f>IF(OR(X1525="估算法",X1525="算法类",X1525="无法识别"),"",IF(V1525="",IF(OR(I1525="EI",I1525="EO",I1525="EQ"),0,""),LEN(V1525)-LEN(SUBSTITUTE(V1525,"、",""))+1))</f>
        <v/>
      </c>
      <c r="M1525" s="83">
        <f>IF(OR(X1525="估算法",X1525="算法类",X1525="无法识别"),"",IF(W1525="",IF(OR(I1525="ILF",I1525="EIF"),0,""),LEN(W1525)-LEN(SUBSTITUTE(W1525,"、",""))+1))</f>
        <v/>
      </c>
      <c r="N1525" s="83">
        <f>IF(OR(X1525="估算法",X1525="算法类",X1525="无法识别"),"",IF(X1525="",IF(OR(I1525="ILF",I1525="EIF",I1525="EI",I1525="EO",I1525="EQ"),0,""),LEN(X1525)-LEN(SUBSTITUTE(SUBSTITUTE(SUBSTITUTE(SUBSTITUTE(SUBSTITUTE(X1525,"|}","--"),"{|","--"),CHAR(10),""),"、",""),"|",""))+IF(AND(OR(I1525="EI",I1525="EO",I1525="EQ"),$AD$1="NESMA"),2,1)))</f>
        <v/>
      </c>
      <c r="O1525" s="84">
        <f>IF(I1525="EI",IF(OR(X1525="估算法",X1525="算法类"),"中",IF(X1525="无法识别","低",IF(L1525&lt;2,IF(N1525&lt;16,"低","中"),IF(L1525&lt;3,IF(N1525&lt;5,"低",IF(N1525&lt;16,"中","高")),IF(N1525&lt;5,"中","高"))))),IF(OR(I1525="EO",I1525="EQ"),IF(OR(X1525="估算法",X1525="算法类"),"中",IF(X1525="无法识别","低",IF(L1525&lt;2,IF(N1525&lt;20,"低","中"),IF(L1525&lt;4,IF(N1525&lt;6,"低",IF(N1525&lt;20,"中","高")),IF(N1525&lt;6,"中","高"))))),IF(OR(I1525="ILF",I1525="EIF"),IF(OR(X1525="估算法",X1525="算法类",X1525="无法识别"),"低",IF(M1525&lt;2,IF(N1525&lt;51,"低","中"),IF(M1525&lt;6,IF(N1525&lt;20,"低",IF(N1525&lt;51,"中","高")),IF(N1525&lt;20,"中","高")))),"不计算")))</f>
        <v/>
      </c>
      <c r="P1525" s="142">
        <f>IFERROR(IF(I1525="EI",IF(O1525="低",3,IF(O1525="中",4,6)),IF(I1525="EO",IF(O1525="低",4,IF(O1525="中",5,7)),IF(I1525="EQ",IF(O1525="低",3,IF(O1525="中",4,6)),IF(I1525="ILF",IF(O1525="低",7,IF(O1525="中",10,15)),IF(I1525="EIF",IF(O1525="低",5,IF(O1525="中",7,10)),"不计算")))))*Q1525,"不计算")</f>
        <v/>
      </c>
      <c r="Q1525" s="142" t="n">
        <v>1</v>
      </c>
      <c r="R1525" s="143">
        <f>调整因子!$F$13</f>
        <v/>
      </c>
      <c r="S1525" s="70" t="n">
        <v>1</v>
      </c>
      <c r="T1525" s="144">
        <f>IFERROR(P1525*R1525,0)</f>
        <v/>
      </c>
      <c r="U1525" s="145">
        <f>T1525*S1525</f>
        <v/>
      </c>
      <c r="V1525" s="96" t="inlineStr"/>
      <c r="W1525" s="96" t="inlineStr">
        <is>
          <t>数据记录</t>
        </is>
      </c>
      <c r="X1525" s="111" t="inlineStr">
        <is>
          <t>推送规则表{规则ID、规则名称、规则类型|规则ID、规则名称、规则类型、规则条件、创建时间}</t>
        </is>
      </c>
      <c r="Y1525" s="88">
        <f>IF(COUNTIFS(V:V,"*"&amp;H1525&amp;"*")&gt;0,"存在","不存在")</f>
        <v/>
      </c>
      <c r="Z1525" s="88">
        <f>IF(COUNTIFS(AA:AA,"*"&amp;H1525&amp;"*")&gt;0,"存在","不存在")</f>
        <v/>
      </c>
    </row>
    <row r="1526" hidden="1" ht="43.2" customHeight="1">
      <c r="A1526" s="69">
        <f>ROW()-1</f>
        <v/>
      </c>
      <c r="B1526" s="53" t="n"/>
      <c r="C1526" s="117" t="n">
        <v>2026</v>
      </c>
      <c r="E1526" s="53" t="n"/>
      <c r="F1526" s="53" t="n"/>
      <c r="G1526" s="53" t="n"/>
      <c r="H1526" s="96" t="inlineStr">
        <is>
          <t>配置处置推送接口</t>
        </is>
      </c>
      <c r="I1526" s="76" t="inlineStr">
        <is>
          <t>EI</t>
        </is>
      </c>
      <c r="J1526" s="95" t="n"/>
      <c r="K1526" s="95" t="n"/>
      <c r="L1526" s="83">
        <f>IF(OR(X1526="估算法",X1526="算法类",X1526="无法识别"),"",IF(V1526="",IF(OR(I1526="EI",I1526="EO",I1526="EQ"),0,""),LEN(V1526)-LEN(SUBSTITUTE(V1526,"、",""))+1))</f>
        <v/>
      </c>
      <c r="M1526" s="83">
        <f>IF(OR(X1526="估算法",X1526="算法类",X1526="无法识别"),"",IF(W1526="",IF(OR(I1526="ILF",I1526="EIF"),0,""),LEN(W1526)-LEN(SUBSTITUTE(W1526,"、",""))+1))</f>
        <v/>
      </c>
      <c r="N1526" s="83">
        <f>IF(OR(X1526="估算法",X1526="算法类",X1526="无法识别"),"",IF(X1526="",IF(OR(I1526="ILF",I1526="EIF",I1526="EI",I1526="EO",I1526="EQ"),0,""),LEN(X1526)-LEN(SUBSTITUTE(SUBSTITUTE(SUBSTITUTE(SUBSTITUTE(SUBSTITUTE(X1526,"|}","--"),"{|","--"),CHAR(10),""),"、",""),"|",""))+IF(AND(OR(I1526="EI",I1526="EO",I1526="EQ"),$AD$1="NESMA"),2,1)))</f>
        <v/>
      </c>
      <c r="O1526" s="84">
        <f>IF(I1526="EI",IF(OR(X1526="估算法",X1526="算法类"),"中",IF(X1526="无法识别","低",IF(L1526&lt;2,IF(N1526&lt;16,"低","中"),IF(L1526&lt;3,IF(N1526&lt;5,"低",IF(N1526&lt;16,"中","高")),IF(N1526&lt;5,"中","高"))))),IF(OR(I1526="EO",I1526="EQ"),IF(OR(X1526="估算法",X1526="算法类"),"中",IF(X1526="无法识别","低",IF(L1526&lt;2,IF(N1526&lt;20,"低","中"),IF(L1526&lt;4,IF(N1526&lt;6,"低",IF(N1526&lt;20,"中","高")),IF(N1526&lt;6,"中","高"))))),IF(OR(I1526="ILF",I1526="EIF"),IF(OR(X1526="估算法",X1526="算法类",X1526="无法识别"),"低",IF(M1526&lt;2,IF(N1526&lt;51,"低","中"),IF(M1526&lt;6,IF(N1526&lt;20,"低",IF(N1526&lt;51,"中","高")),IF(N1526&lt;20,"中","高")))),"不计算")))</f>
        <v/>
      </c>
      <c r="P1526" s="142">
        <f>IFERROR(IF(I1526="EI",IF(O1526="低",3,IF(O1526="中",4,6)),IF(I1526="EO",IF(O1526="低",4,IF(O1526="中",5,7)),IF(I1526="EQ",IF(O1526="低",3,IF(O1526="中",4,6)),IF(I1526="ILF",IF(O1526="低",7,IF(O1526="中",10,15)),IF(I1526="EIF",IF(O1526="低",5,IF(O1526="中",7,10)),"不计算")))))*Q1526,"不计算")</f>
        <v/>
      </c>
      <c r="Q1526" s="142" t="n">
        <v>0.333333333333333</v>
      </c>
      <c r="R1526" s="143">
        <f>调整因子!$F$13</f>
        <v/>
      </c>
      <c r="S1526" s="70" t="n">
        <v>1</v>
      </c>
      <c r="T1526" s="144">
        <f>IFERROR(P1526*R1526,0)</f>
        <v/>
      </c>
      <c r="U1526" s="145">
        <f>T1526*S1526</f>
        <v/>
      </c>
      <c r="V1526" s="96" t="inlineStr">
        <is>
          <t>任务优先级配置表、模板参数配置表</t>
        </is>
      </c>
      <c r="W1526" s="96" t="inlineStr"/>
      <c r="X1526" s="111" t="inlineStr">
        <is>
          <t>任务优先级配置表{任务ID、任务名称、任务类型、任务状态、创建时间、执行时间|任务ID、任务名称、任务类型}
模板参数配置表{配置ID、配置名称、配置类型、配置值、创建时间|配置ID、配置名称、配置类型}</t>
        </is>
      </c>
      <c r="Y1526" s="88" t="n"/>
      <c r="Z1526" s="88" t="n"/>
    </row>
    <row r="1527" hidden="1" ht="21.6" customHeight="1">
      <c r="A1527" s="69">
        <f>ROW()-1</f>
        <v/>
      </c>
      <c r="B1527" s="53" t="n"/>
      <c r="C1527" s="117" t="n">
        <v>2026</v>
      </c>
      <c r="E1527" s="53" t="n"/>
      <c r="F1527" s="53" t="n"/>
      <c r="G1527" s="53" t="n"/>
      <c r="H1527" s="96" t="inlineStr">
        <is>
          <t>编辑处置推送接口</t>
        </is>
      </c>
      <c r="I1527" s="76" t="inlineStr">
        <is>
          <t>EI</t>
        </is>
      </c>
      <c r="J1527" s="95" t="n"/>
      <c r="K1527" s="95" t="n"/>
      <c r="L1527" s="83">
        <f>IF(OR(X1527="估算法",X1527="算法类",X1527="无法识别"),"",IF(V1527="",IF(OR(I1527="EI",I1527="EO",I1527="EQ"),0,""),LEN(V1527)-LEN(SUBSTITUTE(V1527,"、",""))+1))</f>
        <v/>
      </c>
      <c r="M1527" s="83">
        <f>IF(OR(X1527="估算法",X1527="算法类",X1527="无法识别"),"",IF(W1527="",IF(OR(I1527="ILF",I1527="EIF"),0,""),LEN(W1527)-LEN(SUBSTITUTE(W1527,"、",""))+1))</f>
        <v/>
      </c>
      <c r="N1527" s="83">
        <f>IF(OR(X1527="估算法",X1527="算法类",X1527="无法识别"),"",IF(X1527="",IF(OR(I1527="ILF",I1527="EIF",I1527="EI",I1527="EO",I1527="EQ"),0,""),LEN(X1527)-LEN(SUBSTITUTE(SUBSTITUTE(SUBSTITUTE(SUBSTITUTE(SUBSTITUTE(X1527,"|}","--"),"{|","--"),CHAR(10),""),"、",""),"|",""))+IF(AND(OR(I1527="EI",I1527="EO",I1527="EQ"),$AD$1="NESMA"),2,1)))</f>
        <v/>
      </c>
      <c r="O1527" s="84">
        <f>IF(I1527="EI",IF(OR(X1527="估算法",X1527="算法类"),"中",IF(X1527="无法识别","低",IF(L1527&lt;2,IF(N1527&lt;16,"低","中"),IF(L1527&lt;3,IF(N1527&lt;5,"低",IF(N1527&lt;16,"中","高")),IF(N1527&lt;5,"中","高"))))),IF(OR(I1527="EO",I1527="EQ"),IF(OR(X1527="估算法",X1527="算法类"),"中",IF(X1527="无法识别","低",IF(L1527&lt;2,IF(N1527&lt;20,"低","中"),IF(L1527&lt;4,IF(N1527&lt;6,"低",IF(N1527&lt;20,"中","高")),IF(N1527&lt;6,"中","高"))))),IF(OR(I1527="ILF",I1527="EIF"),IF(OR(X1527="估算法",X1527="算法类",X1527="无法识别"),"低",IF(M1527&lt;2,IF(N1527&lt;51,"低","中"),IF(M1527&lt;6,IF(N1527&lt;20,"低",IF(N1527&lt;51,"中","高")),IF(N1527&lt;20,"中","高")))),"不计算")))</f>
        <v/>
      </c>
      <c r="P1527" s="142">
        <f>IFERROR(IF(I1527="EI",IF(O1527="低",3,IF(O1527="中",4,6)),IF(I1527="EO",IF(O1527="低",4,IF(O1527="中",5,7)),IF(I1527="EQ",IF(O1527="低",3,IF(O1527="中",4,6)),IF(I1527="ILF",IF(O1527="低",7,IF(O1527="中",10,15)),IF(I1527="EIF",IF(O1527="低",5,IF(O1527="中",7,10)),"不计算")))))*Q1527,"不计算")</f>
        <v/>
      </c>
      <c r="Q1527" s="142" t="n">
        <v>0.333333333333333</v>
      </c>
      <c r="R1527" s="143">
        <f>调整因子!$F$13</f>
        <v/>
      </c>
      <c r="S1527" s="76" t="n">
        <v>1</v>
      </c>
      <c r="T1527" s="144">
        <f>IFERROR(P1527*R1527,0)</f>
        <v/>
      </c>
      <c r="U1527" s="145">
        <f>T1527*S1527</f>
        <v/>
      </c>
      <c r="V1527" s="96" t="inlineStr">
        <is>
          <t>采集任务配置表</t>
        </is>
      </c>
      <c r="W1527" s="96" t="inlineStr"/>
      <c r="X1527" s="111" t="inlineStr">
        <is>
          <t>采集任务配置表{任务ID、任务名称、任务类型、任务状态、创建时间、执行时间|任务ID、任务名称、任务类型}</t>
        </is>
      </c>
      <c r="Y1527" s="88" t="n"/>
      <c r="Z1527" s="88" t="n"/>
    </row>
    <row r="1528" hidden="1" ht="21.6" customHeight="1">
      <c r="A1528" s="69">
        <f>ROW()-1</f>
        <v/>
      </c>
      <c r="B1528" s="53" t="n"/>
      <c r="C1528" s="117" t="n">
        <v>2026</v>
      </c>
      <c r="E1528" s="53" t="n"/>
      <c r="F1528" s="53" t="n"/>
      <c r="G1528" s="53" t="n"/>
      <c r="H1528" s="96" t="inlineStr">
        <is>
          <t>删除处置推送接口</t>
        </is>
      </c>
      <c r="I1528" s="76" t="inlineStr">
        <is>
          <t>EI</t>
        </is>
      </c>
      <c r="J1528" s="95" t="n"/>
      <c r="K1528" s="95" t="n"/>
      <c r="L1528" s="83">
        <f>IF(OR(X1528="估算法",X1528="算法类",X1528="无法识别"),"",IF(V1528="",IF(OR(I1528="EI",I1528="EO",I1528="EQ"),0,""),LEN(V1528)-LEN(SUBSTITUTE(V1528,"、",""))+1))</f>
        <v/>
      </c>
      <c r="M1528" s="83">
        <f>IF(OR(X1528="估算法",X1528="算法类",X1528="无法识别"),"",IF(W1528="",IF(OR(I1528="ILF",I1528="EIF"),0,""),LEN(W1528)-LEN(SUBSTITUTE(W1528,"、",""))+1))</f>
        <v/>
      </c>
      <c r="N1528" s="83">
        <f>IF(OR(X1528="估算法",X1528="算法类",X1528="无法识别"),"",IF(X1528="",IF(OR(I1528="ILF",I1528="EIF",I1528="EI",I1528="EO",I1528="EQ"),0,""),LEN(X1528)-LEN(SUBSTITUTE(SUBSTITUTE(SUBSTITUTE(SUBSTITUTE(SUBSTITUTE(X1528,"|}","--"),"{|","--"),CHAR(10),""),"、",""),"|",""))+IF(AND(OR(I1528="EI",I1528="EO",I1528="EQ"),$AD$1="NESMA"),2,1)))</f>
        <v/>
      </c>
      <c r="O1528" s="84">
        <f>IF(I1528="EI",IF(OR(X1528="估算法",X1528="算法类"),"中",IF(X1528="无法识别","低",IF(L1528&lt;2,IF(N1528&lt;16,"低","中"),IF(L1528&lt;3,IF(N1528&lt;5,"低",IF(N1528&lt;16,"中","高")),IF(N1528&lt;5,"中","高"))))),IF(OR(I1528="EO",I1528="EQ"),IF(OR(X1528="估算法",X1528="算法类"),"中",IF(X1528="无法识别","低",IF(L1528&lt;2,IF(N1528&lt;20,"低","中"),IF(L1528&lt;4,IF(N1528&lt;6,"低",IF(N1528&lt;20,"中","高")),IF(N1528&lt;6,"中","高"))))),IF(OR(I1528="ILF",I1528="EIF"),IF(OR(X1528="估算法",X1528="算法类",X1528="无法识别"),"低",IF(M1528&lt;2,IF(N1528&lt;51,"低","中"),IF(M1528&lt;6,IF(N1528&lt;20,"低",IF(N1528&lt;51,"中","高")),IF(N1528&lt;20,"中","高")))),"不计算")))</f>
        <v/>
      </c>
      <c r="P1528" s="142">
        <f>IFERROR(IF(I1528="EI",IF(O1528="低",3,IF(O1528="中",4,6)),IF(I1528="EO",IF(O1528="低",4,IF(O1528="中",5,7)),IF(I1528="EQ",IF(O1528="低",3,IF(O1528="中",4,6)),IF(I1528="ILF",IF(O1528="低",7,IF(O1528="中",10,15)),IF(I1528="EIF",IF(O1528="低",5,IF(O1528="中",7,10)),"不计算")))))*Q1528,"不计算")</f>
        <v/>
      </c>
      <c r="Q1528" s="142" t="n">
        <v>0.333333333333333</v>
      </c>
      <c r="R1528" s="143">
        <f>调整因子!$F$13</f>
        <v/>
      </c>
      <c r="S1528" s="70" t="n">
        <v>1</v>
      </c>
      <c r="T1528" s="144">
        <f>IFERROR(P1528*R1528,0)</f>
        <v/>
      </c>
      <c r="U1528" s="145">
        <f>T1528*S1528</f>
        <v/>
      </c>
      <c r="V1528" s="96" t="inlineStr">
        <is>
          <t>漏洞统计数据表</t>
        </is>
      </c>
      <c r="W1528" s="96" t="inlineStr"/>
      <c r="X1528" s="111" t="inlineStr">
        <is>
          <t>漏洞统计数据表{漏洞ID、漏洞名称、漏洞等级、漏洞类型、CVE编号、发现时间、修复状态|漏洞ID、漏洞名称、漏洞等级}</t>
        </is>
      </c>
      <c r="Y1528" s="88" t="n"/>
      <c r="Z1528" s="88" t="n"/>
    </row>
    <row r="1529" hidden="1" ht="21.6" customHeight="1">
      <c r="A1529" s="69">
        <f>ROW()-1</f>
        <v/>
      </c>
      <c r="B1529" s="53" t="n"/>
      <c r="C1529" s="117" t="n">
        <v>2026</v>
      </c>
      <c r="E1529" s="53" t="n"/>
      <c r="F1529" s="53" t="n"/>
      <c r="G1529" s="53" t="n"/>
      <c r="H1529" s="96" t="inlineStr">
        <is>
          <t>启用处置推送接口</t>
        </is>
      </c>
      <c r="I1529" s="76" t="inlineStr">
        <is>
          <t>EI</t>
        </is>
      </c>
      <c r="J1529" s="95" t="n"/>
      <c r="K1529" s="95" t="n"/>
      <c r="L1529" s="83">
        <f>IF(OR(X1529="估算法",X1529="算法类",X1529="无法识别"),"",IF(V1529="",IF(OR(I1529="EI",I1529="EO",I1529="EQ"),0,""),LEN(V1529)-LEN(SUBSTITUTE(V1529,"、",""))+1))</f>
        <v/>
      </c>
      <c r="M1529" s="83">
        <f>IF(OR(X1529="估算法",X1529="算法类",X1529="无法识别"),"",IF(W1529="",IF(OR(I1529="ILF",I1529="EIF"),0,""),LEN(W1529)-LEN(SUBSTITUTE(W1529,"、",""))+1))</f>
        <v/>
      </c>
      <c r="N1529" s="83">
        <f>IF(OR(X1529="估算法",X1529="算法类",X1529="无法识别"),"",IF(X1529="",IF(OR(I1529="ILF",I1529="EIF",I1529="EI",I1529="EO",I1529="EQ"),0,""),LEN(X1529)-LEN(SUBSTITUTE(SUBSTITUTE(SUBSTITUTE(SUBSTITUTE(SUBSTITUTE(X1529,"|}","--"),"{|","--"),CHAR(10),""),"、",""),"|",""))+IF(AND(OR(I1529="EI",I1529="EO",I1529="EQ"),$AD$1="NESMA"),2,1)))</f>
        <v/>
      </c>
      <c r="O1529" s="84">
        <f>IF(I1529="EI",IF(OR(X1529="估算法",X1529="算法类"),"中",IF(X1529="无法识别","低",IF(L1529&lt;2,IF(N1529&lt;16,"低","中"),IF(L1529&lt;3,IF(N1529&lt;5,"低",IF(N1529&lt;16,"中","高")),IF(N1529&lt;5,"中","高"))))),IF(OR(I1529="EO",I1529="EQ"),IF(OR(X1529="估算法",X1529="算法类"),"中",IF(X1529="无法识别","低",IF(L1529&lt;2,IF(N1529&lt;20,"低","中"),IF(L1529&lt;4,IF(N1529&lt;6,"低",IF(N1529&lt;20,"中","高")),IF(N1529&lt;6,"中","高"))))),IF(OR(I1529="ILF",I1529="EIF"),IF(OR(X1529="估算法",X1529="算法类",X1529="无法识别"),"低",IF(M1529&lt;2,IF(N1529&lt;51,"低","中"),IF(M1529&lt;6,IF(N1529&lt;20,"低",IF(N1529&lt;51,"中","高")),IF(N1529&lt;20,"中","高")))),"不计算")))</f>
        <v/>
      </c>
      <c r="P1529" s="142">
        <f>IFERROR(IF(I1529="EI",IF(O1529="低",3,IF(O1529="中",4,6)),IF(I1529="EO",IF(O1529="低",4,IF(O1529="中",5,7)),IF(I1529="EQ",IF(O1529="低",3,IF(O1529="中",4,6)),IF(I1529="ILF",IF(O1529="低",7,IF(O1529="中",10,15)),IF(I1529="EIF",IF(O1529="低",5,IF(O1529="中",7,10)),"不计算")))))*Q1529,"不计算")</f>
        <v/>
      </c>
      <c r="Q1529" s="142" t="n">
        <v>0.333333333333333</v>
      </c>
      <c r="R1529" s="143">
        <f>调整因子!$F$13</f>
        <v/>
      </c>
      <c r="S1529" s="70" t="n">
        <v>1</v>
      </c>
      <c r="T1529" s="144">
        <f>IFERROR(P1529*R1529,0)</f>
        <v/>
      </c>
      <c r="U1529" s="145">
        <f>T1529*S1529</f>
        <v/>
      </c>
      <c r="V1529" s="96" t="inlineStr">
        <is>
          <t>日志查询记录表</t>
        </is>
      </c>
      <c r="W1529" s="96" t="inlineStr"/>
      <c r="X1529" s="111" t="inlineStr">
        <is>
          <t>日志查询记录表{日志ID、操作人、操作类型、操作时间、操作内容|日志ID、操作人、操作类型}</t>
        </is>
      </c>
      <c r="Y1529" s="88" t="n"/>
      <c r="Z1529" s="88" t="n"/>
    </row>
    <row r="1530" hidden="1" ht="43.2" customHeight="1">
      <c r="A1530" s="69">
        <f>ROW()-1</f>
        <v/>
      </c>
      <c r="B1530" s="53" t="n"/>
      <c r="C1530" s="117" t="n">
        <v>2026</v>
      </c>
      <c r="E1530" s="53" t="n"/>
      <c r="F1530" s="53" t="n"/>
      <c r="G1530" s="53" t="n"/>
      <c r="H1530" s="96" t="inlineStr">
        <is>
          <t>停用处置推送接口</t>
        </is>
      </c>
      <c r="I1530" s="76" t="n"/>
      <c r="J1530" s="95" t="n"/>
      <c r="K1530" s="95" t="inlineStr">
        <is>
          <t>和上行合并，启停为相同功能</t>
        </is>
      </c>
      <c r="L1530" s="83">
        <f>IF(OR(X1530="估算法",X1530="算法类",X1530="无法识别"),"",IF(V1530="",IF(OR(I1530="EI",I1530="EO",I1530="EQ"),0,""),LEN(V1530)-LEN(SUBSTITUTE(V1530,"、",""))+1))</f>
        <v/>
      </c>
      <c r="M1530" s="83">
        <f>IF(OR(X1530="估算法",X1530="算法类",X1530="无法识别"),"",IF(W1530="",IF(OR(I1530="ILF",I1530="EIF"),0,""),LEN(W1530)-LEN(SUBSTITUTE(W1530,"、",""))+1))</f>
        <v/>
      </c>
      <c r="N1530" s="83">
        <f>IF(OR(X1530="估算法",X1530="算法类",X1530="无法识别"),"",IF(X1530="",IF(OR(I1530="ILF",I1530="EIF",I1530="EI",I1530="EO",I1530="EQ"),0,""),LEN(X1530)-LEN(SUBSTITUTE(SUBSTITUTE(SUBSTITUTE(SUBSTITUTE(SUBSTITUTE(X1530,"|}","--"),"{|","--"),CHAR(10),""),"、",""),"|",""))+IF(AND(OR(I1530="EI",I1530="EO",I1530="EQ"),$AD$1="NESMA"),2,1)))</f>
        <v/>
      </c>
      <c r="O1530" s="84">
        <f>IF(I1530="EI",IF(OR(X1530="估算法",X1530="算法类"),"中",IF(X1530="无法识别","低",IF(L1530&lt;2,IF(N1530&lt;16,"低","中"),IF(L1530&lt;3,IF(N1530&lt;5,"低",IF(N1530&lt;16,"中","高")),IF(N1530&lt;5,"中","高"))))),IF(OR(I1530="EO",I1530="EQ"),IF(OR(X1530="估算法",X1530="算法类"),"中",IF(X1530="无法识别","低",IF(L1530&lt;2,IF(N1530&lt;20,"低","中"),IF(L1530&lt;4,IF(N1530&lt;6,"低",IF(N1530&lt;20,"中","高")),IF(N1530&lt;6,"中","高"))))),IF(OR(I1530="ILF",I1530="EIF"),IF(OR(X1530="估算法",X1530="算法类",X1530="无法识别"),"低",IF(M1530&lt;2,IF(N1530&lt;51,"低","中"),IF(M1530&lt;6,IF(N1530&lt;20,"低",IF(N1530&lt;51,"中","高")),IF(N1530&lt;20,"中","高")))),"不计算")))</f>
        <v/>
      </c>
      <c r="P1530" s="142">
        <f>IFERROR(IF(I1530="EI",IF(O1530="低",3,IF(O1530="中",4,6)),IF(I1530="EO",IF(O1530="低",4,IF(O1530="中",5,7)),IF(I1530="EQ",IF(O1530="低",3,IF(O1530="中",4,6)),IF(I1530="ILF",IF(O1530="低",7,IF(O1530="中",10,15)),IF(I1530="EIF",IF(O1530="低",5,IF(O1530="中",7,10)),"不计算")))))*Q1530,"不计算")</f>
        <v/>
      </c>
      <c r="Q1530" s="142" t="n">
        <v>0.333333333333333</v>
      </c>
      <c r="R1530" s="143">
        <f>调整因子!$F$13</f>
        <v/>
      </c>
      <c r="S1530" s="76" t="n">
        <v>1</v>
      </c>
      <c r="T1530" s="144">
        <f>IFERROR(P1530*R1530,0)</f>
        <v/>
      </c>
      <c r="U1530" s="145">
        <f>T1530*S1530</f>
        <v/>
      </c>
      <c r="V1530" s="96" t="inlineStr">
        <is>
          <t>提醒规则表、脱敏规则表</t>
        </is>
      </c>
      <c r="W1530" s="96" t="inlineStr"/>
      <c r="X1530" s="111" t="inlineStr">
        <is>
          <t>提醒规则表{规则ID、规则名称、规则类型、规则条件、创建时间|规则ID、规则名称、规则类型}
脱敏规则表{规则ID、规则名称、规则类型、规则条件、创建时间|规则ID、规则名称、规则类型}</t>
        </is>
      </c>
      <c r="Y1530" s="88" t="n"/>
      <c r="Z1530" s="88" t="n"/>
    </row>
    <row r="1531" hidden="1" ht="32.4" customHeight="1">
      <c r="A1531" s="69">
        <f>ROW()-1</f>
        <v/>
      </c>
      <c r="B1531" s="53" t="n"/>
      <c r="C1531" s="117" t="n">
        <v>2026</v>
      </c>
      <c r="E1531" s="53" t="n"/>
      <c r="F1531" s="53" t="n"/>
      <c r="G1531" s="53" t="n"/>
      <c r="H1531" s="96" t="inlineStr">
        <is>
          <t>推送处置结果</t>
        </is>
      </c>
      <c r="I1531" s="76" t="inlineStr">
        <is>
          <t>EO</t>
        </is>
      </c>
      <c r="J1531" s="95" t="n"/>
      <c r="K1531" s="95" t="n"/>
      <c r="L1531" s="83">
        <f>IF(OR(X1531="估算法",X1531="算法类",X1531="无法识别"),"",IF(V1531="",IF(OR(I1531="EI",I1531="EO",I1531="EQ"),0,""),LEN(V1531)-LEN(SUBSTITUTE(V1531,"、",""))+1))</f>
        <v/>
      </c>
      <c r="M1531" s="83">
        <f>IF(OR(X1531="估算法",X1531="算法类",X1531="无法识别"),"",IF(W1531="",IF(OR(I1531="ILF",I1531="EIF"),0,""),LEN(W1531)-LEN(SUBSTITUTE(W1531,"、",""))+1))</f>
        <v/>
      </c>
      <c r="N1531" s="83">
        <f>IF(OR(X1531="估算法",X1531="算法类",X1531="无法识别"),"",IF(X1531="",IF(OR(I1531="ILF",I1531="EIF",I1531="EI",I1531="EO",I1531="EQ"),0,""),LEN(X1531)-LEN(SUBSTITUTE(SUBSTITUTE(SUBSTITUTE(SUBSTITUTE(SUBSTITUTE(X1531,"|}","--"),"{|","--"),CHAR(10),""),"、",""),"|",""))+IF(AND(OR(I1531="EI",I1531="EO",I1531="EQ"),$AD$1="NESMA"),2,1)))</f>
        <v/>
      </c>
      <c r="O1531" s="84">
        <f>IF(I1531="EI",IF(OR(X1531="估算法",X1531="算法类"),"中",IF(X1531="无法识别","低",IF(L1531&lt;2,IF(N1531&lt;16,"低","中"),IF(L1531&lt;3,IF(N1531&lt;5,"低",IF(N1531&lt;16,"中","高")),IF(N1531&lt;5,"中","高"))))),IF(OR(I1531="EO",I1531="EQ"),IF(OR(X1531="估算法",X1531="算法类"),"中",IF(X1531="无法识别","低",IF(L1531&lt;2,IF(N1531&lt;20,"低","中"),IF(L1531&lt;4,IF(N1531&lt;6,"低",IF(N1531&lt;20,"中","高")),IF(N1531&lt;6,"中","高"))))),IF(OR(I1531="ILF",I1531="EIF"),IF(OR(X1531="估算法",X1531="算法类",X1531="无法识别"),"低",IF(M1531&lt;2,IF(N1531&lt;51,"低","中"),IF(M1531&lt;6,IF(N1531&lt;20,"低",IF(N1531&lt;51,"中","高")),IF(N1531&lt;20,"中","高")))),"不计算")))</f>
        <v/>
      </c>
      <c r="P1531" s="142">
        <f>IFERROR(IF(I1531="EI",IF(O1531="低",3,IF(O1531="中",4,6)),IF(I1531="EO",IF(O1531="低",4,IF(O1531="中",5,7)),IF(I1531="EQ",IF(O1531="低",3,IF(O1531="中",4,6)),IF(I1531="ILF",IF(O1531="低",7,IF(O1531="中",10,15)),IF(I1531="EIF",IF(O1531="低",5,IF(O1531="中",7,10)),"不计算")))))*Q1531,"不计算")</f>
        <v/>
      </c>
      <c r="Q1531" s="142" t="n">
        <v>0.333333333333333</v>
      </c>
      <c r="R1531" s="143">
        <f>调整因子!$F$13</f>
        <v/>
      </c>
      <c r="S1531" s="76" t="n">
        <v>1</v>
      </c>
      <c r="T1531" s="144">
        <f>IFERROR(P1531*R1531,0)</f>
        <v/>
      </c>
      <c r="U1531" s="145">
        <f>T1531*S1531</f>
        <v/>
      </c>
      <c r="V1531" s="96" t="inlineStr">
        <is>
          <t>修复步骤表、资产查询接口配置表</t>
        </is>
      </c>
      <c r="W1531" s="96" t="inlineStr"/>
      <c r="X1531" s="111" t="inlineStr">
        <is>
          <t>修复步骤表{ID、名称|ID、名称、类型、状态、创建时间、更新时间}
资产查询接口配置表{资产ID、资产名称|资产ID、资产名称、IP地址、资产类型、资产状态、创建时间、更新时间}</t>
        </is>
      </c>
      <c r="Y1531" s="88" t="n"/>
      <c r="Z1531" s="88" t="n"/>
    </row>
    <row r="1532" hidden="1">
      <c r="A1532" s="69">
        <f>ROW()-1</f>
        <v/>
      </c>
      <c r="B1532" s="53" t="n"/>
      <c r="C1532" s="117" t="n">
        <v>2026</v>
      </c>
      <c r="E1532" s="53" t="n"/>
      <c r="F1532" s="53" t="n"/>
      <c r="G1532" s="53" t="n"/>
      <c r="H1532" s="96" t="inlineStr">
        <is>
          <t>推送验证结果</t>
        </is>
      </c>
      <c r="I1532" s="76" t="n"/>
      <c r="J1532" s="95" t="n"/>
      <c r="K1532" s="95" t="inlineStr">
        <is>
          <t>和上行合并</t>
        </is>
      </c>
      <c r="L1532" s="83">
        <f>IF(OR(X1532="估算法",X1532="算法类",X1532="无法识别"),"",IF(V1532="",IF(OR(I1532="EI",I1532="EO",I1532="EQ"),0,""),LEN(V1532)-LEN(SUBSTITUTE(V1532,"、",""))+1))</f>
        <v/>
      </c>
      <c r="M1532" s="83">
        <f>IF(OR(X1532="估算法",X1532="算法类",X1532="无法识别"),"",IF(W1532="",IF(OR(I1532="ILF",I1532="EIF"),0,""),LEN(W1532)-LEN(SUBSTITUTE(W1532,"、",""))+1))</f>
        <v/>
      </c>
      <c r="N1532" s="83">
        <f>IF(OR(X1532="估算法",X1532="算法类",X1532="无法识别"),"",IF(X1532="",IF(OR(I1532="ILF",I1532="EIF",I1532="EI",I1532="EO",I1532="EQ"),0,""),LEN(X1532)-LEN(SUBSTITUTE(SUBSTITUTE(SUBSTITUTE(SUBSTITUTE(SUBSTITUTE(X1532,"|}","--"),"{|","--"),CHAR(10),""),"、",""),"|",""))+IF(AND(OR(I1532="EI",I1532="EO",I1532="EQ"),$AD$1="NESMA"),2,1)))</f>
        <v/>
      </c>
      <c r="O1532" s="84">
        <f>IF(I1532="EI",IF(OR(X1532="估算法",X1532="算法类"),"中",IF(X1532="无法识别","低",IF(L1532&lt;2,IF(N1532&lt;16,"低","中"),IF(L1532&lt;3,IF(N1532&lt;5,"低",IF(N1532&lt;16,"中","高")),IF(N1532&lt;5,"中","高"))))),IF(OR(I1532="EO",I1532="EQ"),IF(OR(X1532="估算法",X1532="算法类"),"中",IF(X1532="无法识别","低",IF(L1532&lt;2,IF(N1532&lt;20,"低","中"),IF(L1532&lt;4,IF(N1532&lt;6,"低",IF(N1532&lt;20,"中","高")),IF(N1532&lt;6,"中","高"))))),IF(OR(I1532="ILF",I1532="EIF"),IF(OR(X1532="估算法",X1532="算法类",X1532="无法识别"),"低",IF(M1532&lt;2,IF(N1532&lt;51,"低","中"),IF(M1532&lt;6,IF(N1532&lt;20,"低",IF(N1532&lt;51,"中","高")),IF(N1532&lt;20,"中","高")))),"不计算")))</f>
        <v/>
      </c>
      <c r="P1532" s="142">
        <f>IFERROR(IF(I1532="EI",IF(O1532="低",3,IF(O1532="中",4,6)),IF(I1532="EO",IF(O1532="低",4,IF(O1532="中",5,7)),IF(I1532="EQ",IF(O1532="低",3,IF(O1532="中",4,6)),IF(I1532="ILF",IF(O1532="低",7,IF(O1532="中",10,15)),IF(I1532="EIF",IF(O1532="低",5,IF(O1532="中",7,10)),"不计算")))))*Q1532,"不计算")</f>
        <v/>
      </c>
      <c r="Q1532" s="142" t="n">
        <v>0.333333333333333</v>
      </c>
      <c r="R1532" s="143">
        <f>调整因子!$F$13</f>
        <v/>
      </c>
      <c r="S1532" s="70" t="n">
        <v>1</v>
      </c>
      <c r="T1532" s="144">
        <f>IFERROR(P1532*R1532,0)</f>
        <v/>
      </c>
      <c r="U1532" s="145">
        <f>T1532*S1532</f>
        <v/>
      </c>
      <c r="V1532" s="96" t="inlineStr">
        <is>
          <t>报表模板表</t>
        </is>
      </c>
      <c r="W1532" s="96" t="inlineStr"/>
      <c r="X1532" s="111" t="inlineStr">
        <is>
          <t>报表模板表{报表ID、报表名称|报表ID、报表名称、报表类型、生成时间、报表内容}</t>
        </is>
      </c>
      <c r="Y1532" s="88" t="n"/>
      <c r="Z1532" s="88" t="n"/>
    </row>
    <row r="1533" hidden="1">
      <c r="A1533" s="69">
        <f>ROW()-1</f>
        <v/>
      </c>
      <c r="B1533" s="53" t="n"/>
      <c r="C1533" s="117" t="n">
        <v>2026</v>
      </c>
      <c r="E1533" s="53" t="n"/>
      <c r="F1533" s="53" t="n"/>
      <c r="G1533" s="53" t="n"/>
      <c r="H1533" s="96" t="inlineStr">
        <is>
          <t>查询接口状态</t>
        </is>
      </c>
      <c r="I1533" s="76" t="inlineStr">
        <is>
          <t>EQ</t>
        </is>
      </c>
      <c r="J1533" s="95" t="n"/>
      <c r="K1533" s="95" t="n"/>
      <c r="L1533" s="83">
        <f>IF(OR(X1533="估算法",X1533="算法类",X1533="无法识别"),"",IF(V1533="",IF(OR(I1533="EI",I1533="EO",I1533="EQ"),0,""),LEN(V1533)-LEN(SUBSTITUTE(V1533,"、",""))+1))</f>
        <v/>
      </c>
      <c r="M1533" s="83">
        <f>IF(OR(X1533="估算法",X1533="算法类",X1533="无法识别"),"",IF(W1533="",IF(OR(I1533="ILF",I1533="EIF"),0,""),LEN(W1533)-LEN(SUBSTITUTE(W1533,"、",""))+1))</f>
        <v/>
      </c>
      <c r="N1533" s="83">
        <f>IF(OR(X1533="估算法",X1533="算法类",X1533="无法识别"),"",IF(X1533="",IF(OR(I1533="ILF",I1533="EIF",I1533="EI",I1533="EO",I1533="EQ"),0,""),LEN(X1533)-LEN(SUBSTITUTE(SUBSTITUTE(SUBSTITUTE(SUBSTITUTE(SUBSTITUTE(X1533,"|}","--"),"{|","--"),CHAR(10),""),"、",""),"|",""))+IF(AND(OR(I1533="EI",I1533="EO",I1533="EQ"),$AD$1="NESMA"),2,1)))</f>
        <v/>
      </c>
      <c r="O1533" s="84">
        <f>IF(I1533="EI",IF(OR(X1533="估算法",X1533="算法类"),"中",IF(X1533="无法识别","低",IF(L1533&lt;2,IF(N1533&lt;16,"低","中"),IF(L1533&lt;3,IF(N1533&lt;5,"低",IF(N1533&lt;16,"中","高")),IF(N1533&lt;5,"中","高"))))),IF(OR(I1533="EO",I1533="EQ"),IF(OR(X1533="估算法",X1533="算法类"),"中",IF(X1533="无法识别","低",IF(L1533&lt;2,IF(N1533&lt;20,"低","中"),IF(L1533&lt;4,IF(N1533&lt;6,"低",IF(N1533&lt;20,"中","高")),IF(N1533&lt;6,"中","高"))))),IF(OR(I1533="ILF",I1533="EIF"),IF(OR(X1533="估算法",X1533="算法类",X1533="无法识别"),"低",IF(M1533&lt;2,IF(N1533&lt;51,"低","中"),IF(M1533&lt;6,IF(N1533&lt;20,"低",IF(N1533&lt;51,"中","高")),IF(N1533&lt;20,"中","高")))),"不计算")))</f>
        <v/>
      </c>
      <c r="P1533" s="142">
        <f>IFERROR(IF(I1533="EI",IF(O1533="低",3,IF(O1533="中",4,6)),IF(I1533="EO",IF(O1533="低",4,IF(O1533="中",5,7)),IF(I1533="EQ",IF(O1533="低",3,IF(O1533="中",4,6)),IF(I1533="ILF",IF(O1533="低",7,IF(O1533="中",10,15)),IF(I1533="EIF",IF(O1533="低",5,IF(O1533="中",7,10)),"不计算")))))*Q1533,"不计算")</f>
        <v/>
      </c>
      <c r="Q1533" s="142" t="n">
        <v>0.333333333333333</v>
      </c>
      <c r="R1533" s="143">
        <f>调整因子!$F$13</f>
        <v/>
      </c>
      <c r="S1533" s="70" t="n">
        <v>1</v>
      </c>
      <c r="T1533" s="144">
        <f>IFERROR(P1533*R1533,0)</f>
        <v/>
      </c>
      <c r="U1533" s="145">
        <f>T1533*S1533</f>
        <v/>
      </c>
      <c r="V1533" s="96" t="inlineStr">
        <is>
          <t>指标权重表</t>
        </is>
      </c>
      <c r="W1533" s="96" t="inlineStr"/>
      <c r="X1533" s="111" t="inlineStr">
        <is>
          <t>指标权重表{ID、名称|ID、名称、类型、状态、创建时间、更新时间}</t>
        </is>
      </c>
      <c r="Y1533" s="88" t="n"/>
      <c r="Z1533" s="88" t="n"/>
    </row>
    <row r="1534" hidden="1" ht="32.4" customHeight="1">
      <c r="A1534" s="69">
        <f>ROW()-1</f>
        <v/>
      </c>
      <c r="B1534" s="53" t="n"/>
      <c r="C1534" s="117" t="n">
        <v>2026</v>
      </c>
      <c r="E1534" s="53" t="n"/>
      <c r="F1534" s="54" t="n"/>
      <c r="G1534" s="54" t="n"/>
      <c r="H1534" s="96" t="inlineStr">
        <is>
          <t>查看接口详情</t>
        </is>
      </c>
      <c r="I1534" s="76" t="n"/>
      <c r="J1534" s="95" t="n"/>
      <c r="K1534" s="95" t="inlineStr">
        <is>
          <t>重复功能</t>
        </is>
      </c>
      <c r="L1534" s="83">
        <f>IF(OR(X1534="估算法",X1534="算法类",X1534="无法识别"),"",IF(V1534="",IF(OR(I1534="EI",I1534="EO",I1534="EQ"),0,""),LEN(V1534)-LEN(SUBSTITUTE(V1534,"、",""))+1))</f>
        <v/>
      </c>
      <c r="M1534" s="83">
        <f>IF(OR(X1534="估算法",X1534="算法类",X1534="无法识别"),"",IF(W1534="",IF(OR(I1534="ILF",I1534="EIF"),0,""),LEN(W1534)-LEN(SUBSTITUTE(W1534,"、",""))+1))</f>
        <v/>
      </c>
      <c r="N1534" s="83">
        <f>IF(OR(X1534="估算法",X1534="算法类",X1534="无法识别"),"",IF(X1534="",IF(OR(I1534="ILF",I1534="EIF",I1534="EI",I1534="EO",I1534="EQ"),0,""),LEN(X1534)-LEN(SUBSTITUTE(SUBSTITUTE(SUBSTITUTE(SUBSTITUTE(SUBSTITUTE(X1534,"|}","--"),"{|","--"),CHAR(10),""),"、",""),"|",""))+IF(AND(OR(I1534="EI",I1534="EO",I1534="EQ"),$AD$1="NESMA"),2,1)))</f>
        <v/>
      </c>
      <c r="O1534" s="84">
        <f>IF(I1534="EI",IF(OR(X1534="估算法",X1534="算法类"),"中",IF(X1534="无法识别","低",IF(L1534&lt;2,IF(N1534&lt;16,"低","中"),IF(L1534&lt;3,IF(N1534&lt;5,"低",IF(N1534&lt;16,"中","高")),IF(N1534&lt;5,"中","高"))))),IF(OR(I1534="EO",I1534="EQ"),IF(OR(X1534="估算法",X1534="算法类"),"中",IF(X1534="无法识别","低",IF(L1534&lt;2,IF(N1534&lt;20,"低","中"),IF(L1534&lt;4,IF(N1534&lt;6,"低",IF(N1534&lt;20,"中","高")),IF(N1534&lt;6,"中","高"))))),IF(OR(I1534="ILF",I1534="EIF"),IF(OR(X1534="估算法",X1534="算法类",X1534="无法识别"),"低",IF(M1534&lt;2,IF(N1534&lt;51,"低","中"),IF(M1534&lt;6,IF(N1534&lt;20,"低",IF(N1534&lt;51,"中","高")),IF(N1534&lt;20,"中","高")))),"不计算")))</f>
        <v/>
      </c>
      <c r="P1534" s="142">
        <f>IFERROR(IF(I1534="EI",IF(O1534="低",3,IF(O1534="中",4,6)),IF(I1534="EO",IF(O1534="低",4,IF(O1534="中",5,7)),IF(I1534="EQ",IF(O1534="低",3,IF(O1534="中",4,6)),IF(I1534="ILF",IF(O1534="低",7,IF(O1534="中",10,15)),IF(I1534="EIF",IF(O1534="低",5,IF(O1534="中",7,10)),"不计算")))))*Q1534,"不计算")</f>
        <v/>
      </c>
      <c r="Q1534" s="142" t="n">
        <v>0.333333333333333</v>
      </c>
      <c r="R1534" s="143">
        <f>调整因子!$F$13</f>
        <v/>
      </c>
      <c r="S1534" s="76" t="n">
        <v>1</v>
      </c>
      <c r="T1534" s="144">
        <f>IFERROR(P1534*R1534,0)</f>
        <v/>
      </c>
      <c r="U1534" s="145">
        <f>T1534*S1534</f>
        <v/>
      </c>
      <c r="V1534" s="96" t="inlineStr">
        <is>
          <t>通报对象表、扫描任务接口配置表</t>
        </is>
      </c>
      <c r="W1534" s="96" t="inlineStr"/>
      <c r="X1534" s="111" t="inlineStr">
        <is>
          <t>通报对象表{ID、名称|ID、名称、类型、状态、创建时间、更新时间}
扫描任务接口配置表{任务ID、任务名称|任务ID、任务名称、任务状态、扫描器类型、开始时间、结束时间、扫描结果}</t>
        </is>
      </c>
      <c r="Y1534" s="88" t="n"/>
      <c r="Z1534" s="88" t="n"/>
    </row>
    <row r="1535" hidden="1" ht="21.6" customHeight="1">
      <c r="A1535" s="69">
        <f>ROW()-1</f>
        <v/>
      </c>
      <c r="B1535" s="53" t="n"/>
      <c r="C1535" s="117" t="n">
        <v>2026</v>
      </c>
      <c r="E1535" s="53" t="n"/>
      <c r="F1535" s="111" t="inlineStr">
        <is>
          <t>核验结果推送</t>
        </is>
      </c>
      <c r="G1535" s="111" t="inlineStr">
        <is>
          <t>推送配置管理</t>
        </is>
      </c>
      <c r="H1535" s="96" t="inlineStr">
        <is>
          <t>推送配置表</t>
        </is>
      </c>
      <c r="I1535" s="76" t="inlineStr">
        <is>
          <t>ILF</t>
        </is>
      </c>
      <c r="J1535" s="95" t="n"/>
      <c r="K1535" s="95" t="n"/>
      <c r="L1535" s="83">
        <f>IF(OR(X1535="估算法",X1535="算法类",X1535="无法识别"),"",IF(V1535="",IF(OR(I1535="EI",I1535="EO",I1535="EQ"),0,""),LEN(V1535)-LEN(SUBSTITUTE(V1535,"、",""))+1))</f>
        <v/>
      </c>
      <c r="M1535" s="83">
        <f>IF(OR(X1535="估算法",X1535="算法类",X1535="无法识别"),"",IF(W1535="",IF(OR(I1535="ILF",I1535="EIF"),0,""),LEN(W1535)-LEN(SUBSTITUTE(W1535,"、",""))+1))</f>
        <v/>
      </c>
      <c r="N1535" s="83">
        <f>IF(OR(X1535="估算法",X1535="算法类",X1535="无法识别"),"",IF(X1535="",IF(OR(I1535="ILF",I1535="EIF",I1535="EI",I1535="EO",I1535="EQ"),0,""),LEN(X1535)-LEN(SUBSTITUTE(SUBSTITUTE(SUBSTITUTE(SUBSTITUTE(SUBSTITUTE(X1535,"|}","--"),"{|","--"),CHAR(10),""),"、",""),"|",""))+IF(AND(OR(I1535="EI",I1535="EO",I1535="EQ"),$AD$1="NESMA"),2,1)))</f>
        <v/>
      </c>
      <c r="O1535" s="84">
        <f>IF(I1535="EI",IF(OR(X1535="估算法",X1535="算法类"),"中",IF(X1535="无法识别","低",IF(L1535&lt;2,IF(N1535&lt;16,"低","中"),IF(L1535&lt;3,IF(N1535&lt;5,"低",IF(N1535&lt;16,"中","高")),IF(N1535&lt;5,"中","高"))))),IF(OR(I1535="EO",I1535="EQ"),IF(OR(X1535="估算法",X1535="算法类"),"中",IF(X1535="无法识别","低",IF(L1535&lt;2,IF(N1535&lt;20,"低","中"),IF(L1535&lt;4,IF(N1535&lt;6,"低",IF(N1535&lt;20,"中","高")),IF(N1535&lt;6,"中","高"))))),IF(OR(I1535="ILF",I1535="EIF"),IF(OR(X1535="估算法",X1535="算法类",X1535="无法识别"),"低",IF(M1535&lt;2,IF(N1535&lt;51,"低","中"),IF(M1535&lt;6,IF(N1535&lt;20,"低",IF(N1535&lt;51,"中","高")),IF(N1535&lt;20,"中","高")))),"不计算")))</f>
        <v/>
      </c>
      <c r="P1535" s="142">
        <f>IFERROR(IF(I1535="EI",IF(O1535="低",3,IF(O1535="中",4,6)),IF(I1535="EO",IF(O1535="低",4,IF(O1535="中",5,7)),IF(I1535="EQ",IF(O1535="低",3,IF(O1535="中",4,6)),IF(I1535="ILF",IF(O1535="低",7,IF(O1535="中",10,15)),IF(I1535="EIF",IF(O1535="低",5,IF(O1535="中",7,10)),"不计算")))))*Q1535,"不计算")</f>
        <v/>
      </c>
      <c r="Q1535" s="142" t="n">
        <v>1</v>
      </c>
      <c r="R1535" s="143">
        <f>调整因子!$F$13</f>
        <v/>
      </c>
      <c r="S1535" s="70" t="n">
        <v>1</v>
      </c>
      <c r="T1535" s="144">
        <f>IFERROR(P1535*R1535,0)</f>
        <v/>
      </c>
      <c r="U1535" s="145">
        <f>T1535*S1535</f>
        <v/>
      </c>
      <c r="V1535" s="96" t="inlineStr"/>
      <c r="W1535" s="96" t="inlineStr">
        <is>
          <t>配置项</t>
        </is>
      </c>
      <c r="X1535" s="111" t="inlineStr">
        <is>
          <t>推送配置表{配置ID、配置名称、配置类型|配置ID、配置名称、配置类型、配置值、创建时间}</t>
        </is>
      </c>
      <c r="Y1535" s="88">
        <f>IF(COUNTIFS(V:V,"*"&amp;H1535&amp;"*")&gt;0,"存在","不存在")</f>
        <v/>
      </c>
      <c r="Z1535" s="88">
        <f>IF(COUNTIFS(AA:AA,"*"&amp;H1535&amp;"*")&gt;0,"存在","不存在")</f>
        <v/>
      </c>
    </row>
    <row r="1536" hidden="1" ht="21.6" customHeight="1">
      <c r="A1536" s="69">
        <f>ROW()-1</f>
        <v/>
      </c>
      <c r="B1536" s="53" t="n"/>
      <c r="C1536" s="117" t="n">
        <v>2026</v>
      </c>
      <c r="E1536" s="53" t="n"/>
      <c r="F1536" s="53" t="n"/>
      <c r="G1536" s="53" t="n"/>
      <c r="H1536" s="96" t="inlineStr">
        <is>
          <t>推送任务表</t>
        </is>
      </c>
      <c r="I1536" s="76" t="inlineStr">
        <is>
          <t>ILF</t>
        </is>
      </c>
      <c r="J1536" s="95" t="n"/>
      <c r="K1536" s="95" t="n"/>
      <c r="L1536" s="83">
        <f>IF(OR(X1536="估算法",X1536="算法类",X1536="无法识别"),"",IF(V1536="",IF(OR(I1536="EI",I1536="EO",I1536="EQ"),0,""),LEN(V1536)-LEN(SUBSTITUTE(V1536,"、",""))+1))</f>
        <v/>
      </c>
      <c r="M1536" s="83">
        <f>IF(OR(X1536="估算法",X1536="算法类",X1536="无法识别"),"",IF(W1536="",IF(OR(I1536="ILF",I1536="EIF"),0,""),LEN(W1536)-LEN(SUBSTITUTE(W1536,"、",""))+1))</f>
        <v/>
      </c>
      <c r="N1536" s="83">
        <f>IF(OR(X1536="估算法",X1536="算法类",X1536="无法识别"),"",IF(X1536="",IF(OR(I1536="ILF",I1536="EIF",I1536="EI",I1536="EO",I1536="EQ"),0,""),LEN(X1536)-LEN(SUBSTITUTE(SUBSTITUTE(SUBSTITUTE(SUBSTITUTE(SUBSTITUTE(X1536,"|}","--"),"{|","--"),CHAR(10),""),"、",""),"|",""))+IF(AND(OR(I1536="EI",I1536="EO",I1536="EQ"),$AD$1="NESMA"),2,1)))</f>
        <v/>
      </c>
      <c r="O1536" s="84">
        <f>IF(I1536="EI",IF(OR(X1536="估算法",X1536="算法类"),"中",IF(X1536="无法识别","低",IF(L1536&lt;2,IF(N1536&lt;16,"低","中"),IF(L1536&lt;3,IF(N1536&lt;5,"低",IF(N1536&lt;16,"中","高")),IF(N1536&lt;5,"中","高"))))),IF(OR(I1536="EO",I1536="EQ"),IF(OR(X1536="估算法",X1536="算法类"),"中",IF(X1536="无法识别","低",IF(L1536&lt;2,IF(N1536&lt;20,"低","中"),IF(L1536&lt;4,IF(N1536&lt;6,"低",IF(N1536&lt;20,"中","高")),IF(N1536&lt;6,"中","高"))))),IF(OR(I1536="ILF",I1536="EIF"),IF(OR(X1536="估算法",X1536="算法类",X1536="无法识别"),"低",IF(M1536&lt;2,IF(N1536&lt;51,"低","中"),IF(M1536&lt;6,IF(N1536&lt;20,"低",IF(N1536&lt;51,"中","高")),IF(N1536&lt;20,"中","高")))),"不计算")))</f>
        <v/>
      </c>
      <c r="P1536" s="142">
        <f>IFERROR(IF(I1536="EI",IF(O1536="低",3,IF(O1536="中",4,6)),IF(I1536="EO",IF(O1536="低",4,IF(O1536="中",5,7)),IF(I1536="EQ",IF(O1536="低",3,IF(O1536="中",4,6)),IF(I1536="ILF",IF(O1536="低",7,IF(O1536="中",10,15)),IF(I1536="EIF",IF(O1536="低",5,IF(O1536="中",7,10)),"不计算")))))*Q1536,"不计算")</f>
        <v/>
      </c>
      <c r="Q1536" s="142" t="n">
        <v>1</v>
      </c>
      <c r="R1536" s="143">
        <f>调整因子!$F$13</f>
        <v/>
      </c>
      <c r="S1536" s="70" t="n">
        <v>1</v>
      </c>
      <c r="T1536" s="144">
        <f>IFERROR(P1536*R1536,0)</f>
        <v/>
      </c>
      <c r="U1536" s="145">
        <f>T1536*S1536</f>
        <v/>
      </c>
      <c r="V1536" s="96" t="inlineStr"/>
      <c r="W1536" s="96" t="inlineStr">
        <is>
          <t>扫描任务、发现任务</t>
        </is>
      </c>
      <c r="X1536" s="111" t="inlineStr">
        <is>
          <t>推送任务表{任务ID、任务名称、任务类型|任务ID、任务名称、任务类型、任务状态、创建时间、执行时间}</t>
        </is>
      </c>
      <c r="Y1536" s="88">
        <f>IF(COUNTIFS(V:V,"*"&amp;H1536&amp;"*")&gt;0,"存在","不存在")</f>
        <v/>
      </c>
      <c r="Z1536" s="88">
        <f>IF(COUNTIFS(AA:AA,"*"&amp;H1536&amp;"*")&gt;0,"存在","不存在")</f>
        <v/>
      </c>
    </row>
    <row r="1537" hidden="1">
      <c r="A1537" s="69">
        <f>ROW()-1</f>
        <v/>
      </c>
      <c r="B1537" s="53" t="n"/>
      <c r="C1537" s="117" t="n">
        <v>2026</v>
      </c>
      <c r="E1537" s="53" t="n"/>
      <c r="F1537" s="53" t="n"/>
      <c r="G1537" s="53" t="n"/>
      <c r="H1537" s="96" t="inlineStr">
        <is>
          <t>推送对象表</t>
        </is>
      </c>
      <c r="I1537" s="76" t="inlineStr">
        <is>
          <t>ILF</t>
        </is>
      </c>
      <c r="J1537" s="95" t="n"/>
      <c r="K1537" s="95" t="n"/>
      <c r="L1537" s="83">
        <f>IF(OR(X1537="估算法",X1537="算法类",X1537="无法识别"),"",IF(V1537="",IF(OR(I1537="EI",I1537="EO",I1537="EQ"),0,""),LEN(V1537)-LEN(SUBSTITUTE(V1537,"、",""))+1))</f>
        <v/>
      </c>
      <c r="M1537" s="83">
        <f>IF(OR(X1537="估算法",X1537="算法类",X1537="无法识别"),"",IF(W1537="",IF(OR(I1537="ILF",I1537="EIF"),0,""),LEN(W1537)-LEN(SUBSTITUTE(W1537,"、",""))+1))</f>
        <v/>
      </c>
      <c r="N1537" s="83">
        <f>IF(OR(X1537="估算法",X1537="算法类",X1537="无法识别"),"",IF(X1537="",IF(OR(I1537="ILF",I1537="EIF",I1537="EI",I1537="EO",I1537="EQ"),0,""),LEN(X1537)-LEN(SUBSTITUTE(SUBSTITUTE(SUBSTITUTE(SUBSTITUTE(SUBSTITUTE(X1537,"|}","--"),"{|","--"),CHAR(10),""),"、",""),"|",""))+IF(AND(OR(I1537="EI",I1537="EO",I1537="EQ"),$AD$1="NESMA"),2,1)))</f>
        <v/>
      </c>
      <c r="O1537" s="84">
        <f>IF(I1537="EI",IF(OR(X1537="估算法",X1537="算法类"),"中",IF(X1537="无法识别","低",IF(L1537&lt;2,IF(N1537&lt;16,"低","中"),IF(L1537&lt;3,IF(N1537&lt;5,"低",IF(N1537&lt;16,"中","高")),IF(N1537&lt;5,"中","高"))))),IF(OR(I1537="EO",I1537="EQ"),IF(OR(X1537="估算法",X1537="算法类"),"中",IF(X1537="无法识别","低",IF(L1537&lt;2,IF(N1537&lt;20,"低","中"),IF(L1537&lt;4,IF(N1537&lt;6,"低",IF(N1537&lt;20,"中","高")),IF(N1537&lt;6,"中","高"))))),IF(OR(I1537="ILF",I1537="EIF"),IF(OR(X1537="估算法",X1537="算法类",X1537="无法识别"),"低",IF(M1537&lt;2,IF(N1537&lt;51,"低","中"),IF(M1537&lt;6,IF(N1537&lt;20,"低",IF(N1537&lt;51,"中","高")),IF(N1537&lt;20,"中","高")))),"不计算")))</f>
        <v/>
      </c>
      <c r="P1537" s="142">
        <f>IFERROR(IF(I1537="EI",IF(O1537="低",3,IF(O1537="中",4,6)),IF(I1537="EO",IF(O1537="低",4,IF(O1537="中",5,7)),IF(I1537="EQ",IF(O1537="低",3,IF(O1537="中",4,6)),IF(I1537="ILF",IF(O1537="低",7,IF(O1537="中",10,15)),IF(I1537="EIF",IF(O1537="低",5,IF(O1537="中",7,10)),"不计算")))))*Q1537,"不计算")</f>
        <v/>
      </c>
      <c r="Q1537" s="142" t="n">
        <v>1</v>
      </c>
      <c r="R1537" s="143">
        <f>调整因子!$F$13</f>
        <v/>
      </c>
      <c r="S1537" s="76" t="n">
        <v>1</v>
      </c>
      <c r="T1537" s="144">
        <f>IFERROR(P1537*R1537,0)</f>
        <v/>
      </c>
      <c r="U1537" s="145">
        <f>T1537*S1537</f>
        <v/>
      </c>
      <c r="V1537" s="96" t="inlineStr"/>
      <c r="W1537" s="96" t="inlineStr">
        <is>
          <t>数据记录</t>
        </is>
      </c>
      <c r="X1537" s="111" t="inlineStr">
        <is>
          <t>推送对象表{ID、名称、类型|ID、名称、类型、状态、创建时间、更新时间}</t>
        </is>
      </c>
      <c r="Y1537" s="88">
        <f>IF(COUNTIFS(V:V,"*"&amp;H1537&amp;"*")&gt;0,"存在","不存在")</f>
        <v/>
      </c>
      <c r="Z1537" s="88">
        <f>IF(COUNTIFS(AA:AA,"*"&amp;H1537&amp;"*")&gt;0,"存在","不存在")</f>
        <v/>
      </c>
    </row>
    <row r="1538" hidden="1" ht="21.6" customHeight="1">
      <c r="A1538" s="69">
        <f>ROW()-1</f>
        <v/>
      </c>
      <c r="B1538" s="53" t="n"/>
      <c r="C1538" s="117" t="n">
        <v>2026</v>
      </c>
      <c r="E1538" s="53" t="n"/>
      <c r="F1538" s="53" t="n"/>
      <c r="G1538" s="53" t="n"/>
      <c r="H1538" s="96" t="inlineStr">
        <is>
          <t>HTTP数据推送接口</t>
        </is>
      </c>
      <c r="I1538" s="76" t="inlineStr">
        <is>
          <t>EIF</t>
        </is>
      </c>
      <c r="J1538" s="108" t="n"/>
      <c r="K1538" s="108" t="inlineStr">
        <is>
          <t>此外部接口文件未被本系统所使用</t>
        </is>
      </c>
      <c r="L1538" s="83">
        <f>IF(OR(X1538="估算法",X1538="算法类",X1538="无法识别"),"",IF(V1538="",IF(OR(I1538="EI",I1538="EO",I1538="EQ"),0,""),LEN(V1538)-LEN(SUBSTITUTE(V1538,"、",""))+1))</f>
        <v/>
      </c>
      <c r="M1538" s="83">
        <f>IF(OR(X1538="估算法",X1538="算法类",X1538="无法识别"),"",IF(W1538="",IF(OR(I1538="ILF",I1538="EIF"),0,""),LEN(W1538)-LEN(SUBSTITUTE(W1538,"、",""))+1))</f>
        <v/>
      </c>
      <c r="N1538" s="83">
        <f>IF(OR(X1538="估算法",X1538="算法类",X1538="无法识别"),"",IF(X1538="",IF(OR(I1538="ILF",I1538="EIF",I1538="EI",I1538="EO",I1538="EQ"),0,""),LEN(X1538)-LEN(SUBSTITUTE(SUBSTITUTE(SUBSTITUTE(SUBSTITUTE(SUBSTITUTE(X1538,"|}","--"),"{|","--"),CHAR(10),""),"、",""),"|",""))+IF(AND(OR(I1538="EI",I1538="EO",I1538="EQ"),$AD$1="NESMA"),2,1)))</f>
        <v/>
      </c>
      <c r="O1538" s="84">
        <f>IF(I1538="EI",IF(OR(X1538="估算法",X1538="算法类"),"中",IF(X1538="无法识别","低",IF(L1538&lt;2,IF(N1538&lt;16,"低","中"),IF(L1538&lt;3,IF(N1538&lt;5,"低",IF(N1538&lt;16,"中","高")),IF(N1538&lt;5,"中","高"))))),IF(OR(I1538="EO",I1538="EQ"),IF(OR(X1538="估算法",X1538="算法类"),"中",IF(X1538="无法识别","低",IF(L1538&lt;2,IF(N1538&lt;20,"低","中"),IF(L1538&lt;4,IF(N1538&lt;6,"低",IF(N1538&lt;20,"中","高")),IF(N1538&lt;6,"中","高"))))),IF(OR(I1538="ILF",I1538="EIF"),IF(OR(X1538="估算法",X1538="算法类",X1538="无法识别"),"低",IF(M1538&lt;2,IF(N1538&lt;51,"低","中"),IF(M1538&lt;6,IF(N1538&lt;20,"低",IF(N1538&lt;51,"中","高")),IF(N1538&lt;20,"中","高")))),"不计算")))</f>
        <v/>
      </c>
      <c r="P1538" s="142">
        <f>IFERROR(IF(I1538="EI",IF(O1538="低",3,IF(O1538="中",4,6)),IF(I1538="EO",IF(O1538="低",4,IF(O1538="中",5,7)),IF(I1538="EQ",IF(O1538="低",3,IF(O1538="中",4,6)),IF(I1538="ILF",IF(O1538="低",7,IF(O1538="中",10,15)),IF(I1538="EIF",IF(O1538="低",5,IF(O1538="中",7,10)),"不计算")))))*Q1538,"不计算")</f>
        <v/>
      </c>
      <c r="Q1538" s="142" t="n">
        <v>1</v>
      </c>
      <c r="R1538" s="143">
        <f>调整因子!$F$13</f>
        <v/>
      </c>
      <c r="S1538" s="76" t="n">
        <v>1</v>
      </c>
      <c r="T1538" s="144">
        <f>IFERROR(P1538*R1538,0)</f>
        <v/>
      </c>
      <c r="U1538" s="145">
        <f>T1538*S1538</f>
        <v/>
      </c>
      <c r="V1538" s="96" t="inlineStr"/>
      <c r="W1538" s="96" t="inlineStr">
        <is>
          <t>接口数据</t>
        </is>
      </c>
      <c r="X1538" s="111" t="inlineStr">
        <is>
          <t>HTTP数据推送接口{接口ID、接口名称|接口ID、接口名称、接口类型、接口地址、调用时间}</t>
        </is>
      </c>
      <c r="Y1538" s="88">
        <f>IF(COUNTIFS(V:V,"*"&amp;H1538&amp;"*")&gt;0,"存在","不存在")</f>
        <v/>
      </c>
      <c r="Z1538" s="88">
        <f>IF(COUNTIFS(AA:AA,"*"&amp;H1538&amp;"*")&gt;0,"存在","不存在")</f>
        <v/>
      </c>
      <c r="AA1538" s="76" t="inlineStr">
        <is>
          <t>EIF</t>
        </is>
      </c>
    </row>
    <row r="1539" hidden="1" ht="43.2" customHeight="1">
      <c r="A1539" s="69">
        <f>ROW()-1</f>
        <v/>
      </c>
      <c r="B1539" s="53" t="n"/>
      <c r="C1539" s="117" t="n">
        <v>2026</v>
      </c>
      <c r="E1539" s="53" t="n"/>
      <c r="F1539" s="53" t="n"/>
      <c r="G1539" s="53" t="n"/>
      <c r="H1539" s="96" t="inlineStr">
        <is>
          <t>配置推送策略</t>
        </is>
      </c>
      <c r="I1539" s="76" t="inlineStr">
        <is>
          <t>EI</t>
        </is>
      </c>
      <c r="J1539" s="95" t="n"/>
      <c r="K1539" s="95" t="n"/>
      <c r="L1539" s="83">
        <f>IF(OR(X1539="估算法",X1539="算法类",X1539="无法识别"),"",IF(V1539="",IF(OR(I1539="EI",I1539="EO",I1539="EQ"),0,""),LEN(V1539)-LEN(SUBSTITUTE(V1539,"、",""))+1))</f>
        <v/>
      </c>
      <c r="M1539" s="83">
        <f>IF(OR(X1539="估算法",X1539="算法类",X1539="无法识别"),"",IF(W1539="",IF(OR(I1539="ILF",I1539="EIF"),0,""),LEN(W1539)-LEN(SUBSTITUTE(W1539,"、",""))+1))</f>
        <v/>
      </c>
      <c r="N1539" s="83">
        <f>IF(OR(X1539="估算法",X1539="算法类",X1539="无法识别"),"",IF(X1539="",IF(OR(I1539="ILF",I1539="EIF",I1539="EI",I1539="EO",I1539="EQ"),0,""),LEN(X1539)-LEN(SUBSTITUTE(SUBSTITUTE(SUBSTITUTE(SUBSTITUTE(SUBSTITUTE(X1539,"|}","--"),"{|","--"),CHAR(10),""),"、",""),"|",""))+IF(AND(OR(I1539="EI",I1539="EO",I1539="EQ"),$AD$1="NESMA"),2,1)))</f>
        <v/>
      </c>
      <c r="O1539" s="84">
        <f>IF(I1539="EI",IF(OR(X1539="估算法",X1539="算法类"),"中",IF(X1539="无法识别","低",IF(L1539&lt;2,IF(N1539&lt;16,"低","中"),IF(L1539&lt;3,IF(N1539&lt;5,"低",IF(N1539&lt;16,"中","高")),IF(N1539&lt;5,"中","高"))))),IF(OR(I1539="EO",I1539="EQ"),IF(OR(X1539="估算法",X1539="算法类"),"中",IF(X1539="无法识别","低",IF(L1539&lt;2,IF(N1539&lt;20,"低","中"),IF(L1539&lt;4,IF(N1539&lt;6,"低",IF(N1539&lt;20,"中","高")),IF(N1539&lt;6,"中","高"))))),IF(OR(I1539="ILF",I1539="EIF"),IF(OR(X1539="估算法",X1539="算法类",X1539="无法识别"),"低",IF(M1539&lt;2,IF(N1539&lt;51,"低","中"),IF(M1539&lt;6,IF(N1539&lt;20,"低",IF(N1539&lt;51,"中","高")),IF(N1539&lt;20,"中","高")))),"不计算")))</f>
        <v/>
      </c>
      <c r="P1539" s="142">
        <f>IFERROR(IF(I1539="EI",IF(O1539="低",3,IF(O1539="中",4,6)),IF(I1539="EO",IF(O1539="低",4,IF(O1539="中",5,7)),IF(I1539="EQ",IF(O1539="低",3,IF(O1539="中",4,6)),IF(I1539="ILF",IF(O1539="低",7,IF(O1539="中",10,15)),IF(I1539="EIF",IF(O1539="低",5,IF(O1539="中",7,10)),"不计算")))))*Q1539,"不计算")</f>
        <v/>
      </c>
      <c r="Q1539" s="142" t="n">
        <v>1</v>
      </c>
      <c r="R1539" s="143">
        <f>调整因子!$F$13</f>
        <v/>
      </c>
      <c r="S1539" s="70" t="n">
        <v>1</v>
      </c>
      <c r="T1539" s="144">
        <f>IFERROR(P1539*R1539,0)</f>
        <v/>
      </c>
      <c r="U1539" s="145">
        <f>T1539*S1539</f>
        <v/>
      </c>
      <c r="V1539" s="96" t="inlineStr">
        <is>
          <t>任务优先级配置表、扫描策略模板表</t>
        </is>
      </c>
      <c r="W1539" s="96" t="inlineStr"/>
      <c r="X1539" s="111" t="inlineStr">
        <is>
          <t>任务优先级配置表{任务ID、任务名称、任务类型、任务状态、创建时间、执行时间|任务ID、任务名称、任务类型}
扫描策略模板表{任务ID、任务名称、任务状态、扫描器类型、开始时间、结束时间、扫描结果|任务ID、任务名称、任务状态}</t>
        </is>
      </c>
      <c r="Y1539" s="88" t="n"/>
      <c r="Z1539" s="88" t="n"/>
    </row>
    <row r="1540" hidden="1" ht="21.6" customHeight="1">
      <c r="A1540" s="69">
        <f>ROW()-1</f>
        <v/>
      </c>
      <c r="B1540" s="53" t="n"/>
      <c r="C1540" s="117" t="n">
        <v>2026</v>
      </c>
      <c r="E1540" s="53" t="n"/>
      <c r="F1540" s="53" t="n"/>
      <c r="G1540" s="53" t="n"/>
      <c r="H1540" s="96" t="inlineStr">
        <is>
          <t>编辑推送策略</t>
        </is>
      </c>
      <c r="I1540" s="76" t="inlineStr">
        <is>
          <t>EI</t>
        </is>
      </c>
      <c r="J1540" s="95" t="n"/>
      <c r="K1540" s="95" t="n"/>
      <c r="L1540" s="83">
        <f>IF(OR(X1540="估算法",X1540="算法类",X1540="无法识别"),"",IF(V1540="",IF(OR(I1540="EI",I1540="EO",I1540="EQ"),0,""),LEN(V1540)-LEN(SUBSTITUTE(V1540,"、",""))+1))</f>
        <v/>
      </c>
      <c r="M1540" s="83">
        <f>IF(OR(X1540="估算法",X1540="算法类",X1540="无法识别"),"",IF(W1540="",IF(OR(I1540="ILF",I1540="EIF"),0,""),LEN(W1540)-LEN(SUBSTITUTE(W1540,"、",""))+1))</f>
        <v/>
      </c>
      <c r="N1540" s="83">
        <f>IF(OR(X1540="估算法",X1540="算法类",X1540="无法识别"),"",IF(X1540="",IF(OR(I1540="ILF",I1540="EIF",I1540="EI",I1540="EO",I1540="EQ"),0,""),LEN(X1540)-LEN(SUBSTITUTE(SUBSTITUTE(SUBSTITUTE(SUBSTITUTE(SUBSTITUTE(X1540,"|}","--"),"{|","--"),CHAR(10),""),"、",""),"|",""))+IF(AND(OR(I1540="EI",I1540="EO",I1540="EQ"),$AD$1="NESMA"),2,1)))</f>
        <v/>
      </c>
      <c r="O1540" s="84">
        <f>IF(I1540="EI",IF(OR(X1540="估算法",X1540="算法类"),"中",IF(X1540="无法识别","低",IF(L1540&lt;2,IF(N1540&lt;16,"低","中"),IF(L1540&lt;3,IF(N1540&lt;5,"低",IF(N1540&lt;16,"中","高")),IF(N1540&lt;5,"中","高"))))),IF(OR(I1540="EO",I1540="EQ"),IF(OR(X1540="估算法",X1540="算法类"),"中",IF(X1540="无法识别","低",IF(L1540&lt;2,IF(N1540&lt;20,"低","中"),IF(L1540&lt;4,IF(N1540&lt;6,"低",IF(N1540&lt;20,"中","高")),IF(N1540&lt;6,"中","高"))))),IF(OR(I1540="ILF",I1540="EIF"),IF(OR(X1540="估算法",X1540="算法类",X1540="无法识别"),"低",IF(M1540&lt;2,IF(N1540&lt;51,"低","中"),IF(M1540&lt;6,IF(N1540&lt;20,"低",IF(N1540&lt;51,"中","高")),IF(N1540&lt;20,"中","高")))),"不计算")))</f>
        <v/>
      </c>
      <c r="P1540" s="142">
        <f>IFERROR(IF(I1540="EI",IF(O1540="低",3,IF(O1540="中",4,6)),IF(I1540="EO",IF(O1540="低",4,IF(O1540="中",5,7)),IF(I1540="EQ",IF(O1540="低",3,IF(O1540="中",4,6)),IF(I1540="ILF",IF(O1540="低",7,IF(O1540="中",10,15)),IF(I1540="EIF",IF(O1540="低",5,IF(O1540="中",7,10)),"不计算")))))*Q1540,"不计算")</f>
        <v/>
      </c>
      <c r="Q1540" s="142" t="n">
        <v>1</v>
      </c>
      <c r="R1540" s="143">
        <f>调整因子!$F$13</f>
        <v/>
      </c>
      <c r="S1540" s="70" t="n">
        <v>1</v>
      </c>
      <c r="T1540" s="144">
        <f>IFERROR(P1540*R1540,0)</f>
        <v/>
      </c>
      <c r="U1540" s="145">
        <f>T1540*S1540</f>
        <v/>
      </c>
      <c r="V1540" s="96" t="inlineStr">
        <is>
          <t>扫描策略模板表</t>
        </is>
      </c>
      <c r="W1540" s="96" t="inlineStr"/>
      <c r="X1540" s="111" t="inlineStr">
        <is>
          <t>扫描策略模板表{任务ID、任务名称、任务状态、扫描器类型、开始时间、结束时间、扫描结果|任务ID、任务名称、任务状态}</t>
        </is>
      </c>
      <c r="Y1540" s="88" t="n"/>
      <c r="Z1540" s="88" t="n"/>
    </row>
    <row r="1541" hidden="1" ht="43.2" customHeight="1">
      <c r="A1541" s="69">
        <f>ROW()-1</f>
        <v/>
      </c>
      <c r="B1541" s="53" t="n"/>
      <c r="C1541" s="117" t="n">
        <v>2026</v>
      </c>
      <c r="E1541" s="53" t="n"/>
      <c r="F1541" s="53" t="n"/>
      <c r="G1541" s="53" t="n"/>
      <c r="H1541" s="96" t="inlineStr">
        <is>
          <t>删除推送策略</t>
        </is>
      </c>
      <c r="I1541" s="76" t="inlineStr">
        <is>
          <t>EI</t>
        </is>
      </c>
      <c r="J1541" s="95" t="n"/>
      <c r="K1541" s="95" t="n"/>
      <c r="L1541" s="83">
        <f>IF(OR(X1541="估算法",X1541="算法类",X1541="无法识别"),"",IF(V1541="",IF(OR(I1541="EI",I1541="EO",I1541="EQ"),0,""),LEN(V1541)-LEN(SUBSTITUTE(V1541,"、",""))+1))</f>
        <v/>
      </c>
      <c r="M1541" s="83">
        <f>IF(OR(X1541="估算法",X1541="算法类",X1541="无法识别"),"",IF(W1541="",IF(OR(I1541="ILF",I1541="EIF"),0,""),LEN(W1541)-LEN(SUBSTITUTE(W1541,"、",""))+1))</f>
        <v/>
      </c>
      <c r="N1541" s="83">
        <f>IF(OR(X1541="估算法",X1541="算法类",X1541="无法识别"),"",IF(X1541="",IF(OR(I1541="ILF",I1541="EIF",I1541="EI",I1541="EO",I1541="EQ"),0,""),LEN(X1541)-LEN(SUBSTITUTE(SUBSTITUTE(SUBSTITUTE(SUBSTITUTE(SUBSTITUTE(X1541,"|}","--"),"{|","--"),CHAR(10),""),"、",""),"|",""))+IF(AND(OR(I1541="EI",I1541="EO",I1541="EQ"),$AD$1="NESMA"),2,1)))</f>
        <v/>
      </c>
      <c r="O1541" s="84">
        <f>IF(I1541="EI",IF(OR(X1541="估算法",X1541="算法类"),"中",IF(X1541="无法识别","低",IF(L1541&lt;2,IF(N1541&lt;16,"低","中"),IF(L1541&lt;3,IF(N1541&lt;5,"低",IF(N1541&lt;16,"中","高")),IF(N1541&lt;5,"中","高"))))),IF(OR(I1541="EO",I1541="EQ"),IF(OR(X1541="估算法",X1541="算法类"),"中",IF(X1541="无法识别","低",IF(L1541&lt;2,IF(N1541&lt;20,"低","中"),IF(L1541&lt;4,IF(N1541&lt;6,"低",IF(N1541&lt;20,"中","高")),IF(N1541&lt;6,"中","高"))))),IF(OR(I1541="ILF",I1541="EIF"),IF(OR(X1541="估算法",X1541="算法类",X1541="无法识别"),"低",IF(M1541&lt;2,IF(N1541&lt;51,"低","中"),IF(M1541&lt;6,IF(N1541&lt;20,"低",IF(N1541&lt;51,"中","高")),IF(N1541&lt;20,"中","高")))),"不计算")))</f>
        <v/>
      </c>
      <c r="P1541" s="142">
        <f>IFERROR(IF(I1541="EI",IF(O1541="低",3,IF(O1541="中",4,6)),IF(I1541="EO",IF(O1541="低",4,IF(O1541="中",5,7)),IF(I1541="EQ",IF(O1541="低",3,IF(O1541="中",4,6)),IF(I1541="ILF",IF(O1541="低",7,IF(O1541="中",10,15)),IF(I1541="EIF",IF(O1541="低",5,IF(O1541="中",7,10)),"不计算")))))*Q1541,"不计算")</f>
        <v/>
      </c>
      <c r="Q1541" s="142" t="n">
        <v>0.333333333333333</v>
      </c>
      <c r="R1541" s="143">
        <f>调整因子!$F$13</f>
        <v/>
      </c>
      <c r="S1541" s="76" t="n">
        <v>1</v>
      </c>
      <c r="T1541" s="144">
        <f>IFERROR(P1541*R1541,0)</f>
        <v/>
      </c>
      <c r="U1541" s="145">
        <f>T1541*S1541</f>
        <v/>
      </c>
      <c r="V1541" s="96" t="inlineStr">
        <is>
          <t>扫描策略模板表、提醒策略配置表</t>
        </is>
      </c>
      <c r="W1541" s="96" t="inlineStr"/>
      <c r="X1541" s="111" t="inlineStr">
        <is>
          <t>扫描策略模板表{任务ID、任务名称、任务状态、扫描器类型、开始时间、结束时间、扫描结果|任务ID、任务名称、任务状态}
提醒策略配置表{配置ID、配置名称、配置类型、配置值、创建时间|配置ID、配置名称、配置类型}</t>
        </is>
      </c>
      <c r="Y1541" s="88" t="n"/>
      <c r="Z1541" s="88" t="n"/>
    </row>
    <row r="1542" hidden="1" ht="21.6" customHeight="1">
      <c r="A1542" s="69">
        <f>ROW()-1</f>
        <v/>
      </c>
      <c r="B1542" s="53" t="n"/>
      <c r="C1542" s="117" t="n">
        <v>2026</v>
      </c>
      <c r="E1542" s="53" t="n"/>
      <c r="F1542" s="53" t="n"/>
      <c r="G1542" s="53" t="n"/>
      <c r="H1542" s="96" t="inlineStr">
        <is>
          <t>启用推送策略</t>
        </is>
      </c>
      <c r="I1542" s="76" t="inlineStr">
        <is>
          <t>EI</t>
        </is>
      </c>
      <c r="J1542" s="95" t="n"/>
      <c r="K1542" s="95" t="n"/>
      <c r="L1542" s="83">
        <f>IF(OR(X1542="估算法",X1542="算法类",X1542="无法识别"),"",IF(V1542="",IF(OR(I1542="EI",I1542="EO",I1542="EQ"),0,""),LEN(V1542)-LEN(SUBSTITUTE(V1542,"、",""))+1))</f>
        <v/>
      </c>
      <c r="M1542" s="83">
        <f>IF(OR(X1542="估算法",X1542="算法类",X1542="无法识别"),"",IF(W1542="",IF(OR(I1542="ILF",I1542="EIF"),0,""),LEN(W1542)-LEN(SUBSTITUTE(W1542,"、",""))+1))</f>
        <v/>
      </c>
      <c r="N1542" s="83">
        <f>IF(OR(X1542="估算法",X1542="算法类",X1542="无法识别"),"",IF(X1542="",IF(OR(I1542="ILF",I1542="EIF",I1542="EI",I1542="EO",I1542="EQ"),0,""),LEN(X1542)-LEN(SUBSTITUTE(SUBSTITUTE(SUBSTITUTE(SUBSTITUTE(SUBSTITUTE(X1542,"|}","--"),"{|","--"),CHAR(10),""),"、",""),"|",""))+IF(AND(OR(I1542="EI",I1542="EO",I1542="EQ"),$AD$1="NESMA"),2,1)))</f>
        <v/>
      </c>
      <c r="O1542" s="84">
        <f>IF(I1542="EI",IF(OR(X1542="估算法",X1542="算法类"),"中",IF(X1542="无法识别","低",IF(L1542&lt;2,IF(N1542&lt;16,"低","中"),IF(L1542&lt;3,IF(N1542&lt;5,"低",IF(N1542&lt;16,"中","高")),IF(N1542&lt;5,"中","高"))))),IF(OR(I1542="EO",I1542="EQ"),IF(OR(X1542="估算法",X1542="算法类"),"中",IF(X1542="无法识别","低",IF(L1542&lt;2,IF(N1542&lt;20,"低","中"),IF(L1542&lt;4,IF(N1542&lt;6,"低",IF(N1542&lt;20,"中","高")),IF(N1542&lt;6,"中","高"))))),IF(OR(I1542="ILF",I1542="EIF"),IF(OR(X1542="估算法",X1542="算法类",X1542="无法识别"),"低",IF(M1542&lt;2,IF(N1542&lt;51,"低","中"),IF(M1542&lt;6,IF(N1542&lt;20,"低",IF(N1542&lt;51,"中","高")),IF(N1542&lt;20,"中","高")))),"不计算")))</f>
        <v/>
      </c>
      <c r="P1542" s="142">
        <f>IFERROR(IF(I1542="EI",IF(O1542="低",3,IF(O1542="中",4,6)),IF(I1542="EO",IF(O1542="低",4,IF(O1542="中",5,7)),IF(I1542="EQ",IF(O1542="低",3,IF(O1542="中",4,6)),IF(I1542="ILF",IF(O1542="低",7,IF(O1542="中",10,15)),IF(I1542="EIF",IF(O1542="低",5,IF(O1542="中",7,10)),"不计算")))))*Q1542,"不计算")</f>
        <v/>
      </c>
      <c r="Q1542" s="142" t="n">
        <v>1</v>
      </c>
      <c r="R1542" s="143">
        <f>调整因子!$F$13</f>
        <v/>
      </c>
      <c r="S1542" s="70" t="n">
        <v>1</v>
      </c>
      <c r="T1542" s="144">
        <f>IFERROR(P1542*R1542,0)</f>
        <v/>
      </c>
      <c r="U1542" s="145">
        <f>T1542*S1542</f>
        <v/>
      </c>
      <c r="V1542" s="96" t="inlineStr">
        <is>
          <t>扫描策略模板表</t>
        </is>
      </c>
      <c r="W1542" s="96" t="inlineStr"/>
      <c r="X1542" s="111" t="inlineStr">
        <is>
          <t>扫描策略模板表{任务ID、任务名称、任务状态、扫描器类型、开始时间、结束时间、扫描结果|任务ID、任务名称、任务状态}</t>
        </is>
      </c>
      <c r="Y1542" s="88" t="n"/>
      <c r="Z1542" s="88" t="n"/>
    </row>
    <row r="1543" hidden="1" ht="43.2" customHeight="1">
      <c r="A1543" s="69">
        <f>ROW()-1</f>
        <v/>
      </c>
      <c r="B1543" s="53" t="n"/>
      <c r="C1543" s="117" t="n">
        <v>2026</v>
      </c>
      <c r="E1543" s="53" t="n"/>
      <c r="F1543" s="53" t="n"/>
      <c r="G1543" s="53" t="n"/>
      <c r="H1543" s="96" t="inlineStr">
        <is>
          <t>停用推送策略</t>
        </is>
      </c>
      <c r="I1543" s="76" t="n"/>
      <c r="J1543" s="95" t="n"/>
      <c r="K1543" s="95" t="inlineStr">
        <is>
          <t>和上行合并，启停为相同功能</t>
        </is>
      </c>
      <c r="L1543" s="83">
        <f>IF(OR(X1543="估算法",X1543="算法类",X1543="无法识别"),"",IF(V1543="",IF(OR(I1543="EI",I1543="EO",I1543="EQ"),0,""),LEN(V1543)-LEN(SUBSTITUTE(V1543,"、",""))+1))</f>
        <v/>
      </c>
      <c r="M1543" s="83">
        <f>IF(OR(X1543="估算法",X1543="算法类",X1543="无法识别"),"",IF(W1543="",IF(OR(I1543="ILF",I1543="EIF"),0,""),LEN(W1543)-LEN(SUBSTITUTE(W1543,"、",""))+1))</f>
        <v/>
      </c>
      <c r="N1543" s="83">
        <f>IF(OR(X1543="估算法",X1543="算法类",X1543="无法识别"),"",IF(X1543="",IF(OR(I1543="ILF",I1543="EIF",I1543="EI",I1543="EO",I1543="EQ"),0,""),LEN(X1543)-LEN(SUBSTITUTE(SUBSTITUTE(SUBSTITUTE(SUBSTITUTE(SUBSTITUTE(X1543,"|}","--"),"{|","--"),CHAR(10),""),"、",""),"|",""))+IF(AND(OR(I1543="EI",I1543="EO",I1543="EQ"),$AD$1="NESMA"),2,1)))</f>
        <v/>
      </c>
      <c r="O1543" s="84">
        <f>IF(I1543="EI",IF(OR(X1543="估算法",X1543="算法类"),"中",IF(X1543="无法识别","低",IF(L1543&lt;2,IF(N1543&lt;16,"低","中"),IF(L1543&lt;3,IF(N1543&lt;5,"低",IF(N1543&lt;16,"中","高")),IF(N1543&lt;5,"中","高"))))),IF(OR(I1543="EO",I1543="EQ"),IF(OR(X1543="估算法",X1543="算法类"),"中",IF(X1543="无法识别","低",IF(L1543&lt;2,IF(N1543&lt;20,"低","中"),IF(L1543&lt;4,IF(N1543&lt;6,"低",IF(N1543&lt;20,"中","高")),IF(N1543&lt;6,"中","高"))))),IF(OR(I1543="ILF",I1543="EIF"),IF(OR(X1543="估算法",X1543="算法类",X1543="无法识别"),"低",IF(M1543&lt;2,IF(N1543&lt;51,"低","中"),IF(M1543&lt;6,IF(N1543&lt;20,"低",IF(N1543&lt;51,"中","高")),IF(N1543&lt;20,"中","高")))),"不计算")))</f>
        <v/>
      </c>
      <c r="P1543" s="142">
        <f>IFERROR(IF(I1543="EI",IF(O1543="低",3,IF(O1543="中",4,6)),IF(I1543="EO",IF(O1543="低",4,IF(O1543="中",5,7)),IF(I1543="EQ",IF(O1543="低",3,IF(O1543="中",4,6)),IF(I1543="ILF",IF(O1543="低",7,IF(O1543="中",10,15)),IF(I1543="EIF",IF(O1543="低",5,IF(O1543="中",7,10)),"不计算")))))*Q1543,"不计算")</f>
        <v/>
      </c>
      <c r="Q1543" s="142" t="n">
        <v>1</v>
      </c>
      <c r="R1543" s="143">
        <f>调整因子!$F$13</f>
        <v/>
      </c>
      <c r="S1543" s="70" t="n">
        <v>1</v>
      </c>
      <c r="T1543" s="144">
        <f>IFERROR(P1543*R1543,0)</f>
        <v/>
      </c>
      <c r="U1543" s="145">
        <f>T1543*S1543</f>
        <v/>
      </c>
      <c r="V1543" s="96" t="inlineStr">
        <is>
          <t>扫描策略模板表、提醒策略配置表</t>
        </is>
      </c>
      <c r="W1543" s="96" t="inlineStr"/>
      <c r="X1543" s="111" t="inlineStr">
        <is>
          <t>扫描策略模板表{任务ID、任务名称、任务状态、扫描器类型、开始时间、结束时间、扫描结果|任务ID、任务名称、任务状态}
提醒策略配置表{配置ID、配置名称、配置类型、配置值、创建时间|配置ID、配置名称、配置类型}</t>
        </is>
      </c>
      <c r="Y1543" s="88" t="n"/>
      <c r="Z1543" s="88" t="n"/>
    </row>
    <row r="1544" hidden="1" ht="43.2" customHeight="1">
      <c r="A1544" s="69">
        <f>ROW()-1</f>
        <v/>
      </c>
      <c r="B1544" s="53" t="n"/>
      <c r="C1544" s="117" t="n">
        <v>2026</v>
      </c>
      <c r="E1544" s="53" t="n"/>
      <c r="F1544" s="53" t="n"/>
      <c r="G1544" s="53" t="n"/>
      <c r="H1544" s="96" t="inlineStr">
        <is>
          <t>配置推送对象</t>
        </is>
      </c>
      <c r="I1544" s="76" t="inlineStr">
        <is>
          <t>EI</t>
        </is>
      </c>
      <c r="J1544" s="95" t="n"/>
      <c r="K1544" s="95" t="n"/>
      <c r="L1544" s="83">
        <f>IF(OR(X1544="估算法",X1544="算法类",X1544="无法识别"),"",IF(V1544="",IF(OR(I1544="EI",I1544="EO",I1544="EQ"),0,""),LEN(V1544)-LEN(SUBSTITUTE(V1544,"、",""))+1))</f>
        <v/>
      </c>
      <c r="M1544" s="83">
        <f>IF(OR(X1544="估算法",X1544="算法类",X1544="无法识别"),"",IF(W1544="",IF(OR(I1544="ILF",I1544="EIF"),0,""),LEN(W1544)-LEN(SUBSTITUTE(W1544,"、",""))+1))</f>
        <v/>
      </c>
      <c r="N1544" s="83">
        <f>IF(OR(X1544="估算法",X1544="算法类",X1544="无法识别"),"",IF(X1544="",IF(OR(I1544="ILF",I1544="EIF",I1544="EI",I1544="EO",I1544="EQ"),0,""),LEN(X1544)-LEN(SUBSTITUTE(SUBSTITUTE(SUBSTITUTE(SUBSTITUTE(SUBSTITUTE(X1544,"|}","--"),"{|","--"),CHAR(10),""),"、",""),"|",""))+IF(AND(OR(I1544="EI",I1544="EO",I1544="EQ"),$AD$1="NESMA"),2,1)))</f>
        <v/>
      </c>
      <c r="O1544" s="84">
        <f>IF(I1544="EI",IF(OR(X1544="估算法",X1544="算法类"),"中",IF(X1544="无法识别","低",IF(L1544&lt;2,IF(N1544&lt;16,"低","中"),IF(L1544&lt;3,IF(N1544&lt;5,"低",IF(N1544&lt;16,"中","高")),IF(N1544&lt;5,"中","高"))))),IF(OR(I1544="EO",I1544="EQ"),IF(OR(X1544="估算法",X1544="算法类"),"中",IF(X1544="无法识别","低",IF(L1544&lt;2,IF(N1544&lt;20,"低","中"),IF(L1544&lt;4,IF(N1544&lt;6,"低",IF(N1544&lt;20,"中","高")),IF(N1544&lt;6,"中","高"))))),IF(OR(I1544="ILF",I1544="EIF"),IF(OR(X1544="估算法",X1544="算法类",X1544="无法识别"),"低",IF(M1544&lt;2,IF(N1544&lt;51,"低","中"),IF(M1544&lt;6,IF(N1544&lt;20,"低",IF(N1544&lt;51,"中","高")),IF(N1544&lt;20,"中","高")))),"不计算")))</f>
        <v/>
      </c>
      <c r="P1544" s="142">
        <f>IFERROR(IF(I1544="EI",IF(O1544="低",3,IF(O1544="中",4,6)),IF(I1544="EO",IF(O1544="低",4,IF(O1544="中",5,7)),IF(I1544="EQ",IF(O1544="低",3,IF(O1544="中",4,6)),IF(I1544="ILF",IF(O1544="低",7,IF(O1544="中",10,15)),IF(I1544="EIF",IF(O1544="低",5,IF(O1544="中",7,10)),"不计算")))))*Q1544,"不计算")</f>
        <v/>
      </c>
      <c r="Q1544" s="142" t="n">
        <v>1</v>
      </c>
      <c r="R1544" s="143">
        <f>调整因子!$F$13</f>
        <v/>
      </c>
      <c r="S1544" s="76" t="n">
        <v>1</v>
      </c>
      <c r="T1544" s="144">
        <f>IFERROR(P1544*R1544,0)</f>
        <v/>
      </c>
      <c r="U1544" s="145">
        <f>T1544*S1544</f>
        <v/>
      </c>
      <c r="V1544" s="96" t="inlineStr">
        <is>
          <t>任务优先级配置表、模板参数配置表</t>
        </is>
      </c>
      <c r="W1544" s="96" t="inlineStr"/>
      <c r="X1544" s="111" t="inlineStr">
        <is>
          <t>任务优先级配置表{任务ID、任务名称、任务类型、任务状态、创建时间、执行时间|任务ID、任务名称、任务类型}
模板参数配置表{配置ID、配置名称、配置类型、配置值、创建时间|配置ID、配置名称、配置类型}</t>
        </is>
      </c>
      <c r="Y1544" s="88" t="n"/>
      <c r="Z1544" s="88" t="n"/>
    </row>
    <row r="1545" hidden="1" ht="43.2" customHeight="1">
      <c r="A1545" s="69">
        <f>ROW()-1</f>
        <v/>
      </c>
      <c r="B1545" s="53" t="n"/>
      <c r="C1545" s="117" t="n">
        <v>2026</v>
      </c>
      <c r="E1545" s="53" t="n"/>
      <c r="F1545" s="53" t="n"/>
      <c r="G1545" s="53" t="n"/>
      <c r="H1545" s="96" t="inlineStr">
        <is>
          <t>创建推送任务</t>
        </is>
      </c>
      <c r="I1545" s="76" t="inlineStr">
        <is>
          <t>EI</t>
        </is>
      </c>
      <c r="J1545" s="95" t="n"/>
      <c r="K1545" s="95" t="n"/>
      <c r="L1545" s="83">
        <f>IF(OR(X1545="估算法",X1545="算法类",X1545="无法识别"),"",IF(V1545="",IF(OR(I1545="EI",I1545="EO",I1545="EQ"),0,""),LEN(V1545)-LEN(SUBSTITUTE(V1545,"、",""))+1))</f>
        <v/>
      </c>
      <c r="M1545" s="83">
        <f>IF(OR(X1545="估算法",X1545="算法类",X1545="无法识别"),"",IF(W1545="",IF(OR(I1545="ILF",I1545="EIF"),0,""),LEN(W1545)-LEN(SUBSTITUTE(W1545,"、",""))+1))</f>
        <v/>
      </c>
      <c r="N1545" s="83">
        <f>IF(OR(X1545="估算法",X1545="算法类",X1545="无法识别"),"",IF(X1545="",IF(OR(I1545="ILF",I1545="EIF",I1545="EI",I1545="EO",I1545="EQ"),0,""),LEN(X1545)-LEN(SUBSTITUTE(SUBSTITUTE(SUBSTITUTE(SUBSTITUTE(SUBSTITUTE(X1545,"|}","--"),"{|","--"),CHAR(10),""),"、",""),"|",""))+IF(AND(OR(I1545="EI",I1545="EO",I1545="EQ"),$AD$1="NESMA"),2,1)))</f>
        <v/>
      </c>
      <c r="O1545" s="84">
        <f>IF(I1545="EI",IF(OR(X1545="估算法",X1545="算法类"),"中",IF(X1545="无法识别","低",IF(L1545&lt;2,IF(N1545&lt;16,"低","中"),IF(L1545&lt;3,IF(N1545&lt;5,"低",IF(N1545&lt;16,"中","高")),IF(N1545&lt;5,"中","高"))))),IF(OR(I1545="EO",I1545="EQ"),IF(OR(X1545="估算法",X1545="算法类"),"中",IF(X1545="无法识别","低",IF(L1545&lt;2,IF(N1545&lt;20,"低","中"),IF(L1545&lt;4,IF(N1545&lt;6,"低",IF(N1545&lt;20,"中","高")),IF(N1545&lt;6,"中","高"))))),IF(OR(I1545="ILF",I1545="EIF"),IF(OR(X1545="估算法",X1545="算法类",X1545="无法识别"),"低",IF(M1545&lt;2,IF(N1545&lt;51,"低","中"),IF(M1545&lt;6,IF(N1545&lt;20,"低",IF(N1545&lt;51,"中","高")),IF(N1545&lt;20,"中","高")))),"不计算")))</f>
        <v/>
      </c>
      <c r="P1545" s="142">
        <f>IFERROR(IF(I1545="EI",IF(O1545="低",3,IF(O1545="中",4,6)),IF(I1545="EO",IF(O1545="低",4,IF(O1545="中",5,7)),IF(I1545="EQ",IF(O1545="低",3,IF(O1545="中",4,6)),IF(I1545="ILF",IF(O1545="低",7,IF(O1545="中",10,15)),IF(I1545="EIF",IF(O1545="低",5,IF(O1545="中",7,10)),"不计算")))))*Q1545,"不计算")</f>
        <v/>
      </c>
      <c r="Q1545" s="142" t="n">
        <v>1</v>
      </c>
      <c r="R1545" s="143">
        <f>调整因子!$F$13</f>
        <v/>
      </c>
      <c r="S1545" s="76" t="n">
        <v>1</v>
      </c>
      <c r="T1545" s="144">
        <f>IFERROR(P1545*R1545,0)</f>
        <v/>
      </c>
      <c r="U1545" s="145">
        <f>T1545*S1545</f>
        <v/>
      </c>
      <c r="V1545" s="96" t="inlineStr">
        <is>
          <t>数据清洗任务表、资产同步任务表</t>
        </is>
      </c>
      <c r="W1545" s="96" t="inlineStr"/>
      <c r="X1545" s="111" t="inlineStr">
        <is>
          <t>数据清洗任务表{任务ID、任务名称、任务类型、任务状态、创建时间、执行时间|任务ID、任务名称、任务类型}
资产同步任务表{资产ID、资产名称、IP地址、资产类型、资产状态、创建时间、更新时间|资产ID、资产名称、IP地址}</t>
        </is>
      </c>
      <c r="Y1545" s="88" t="n"/>
      <c r="Z1545" s="88" t="n"/>
    </row>
    <row r="1546" hidden="1" ht="21.6" customHeight="1">
      <c r="A1546" s="69">
        <f>ROW()-1</f>
        <v/>
      </c>
      <c r="B1546" s="53" t="n"/>
      <c r="C1546" s="117" t="n">
        <v>2026</v>
      </c>
      <c r="E1546" s="53" t="n"/>
      <c r="F1546" s="53" t="n"/>
      <c r="G1546" s="53" t="n"/>
      <c r="H1546" s="96" t="inlineStr">
        <is>
          <t>启动推送任务</t>
        </is>
      </c>
      <c r="I1546" s="76" t="inlineStr">
        <is>
          <t>EI</t>
        </is>
      </c>
      <c r="J1546" s="95" t="n"/>
      <c r="K1546" s="95" t="n"/>
      <c r="L1546" s="83">
        <f>IF(OR(X1546="估算法",X1546="算法类",X1546="无法识别"),"",IF(V1546="",IF(OR(I1546="EI",I1546="EO",I1546="EQ"),0,""),LEN(V1546)-LEN(SUBSTITUTE(V1546,"、",""))+1))</f>
        <v/>
      </c>
      <c r="M1546" s="83">
        <f>IF(OR(X1546="估算法",X1546="算法类",X1546="无法识别"),"",IF(W1546="",IF(OR(I1546="ILF",I1546="EIF"),0,""),LEN(W1546)-LEN(SUBSTITUTE(W1546,"、",""))+1))</f>
        <v/>
      </c>
      <c r="N1546" s="83">
        <f>IF(OR(X1546="估算法",X1546="算法类",X1546="无法识别"),"",IF(X1546="",IF(OR(I1546="ILF",I1546="EIF",I1546="EI",I1546="EO",I1546="EQ"),0,""),LEN(X1546)-LEN(SUBSTITUTE(SUBSTITUTE(SUBSTITUTE(SUBSTITUTE(SUBSTITUTE(X1546,"|}","--"),"{|","--"),CHAR(10),""),"、",""),"|",""))+IF(AND(OR(I1546="EI",I1546="EO",I1546="EQ"),$AD$1="NESMA"),2,1)))</f>
        <v/>
      </c>
      <c r="O1546" s="84">
        <f>IF(I1546="EI",IF(OR(X1546="估算法",X1546="算法类"),"中",IF(X1546="无法识别","低",IF(L1546&lt;2,IF(N1546&lt;16,"低","中"),IF(L1546&lt;3,IF(N1546&lt;5,"低",IF(N1546&lt;16,"中","高")),IF(N1546&lt;5,"中","高"))))),IF(OR(I1546="EO",I1546="EQ"),IF(OR(X1546="估算法",X1546="算法类"),"中",IF(X1546="无法识别","低",IF(L1546&lt;2,IF(N1546&lt;20,"低","中"),IF(L1546&lt;4,IF(N1546&lt;6,"低",IF(N1546&lt;20,"中","高")),IF(N1546&lt;6,"中","高"))))),IF(OR(I1546="ILF",I1546="EIF"),IF(OR(X1546="估算法",X1546="算法类",X1546="无法识别"),"低",IF(M1546&lt;2,IF(N1546&lt;51,"低","中"),IF(M1546&lt;6,IF(N1546&lt;20,"低",IF(N1546&lt;51,"中","高")),IF(N1546&lt;20,"中","高")))),"不计算")))</f>
        <v/>
      </c>
      <c r="P1546" s="142">
        <f>IFERROR(IF(I1546="EI",IF(O1546="低",3,IF(O1546="中",4,6)),IF(I1546="EO",IF(O1546="低",4,IF(O1546="中",5,7)),IF(I1546="EQ",IF(O1546="低",3,IF(O1546="中",4,6)),IF(I1546="ILF",IF(O1546="低",7,IF(O1546="中",10,15)),IF(I1546="EIF",IF(O1546="低",5,IF(O1546="中",7,10)),"不计算")))))*Q1546,"不计算")</f>
        <v/>
      </c>
      <c r="Q1546" s="142" t="n">
        <v>1</v>
      </c>
      <c r="R1546" s="143">
        <f>调整因子!$F$13</f>
        <v/>
      </c>
      <c r="S1546" s="70" t="n">
        <v>1</v>
      </c>
      <c r="T1546" s="144">
        <f>IFERROR(P1546*R1546,0)</f>
        <v/>
      </c>
      <c r="U1546" s="145">
        <f>T1546*S1546</f>
        <v/>
      </c>
      <c r="V1546" s="96" t="inlineStr">
        <is>
          <t>数据清洗任务表</t>
        </is>
      </c>
      <c r="W1546" s="96" t="inlineStr"/>
      <c r="X1546" s="111" t="inlineStr">
        <is>
          <t>数据清洗任务表{任务ID、任务名称、任务类型、任务状态、创建时间、执行时间|任务ID、任务名称、任务类型}</t>
        </is>
      </c>
      <c r="Y1546" s="88" t="n"/>
      <c r="Z1546" s="88" t="n"/>
    </row>
    <row r="1547" hidden="1" ht="21.6" customHeight="1">
      <c r="A1547" s="69">
        <f>ROW()-1</f>
        <v/>
      </c>
      <c r="B1547" s="53" t="n"/>
      <c r="C1547" s="117" t="n">
        <v>2026</v>
      </c>
      <c r="E1547" s="53" t="n"/>
      <c r="F1547" s="53" t="n"/>
      <c r="G1547" s="53" t="n"/>
      <c r="H1547" s="96" t="inlineStr">
        <is>
          <t>停止推送任务</t>
        </is>
      </c>
      <c r="I1547" s="76" t="n"/>
      <c r="J1547" s="95" t="n"/>
      <c r="K1547" s="95" t="inlineStr">
        <is>
          <t>和上行合并，启停为相同功能</t>
        </is>
      </c>
      <c r="L1547" s="83">
        <f>IF(OR(X1547="估算法",X1547="算法类",X1547="无法识别"),"",IF(V1547="",IF(OR(I1547="EI",I1547="EO",I1547="EQ"),0,""),LEN(V1547)-LEN(SUBSTITUTE(V1547,"、",""))+1))</f>
        <v/>
      </c>
      <c r="M1547" s="83">
        <f>IF(OR(X1547="估算法",X1547="算法类",X1547="无法识别"),"",IF(W1547="",IF(OR(I1547="ILF",I1547="EIF"),0,""),LEN(W1547)-LEN(SUBSTITUTE(W1547,"、",""))+1))</f>
        <v/>
      </c>
      <c r="N1547" s="83">
        <f>IF(OR(X1547="估算法",X1547="算法类",X1547="无法识别"),"",IF(X1547="",IF(OR(I1547="ILF",I1547="EIF",I1547="EI",I1547="EO",I1547="EQ"),0,""),LEN(X1547)-LEN(SUBSTITUTE(SUBSTITUTE(SUBSTITUTE(SUBSTITUTE(SUBSTITUTE(X1547,"|}","--"),"{|","--"),CHAR(10),""),"、",""),"|",""))+IF(AND(OR(I1547="EI",I1547="EO",I1547="EQ"),$AD$1="NESMA"),2,1)))</f>
        <v/>
      </c>
      <c r="O1547" s="84">
        <f>IF(I1547="EI",IF(OR(X1547="估算法",X1547="算法类"),"中",IF(X1547="无法识别","低",IF(L1547&lt;2,IF(N1547&lt;16,"低","中"),IF(L1547&lt;3,IF(N1547&lt;5,"低",IF(N1547&lt;16,"中","高")),IF(N1547&lt;5,"中","高"))))),IF(OR(I1547="EO",I1547="EQ"),IF(OR(X1547="估算法",X1547="算法类"),"中",IF(X1547="无法识别","低",IF(L1547&lt;2,IF(N1547&lt;20,"低","中"),IF(L1547&lt;4,IF(N1547&lt;6,"低",IF(N1547&lt;20,"中","高")),IF(N1547&lt;6,"中","高"))))),IF(OR(I1547="ILF",I1547="EIF"),IF(OR(X1547="估算法",X1547="算法类",X1547="无法识别"),"低",IF(M1547&lt;2,IF(N1547&lt;51,"低","中"),IF(M1547&lt;6,IF(N1547&lt;20,"低",IF(N1547&lt;51,"中","高")),IF(N1547&lt;20,"中","高")))),"不计算")))</f>
        <v/>
      </c>
      <c r="P1547" s="142">
        <f>IFERROR(IF(I1547="EI",IF(O1547="低",3,IF(O1547="中",4,6)),IF(I1547="EO",IF(O1547="低",4,IF(O1547="中",5,7)),IF(I1547="EQ",IF(O1547="低",3,IF(O1547="中",4,6)),IF(I1547="ILF",IF(O1547="低",7,IF(O1547="中",10,15)),IF(I1547="EIF",IF(O1547="低",5,IF(O1547="中",7,10)),"不计算")))))*Q1547,"不计算")</f>
        <v/>
      </c>
      <c r="Q1547" s="142" t="n">
        <v>1</v>
      </c>
      <c r="R1547" s="143">
        <f>调整因子!$F$13</f>
        <v/>
      </c>
      <c r="S1547" s="70" t="n">
        <v>1</v>
      </c>
      <c r="T1547" s="144">
        <f>IFERROR(P1547*R1547,0)</f>
        <v/>
      </c>
      <c r="U1547" s="145">
        <f>T1547*S1547</f>
        <v/>
      </c>
      <c r="V1547" s="96" t="inlineStr">
        <is>
          <t>数据清洗任务表</t>
        </is>
      </c>
      <c r="W1547" s="96" t="inlineStr"/>
      <c r="X1547" s="111" t="inlineStr">
        <is>
          <t>数据清洗任务表{任务ID、任务名称、任务类型、任务状态、创建时间、执行时间|任务ID、任务名称、任务类型}</t>
        </is>
      </c>
      <c r="Y1547" s="88" t="n"/>
      <c r="Z1547" s="88" t="n"/>
    </row>
    <row r="1548" hidden="1" ht="21.6" customHeight="1">
      <c r="A1548" s="69">
        <f>ROW()-1</f>
        <v/>
      </c>
      <c r="B1548" s="53" t="n"/>
      <c r="C1548" s="117" t="n">
        <v>2026</v>
      </c>
      <c r="E1548" s="53" t="n"/>
      <c r="F1548" s="53" t="n"/>
      <c r="G1548" s="53" t="n"/>
      <c r="H1548" s="96" t="inlineStr">
        <is>
          <t>导出推送配置</t>
        </is>
      </c>
      <c r="I1548" s="76" t="inlineStr">
        <is>
          <t>EO</t>
        </is>
      </c>
      <c r="J1548" s="95" t="n"/>
      <c r="K1548" s="95" t="n"/>
      <c r="L1548" s="83">
        <f>IF(OR(X1548="估算法",X1548="算法类",X1548="无法识别"),"",IF(V1548="",IF(OR(I1548="EI",I1548="EO",I1548="EQ"),0,""),LEN(V1548)-LEN(SUBSTITUTE(V1548,"、",""))+1))</f>
        <v/>
      </c>
      <c r="M1548" s="83">
        <f>IF(OR(X1548="估算法",X1548="算法类",X1548="无法识别"),"",IF(W1548="",IF(OR(I1548="ILF",I1548="EIF"),0,""),LEN(W1548)-LEN(SUBSTITUTE(W1548,"、",""))+1))</f>
        <v/>
      </c>
      <c r="N1548" s="83">
        <f>IF(OR(X1548="估算法",X1548="算法类",X1548="无法识别"),"",IF(X1548="",IF(OR(I1548="ILF",I1548="EIF",I1548="EI",I1548="EO",I1548="EQ"),0,""),LEN(X1548)-LEN(SUBSTITUTE(SUBSTITUTE(SUBSTITUTE(SUBSTITUTE(SUBSTITUTE(X1548,"|}","--"),"{|","--"),CHAR(10),""),"、",""),"|",""))+IF(AND(OR(I1548="EI",I1548="EO",I1548="EQ"),$AD$1="NESMA"),2,1)))</f>
        <v/>
      </c>
      <c r="O1548" s="84">
        <f>IF(I1548="EI",IF(OR(X1548="估算法",X1548="算法类"),"中",IF(X1548="无法识别","低",IF(L1548&lt;2,IF(N1548&lt;16,"低","中"),IF(L1548&lt;3,IF(N1548&lt;5,"低",IF(N1548&lt;16,"中","高")),IF(N1548&lt;5,"中","高"))))),IF(OR(I1548="EO",I1548="EQ"),IF(OR(X1548="估算法",X1548="算法类"),"中",IF(X1548="无法识别","低",IF(L1548&lt;2,IF(N1548&lt;20,"低","中"),IF(L1548&lt;4,IF(N1548&lt;6,"低",IF(N1548&lt;20,"中","高")),IF(N1548&lt;6,"中","高"))))),IF(OR(I1548="ILF",I1548="EIF"),IF(OR(X1548="估算法",X1548="算法类",X1548="无法识别"),"低",IF(M1548&lt;2,IF(N1548&lt;51,"低","中"),IF(M1548&lt;6,IF(N1548&lt;20,"低",IF(N1548&lt;51,"中","高")),IF(N1548&lt;20,"中","高")))),"不计算")))</f>
        <v/>
      </c>
      <c r="P1548" s="142">
        <f>IFERROR(IF(I1548="EI",IF(O1548="低",3,IF(O1548="中",4,6)),IF(I1548="EO",IF(O1548="低",4,IF(O1548="中",5,7)),IF(I1548="EQ",IF(O1548="低",3,IF(O1548="中",4,6)),IF(I1548="ILF",IF(O1548="低",7,IF(O1548="中",10,15)),IF(I1548="EIF",IF(O1548="低",5,IF(O1548="中",7,10)),"不计算")))))*Q1548,"不计算")</f>
        <v/>
      </c>
      <c r="Q1548" s="142" t="n">
        <v>1</v>
      </c>
      <c r="R1548" s="143">
        <f>调整因子!$F$13</f>
        <v/>
      </c>
      <c r="S1548" s="76" t="n">
        <v>1</v>
      </c>
      <c r="T1548" s="144">
        <f>IFERROR(P1548*R1548,0)</f>
        <v/>
      </c>
      <c r="U1548" s="145">
        <f>T1548*S1548</f>
        <v/>
      </c>
      <c r="V1548" s="96" t="inlineStr">
        <is>
          <t>任务优先级配置表</t>
        </is>
      </c>
      <c r="W1548" s="96" t="inlineStr"/>
      <c r="X1548" s="111" t="inlineStr">
        <is>
          <t>任务优先级配置表{任务ID、任务名称|任务ID、任务名称、任务类型、任务状态、创建时间、执行时间}</t>
        </is>
      </c>
      <c r="Y1548" s="88" t="n"/>
      <c r="Z1548" s="88" t="n"/>
    </row>
    <row r="1549" hidden="1" ht="32.4" customHeight="1">
      <c r="A1549" s="69">
        <f>ROW()-1</f>
        <v/>
      </c>
      <c r="B1549" s="53" t="n"/>
      <c r="C1549" s="117" t="n">
        <v>2026</v>
      </c>
      <c r="E1549" s="53" t="n"/>
      <c r="F1549" s="53" t="n"/>
      <c r="G1549" s="53" t="n"/>
      <c r="H1549" s="96" t="inlineStr">
        <is>
          <t>查询推送列表</t>
        </is>
      </c>
      <c r="I1549" s="76" t="inlineStr">
        <is>
          <t>EO</t>
        </is>
      </c>
      <c r="J1549" s="95" t="n"/>
      <c r="K1549" s="95" t="n"/>
      <c r="L1549" s="83">
        <f>IF(OR(X1549="估算法",X1549="算法类",X1549="无法识别"),"",IF(V1549="",IF(OR(I1549="EI",I1549="EO",I1549="EQ"),0,""),LEN(V1549)-LEN(SUBSTITUTE(V1549,"、",""))+1))</f>
        <v/>
      </c>
      <c r="M1549" s="83">
        <f>IF(OR(X1549="估算法",X1549="算法类",X1549="无法识别"),"",IF(W1549="",IF(OR(I1549="ILF",I1549="EIF"),0,""),LEN(W1549)-LEN(SUBSTITUTE(W1549,"、",""))+1))</f>
        <v/>
      </c>
      <c r="N1549" s="83">
        <f>IF(OR(X1549="估算法",X1549="算法类",X1549="无法识别"),"",IF(X1549="",IF(OR(I1549="ILF",I1549="EIF",I1549="EI",I1549="EO",I1549="EQ"),0,""),LEN(X1549)-LEN(SUBSTITUTE(SUBSTITUTE(SUBSTITUTE(SUBSTITUTE(SUBSTITUTE(X1549,"|}","--"),"{|","--"),CHAR(10),""),"、",""),"|",""))+IF(AND(OR(I1549="EI",I1549="EO",I1549="EQ"),$AD$1="NESMA"),2,1)))</f>
        <v/>
      </c>
      <c r="O1549" s="84">
        <f>IF(I1549="EI",IF(OR(X1549="估算法",X1549="算法类"),"中",IF(X1549="无法识别","低",IF(L1549&lt;2,IF(N1549&lt;16,"低","中"),IF(L1549&lt;3,IF(N1549&lt;5,"低",IF(N1549&lt;16,"中","高")),IF(N1549&lt;5,"中","高"))))),IF(OR(I1549="EO",I1549="EQ"),IF(OR(X1549="估算法",X1549="算法类"),"中",IF(X1549="无法识别","低",IF(L1549&lt;2,IF(N1549&lt;20,"低","中"),IF(L1549&lt;4,IF(N1549&lt;6,"低",IF(N1549&lt;20,"中","高")),IF(N1549&lt;6,"中","高"))))),IF(OR(I1549="ILF",I1549="EIF"),IF(OR(X1549="估算法",X1549="算法类",X1549="无法识别"),"低",IF(M1549&lt;2,IF(N1549&lt;51,"低","中"),IF(M1549&lt;6,IF(N1549&lt;20,"低",IF(N1549&lt;51,"中","高")),IF(N1549&lt;20,"中","高")))),"不计算")))</f>
        <v/>
      </c>
      <c r="P1549" s="142">
        <f>IFERROR(IF(I1549="EI",IF(O1549="低",3,IF(O1549="中",4,6)),IF(I1549="EO",IF(O1549="低",4,IF(O1549="中",5,7)),IF(I1549="EQ",IF(O1549="低",3,IF(O1549="中",4,6)),IF(I1549="ILF",IF(O1549="低",7,IF(O1549="中",10,15)),IF(I1549="EIF",IF(O1549="低",5,IF(O1549="中",7,10)),"不计算")))))*Q1549,"不计算")</f>
        <v/>
      </c>
      <c r="Q1549" s="142" t="n">
        <v>1</v>
      </c>
      <c r="R1549" s="143">
        <f>调整因子!$F$13</f>
        <v/>
      </c>
      <c r="S1549" s="70" t="n">
        <v>1</v>
      </c>
      <c r="T1549" s="144">
        <f>IFERROR(P1549*R1549,0)</f>
        <v/>
      </c>
      <c r="U1549" s="145">
        <f>T1549*S1549</f>
        <v/>
      </c>
      <c r="V1549" s="96" t="inlineStr">
        <is>
          <t>验证任务表、报表模板表</t>
        </is>
      </c>
      <c r="W1549" s="96" t="inlineStr"/>
      <c r="X1549" s="111" t="inlineStr">
        <is>
          <t>验证任务表{任务ID、任务名称|任务ID、任务名称、任务类型、任务状态、创建时间、执行时间}
报表模板表{报表ID、报表名称|报表ID、报表名称、报表类型、生成时间、报表内容}</t>
        </is>
      </c>
      <c r="Y1549" s="88" t="n"/>
      <c r="Z1549" s="88" t="n"/>
    </row>
    <row r="1550" hidden="1" ht="32.4" customHeight="1">
      <c r="A1550" s="69">
        <f>ROW()-1</f>
        <v/>
      </c>
      <c r="B1550" s="53" t="n"/>
      <c r="C1550" s="117" t="n">
        <v>2026</v>
      </c>
      <c r="E1550" s="53" t="n"/>
      <c r="F1550" s="53" t="n"/>
      <c r="G1550" s="54" t="n"/>
      <c r="H1550" s="96" t="inlineStr">
        <is>
          <t>查看推送详情</t>
        </is>
      </c>
      <c r="I1550" s="76" t="inlineStr">
        <is>
          <t>EQ</t>
        </is>
      </c>
      <c r="J1550" s="95" t="n"/>
      <c r="K1550" s="95" t="n"/>
      <c r="L1550" s="83">
        <f>IF(OR(X1550="估算法",X1550="算法类",X1550="无法识别"),"",IF(V1550="",IF(OR(I1550="EI",I1550="EO",I1550="EQ"),0,""),LEN(V1550)-LEN(SUBSTITUTE(V1550,"、",""))+1))</f>
        <v/>
      </c>
      <c r="M1550" s="83">
        <f>IF(OR(X1550="估算法",X1550="算法类",X1550="无法识别"),"",IF(W1550="",IF(OR(I1550="ILF",I1550="EIF"),0,""),LEN(W1550)-LEN(SUBSTITUTE(W1550,"、",""))+1))</f>
        <v/>
      </c>
      <c r="N1550" s="83">
        <f>IF(OR(X1550="估算法",X1550="算法类",X1550="无法识别"),"",IF(X1550="",IF(OR(I1550="ILF",I1550="EIF",I1550="EI",I1550="EO",I1550="EQ"),0,""),LEN(X1550)-LEN(SUBSTITUTE(SUBSTITUTE(SUBSTITUTE(SUBSTITUTE(SUBSTITUTE(X1550,"|}","--"),"{|","--"),CHAR(10),""),"、",""),"|",""))+IF(AND(OR(I1550="EI",I1550="EO",I1550="EQ"),$AD$1="NESMA"),2,1)))</f>
        <v/>
      </c>
      <c r="O1550" s="84">
        <f>IF(I1550="EI",IF(OR(X1550="估算法",X1550="算法类"),"中",IF(X1550="无法识别","低",IF(L1550&lt;2,IF(N1550&lt;16,"低","中"),IF(L1550&lt;3,IF(N1550&lt;5,"低",IF(N1550&lt;16,"中","高")),IF(N1550&lt;5,"中","高"))))),IF(OR(I1550="EO",I1550="EQ"),IF(OR(X1550="估算法",X1550="算法类"),"中",IF(X1550="无法识别","低",IF(L1550&lt;2,IF(N1550&lt;20,"低","中"),IF(L1550&lt;4,IF(N1550&lt;6,"低",IF(N1550&lt;20,"中","高")),IF(N1550&lt;6,"中","高"))))),IF(OR(I1550="ILF",I1550="EIF"),IF(OR(X1550="估算法",X1550="算法类",X1550="无法识别"),"低",IF(M1550&lt;2,IF(N1550&lt;51,"低","中"),IF(M1550&lt;6,IF(N1550&lt;20,"低",IF(N1550&lt;51,"中","高")),IF(N1550&lt;20,"中","高")))),"不计算")))</f>
        <v/>
      </c>
      <c r="P1550" s="142">
        <f>IFERROR(IF(I1550="EI",IF(O1550="低",3,IF(O1550="中",4,6)),IF(I1550="EO",IF(O1550="低",4,IF(O1550="中",5,7)),IF(I1550="EQ",IF(O1550="低",3,IF(O1550="中",4,6)),IF(I1550="ILF",IF(O1550="低",7,IF(O1550="中",10,15)),IF(I1550="EIF",IF(O1550="低",5,IF(O1550="中",7,10)),"不计算")))))*Q1550,"不计算")</f>
        <v/>
      </c>
      <c r="Q1550" s="142" t="n">
        <v>1</v>
      </c>
      <c r="R1550" s="143">
        <f>调整因子!$F$13</f>
        <v/>
      </c>
      <c r="S1550" s="70" t="n">
        <v>1</v>
      </c>
      <c r="T1550" s="144">
        <f>IFERROR(P1550*R1550,0)</f>
        <v/>
      </c>
      <c r="U1550" s="145">
        <f>T1550*S1550</f>
        <v/>
      </c>
      <c r="V1550" s="96" t="inlineStr">
        <is>
          <t>任务趋势分析表、修复步骤表</t>
        </is>
      </c>
      <c r="W1550" s="96" t="inlineStr"/>
      <c r="X1550" s="111" t="inlineStr">
        <is>
          <t>任务趋势分析表{任务ID、任务名称|任务ID、任务名称、任务类型、任务状态、创建时间、执行时间}
修复步骤表{ID、名称|ID、名称、类型、状态、创建时间、更新时间}</t>
        </is>
      </c>
      <c r="Y1550" s="88" t="n"/>
      <c r="Z1550" s="88" t="n"/>
    </row>
    <row r="1551" hidden="1">
      <c r="A1551" s="69">
        <f>ROW()-1</f>
        <v/>
      </c>
      <c r="B1551" s="53" t="n"/>
      <c r="C1551" s="117" t="n">
        <v>2026</v>
      </c>
      <c r="E1551" s="53" t="n"/>
      <c r="F1551" s="53" t="n"/>
      <c r="G1551" s="111" t="inlineStr">
        <is>
          <t>推送结果管理</t>
        </is>
      </c>
      <c r="H1551" s="96" t="inlineStr">
        <is>
          <t>推送结果表</t>
        </is>
      </c>
      <c r="I1551" s="76" t="inlineStr">
        <is>
          <t>ILF</t>
        </is>
      </c>
      <c r="J1551" s="95" t="n"/>
      <c r="K1551" s="95" t="n"/>
      <c r="L1551" s="83">
        <f>IF(OR(X1551="估算法",X1551="算法类",X1551="无法识别"),"",IF(V1551="",IF(OR(I1551="EI",I1551="EO",I1551="EQ"),0,""),LEN(V1551)-LEN(SUBSTITUTE(V1551,"、",""))+1))</f>
        <v/>
      </c>
      <c r="M1551" s="83">
        <f>IF(OR(X1551="估算法",X1551="算法类",X1551="无法识别"),"",IF(W1551="",IF(OR(I1551="ILF",I1551="EIF"),0,""),LEN(W1551)-LEN(SUBSTITUTE(W1551,"、",""))+1))</f>
        <v/>
      </c>
      <c r="N1551" s="83">
        <f>IF(OR(X1551="估算法",X1551="算法类",X1551="无法识别"),"",IF(X1551="",IF(OR(I1551="ILF",I1551="EIF",I1551="EI",I1551="EO",I1551="EQ"),0,""),LEN(X1551)-LEN(SUBSTITUTE(SUBSTITUTE(SUBSTITUTE(SUBSTITUTE(SUBSTITUTE(X1551,"|}","--"),"{|","--"),CHAR(10),""),"、",""),"|",""))+IF(AND(OR(I1551="EI",I1551="EO",I1551="EQ"),$AD$1="NESMA"),2,1)))</f>
        <v/>
      </c>
      <c r="O1551" s="84">
        <f>IF(I1551="EI",IF(OR(X1551="估算法",X1551="算法类"),"中",IF(X1551="无法识别","低",IF(L1551&lt;2,IF(N1551&lt;16,"低","中"),IF(L1551&lt;3,IF(N1551&lt;5,"低",IF(N1551&lt;16,"中","高")),IF(N1551&lt;5,"中","高"))))),IF(OR(I1551="EO",I1551="EQ"),IF(OR(X1551="估算法",X1551="算法类"),"中",IF(X1551="无法识别","低",IF(L1551&lt;2,IF(N1551&lt;20,"低","中"),IF(L1551&lt;4,IF(N1551&lt;6,"低",IF(N1551&lt;20,"中","高")),IF(N1551&lt;6,"中","高"))))),IF(OR(I1551="ILF",I1551="EIF"),IF(OR(X1551="估算法",X1551="算法类",X1551="无法识别"),"低",IF(M1551&lt;2,IF(N1551&lt;51,"低","中"),IF(M1551&lt;6,IF(N1551&lt;20,"低",IF(N1551&lt;51,"中","高")),IF(N1551&lt;20,"中","高")))),"不计算")))</f>
        <v/>
      </c>
      <c r="P1551" s="142">
        <f>IFERROR(IF(I1551="EI",IF(O1551="低",3,IF(O1551="中",4,6)),IF(I1551="EO",IF(O1551="低",4,IF(O1551="中",5,7)),IF(I1551="EQ",IF(O1551="低",3,IF(O1551="中",4,6)),IF(I1551="ILF",IF(O1551="低",7,IF(O1551="中",10,15)),IF(I1551="EIF",IF(O1551="低",5,IF(O1551="中",7,10)),"不计算")))))*Q1551,"不计算")</f>
        <v/>
      </c>
      <c r="Q1551" s="142" t="n">
        <v>1</v>
      </c>
      <c r="R1551" s="143">
        <f>调整因子!$F$13</f>
        <v/>
      </c>
      <c r="S1551" s="76" t="n">
        <v>1</v>
      </c>
      <c r="T1551" s="144">
        <f>IFERROR(P1551*R1551,0)</f>
        <v/>
      </c>
      <c r="U1551" s="145">
        <f>T1551*S1551</f>
        <v/>
      </c>
      <c r="V1551" s="96" t="inlineStr"/>
      <c r="W1551" s="96" t="inlineStr">
        <is>
          <t>数据记录</t>
        </is>
      </c>
      <c r="X1551" s="111" t="inlineStr">
        <is>
          <t>推送结果表{ID、名称、类型|ID、名称、类型、状态、创建时间、更新时间}</t>
        </is>
      </c>
      <c r="Y1551" s="88">
        <f>IF(COUNTIFS(V:V,"*"&amp;H1551&amp;"*")&gt;0,"存在","不存在")</f>
        <v/>
      </c>
      <c r="Z1551" s="88">
        <f>IF(COUNTIFS(AA:AA,"*"&amp;H1551&amp;"*")&gt;0,"存在","不存在")</f>
        <v/>
      </c>
    </row>
    <row r="1552" hidden="1" ht="21.6" customHeight="1">
      <c r="A1552" s="69">
        <f>ROW()-1</f>
        <v/>
      </c>
      <c r="B1552" s="53" t="n"/>
      <c r="C1552" s="117" t="n">
        <v>2026</v>
      </c>
      <c r="E1552" s="53" t="n"/>
      <c r="F1552" s="53" t="n"/>
      <c r="G1552" s="53" t="n"/>
      <c r="H1552" s="96" t="inlineStr">
        <is>
          <t>推送日志表</t>
        </is>
      </c>
      <c r="I1552" s="76" t="n"/>
      <c r="J1552" s="95" t="n"/>
      <c r="K1552" s="95" t="inlineStr">
        <is>
          <t>非ILF - 日志表</t>
        </is>
      </c>
      <c r="L1552" s="83">
        <f>IF(OR(X1552="估算法",X1552="算法类",X1552="无法识别"),"",IF(V1552="",IF(OR(I1552="EI",I1552="EO",I1552="EQ"),0,""),LEN(V1552)-LEN(SUBSTITUTE(V1552,"、",""))+1))</f>
        <v/>
      </c>
      <c r="M1552" s="83">
        <f>IF(OR(X1552="估算法",X1552="算法类",X1552="无法识别"),"",IF(W1552="",IF(OR(I1552="ILF",I1552="EIF"),0,""),LEN(W1552)-LEN(SUBSTITUTE(W1552,"、",""))+1))</f>
        <v/>
      </c>
      <c r="N1552" s="83">
        <f>IF(OR(X1552="估算法",X1552="算法类",X1552="无法识别"),"",IF(X1552="",IF(OR(I1552="ILF",I1552="EIF",I1552="EI",I1552="EO",I1552="EQ"),0,""),LEN(X1552)-LEN(SUBSTITUTE(SUBSTITUTE(SUBSTITUTE(SUBSTITUTE(SUBSTITUTE(X1552,"|}","--"),"{|","--"),CHAR(10),""),"、",""),"|",""))+IF(AND(OR(I1552="EI",I1552="EO",I1552="EQ"),$AD$1="NESMA"),2,1)))</f>
        <v/>
      </c>
      <c r="O1552" s="84">
        <f>IF(I1552="EI",IF(OR(X1552="估算法",X1552="算法类"),"中",IF(X1552="无法识别","低",IF(L1552&lt;2,IF(N1552&lt;16,"低","中"),IF(L1552&lt;3,IF(N1552&lt;5,"低",IF(N1552&lt;16,"中","高")),IF(N1552&lt;5,"中","高"))))),IF(OR(I1552="EO",I1552="EQ"),IF(OR(X1552="估算法",X1552="算法类"),"中",IF(X1552="无法识别","低",IF(L1552&lt;2,IF(N1552&lt;20,"低","中"),IF(L1552&lt;4,IF(N1552&lt;6,"低",IF(N1552&lt;20,"中","高")),IF(N1552&lt;6,"中","高"))))),IF(OR(I1552="ILF",I1552="EIF"),IF(OR(X1552="估算法",X1552="算法类",X1552="无法识别"),"低",IF(M1552&lt;2,IF(N1552&lt;51,"低","中"),IF(M1552&lt;6,IF(N1552&lt;20,"低",IF(N1552&lt;51,"中","高")),IF(N1552&lt;20,"中","高")))),"不计算")))</f>
        <v/>
      </c>
      <c r="P1552" s="142">
        <f>IFERROR(IF(I1552="EI",IF(O1552="低",3,IF(O1552="中",4,6)),IF(I1552="EO",IF(O1552="低",4,IF(O1552="中",5,7)),IF(I1552="EQ",IF(O1552="低",3,IF(O1552="中",4,6)),IF(I1552="ILF",IF(O1552="低",7,IF(O1552="中",10,15)),IF(I1552="EIF",IF(O1552="低",5,IF(O1552="中",7,10)),"不计算")))))*Q1552,"不计算")</f>
        <v/>
      </c>
      <c r="Q1552" s="142" t="n">
        <v>1</v>
      </c>
      <c r="R1552" s="143">
        <f>调整因子!$F$13</f>
        <v/>
      </c>
      <c r="S1552" s="76" t="n">
        <v>1</v>
      </c>
      <c r="T1552" s="144">
        <f>IFERROR(P1552*R1552,0)</f>
        <v/>
      </c>
      <c r="U1552" s="145">
        <f>T1552*S1552</f>
        <v/>
      </c>
      <c r="V1552" s="96" t="inlineStr"/>
      <c r="W1552" s="96" t="inlineStr">
        <is>
          <t>操作日志</t>
        </is>
      </c>
      <c r="X1552" s="111" t="inlineStr">
        <is>
          <t>推送日志表{日志ID、操作人、操作类型|日志ID、操作人、操作类型、操作时间、操作内容}</t>
        </is>
      </c>
      <c r="Y1552" s="88">
        <f>IF(COUNTIFS(V:V,"*"&amp;H1552&amp;"*")&gt;0,"存在","不存在")</f>
        <v/>
      </c>
      <c r="Z1552" s="88">
        <f>IF(COUNTIFS(AA:AA,"*"&amp;H1552&amp;"*")&gt;0,"存在","不存在")</f>
        <v/>
      </c>
    </row>
    <row r="1553" hidden="1">
      <c r="A1553" s="69">
        <f>ROW()-1</f>
        <v/>
      </c>
      <c r="B1553" s="53" t="n"/>
      <c r="C1553" s="117" t="n">
        <v>2026</v>
      </c>
      <c r="E1553" s="53" t="n"/>
      <c r="F1553" s="53" t="n"/>
      <c r="G1553" s="53" t="n"/>
      <c r="H1553" s="96" t="inlineStr">
        <is>
          <t>推送失败重试表</t>
        </is>
      </c>
      <c r="I1553" s="76" t="inlineStr">
        <is>
          <t>ILF</t>
        </is>
      </c>
      <c r="J1553" s="95" t="n"/>
      <c r="K1553" s="95" t="n"/>
      <c r="L1553" s="83">
        <f>IF(OR(X1553="估算法",X1553="算法类",X1553="无法识别"),"",IF(V1553="",IF(OR(I1553="EI",I1553="EO",I1553="EQ"),0,""),LEN(V1553)-LEN(SUBSTITUTE(V1553,"、",""))+1))</f>
        <v/>
      </c>
      <c r="M1553" s="83">
        <f>IF(OR(X1553="估算法",X1553="算法类",X1553="无法识别"),"",IF(W1553="",IF(OR(I1553="ILF",I1553="EIF"),0,""),LEN(W1553)-LEN(SUBSTITUTE(W1553,"、",""))+1))</f>
        <v/>
      </c>
      <c r="N1553" s="83">
        <f>IF(OR(X1553="估算法",X1553="算法类",X1553="无法识别"),"",IF(X1553="",IF(OR(I1553="ILF",I1553="EIF",I1553="EI",I1553="EO",I1553="EQ"),0,""),LEN(X1553)-LEN(SUBSTITUTE(SUBSTITUTE(SUBSTITUTE(SUBSTITUTE(SUBSTITUTE(X1553,"|}","--"),"{|","--"),CHAR(10),""),"、",""),"|",""))+IF(AND(OR(I1553="EI",I1553="EO",I1553="EQ"),$AD$1="NESMA"),2,1)))</f>
        <v/>
      </c>
      <c r="O1553" s="84">
        <f>IF(I1553="EI",IF(OR(X1553="估算法",X1553="算法类"),"中",IF(X1553="无法识别","低",IF(L1553&lt;2,IF(N1553&lt;16,"低","中"),IF(L1553&lt;3,IF(N1553&lt;5,"低",IF(N1553&lt;16,"中","高")),IF(N1553&lt;5,"中","高"))))),IF(OR(I1553="EO",I1553="EQ"),IF(OR(X1553="估算法",X1553="算法类"),"中",IF(X1553="无法识别","低",IF(L1553&lt;2,IF(N1553&lt;20,"低","中"),IF(L1553&lt;4,IF(N1553&lt;6,"低",IF(N1553&lt;20,"中","高")),IF(N1553&lt;6,"中","高"))))),IF(OR(I1553="ILF",I1553="EIF"),IF(OR(X1553="估算法",X1553="算法类",X1553="无法识别"),"低",IF(M1553&lt;2,IF(N1553&lt;51,"低","中"),IF(M1553&lt;6,IF(N1553&lt;20,"低",IF(N1553&lt;51,"中","高")),IF(N1553&lt;20,"中","高")))),"不计算")))</f>
        <v/>
      </c>
      <c r="P1553" s="142">
        <f>IFERROR(IF(I1553="EI",IF(O1553="低",3,IF(O1553="中",4,6)),IF(I1553="EO",IF(O1553="低",4,IF(O1553="中",5,7)),IF(I1553="EQ",IF(O1553="低",3,IF(O1553="中",4,6)),IF(I1553="ILF",IF(O1553="低",7,IF(O1553="中",10,15)),IF(I1553="EIF",IF(O1553="低",5,IF(O1553="中",7,10)),"不计算")))))*Q1553,"不计算")</f>
        <v/>
      </c>
      <c r="Q1553" s="142" t="n">
        <v>1</v>
      </c>
      <c r="R1553" s="143">
        <f>调整因子!$F$13</f>
        <v/>
      </c>
      <c r="S1553" s="70" t="n">
        <v>1</v>
      </c>
      <c r="T1553" s="144">
        <f>IFERROR(P1553*R1553,0)</f>
        <v/>
      </c>
      <c r="U1553" s="145">
        <f>T1553*S1553</f>
        <v/>
      </c>
      <c r="V1553" s="96" t="inlineStr"/>
      <c r="W1553" s="96" t="inlineStr">
        <is>
          <t>数据记录</t>
        </is>
      </c>
      <c r="X1553" s="111" t="inlineStr">
        <is>
          <t>推送失败重试表{ID、名称、类型|ID、名称、类型、状态、创建时间、更新时间}</t>
        </is>
      </c>
      <c r="Y1553" s="88">
        <f>IF(COUNTIFS(V:V,"*"&amp;H1553&amp;"*")&gt;0,"存在","不存在")</f>
        <v/>
      </c>
      <c r="Z1553" s="88">
        <f>IF(COUNTIFS(AA:AA,"*"&amp;H1553&amp;"*")&gt;0,"存在","不存在")</f>
        <v/>
      </c>
    </row>
    <row r="1554" hidden="1" ht="32.4" customHeight="1">
      <c r="A1554" s="69">
        <f>ROW()-1</f>
        <v/>
      </c>
      <c r="B1554" s="53" t="n"/>
      <c r="C1554" s="117" t="n">
        <v>2026</v>
      </c>
      <c r="E1554" s="53" t="n"/>
      <c r="F1554" s="53" t="n"/>
      <c r="G1554" s="53" t="n"/>
      <c r="H1554" s="96" t="inlineStr">
        <is>
          <t>记录推送结果</t>
        </is>
      </c>
      <c r="I1554" s="76" t="inlineStr">
        <is>
          <t>EI</t>
        </is>
      </c>
      <c r="J1554" s="95" t="n"/>
      <c r="K1554" s="95" t="n"/>
      <c r="L1554" s="83">
        <f>IF(OR(X1554="估算法",X1554="算法类",X1554="无法识别"),"",IF(V1554="",IF(OR(I1554="EI",I1554="EO",I1554="EQ"),0,""),LEN(V1554)-LEN(SUBSTITUTE(V1554,"、",""))+1))</f>
        <v/>
      </c>
      <c r="M1554" s="83">
        <f>IF(OR(X1554="估算法",X1554="算法类",X1554="无法识别"),"",IF(W1554="",IF(OR(I1554="ILF",I1554="EIF"),0,""),LEN(W1554)-LEN(SUBSTITUTE(W1554,"、",""))+1))</f>
        <v/>
      </c>
      <c r="N1554" s="83">
        <f>IF(OR(X1554="估算法",X1554="算法类",X1554="无法识别"),"",IF(X1554="",IF(OR(I1554="ILF",I1554="EIF",I1554="EI",I1554="EO",I1554="EQ"),0,""),LEN(X1554)-LEN(SUBSTITUTE(SUBSTITUTE(SUBSTITUTE(SUBSTITUTE(SUBSTITUTE(X1554,"|}","--"),"{|","--"),CHAR(10),""),"、",""),"|",""))+IF(AND(OR(I1554="EI",I1554="EO",I1554="EQ"),$AD$1="NESMA"),2,1)))</f>
        <v/>
      </c>
      <c r="O1554" s="84">
        <f>IF(I1554="EI",IF(OR(X1554="估算法",X1554="算法类"),"中",IF(X1554="无法识别","低",IF(L1554&lt;2,IF(N1554&lt;16,"低","中"),IF(L1554&lt;3,IF(N1554&lt;5,"低",IF(N1554&lt;16,"中","高")),IF(N1554&lt;5,"中","高"))))),IF(OR(I1554="EO",I1554="EQ"),IF(OR(X1554="估算法",X1554="算法类"),"中",IF(X1554="无法识别","低",IF(L1554&lt;2,IF(N1554&lt;20,"低","中"),IF(L1554&lt;4,IF(N1554&lt;6,"低",IF(N1554&lt;20,"中","高")),IF(N1554&lt;6,"中","高"))))),IF(OR(I1554="ILF",I1554="EIF"),IF(OR(X1554="估算法",X1554="算法类",X1554="无法识别"),"低",IF(M1554&lt;2,IF(N1554&lt;51,"低","中"),IF(M1554&lt;6,IF(N1554&lt;20,"低",IF(N1554&lt;51,"中","高")),IF(N1554&lt;20,"中","高")))),"不计算")))</f>
        <v/>
      </c>
      <c r="P1554" s="142">
        <f>IFERROR(IF(I1554="EI",IF(O1554="低",3,IF(O1554="中",4,6)),IF(I1554="EO",IF(O1554="低",4,IF(O1554="中",5,7)),IF(I1554="EQ",IF(O1554="低",3,IF(O1554="中",4,6)),IF(I1554="ILF",IF(O1554="低",7,IF(O1554="中",10,15)),IF(I1554="EIF",IF(O1554="低",5,IF(O1554="中",7,10)),"不计算")))))*Q1554,"不计算")</f>
        <v/>
      </c>
      <c r="Q1554" s="142" t="n">
        <v>1</v>
      </c>
      <c r="R1554" s="143">
        <f>调整因子!$F$13</f>
        <v/>
      </c>
      <c r="S1554" s="70" t="n">
        <v>1</v>
      </c>
      <c r="T1554" s="144">
        <f>IFERROR(P1554*R1554,0)</f>
        <v/>
      </c>
      <c r="U1554" s="145">
        <f>T1554*S1554</f>
        <v/>
      </c>
      <c r="V1554" s="96" t="inlineStr">
        <is>
          <t>推送对象表、通报配置表</t>
        </is>
      </c>
      <c r="W1554" s="96" t="inlineStr"/>
      <c r="X1554" s="111" t="inlineStr">
        <is>
          <t>推送对象表{ID、名称、类型、状态、创建时间、更新时间|ID、名称、类型}
通报配置表{配置ID、配置名称、配置类型、配置值、创建时间|配置ID、配置名称、配置类型}</t>
        </is>
      </c>
      <c r="Y1554" s="88" t="n"/>
      <c r="Z1554" s="88" t="n"/>
    </row>
    <row r="1555" hidden="1" ht="21.6" customHeight="1">
      <c r="A1555" s="69">
        <f>ROW()-1</f>
        <v/>
      </c>
      <c r="B1555" s="53" t="n"/>
      <c r="C1555" s="117" t="n">
        <v>2026</v>
      </c>
      <c r="E1555" s="53" t="n"/>
      <c r="F1555" s="53" t="n"/>
      <c r="G1555" s="53" t="n"/>
      <c r="H1555" s="96" t="inlineStr">
        <is>
          <t>标记推送成功</t>
        </is>
      </c>
      <c r="I1555" s="76" t="inlineStr">
        <is>
          <t>EI</t>
        </is>
      </c>
      <c r="J1555" s="95" t="n"/>
      <c r="K1555" s="95" t="n"/>
      <c r="L1555" s="83">
        <f>IF(OR(X1555="估算法",X1555="算法类",X1555="无法识别"),"",IF(V1555="",IF(OR(I1555="EI",I1555="EO",I1555="EQ"),0,""),LEN(V1555)-LEN(SUBSTITUTE(V1555,"、",""))+1))</f>
        <v/>
      </c>
      <c r="M1555" s="83">
        <f>IF(OR(X1555="估算法",X1555="算法类",X1555="无法识别"),"",IF(W1555="",IF(OR(I1555="ILF",I1555="EIF"),0,""),LEN(W1555)-LEN(SUBSTITUTE(W1555,"、",""))+1))</f>
        <v/>
      </c>
      <c r="N1555" s="83">
        <f>IF(OR(X1555="估算法",X1555="算法类",X1555="无法识别"),"",IF(X1555="",IF(OR(I1555="ILF",I1555="EIF",I1555="EI",I1555="EO",I1555="EQ"),0,""),LEN(X1555)-LEN(SUBSTITUTE(SUBSTITUTE(SUBSTITUTE(SUBSTITUTE(SUBSTITUTE(X1555,"|}","--"),"{|","--"),CHAR(10),""),"、",""),"|",""))+IF(AND(OR(I1555="EI",I1555="EO",I1555="EQ"),$AD$1="NESMA"),2,1)))</f>
        <v/>
      </c>
      <c r="O1555" s="84">
        <f>IF(I1555="EI",IF(OR(X1555="估算法",X1555="算法类"),"中",IF(X1555="无法识别","低",IF(L1555&lt;2,IF(N1555&lt;16,"低","中"),IF(L1555&lt;3,IF(N1555&lt;5,"低",IF(N1555&lt;16,"中","高")),IF(N1555&lt;5,"中","高"))))),IF(OR(I1555="EO",I1555="EQ"),IF(OR(X1555="估算法",X1555="算法类"),"中",IF(X1555="无法识别","低",IF(L1555&lt;2,IF(N1555&lt;20,"低","中"),IF(L1555&lt;4,IF(N1555&lt;6,"低",IF(N1555&lt;20,"中","高")),IF(N1555&lt;6,"中","高"))))),IF(OR(I1555="ILF",I1555="EIF"),IF(OR(X1555="估算法",X1555="算法类",X1555="无法识别"),"低",IF(M1555&lt;2,IF(N1555&lt;51,"低","中"),IF(M1555&lt;6,IF(N1555&lt;20,"低",IF(N1555&lt;51,"中","高")),IF(N1555&lt;20,"中","高")))),"不计算")))</f>
        <v/>
      </c>
      <c r="P1555" s="142">
        <f>IFERROR(IF(I1555="EI",IF(O1555="低",3,IF(O1555="中",4,6)),IF(I1555="EO",IF(O1555="低",4,IF(O1555="中",5,7)),IF(I1555="EQ",IF(O1555="低",3,IF(O1555="中",4,6)),IF(I1555="ILF",IF(O1555="低",7,IF(O1555="中",10,15)),IF(I1555="EIF",IF(O1555="低",5,IF(O1555="中",7,10)),"不计算")))))*Q1555,"不计算")</f>
        <v/>
      </c>
      <c r="Q1555" s="142" t="n">
        <v>1</v>
      </c>
      <c r="R1555" s="143">
        <f>调整因子!$F$13</f>
        <v/>
      </c>
      <c r="S1555" s="76" t="n">
        <v>1</v>
      </c>
      <c r="T1555" s="144">
        <f>IFERROR(P1555*R1555,0)</f>
        <v/>
      </c>
      <c r="U1555" s="145">
        <f>T1555*S1555</f>
        <v/>
      </c>
      <c r="V1555" s="96" t="inlineStr">
        <is>
          <t>指标阈值表、同步失败重试记录表</t>
        </is>
      </c>
      <c r="W1555" s="96" t="inlineStr"/>
      <c r="X1555" s="111" t="inlineStr">
        <is>
          <t>指标阈值表{ID、名称、类型、状态、创建时间、更新时间|ID、名称、类型}
同步失败重试记录表{ID、名称、类型、状态、创建时间、更新时间|ID、名称、类型}</t>
        </is>
      </c>
      <c r="Y1555" s="88" t="n"/>
      <c r="Z1555" s="88" t="n"/>
    </row>
    <row r="1556" hidden="1" ht="43.2" customHeight="1">
      <c r="A1556" s="69">
        <f>ROW()-1</f>
        <v/>
      </c>
      <c r="B1556" s="53" t="n"/>
      <c r="C1556" s="117" t="n">
        <v>2026</v>
      </c>
      <c r="E1556" s="53" t="n"/>
      <c r="F1556" s="53" t="n"/>
      <c r="G1556" s="53" t="n"/>
      <c r="H1556" s="96" t="inlineStr">
        <is>
          <t>标记推送失败</t>
        </is>
      </c>
      <c r="I1556" s="76" t="n"/>
      <c r="J1556" s="95" t="n"/>
      <c r="K1556" s="95" t="inlineStr">
        <is>
          <t>和上行合并</t>
        </is>
      </c>
      <c r="L1556" s="83">
        <f>IF(OR(X1556="估算法",X1556="算法类",X1556="无法识别"),"",IF(V1556="",IF(OR(I1556="EI",I1556="EO",I1556="EQ"),0,""),LEN(V1556)-LEN(SUBSTITUTE(V1556,"、",""))+1))</f>
        <v/>
      </c>
      <c r="M1556" s="83">
        <f>IF(OR(X1556="估算法",X1556="算法类",X1556="无法识别"),"",IF(W1556="",IF(OR(I1556="ILF",I1556="EIF"),0,""),LEN(W1556)-LEN(SUBSTITUTE(W1556,"、",""))+1))</f>
        <v/>
      </c>
      <c r="N1556" s="83">
        <f>IF(OR(X1556="估算法",X1556="算法类",X1556="无法识别"),"",IF(X1556="",IF(OR(I1556="ILF",I1556="EIF",I1556="EI",I1556="EO",I1556="EQ"),0,""),LEN(X1556)-LEN(SUBSTITUTE(SUBSTITUTE(SUBSTITUTE(SUBSTITUTE(SUBSTITUTE(X1556,"|}","--"),"{|","--"),CHAR(10),""),"、",""),"|",""))+IF(AND(OR(I1556="EI",I1556="EO",I1556="EQ"),$AD$1="NESMA"),2,1)))</f>
        <v/>
      </c>
      <c r="O1556" s="84">
        <f>IF(I1556="EI",IF(OR(X1556="估算法",X1556="算法类"),"中",IF(X1556="无法识别","低",IF(L1556&lt;2,IF(N1556&lt;16,"低","中"),IF(L1556&lt;3,IF(N1556&lt;5,"低",IF(N1556&lt;16,"中","高")),IF(N1556&lt;5,"中","高"))))),IF(OR(I1556="EO",I1556="EQ"),IF(OR(X1556="估算法",X1556="算法类"),"中",IF(X1556="无法识别","低",IF(L1556&lt;2,IF(N1556&lt;20,"低","中"),IF(L1556&lt;4,IF(N1556&lt;6,"低",IF(N1556&lt;20,"中","高")),IF(N1556&lt;6,"中","高"))))),IF(OR(I1556="ILF",I1556="EIF"),IF(OR(X1556="估算法",X1556="算法类",X1556="无法识别"),"低",IF(M1556&lt;2,IF(N1556&lt;51,"低","中"),IF(M1556&lt;6,IF(N1556&lt;20,"低",IF(N1556&lt;51,"中","高")),IF(N1556&lt;20,"中","高")))),"不计算")))</f>
        <v/>
      </c>
      <c r="P1556" s="142">
        <f>IFERROR(IF(I1556="EI",IF(O1556="低",3,IF(O1556="中",4,6)),IF(I1556="EO",IF(O1556="低",4,IF(O1556="中",5,7)),IF(I1556="EQ",IF(O1556="低",3,IF(O1556="中",4,6)),IF(I1556="ILF",IF(O1556="低",7,IF(O1556="中",10,15)),IF(I1556="EIF",IF(O1556="低",5,IF(O1556="中",7,10)),"不计算")))))*Q1556,"不计算")</f>
        <v/>
      </c>
      <c r="Q1556" s="142" t="n">
        <v>1</v>
      </c>
      <c r="R1556" s="143">
        <f>调整因子!$F$13</f>
        <v/>
      </c>
      <c r="S1556" s="70" t="n">
        <v>1</v>
      </c>
      <c r="T1556" s="144">
        <f>IFERROR(P1556*R1556,0)</f>
        <v/>
      </c>
      <c r="U1556" s="145">
        <f>T1556*S1556</f>
        <v/>
      </c>
      <c r="V1556" s="96" t="inlineStr">
        <is>
          <t>复测任务表、采集任务配置表</t>
        </is>
      </c>
      <c r="W1556" s="96" t="inlineStr"/>
      <c r="X1556" s="111" t="inlineStr">
        <is>
          <t>复测任务表{任务ID、任务名称、任务类型、任务状态、创建时间、执行时间|任务ID、任务名称、任务类型}
采集任务配置表{任务ID、任务名称、任务类型、任务状态、创建时间、执行时间|任务ID、任务名称、任务类型}</t>
        </is>
      </c>
      <c r="Y1556" s="88" t="n"/>
      <c r="Z1556" s="88" t="n"/>
    </row>
    <row r="1557" hidden="1" ht="43.2" customHeight="1">
      <c r="A1557" s="69">
        <f>ROW()-1</f>
        <v/>
      </c>
      <c r="B1557" s="53" t="n"/>
      <c r="C1557" s="117" t="n">
        <v>2026</v>
      </c>
      <c r="E1557" s="53" t="n"/>
      <c r="F1557" s="53" t="n"/>
      <c r="G1557" s="53" t="n"/>
      <c r="H1557" s="96" t="inlineStr">
        <is>
          <t>推送失败重试</t>
        </is>
      </c>
      <c r="I1557" s="76" t="inlineStr">
        <is>
          <t>EI</t>
        </is>
      </c>
      <c r="J1557" s="95" t="n"/>
      <c r="K1557" s="95" t="n"/>
      <c r="L1557" s="83">
        <f>IF(OR(X1557="估算法",X1557="算法类",X1557="无法识别"),"",IF(V1557="",IF(OR(I1557="EI",I1557="EO",I1557="EQ"),0,""),LEN(V1557)-LEN(SUBSTITUTE(V1557,"、",""))+1))</f>
        <v/>
      </c>
      <c r="M1557" s="83">
        <f>IF(OR(X1557="估算法",X1557="算法类",X1557="无法识别"),"",IF(W1557="",IF(OR(I1557="ILF",I1557="EIF"),0,""),LEN(W1557)-LEN(SUBSTITUTE(W1557,"、",""))+1))</f>
        <v/>
      </c>
      <c r="N1557" s="83">
        <f>IF(OR(X1557="估算法",X1557="算法类",X1557="无法识别"),"",IF(X1557="",IF(OR(I1557="ILF",I1557="EIF",I1557="EI",I1557="EO",I1557="EQ"),0,""),LEN(X1557)-LEN(SUBSTITUTE(SUBSTITUTE(SUBSTITUTE(SUBSTITUTE(SUBSTITUTE(X1557,"|}","--"),"{|","--"),CHAR(10),""),"、",""),"|",""))+IF(AND(OR(I1557="EI",I1557="EO",I1557="EQ"),$AD$1="NESMA"),2,1)))</f>
        <v/>
      </c>
      <c r="O1557" s="84">
        <f>IF(I1557="EI",IF(OR(X1557="估算法",X1557="算法类"),"中",IF(X1557="无法识别","低",IF(L1557&lt;2,IF(N1557&lt;16,"低","中"),IF(L1557&lt;3,IF(N1557&lt;5,"低",IF(N1557&lt;16,"中","高")),IF(N1557&lt;5,"中","高"))))),IF(OR(I1557="EO",I1557="EQ"),IF(OR(X1557="估算法",X1557="算法类"),"中",IF(X1557="无法识别","低",IF(L1557&lt;2,IF(N1557&lt;20,"低","中"),IF(L1557&lt;4,IF(N1557&lt;6,"低",IF(N1557&lt;20,"中","高")),IF(N1557&lt;6,"中","高"))))),IF(OR(I1557="ILF",I1557="EIF"),IF(OR(X1557="估算法",X1557="算法类",X1557="无法识别"),"低",IF(M1557&lt;2,IF(N1557&lt;51,"低","中"),IF(M1557&lt;6,IF(N1557&lt;20,"低",IF(N1557&lt;51,"中","高")),IF(N1557&lt;20,"中","高")))),"不计算")))</f>
        <v/>
      </c>
      <c r="P1557" s="142">
        <f>IFERROR(IF(I1557="EI",IF(O1557="低",3,IF(O1557="中",4,6)),IF(I1557="EO",IF(O1557="低",4,IF(O1557="中",5,7)),IF(I1557="EQ",IF(O1557="低",3,IF(O1557="中",4,6)),IF(I1557="ILF",IF(O1557="低",7,IF(O1557="中",10,15)),IF(I1557="EIF",IF(O1557="低",5,IF(O1557="中",7,10)),"不计算")))))*Q1557,"不计算")</f>
        <v/>
      </c>
      <c r="Q1557" s="142" t="n">
        <v>1</v>
      </c>
      <c r="R1557" s="143">
        <f>调整因子!$F$13</f>
        <v/>
      </c>
      <c r="S1557" s="70" t="n">
        <v>1</v>
      </c>
      <c r="T1557" s="144">
        <f>IFERROR(P1557*R1557,0)</f>
        <v/>
      </c>
      <c r="U1557" s="145">
        <f>T1557*S1557</f>
        <v/>
      </c>
      <c r="V1557" s="96" t="inlineStr">
        <is>
          <t>推送规则表、考核指标配置表</t>
        </is>
      </c>
      <c r="W1557" s="96" t="inlineStr"/>
      <c r="X1557" s="111" t="inlineStr">
        <is>
          <t>推送规则表{规则ID、规则名称、规则类型、规则条件、创建时间|规则ID、规则名称、规则类型}
考核指标配置表{配置ID、配置名称、配置类型、配置值、创建时间|配置ID、配置名称、配置类型}</t>
        </is>
      </c>
      <c r="Y1557" s="88" t="n"/>
      <c r="Z1557" s="88" t="n"/>
    </row>
    <row r="1558" hidden="1" ht="21.6" customHeight="1">
      <c r="A1558" s="69">
        <f>ROW()-1</f>
        <v/>
      </c>
      <c r="B1558" s="53" t="n"/>
      <c r="C1558" s="117" t="n">
        <v>2026</v>
      </c>
      <c r="E1558" s="53" t="n"/>
      <c r="F1558" s="53" t="n"/>
      <c r="G1558" s="53" t="n"/>
      <c r="H1558" s="96" t="inlineStr">
        <is>
          <t>批量重试推送</t>
        </is>
      </c>
      <c r="I1558" s="76" t="inlineStr">
        <is>
          <t>EI</t>
        </is>
      </c>
      <c r="J1558" s="108" t="n"/>
      <c r="K1558" s="108" t="inlineStr">
        <is>
          <t>批量操作</t>
        </is>
      </c>
      <c r="L1558" s="83">
        <f>IF(OR(X1558="估算法",X1558="算法类",X1558="无法识别"),"",IF(V1558="",IF(OR(I1558="EI",I1558="EO",I1558="EQ"),0,""),LEN(V1558)-LEN(SUBSTITUTE(V1558,"、",""))+1))</f>
        <v/>
      </c>
      <c r="M1558" s="83">
        <f>IF(OR(X1558="估算法",X1558="算法类",X1558="无法识别"),"",IF(W1558="",IF(OR(I1558="ILF",I1558="EIF"),0,""),LEN(W1558)-LEN(SUBSTITUTE(W1558,"、",""))+1))</f>
        <v/>
      </c>
      <c r="N1558" s="83">
        <f>IF(OR(X1558="估算法",X1558="算法类",X1558="无法识别"),"",IF(X1558="",IF(OR(I1558="ILF",I1558="EIF",I1558="EI",I1558="EO",I1558="EQ"),0,""),LEN(X1558)-LEN(SUBSTITUTE(SUBSTITUTE(SUBSTITUTE(SUBSTITUTE(SUBSTITUTE(X1558,"|}","--"),"{|","--"),CHAR(10),""),"、",""),"|",""))+IF(AND(OR(I1558="EI",I1558="EO",I1558="EQ"),$AD$1="NESMA"),2,1)))</f>
        <v/>
      </c>
      <c r="O1558" s="84">
        <f>IF(I1558="EI",IF(OR(X1558="估算法",X1558="算法类"),"中",IF(X1558="无法识别","低",IF(L1558&lt;2,IF(N1558&lt;16,"低","中"),IF(L1558&lt;3,IF(N1558&lt;5,"低",IF(N1558&lt;16,"中","高")),IF(N1558&lt;5,"中","高"))))),IF(OR(I1558="EO",I1558="EQ"),IF(OR(X1558="估算法",X1558="算法类"),"中",IF(X1558="无法识别","低",IF(L1558&lt;2,IF(N1558&lt;20,"低","中"),IF(L1558&lt;4,IF(N1558&lt;6,"低",IF(N1558&lt;20,"中","高")),IF(N1558&lt;6,"中","高"))))),IF(OR(I1558="ILF",I1558="EIF"),IF(OR(X1558="估算法",X1558="算法类",X1558="无法识别"),"低",IF(M1558&lt;2,IF(N1558&lt;51,"低","中"),IF(M1558&lt;6,IF(N1558&lt;20,"低",IF(N1558&lt;51,"中","高")),IF(N1558&lt;20,"中","高")))),"不计算")))</f>
        <v/>
      </c>
      <c r="P1558" s="142">
        <f>IFERROR(IF(I1558="EI",IF(O1558="低",3,IF(O1558="中",4,6)),IF(I1558="EO",IF(O1558="低",4,IF(O1558="中",5,7)),IF(I1558="EQ",IF(O1558="低",3,IF(O1558="中",4,6)),IF(I1558="ILF",IF(O1558="低",7,IF(O1558="中",10,15)),IF(I1558="EIF",IF(O1558="低",5,IF(O1558="中",7,10)),"不计算")))))*Q1558,"不计算")</f>
        <v/>
      </c>
      <c r="Q1558" s="142" t="n">
        <v>0.333333333333333</v>
      </c>
      <c r="R1558" s="143">
        <f>调整因子!$F$13</f>
        <v/>
      </c>
      <c r="S1558" s="76" t="n">
        <v>1</v>
      </c>
      <c r="T1558" s="144">
        <f>IFERROR(P1558*R1558,0)</f>
        <v/>
      </c>
      <c r="U1558" s="145">
        <f>T1558*S1558</f>
        <v/>
      </c>
      <c r="V1558" s="96" t="inlineStr">
        <is>
          <t>扫描策略模板表</t>
        </is>
      </c>
      <c r="W1558" s="96" t="inlineStr"/>
      <c r="X1558" s="111" t="inlineStr">
        <is>
          <t>扫描策略模板表{任务ID、任务名称、任务状态、扫描器类型、开始时间、结束时间、扫描结果|任务ID、任务名称、任务状态}</t>
        </is>
      </c>
      <c r="Y1558" s="88" t="n"/>
      <c r="Z1558" s="88" t="n"/>
    </row>
    <row r="1559" hidden="1" ht="21.6" customHeight="1">
      <c r="A1559" s="69">
        <f>ROW()-1</f>
        <v/>
      </c>
      <c r="B1559" s="53" t="n"/>
      <c r="C1559" s="117" t="n">
        <v>2026</v>
      </c>
      <c r="E1559" s="53" t="n"/>
      <c r="F1559" s="53" t="n"/>
      <c r="G1559" s="53" t="n"/>
      <c r="H1559" s="96" t="inlineStr">
        <is>
          <t>导出推送结果</t>
        </is>
      </c>
      <c r="I1559" s="76" t="inlineStr">
        <is>
          <t>EO</t>
        </is>
      </c>
      <c r="J1559" s="95" t="n"/>
      <c r="K1559" s="95" t="n"/>
      <c r="L1559" s="83">
        <f>IF(OR(X1559="估算法",X1559="算法类",X1559="无法识别"),"",IF(V1559="",IF(OR(I1559="EI",I1559="EO",I1559="EQ"),0,""),LEN(V1559)-LEN(SUBSTITUTE(V1559,"、",""))+1))</f>
        <v/>
      </c>
      <c r="M1559" s="83">
        <f>IF(OR(X1559="估算法",X1559="算法类",X1559="无法识别"),"",IF(W1559="",IF(OR(I1559="ILF",I1559="EIF"),0,""),LEN(W1559)-LEN(SUBSTITUTE(W1559,"、",""))+1))</f>
        <v/>
      </c>
      <c r="N1559" s="83">
        <f>IF(OR(X1559="估算法",X1559="算法类",X1559="无法识别"),"",IF(X1559="",IF(OR(I1559="ILF",I1559="EIF",I1559="EI",I1559="EO",I1559="EQ"),0,""),LEN(X1559)-LEN(SUBSTITUTE(SUBSTITUTE(SUBSTITUTE(SUBSTITUTE(SUBSTITUTE(X1559,"|}","--"),"{|","--"),CHAR(10),""),"、",""),"|",""))+IF(AND(OR(I1559="EI",I1559="EO",I1559="EQ"),$AD$1="NESMA"),2,1)))</f>
        <v/>
      </c>
      <c r="O1559" s="84">
        <f>IF(I1559="EI",IF(OR(X1559="估算法",X1559="算法类"),"中",IF(X1559="无法识别","低",IF(L1559&lt;2,IF(N1559&lt;16,"低","中"),IF(L1559&lt;3,IF(N1559&lt;5,"低",IF(N1559&lt;16,"中","高")),IF(N1559&lt;5,"中","高"))))),IF(OR(I1559="EO",I1559="EQ"),IF(OR(X1559="估算法",X1559="算法类"),"中",IF(X1559="无法识别","低",IF(L1559&lt;2,IF(N1559&lt;20,"低","中"),IF(L1559&lt;4,IF(N1559&lt;6,"低",IF(N1559&lt;20,"中","高")),IF(N1559&lt;6,"中","高"))))),IF(OR(I1559="ILF",I1559="EIF"),IF(OR(X1559="估算法",X1559="算法类",X1559="无法识别"),"低",IF(M1559&lt;2,IF(N1559&lt;51,"低","中"),IF(M1559&lt;6,IF(N1559&lt;20,"低",IF(N1559&lt;51,"中","高")),IF(N1559&lt;20,"中","高")))),"不计算")))</f>
        <v/>
      </c>
      <c r="P1559" s="142">
        <f>IFERROR(IF(I1559="EI",IF(O1559="低",3,IF(O1559="中",4,6)),IF(I1559="EO",IF(O1559="低",4,IF(O1559="中",5,7)),IF(I1559="EQ",IF(O1559="低",3,IF(O1559="中",4,6)),IF(I1559="ILF",IF(O1559="低",7,IF(O1559="中",10,15)),IF(I1559="EIF",IF(O1559="低",5,IF(O1559="中",7,10)),"不计算")))))*Q1559,"不计算")</f>
        <v/>
      </c>
      <c r="Q1559" s="142" t="n">
        <v>1</v>
      </c>
      <c r="R1559" s="143">
        <f>调整因子!$F$13</f>
        <v/>
      </c>
      <c r="S1559" s="76" t="n">
        <v>1</v>
      </c>
      <c r="T1559" s="144">
        <f>IFERROR(P1559*R1559,0)</f>
        <v/>
      </c>
      <c r="U1559" s="145">
        <f>T1559*S1559</f>
        <v/>
      </c>
      <c r="V1559" s="96" t="inlineStr">
        <is>
          <t>分布分析表、指标阈值表</t>
        </is>
      </c>
      <c r="W1559" s="96" t="inlineStr"/>
      <c r="X1559" s="111" t="inlineStr">
        <is>
          <t>分布分析表{ID、名称|ID、名称、类型、状态、创建时间、更新时间}
指标阈值表{ID、名称|ID、名称、类型、状态、创建时间、更新时间}</t>
        </is>
      </c>
      <c r="Y1559" s="88" t="n"/>
      <c r="Z1559" s="88" t="n"/>
    </row>
    <row r="1560" hidden="1" ht="32.4" customHeight="1">
      <c r="A1560" s="69">
        <f>ROW()-1</f>
        <v/>
      </c>
      <c r="B1560" s="53" t="n"/>
      <c r="C1560" s="117" t="n">
        <v>2026</v>
      </c>
      <c r="E1560" s="53" t="n"/>
      <c r="F1560" s="53" t="n"/>
      <c r="G1560" s="53" t="n"/>
      <c r="H1560" s="96" t="inlineStr">
        <is>
          <t>下载推送日志</t>
        </is>
      </c>
      <c r="I1560" s="76" t="inlineStr">
        <is>
          <t>EO</t>
        </is>
      </c>
      <c r="J1560" s="95" t="n"/>
      <c r="K1560" s="95" t="n"/>
      <c r="L1560" s="83">
        <f>IF(OR(X1560="估算法",X1560="算法类",X1560="无法识别"),"",IF(V1560="",IF(OR(I1560="EI",I1560="EO",I1560="EQ"),0,""),LEN(V1560)-LEN(SUBSTITUTE(V1560,"、",""))+1))</f>
        <v/>
      </c>
      <c r="M1560" s="83">
        <f>IF(OR(X1560="估算法",X1560="算法类",X1560="无法识别"),"",IF(W1560="",IF(OR(I1560="ILF",I1560="EIF"),0,""),LEN(W1560)-LEN(SUBSTITUTE(W1560,"、",""))+1))</f>
        <v/>
      </c>
      <c r="N1560" s="83">
        <f>IF(OR(X1560="估算法",X1560="算法类",X1560="无法识别"),"",IF(X1560="",IF(OR(I1560="ILF",I1560="EIF",I1560="EI",I1560="EO",I1560="EQ"),0,""),LEN(X1560)-LEN(SUBSTITUTE(SUBSTITUTE(SUBSTITUTE(SUBSTITUTE(SUBSTITUTE(X1560,"|}","--"),"{|","--"),CHAR(10),""),"、",""),"|",""))+IF(AND(OR(I1560="EI",I1560="EO",I1560="EQ"),$AD$1="NESMA"),2,1)))</f>
        <v/>
      </c>
      <c r="O1560" s="84">
        <f>IF(I1560="EI",IF(OR(X1560="估算法",X1560="算法类"),"中",IF(X1560="无法识别","低",IF(L1560&lt;2,IF(N1560&lt;16,"低","中"),IF(L1560&lt;3,IF(N1560&lt;5,"低",IF(N1560&lt;16,"中","高")),IF(N1560&lt;5,"中","高"))))),IF(OR(I1560="EO",I1560="EQ"),IF(OR(X1560="估算法",X1560="算法类"),"中",IF(X1560="无法识别","低",IF(L1560&lt;2,IF(N1560&lt;20,"低","中"),IF(L1560&lt;4,IF(N1560&lt;6,"低",IF(N1560&lt;20,"中","高")),IF(N1560&lt;6,"中","高"))))),IF(OR(I1560="ILF",I1560="EIF"),IF(OR(X1560="估算法",X1560="算法类",X1560="无法识别"),"低",IF(M1560&lt;2,IF(N1560&lt;51,"低","中"),IF(M1560&lt;6,IF(N1560&lt;20,"低",IF(N1560&lt;51,"中","高")),IF(N1560&lt;20,"中","高")))),"不计算")))</f>
        <v/>
      </c>
      <c r="P1560" s="142">
        <f>IFERROR(IF(I1560="EI",IF(O1560="低",3,IF(O1560="中",4,6)),IF(I1560="EO",IF(O1560="低",4,IF(O1560="中",5,7)),IF(I1560="EQ",IF(O1560="低",3,IF(O1560="中",4,6)),IF(I1560="ILF",IF(O1560="低",7,IF(O1560="中",10,15)),IF(I1560="EIF",IF(O1560="低",5,IF(O1560="中",7,10)),"不计算")))))*Q1560,"不计算")</f>
        <v/>
      </c>
      <c r="Q1560" s="142" t="n">
        <v>1</v>
      </c>
      <c r="R1560" s="143">
        <f>调整因子!$F$13</f>
        <v/>
      </c>
      <c r="S1560" s="70" t="n">
        <v>1</v>
      </c>
      <c r="T1560" s="144">
        <f>IFERROR(P1560*R1560,0)</f>
        <v/>
      </c>
      <c r="U1560" s="145">
        <f>T1560*S1560</f>
        <v/>
      </c>
      <c r="V1560" s="96" t="inlineStr">
        <is>
          <t>任务日志表、推送日志表</t>
        </is>
      </c>
      <c r="W1560" s="96" t="inlineStr"/>
      <c r="X1560" s="111" t="inlineStr">
        <is>
          <t>任务日志表{任务ID、任务名称|任务ID、任务名称、任务类型、任务状态、创建时间、执行时间}
推送日志表{日志ID、操作人|日志ID、操作人、操作类型、操作时间、操作内容}</t>
        </is>
      </c>
      <c r="Y1560" s="88" t="n"/>
      <c r="Z1560" s="88" t="n"/>
    </row>
    <row r="1561" hidden="1">
      <c r="A1561" s="69">
        <f>ROW()-1</f>
        <v/>
      </c>
      <c r="B1561" s="53" t="n"/>
      <c r="C1561" s="117" t="n">
        <v>2026</v>
      </c>
      <c r="E1561" s="53" t="n"/>
      <c r="F1561" s="53" t="n"/>
      <c r="G1561" s="53" t="n"/>
      <c r="H1561" s="96" t="inlineStr">
        <is>
          <t>查询推送结果</t>
        </is>
      </c>
      <c r="I1561" s="76" t="n"/>
      <c r="J1561" s="95" t="n"/>
      <c r="K1561" s="95" t="inlineStr">
        <is>
          <t>和下行合并</t>
        </is>
      </c>
      <c r="L1561" s="83">
        <f>IF(OR(X1561="估算法",X1561="算法类",X1561="无法识别"),"",IF(V1561="",IF(OR(I1561="EI",I1561="EO",I1561="EQ"),0,""),LEN(V1561)-LEN(SUBSTITUTE(V1561,"、",""))+1))</f>
        <v/>
      </c>
      <c r="M1561" s="83">
        <f>IF(OR(X1561="估算法",X1561="算法类",X1561="无法识别"),"",IF(W1561="",IF(OR(I1561="ILF",I1561="EIF"),0,""),LEN(W1561)-LEN(SUBSTITUTE(W1561,"、",""))+1))</f>
        <v/>
      </c>
      <c r="N1561" s="83">
        <f>IF(OR(X1561="估算法",X1561="算法类",X1561="无法识别"),"",IF(X1561="",IF(OR(I1561="ILF",I1561="EIF",I1561="EI",I1561="EO",I1561="EQ"),0,""),LEN(X1561)-LEN(SUBSTITUTE(SUBSTITUTE(SUBSTITUTE(SUBSTITUTE(SUBSTITUTE(X1561,"|}","--"),"{|","--"),CHAR(10),""),"、",""),"|",""))+IF(AND(OR(I1561="EI",I1561="EO",I1561="EQ"),$AD$1="NESMA"),2,1)))</f>
        <v/>
      </c>
      <c r="O1561" s="84">
        <f>IF(I1561="EI",IF(OR(X1561="估算法",X1561="算法类"),"中",IF(X1561="无法识别","低",IF(L1561&lt;2,IF(N1561&lt;16,"低","中"),IF(L1561&lt;3,IF(N1561&lt;5,"低",IF(N1561&lt;16,"中","高")),IF(N1561&lt;5,"中","高"))))),IF(OR(I1561="EO",I1561="EQ"),IF(OR(X1561="估算法",X1561="算法类"),"中",IF(X1561="无法识别","低",IF(L1561&lt;2,IF(N1561&lt;20,"低","中"),IF(L1561&lt;4,IF(N1561&lt;6,"低",IF(N1561&lt;20,"中","高")),IF(N1561&lt;6,"中","高"))))),IF(OR(I1561="ILF",I1561="EIF"),IF(OR(X1561="估算法",X1561="算法类",X1561="无法识别"),"低",IF(M1561&lt;2,IF(N1561&lt;51,"低","中"),IF(M1561&lt;6,IF(N1561&lt;20,"低",IF(N1561&lt;51,"中","高")),IF(N1561&lt;20,"中","高")))),"不计算")))</f>
        <v/>
      </c>
      <c r="P1561" s="142">
        <f>IFERROR(IF(I1561="EI",IF(O1561="低",3,IF(O1561="中",4,6)),IF(I1561="EO",IF(O1561="低",4,IF(O1561="中",5,7)),IF(I1561="EQ",IF(O1561="低",3,IF(O1561="中",4,6)),IF(I1561="ILF",IF(O1561="低",7,IF(O1561="中",10,15)),IF(I1561="EIF",IF(O1561="低",5,IF(O1561="中",7,10)),"不计算")))))*Q1561,"不计算")</f>
        <v/>
      </c>
      <c r="Q1561" s="142" t="n">
        <v>1</v>
      </c>
      <c r="R1561" s="143">
        <f>调整因子!$F$13</f>
        <v/>
      </c>
      <c r="S1561" s="70" t="n">
        <v>1</v>
      </c>
      <c r="T1561" s="144">
        <f>IFERROR(P1561*R1561,0)</f>
        <v/>
      </c>
      <c r="U1561" s="145">
        <f>T1561*S1561</f>
        <v/>
      </c>
      <c r="V1561" s="96" t="inlineStr">
        <is>
          <t>推送对象表</t>
        </is>
      </c>
      <c r="W1561" s="96" t="inlineStr"/>
      <c r="X1561" s="111" t="inlineStr">
        <is>
          <t>推送对象表{ID、名称|ID、名称、类型、状态、创建时间、更新时间}</t>
        </is>
      </c>
      <c r="Y1561" s="88" t="n"/>
      <c r="Z1561" s="88" t="n"/>
    </row>
    <row r="1562" hidden="1" ht="21.6" customHeight="1">
      <c r="A1562" s="69">
        <f>ROW()-1</f>
        <v/>
      </c>
      <c r="B1562" s="53" t="n"/>
      <c r="C1562" s="117" t="n">
        <v>2026</v>
      </c>
      <c r="E1562" s="53" t="n"/>
      <c r="F1562" s="54" t="n"/>
      <c r="G1562" s="54" t="n"/>
      <c r="H1562" s="96" t="inlineStr">
        <is>
          <t>查看推送日志</t>
        </is>
      </c>
      <c r="I1562" s="76" t="inlineStr">
        <is>
          <t>EQ</t>
        </is>
      </c>
      <c r="J1562" s="95" t="n"/>
      <c r="K1562" s="95" t="n"/>
      <c r="L1562" s="83">
        <f>IF(OR(X1562="估算法",X1562="算法类",X1562="无法识别"),"",IF(V1562="",IF(OR(I1562="EI",I1562="EO",I1562="EQ"),0,""),LEN(V1562)-LEN(SUBSTITUTE(V1562,"、",""))+1))</f>
        <v/>
      </c>
      <c r="M1562" s="83">
        <f>IF(OR(X1562="估算法",X1562="算法类",X1562="无法识别"),"",IF(W1562="",IF(OR(I1562="ILF",I1562="EIF"),0,""),LEN(W1562)-LEN(SUBSTITUTE(W1562,"、",""))+1))</f>
        <v/>
      </c>
      <c r="N1562" s="83">
        <f>IF(OR(X1562="估算法",X1562="算法类",X1562="无法识别"),"",IF(X1562="",IF(OR(I1562="ILF",I1562="EIF",I1562="EI",I1562="EO",I1562="EQ"),0,""),LEN(X1562)-LEN(SUBSTITUTE(SUBSTITUTE(SUBSTITUTE(SUBSTITUTE(SUBSTITUTE(X1562,"|}","--"),"{|","--"),CHAR(10),""),"、",""),"|",""))+IF(AND(OR(I1562="EI",I1562="EO",I1562="EQ"),$AD$1="NESMA"),2,1)))</f>
        <v/>
      </c>
      <c r="O1562" s="84">
        <f>IF(I1562="EI",IF(OR(X1562="估算法",X1562="算法类"),"中",IF(X1562="无法识别","低",IF(L1562&lt;2,IF(N1562&lt;16,"低","中"),IF(L1562&lt;3,IF(N1562&lt;5,"低",IF(N1562&lt;16,"中","高")),IF(N1562&lt;5,"中","高"))))),IF(OR(I1562="EO",I1562="EQ"),IF(OR(X1562="估算法",X1562="算法类"),"中",IF(X1562="无法识别","低",IF(L1562&lt;2,IF(N1562&lt;20,"低","中"),IF(L1562&lt;4,IF(N1562&lt;6,"低",IF(N1562&lt;20,"中","高")),IF(N1562&lt;6,"中","高"))))),IF(OR(I1562="ILF",I1562="EIF"),IF(OR(X1562="估算法",X1562="算法类",X1562="无法识别"),"低",IF(M1562&lt;2,IF(N1562&lt;51,"低","中"),IF(M1562&lt;6,IF(N1562&lt;20,"低",IF(N1562&lt;51,"中","高")),IF(N1562&lt;20,"中","高")))),"不计算")))</f>
        <v/>
      </c>
      <c r="P1562" s="142">
        <f>IFERROR(IF(I1562="EI",IF(O1562="低",3,IF(O1562="中",4,6)),IF(I1562="EO",IF(O1562="低",4,IF(O1562="中",5,7)),IF(I1562="EQ",IF(O1562="低",3,IF(O1562="中",4,6)),IF(I1562="ILF",IF(O1562="低",7,IF(O1562="中",10,15)),IF(I1562="EIF",IF(O1562="低",5,IF(O1562="中",7,10)),"不计算")))))*Q1562,"不计算")</f>
        <v/>
      </c>
      <c r="Q1562" s="142" t="n">
        <v>1</v>
      </c>
      <c r="R1562" s="143">
        <f>调整因子!$F$13</f>
        <v/>
      </c>
      <c r="S1562" s="76" t="n">
        <v>1</v>
      </c>
      <c r="T1562" s="144">
        <f>IFERROR(P1562*R1562,0)</f>
        <v/>
      </c>
      <c r="U1562" s="145">
        <f>T1562*S1562</f>
        <v/>
      </c>
      <c r="V1562" s="96" t="inlineStr">
        <is>
          <t>任务日志表</t>
        </is>
      </c>
      <c r="W1562" s="96" t="inlineStr"/>
      <c r="X1562" s="111" t="inlineStr">
        <is>
          <t>任务日志表{任务ID、任务名称|任务ID、任务名称、任务类型、任务状态、创建时间、执行时间}</t>
        </is>
      </c>
      <c r="Y1562" s="88" t="n"/>
      <c r="Z1562" s="88" t="n"/>
    </row>
    <row r="1563" hidden="1" ht="21.6" customHeight="1">
      <c r="A1563" s="69">
        <f>ROW()-1</f>
        <v/>
      </c>
      <c r="B1563" s="53" t="n"/>
      <c r="C1563" s="117" t="n">
        <v>2026</v>
      </c>
      <c r="E1563" s="53" t="n"/>
      <c r="F1563" s="111" t="inlineStr">
        <is>
          <t>系统漏洞数据推送接口</t>
        </is>
      </c>
      <c r="G1563" s="111" t="inlineStr">
        <is>
          <t>接口调用监控管理</t>
        </is>
      </c>
      <c r="H1563" s="96" t="inlineStr">
        <is>
          <t>接口监控配置表</t>
        </is>
      </c>
      <c r="I1563" s="76" t="inlineStr">
        <is>
          <t>ILF</t>
        </is>
      </c>
      <c r="J1563" s="95" t="n"/>
      <c r="K1563" s="95" t="n"/>
      <c r="L1563" s="83">
        <f>IF(OR(X1563="估算法",X1563="算法类",X1563="无法识别"),"",IF(V1563="",IF(OR(I1563="EI",I1563="EO",I1563="EQ"),0,""),LEN(V1563)-LEN(SUBSTITUTE(V1563,"、",""))+1))</f>
        <v/>
      </c>
      <c r="M1563" s="83">
        <f>IF(OR(X1563="估算法",X1563="算法类",X1563="无法识别"),"",IF(W1563="",IF(OR(I1563="ILF",I1563="EIF"),0,""),LEN(W1563)-LEN(SUBSTITUTE(W1563,"、",""))+1))</f>
        <v/>
      </c>
      <c r="N1563" s="83">
        <f>IF(OR(X1563="估算法",X1563="算法类",X1563="无法识别"),"",IF(X1563="",IF(OR(I1563="ILF",I1563="EIF",I1563="EI",I1563="EO",I1563="EQ"),0,""),LEN(X1563)-LEN(SUBSTITUTE(SUBSTITUTE(SUBSTITUTE(SUBSTITUTE(SUBSTITUTE(X1563,"|}","--"),"{|","--"),CHAR(10),""),"、",""),"|",""))+IF(AND(OR(I1563="EI",I1563="EO",I1563="EQ"),$AD$1="NESMA"),2,1)))</f>
        <v/>
      </c>
      <c r="O1563" s="84">
        <f>IF(I1563="EI",IF(OR(X1563="估算法",X1563="算法类"),"中",IF(X1563="无法识别","低",IF(L1563&lt;2,IF(N1563&lt;16,"低","中"),IF(L1563&lt;3,IF(N1563&lt;5,"低",IF(N1563&lt;16,"中","高")),IF(N1563&lt;5,"中","高"))))),IF(OR(I1563="EO",I1563="EQ"),IF(OR(X1563="估算法",X1563="算法类"),"中",IF(X1563="无法识别","低",IF(L1563&lt;2,IF(N1563&lt;20,"低","中"),IF(L1563&lt;4,IF(N1563&lt;6,"低",IF(N1563&lt;20,"中","高")),IF(N1563&lt;6,"中","高"))))),IF(OR(I1563="ILF",I1563="EIF"),IF(OR(X1563="估算法",X1563="算法类",X1563="无法识别"),"低",IF(M1563&lt;2,IF(N1563&lt;51,"低","中"),IF(M1563&lt;6,IF(N1563&lt;20,"低",IF(N1563&lt;51,"中","高")),IF(N1563&lt;20,"中","高")))),"不计算")))</f>
        <v/>
      </c>
      <c r="P1563" s="142">
        <f>IFERROR(IF(I1563="EI",IF(O1563="低",3,IF(O1563="中",4,6)),IF(I1563="EO",IF(O1563="低",4,IF(O1563="中",5,7)),IF(I1563="EQ",IF(O1563="低",3,IF(O1563="中",4,6)),IF(I1563="ILF",IF(O1563="低",7,IF(O1563="中",10,15)),IF(I1563="EIF",IF(O1563="低",5,IF(O1563="中",7,10)),"不计算")))))*Q1563,"不计算")</f>
        <v/>
      </c>
      <c r="Q1563" s="142" t="n">
        <v>1</v>
      </c>
      <c r="R1563" s="143">
        <f>调整因子!$F$13</f>
        <v/>
      </c>
      <c r="S1563" s="70" t="n">
        <v>1</v>
      </c>
      <c r="T1563" s="144">
        <f>IFERROR(P1563*R1563,0)</f>
        <v/>
      </c>
      <c r="U1563" s="145">
        <f>T1563*S1563</f>
        <v/>
      </c>
      <c r="V1563" s="96" t="inlineStr"/>
      <c r="W1563" s="96" t="inlineStr">
        <is>
          <t>配置项</t>
        </is>
      </c>
      <c r="X1563" s="111" t="inlineStr">
        <is>
          <t>接口监控配置表{配置ID、配置名称、配置类型|配置ID、配置名称、配置类型、配置值、创建时间}</t>
        </is>
      </c>
      <c r="Y1563" s="88">
        <f>IF(COUNTIFS(V:V,"*"&amp;H1563&amp;"*")&gt;0,"存在","不存在")</f>
        <v/>
      </c>
      <c r="Z1563" s="88">
        <f>IF(COUNTIFS(AA:AA,"*"&amp;H1563&amp;"*")&gt;0,"存在","不存在")</f>
        <v/>
      </c>
    </row>
    <row r="1564" hidden="1">
      <c r="A1564" s="69">
        <f>ROW()-1</f>
        <v/>
      </c>
      <c r="B1564" s="53" t="n"/>
      <c r="C1564" s="117" t="n">
        <v>2026</v>
      </c>
      <c r="E1564" s="53" t="n"/>
      <c r="F1564" s="53" t="n"/>
      <c r="G1564" s="53" t="n"/>
      <c r="H1564" s="96" t="inlineStr">
        <is>
          <t>调用统计表</t>
        </is>
      </c>
      <c r="I1564" s="76" t="inlineStr">
        <is>
          <t>ILF</t>
        </is>
      </c>
      <c r="J1564" s="95" t="n"/>
      <c r="K1564" s="95" t="n"/>
      <c r="L1564" s="83">
        <f>IF(OR(X1564="估算法",X1564="算法类",X1564="无法识别"),"",IF(V1564="",IF(OR(I1564="EI",I1564="EO",I1564="EQ"),0,""),LEN(V1564)-LEN(SUBSTITUTE(V1564,"、",""))+1))</f>
        <v/>
      </c>
      <c r="M1564" s="83">
        <f>IF(OR(X1564="估算法",X1564="算法类",X1564="无法识别"),"",IF(W1564="",IF(OR(I1564="ILF",I1564="EIF"),0,""),LEN(W1564)-LEN(SUBSTITUTE(W1564,"、",""))+1))</f>
        <v/>
      </c>
      <c r="N1564" s="83">
        <f>IF(OR(X1564="估算法",X1564="算法类",X1564="无法识别"),"",IF(X1564="",IF(OR(I1564="ILF",I1564="EIF",I1564="EI",I1564="EO",I1564="EQ"),0,""),LEN(X1564)-LEN(SUBSTITUTE(SUBSTITUTE(SUBSTITUTE(SUBSTITUTE(SUBSTITUTE(X1564,"|}","--"),"{|","--"),CHAR(10),""),"、",""),"|",""))+IF(AND(OR(I1564="EI",I1564="EO",I1564="EQ"),$AD$1="NESMA"),2,1)))</f>
        <v/>
      </c>
      <c r="O1564" s="84">
        <f>IF(I1564="EI",IF(OR(X1564="估算法",X1564="算法类"),"中",IF(X1564="无法识别","低",IF(L1564&lt;2,IF(N1564&lt;16,"低","中"),IF(L1564&lt;3,IF(N1564&lt;5,"低",IF(N1564&lt;16,"中","高")),IF(N1564&lt;5,"中","高"))))),IF(OR(I1564="EO",I1564="EQ"),IF(OR(X1564="估算法",X1564="算法类"),"中",IF(X1564="无法识别","低",IF(L1564&lt;2,IF(N1564&lt;20,"低","中"),IF(L1564&lt;4,IF(N1564&lt;6,"低",IF(N1564&lt;20,"中","高")),IF(N1564&lt;6,"中","高"))))),IF(OR(I1564="ILF",I1564="EIF"),IF(OR(X1564="估算法",X1564="算法类",X1564="无法识别"),"低",IF(M1564&lt;2,IF(N1564&lt;51,"低","中"),IF(M1564&lt;6,IF(N1564&lt;20,"低",IF(N1564&lt;51,"中","高")),IF(N1564&lt;20,"中","高")))),"不计算")))</f>
        <v/>
      </c>
      <c r="P1564" s="142">
        <f>IFERROR(IF(I1564="EI",IF(O1564="低",3,IF(O1564="中",4,6)),IF(I1564="EO",IF(O1564="低",4,IF(O1564="中",5,7)),IF(I1564="EQ",IF(O1564="低",3,IF(O1564="中",4,6)),IF(I1564="ILF",IF(O1564="低",7,IF(O1564="中",10,15)),IF(I1564="EIF",IF(O1564="低",5,IF(O1564="中",7,10)),"不计算")))))*Q1564,"不计算")</f>
        <v/>
      </c>
      <c r="Q1564" s="142" t="n">
        <v>1</v>
      </c>
      <c r="R1564" s="143">
        <f>调整因子!$F$13</f>
        <v/>
      </c>
      <c r="S1564" s="70" t="n">
        <v>1</v>
      </c>
      <c r="T1564" s="144">
        <f>IFERROR(P1564*R1564,0)</f>
        <v/>
      </c>
      <c r="U1564" s="145">
        <f>T1564*S1564</f>
        <v/>
      </c>
      <c r="V1564" s="96" t="inlineStr"/>
      <c r="W1564" s="96" t="inlineStr">
        <is>
          <t>数据记录</t>
        </is>
      </c>
      <c r="X1564" s="111" t="inlineStr">
        <is>
          <t>调用统计表{ID、名称、类型|ID、名称、类型、状态、创建时间、更新时间}</t>
        </is>
      </c>
      <c r="Y1564" s="88">
        <f>IF(COUNTIFS(V:V,"*"&amp;H1564&amp;"*")&gt;0,"存在","不存在")</f>
        <v/>
      </c>
      <c r="Z1564" s="88">
        <f>IF(COUNTIFS(AA:AA,"*"&amp;H1564&amp;"*")&gt;0,"存在","不存在")</f>
        <v/>
      </c>
    </row>
    <row r="1565" hidden="1">
      <c r="A1565" s="69">
        <f>ROW()-1</f>
        <v/>
      </c>
      <c r="B1565" s="53" t="n"/>
      <c r="C1565" s="117" t="n">
        <v>2026</v>
      </c>
      <c r="E1565" s="53" t="n"/>
      <c r="F1565" s="53" t="n"/>
      <c r="G1565" s="53" t="n"/>
      <c r="H1565" s="96" t="inlineStr">
        <is>
          <t>性能数据表</t>
        </is>
      </c>
      <c r="I1565" s="76" t="inlineStr">
        <is>
          <t>ILF</t>
        </is>
      </c>
      <c r="J1565" s="95" t="n"/>
      <c r="K1565" s="95" t="n"/>
      <c r="L1565" s="83">
        <f>IF(OR(X1565="估算法",X1565="算法类",X1565="无法识别"),"",IF(V1565="",IF(OR(I1565="EI",I1565="EO",I1565="EQ"),0,""),LEN(V1565)-LEN(SUBSTITUTE(V1565,"、",""))+1))</f>
        <v/>
      </c>
      <c r="M1565" s="83">
        <f>IF(OR(X1565="估算法",X1565="算法类",X1565="无法识别"),"",IF(W1565="",IF(OR(I1565="ILF",I1565="EIF"),0,""),LEN(W1565)-LEN(SUBSTITUTE(W1565,"、",""))+1))</f>
        <v/>
      </c>
      <c r="N1565" s="83">
        <f>IF(OR(X1565="估算法",X1565="算法类",X1565="无法识别"),"",IF(X1565="",IF(OR(I1565="ILF",I1565="EIF",I1565="EI",I1565="EO",I1565="EQ"),0,""),LEN(X1565)-LEN(SUBSTITUTE(SUBSTITUTE(SUBSTITUTE(SUBSTITUTE(SUBSTITUTE(X1565,"|}","--"),"{|","--"),CHAR(10),""),"、",""),"|",""))+IF(AND(OR(I1565="EI",I1565="EO",I1565="EQ"),$AD$1="NESMA"),2,1)))</f>
        <v/>
      </c>
      <c r="O1565" s="84">
        <f>IF(I1565="EI",IF(OR(X1565="估算法",X1565="算法类"),"中",IF(X1565="无法识别","低",IF(L1565&lt;2,IF(N1565&lt;16,"低","中"),IF(L1565&lt;3,IF(N1565&lt;5,"低",IF(N1565&lt;16,"中","高")),IF(N1565&lt;5,"中","高"))))),IF(OR(I1565="EO",I1565="EQ"),IF(OR(X1565="估算法",X1565="算法类"),"中",IF(X1565="无法识别","低",IF(L1565&lt;2,IF(N1565&lt;20,"低","中"),IF(L1565&lt;4,IF(N1565&lt;6,"低",IF(N1565&lt;20,"中","高")),IF(N1565&lt;6,"中","高"))))),IF(OR(I1565="ILF",I1565="EIF"),IF(OR(X1565="估算法",X1565="算法类",X1565="无法识别"),"低",IF(M1565&lt;2,IF(N1565&lt;51,"低","中"),IF(M1565&lt;6,IF(N1565&lt;20,"低",IF(N1565&lt;51,"中","高")),IF(N1565&lt;20,"中","高")))),"不计算")))</f>
        <v/>
      </c>
      <c r="P1565" s="142">
        <f>IFERROR(IF(I1565="EI",IF(O1565="低",3,IF(O1565="中",4,6)),IF(I1565="EO",IF(O1565="低",4,IF(O1565="中",5,7)),IF(I1565="EQ",IF(O1565="低",3,IF(O1565="中",4,6)),IF(I1565="ILF",IF(O1565="低",7,IF(O1565="中",10,15)),IF(I1565="EIF",IF(O1565="低",5,IF(O1565="中",7,10)),"不计算")))))*Q1565,"不计算")</f>
        <v/>
      </c>
      <c r="Q1565" s="142" t="n">
        <v>1</v>
      </c>
      <c r="R1565" s="143">
        <f>调整因子!$F$13</f>
        <v/>
      </c>
      <c r="S1565" s="76" t="n">
        <v>1</v>
      </c>
      <c r="T1565" s="144">
        <f>IFERROR(P1565*R1565,0)</f>
        <v/>
      </c>
      <c r="U1565" s="145">
        <f>T1565*S1565</f>
        <v/>
      </c>
      <c r="V1565" s="96" t="inlineStr"/>
      <c r="W1565" s="96" t="inlineStr">
        <is>
          <t>数据记录</t>
        </is>
      </c>
      <c r="X1565" s="111" t="inlineStr">
        <is>
          <t>性能数据表{ID、名称、类型|ID、名称、类型、状态、创建时间、更新时间}</t>
        </is>
      </c>
      <c r="Y1565" s="88">
        <f>IF(COUNTIFS(V:V,"*"&amp;H1565&amp;"*")&gt;0,"存在","不存在")</f>
        <v/>
      </c>
      <c r="Z1565" s="88">
        <f>IF(COUNTIFS(AA:AA,"*"&amp;H1565&amp;"*")&gt;0,"存在","不存在")</f>
        <v/>
      </c>
    </row>
    <row r="1566" hidden="1" ht="21.6" customHeight="1">
      <c r="A1566" s="69">
        <f>ROW()-1</f>
        <v/>
      </c>
      <c r="B1566" s="53" t="n"/>
      <c r="C1566" s="117" t="n">
        <v>2026</v>
      </c>
      <c r="E1566" s="53" t="n"/>
      <c r="F1566" s="53" t="n"/>
      <c r="G1566" s="53" t="n"/>
      <c r="H1566" s="96" t="inlineStr">
        <is>
          <t>配置监控策略</t>
        </is>
      </c>
      <c r="I1566" s="76" t="inlineStr">
        <is>
          <t>EI</t>
        </is>
      </c>
      <c r="J1566" s="95" t="n"/>
      <c r="K1566" s="95" t="n"/>
      <c r="L1566" s="83">
        <f>IF(OR(X1566="估算法",X1566="算法类",X1566="无法识别"),"",IF(V1566="",IF(OR(I1566="EI",I1566="EO",I1566="EQ"),0,""),LEN(V1566)-LEN(SUBSTITUTE(V1566,"、",""))+1))</f>
        <v/>
      </c>
      <c r="M1566" s="83">
        <f>IF(OR(X1566="估算法",X1566="算法类",X1566="无法识别"),"",IF(W1566="",IF(OR(I1566="ILF",I1566="EIF"),0,""),LEN(W1566)-LEN(SUBSTITUTE(W1566,"、",""))+1))</f>
        <v/>
      </c>
      <c r="N1566" s="83">
        <f>IF(OR(X1566="估算法",X1566="算法类",X1566="无法识别"),"",IF(X1566="",IF(OR(I1566="ILF",I1566="EIF",I1566="EI",I1566="EO",I1566="EQ"),0,""),LEN(X1566)-LEN(SUBSTITUTE(SUBSTITUTE(SUBSTITUTE(SUBSTITUTE(SUBSTITUTE(X1566,"|}","--"),"{|","--"),CHAR(10),""),"、",""),"|",""))+IF(AND(OR(I1566="EI",I1566="EO",I1566="EQ"),$AD$1="NESMA"),2,1)))</f>
        <v/>
      </c>
      <c r="O1566" s="84">
        <f>IF(I1566="EI",IF(OR(X1566="估算法",X1566="算法类"),"中",IF(X1566="无法识别","低",IF(L1566&lt;2,IF(N1566&lt;16,"低","中"),IF(L1566&lt;3,IF(N1566&lt;5,"低",IF(N1566&lt;16,"中","高")),IF(N1566&lt;5,"中","高"))))),IF(OR(I1566="EO",I1566="EQ"),IF(OR(X1566="估算法",X1566="算法类"),"中",IF(X1566="无法识别","低",IF(L1566&lt;2,IF(N1566&lt;20,"低","中"),IF(L1566&lt;4,IF(N1566&lt;6,"低",IF(N1566&lt;20,"中","高")),IF(N1566&lt;6,"中","高"))))),IF(OR(I1566="ILF",I1566="EIF"),IF(OR(X1566="估算法",X1566="算法类",X1566="无法识别"),"低",IF(M1566&lt;2,IF(N1566&lt;51,"低","中"),IF(M1566&lt;6,IF(N1566&lt;20,"低",IF(N1566&lt;51,"中","高")),IF(N1566&lt;20,"中","高")))),"不计算")))</f>
        <v/>
      </c>
      <c r="P1566" s="142">
        <f>IFERROR(IF(I1566="EI",IF(O1566="低",3,IF(O1566="中",4,6)),IF(I1566="EO",IF(O1566="低",4,IF(O1566="中",5,7)),IF(I1566="EQ",IF(O1566="低",3,IF(O1566="中",4,6)),IF(I1566="ILF",IF(O1566="低",7,IF(O1566="中",10,15)),IF(I1566="EIF",IF(O1566="低",5,IF(O1566="中",7,10)),"不计算")))))*Q1566,"不计算")</f>
        <v/>
      </c>
      <c r="Q1566" s="142" t="n">
        <v>1</v>
      </c>
      <c r="R1566" s="143">
        <f>调整因子!$F$13</f>
        <v/>
      </c>
      <c r="S1566" s="76" t="n">
        <v>1</v>
      </c>
      <c r="T1566" s="144">
        <f>IFERROR(P1566*R1566,0)</f>
        <v/>
      </c>
      <c r="U1566" s="145">
        <f>T1566*S1566</f>
        <v/>
      </c>
      <c r="V1566" s="96" t="inlineStr">
        <is>
          <t>任务优先级配置表</t>
        </is>
      </c>
      <c r="W1566" s="96" t="inlineStr"/>
      <c r="X1566" s="111" t="inlineStr">
        <is>
          <t>任务优先级配置表{任务ID、任务名称、任务类型、任务状态、创建时间、执行时间|任务ID、任务名称、任务类型}</t>
        </is>
      </c>
      <c r="Y1566" s="88" t="n"/>
      <c r="Z1566" s="88" t="n"/>
    </row>
    <row r="1567" hidden="1" ht="21.6" customHeight="1">
      <c r="A1567" s="69">
        <f>ROW()-1</f>
        <v/>
      </c>
      <c r="B1567" s="53" t="n"/>
      <c r="C1567" s="117" t="n">
        <v>2026</v>
      </c>
      <c r="E1567" s="53" t="n"/>
      <c r="F1567" s="53" t="n"/>
      <c r="G1567" s="53" t="n"/>
      <c r="H1567" s="96" t="inlineStr">
        <is>
          <t>编辑监控策略</t>
        </is>
      </c>
      <c r="I1567" s="76" t="inlineStr">
        <is>
          <t>EI</t>
        </is>
      </c>
      <c r="J1567" s="95" t="n"/>
      <c r="K1567" s="95" t="n"/>
      <c r="L1567" s="83">
        <f>IF(OR(X1567="估算法",X1567="算法类",X1567="无法识别"),"",IF(V1567="",IF(OR(I1567="EI",I1567="EO",I1567="EQ"),0,""),LEN(V1567)-LEN(SUBSTITUTE(V1567,"、",""))+1))</f>
        <v/>
      </c>
      <c r="M1567" s="83">
        <f>IF(OR(X1567="估算法",X1567="算法类",X1567="无法识别"),"",IF(W1567="",IF(OR(I1567="ILF",I1567="EIF"),0,""),LEN(W1567)-LEN(SUBSTITUTE(W1567,"、",""))+1))</f>
        <v/>
      </c>
      <c r="N1567" s="83">
        <f>IF(OR(X1567="估算法",X1567="算法类",X1567="无法识别"),"",IF(X1567="",IF(OR(I1567="ILF",I1567="EIF",I1567="EI",I1567="EO",I1567="EQ"),0,""),LEN(X1567)-LEN(SUBSTITUTE(SUBSTITUTE(SUBSTITUTE(SUBSTITUTE(SUBSTITUTE(X1567,"|}","--"),"{|","--"),CHAR(10),""),"、",""),"|",""))+IF(AND(OR(I1567="EI",I1567="EO",I1567="EQ"),$AD$1="NESMA"),2,1)))</f>
        <v/>
      </c>
      <c r="O1567" s="84">
        <f>IF(I1567="EI",IF(OR(X1567="估算法",X1567="算法类"),"中",IF(X1567="无法识别","低",IF(L1567&lt;2,IF(N1567&lt;16,"低","中"),IF(L1567&lt;3,IF(N1567&lt;5,"低",IF(N1567&lt;16,"中","高")),IF(N1567&lt;5,"中","高"))))),IF(OR(I1567="EO",I1567="EQ"),IF(OR(X1567="估算法",X1567="算法类"),"中",IF(X1567="无法识别","低",IF(L1567&lt;2,IF(N1567&lt;20,"低","中"),IF(L1567&lt;4,IF(N1567&lt;6,"低",IF(N1567&lt;20,"中","高")),IF(N1567&lt;6,"中","高"))))),IF(OR(I1567="ILF",I1567="EIF"),IF(OR(X1567="估算法",X1567="算法类",X1567="无法识别"),"低",IF(M1567&lt;2,IF(N1567&lt;51,"低","中"),IF(M1567&lt;6,IF(N1567&lt;20,"低",IF(N1567&lt;51,"中","高")),IF(N1567&lt;20,"中","高")))),"不计算")))</f>
        <v/>
      </c>
      <c r="P1567" s="142">
        <f>IFERROR(IF(I1567="EI",IF(O1567="低",3,IF(O1567="中",4,6)),IF(I1567="EO",IF(O1567="低",4,IF(O1567="中",5,7)),IF(I1567="EQ",IF(O1567="低",3,IF(O1567="中",4,6)),IF(I1567="ILF",IF(O1567="低",7,IF(O1567="中",10,15)),IF(I1567="EIF",IF(O1567="低",5,IF(O1567="中",7,10)),"不计算")))))*Q1567,"不计算")</f>
        <v/>
      </c>
      <c r="Q1567" s="142" t="n">
        <v>1</v>
      </c>
      <c r="R1567" s="143">
        <f>调整因子!$F$13</f>
        <v/>
      </c>
      <c r="S1567" s="70" t="n">
        <v>1</v>
      </c>
      <c r="T1567" s="144">
        <f>IFERROR(P1567*R1567,0)</f>
        <v/>
      </c>
      <c r="U1567" s="145">
        <f>T1567*S1567</f>
        <v/>
      </c>
      <c r="V1567" s="96" t="inlineStr">
        <is>
          <t>扫描策略模板表</t>
        </is>
      </c>
      <c r="W1567" s="96" t="inlineStr"/>
      <c r="X1567" s="111" t="inlineStr">
        <is>
          <t>扫描策略模板表{任务ID、任务名称、任务状态、扫描器类型、开始时间、结束时间、扫描结果|任务ID、任务名称、任务状态}</t>
        </is>
      </c>
      <c r="Y1567" s="88" t="n"/>
      <c r="Z1567" s="88" t="n"/>
    </row>
    <row r="1568" hidden="1" ht="43.2" customHeight="1">
      <c r="A1568" s="69">
        <f>ROW()-1</f>
        <v/>
      </c>
      <c r="B1568" s="53" t="n"/>
      <c r="C1568" s="117" t="n">
        <v>2026</v>
      </c>
      <c r="E1568" s="53" t="n"/>
      <c r="F1568" s="53" t="n"/>
      <c r="G1568" s="53" t="n"/>
      <c r="H1568" s="96" t="inlineStr">
        <is>
          <t>删除监控策略</t>
        </is>
      </c>
      <c r="I1568" s="76" t="inlineStr">
        <is>
          <t>EI</t>
        </is>
      </c>
      <c r="J1568" s="95" t="n"/>
      <c r="K1568" s="95" t="n"/>
      <c r="L1568" s="83">
        <f>IF(OR(X1568="估算法",X1568="算法类",X1568="无法识别"),"",IF(V1568="",IF(OR(I1568="EI",I1568="EO",I1568="EQ"),0,""),LEN(V1568)-LEN(SUBSTITUTE(V1568,"、",""))+1))</f>
        <v/>
      </c>
      <c r="M1568" s="83">
        <f>IF(OR(X1568="估算法",X1568="算法类",X1568="无法识别"),"",IF(W1568="",IF(OR(I1568="ILF",I1568="EIF"),0,""),LEN(W1568)-LEN(SUBSTITUTE(W1568,"、",""))+1))</f>
        <v/>
      </c>
      <c r="N1568" s="83">
        <f>IF(OR(X1568="估算法",X1568="算法类",X1568="无法识别"),"",IF(X1568="",IF(OR(I1568="ILF",I1568="EIF",I1568="EI",I1568="EO",I1568="EQ"),0,""),LEN(X1568)-LEN(SUBSTITUTE(SUBSTITUTE(SUBSTITUTE(SUBSTITUTE(SUBSTITUTE(X1568,"|}","--"),"{|","--"),CHAR(10),""),"、",""),"|",""))+IF(AND(OR(I1568="EI",I1568="EO",I1568="EQ"),$AD$1="NESMA"),2,1)))</f>
        <v/>
      </c>
      <c r="O1568" s="84">
        <f>IF(I1568="EI",IF(OR(X1568="估算法",X1568="算法类"),"中",IF(X1568="无法识别","低",IF(L1568&lt;2,IF(N1568&lt;16,"低","中"),IF(L1568&lt;3,IF(N1568&lt;5,"低",IF(N1568&lt;16,"中","高")),IF(N1568&lt;5,"中","高"))))),IF(OR(I1568="EO",I1568="EQ"),IF(OR(X1568="估算法",X1568="算法类"),"中",IF(X1568="无法识别","低",IF(L1568&lt;2,IF(N1568&lt;20,"低","中"),IF(L1568&lt;4,IF(N1568&lt;6,"低",IF(N1568&lt;20,"中","高")),IF(N1568&lt;6,"中","高"))))),IF(OR(I1568="ILF",I1568="EIF"),IF(OR(X1568="估算法",X1568="算法类",X1568="无法识别"),"低",IF(M1568&lt;2,IF(N1568&lt;51,"低","中"),IF(M1568&lt;6,IF(N1568&lt;20,"低",IF(N1568&lt;51,"中","高")),IF(N1568&lt;20,"中","高")))),"不计算")))</f>
        <v/>
      </c>
      <c r="P1568" s="142">
        <f>IFERROR(IF(I1568="EI",IF(O1568="低",3,IF(O1568="中",4,6)),IF(I1568="EO",IF(O1568="低",4,IF(O1568="中",5,7)),IF(I1568="EQ",IF(O1568="低",3,IF(O1568="中",4,6)),IF(I1568="ILF",IF(O1568="低",7,IF(O1568="中",10,15)),IF(I1568="EIF",IF(O1568="低",5,IF(O1568="中",7,10)),"不计算")))))*Q1568,"不计算")</f>
        <v/>
      </c>
      <c r="Q1568" s="142" t="n">
        <v>0.333333333333333</v>
      </c>
      <c r="R1568" s="143">
        <f>调整因子!$F$13</f>
        <v/>
      </c>
      <c r="S1568" s="70" t="n">
        <v>1</v>
      </c>
      <c r="T1568" s="144">
        <f>IFERROR(P1568*R1568,0)</f>
        <v/>
      </c>
      <c r="U1568" s="145">
        <f>T1568*S1568</f>
        <v/>
      </c>
      <c r="V1568" s="96" t="inlineStr">
        <is>
          <t>扫描策略模板表、提醒策略配置表</t>
        </is>
      </c>
      <c r="W1568" s="96" t="inlineStr"/>
      <c r="X1568" s="111" t="inlineStr">
        <is>
          <t>扫描策略模板表{任务ID、任务名称、任务状态、扫描器类型、开始时间、结束时间、扫描结果|任务ID、任务名称、任务状态}
提醒策略配置表{配置ID、配置名称、配置类型、配置值、创建时间|配置ID、配置名称、配置类型}</t>
        </is>
      </c>
      <c r="Y1568" s="88" t="n"/>
      <c r="Z1568" s="88" t="n"/>
    </row>
    <row r="1569" hidden="1" ht="32.4" customHeight="1">
      <c r="A1569" s="69">
        <f>ROW()-1</f>
        <v/>
      </c>
      <c r="B1569" s="53" t="n"/>
      <c r="C1569" s="117" t="n">
        <v>2026</v>
      </c>
      <c r="E1569" s="53" t="n"/>
      <c r="F1569" s="53" t="n"/>
      <c r="G1569" s="53" t="n"/>
      <c r="H1569" s="96" t="inlineStr">
        <is>
          <t>启用接口监控</t>
        </is>
      </c>
      <c r="I1569" s="76" t="inlineStr">
        <is>
          <t>EI</t>
        </is>
      </c>
      <c r="J1569" s="95" t="n"/>
      <c r="K1569" s="95" t="n"/>
      <c r="L1569" s="83">
        <f>IF(OR(X1569="估算法",X1569="算法类",X1569="无法识别"),"",IF(V1569="",IF(OR(I1569="EI",I1569="EO",I1569="EQ"),0,""),LEN(V1569)-LEN(SUBSTITUTE(V1569,"、",""))+1))</f>
        <v/>
      </c>
      <c r="M1569" s="83">
        <f>IF(OR(X1569="估算法",X1569="算法类",X1569="无法识别"),"",IF(W1569="",IF(OR(I1569="ILF",I1569="EIF"),0,""),LEN(W1569)-LEN(SUBSTITUTE(W1569,"、",""))+1))</f>
        <v/>
      </c>
      <c r="N1569" s="83">
        <f>IF(OR(X1569="估算法",X1569="算法类",X1569="无法识别"),"",IF(X1569="",IF(OR(I1569="ILF",I1569="EIF",I1569="EI",I1569="EO",I1569="EQ"),0,""),LEN(X1569)-LEN(SUBSTITUTE(SUBSTITUTE(SUBSTITUTE(SUBSTITUTE(SUBSTITUTE(X1569,"|}","--"),"{|","--"),CHAR(10),""),"、",""),"|",""))+IF(AND(OR(I1569="EI",I1569="EO",I1569="EQ"),$AD$1="NESMA"),2,1)))</f>
        <v/>
      </c>
      <c r="O1569" s="84">
        <f>IF(I1569="EI",IF(OR(X1569="估算法",X1569="算法类"),"中",IF(X1569="无法识别","低",IF(L1569&lt;2,IF(N1569&lt;16,"低","中"),IF(L1569&lt;3,IF(N1569&lt;5,"低",IF(N1569&lt;16,"中","高")),IF(N1569&lt;5,"中","高"))))),IF(OR(I1569="EO",I1569="EQ"),IF(OR(X1569="估算法",X1569="算法类"),"中",IF(X1569="无法识别","低",IF(L1569&lt;2,IF(N1569&lt;20,"低","中"),IF(L1569&lt;4,IF(N1569&lt;6,"低",IF(N1569&lt;20,"中","高")),IF(N1569&lt;6,"中","高"))))),IF(OR(I1569="ILF",I1569="EIF"),IF(OR(X1569="估算法",X1569="算法类",X1569="无法识别"),"低",IF(M1569&lt;2,IF(N1569&lt;51,"低","中"),IF(M1569&lt;6,IF(N1569&lt;20,"低",IF(N1569&lt;51,"中","高")),IF(N1569&lt;20,"中","高")))),"不计算")))</f>
        <v/>
      </c>
      <c r="P1569" s="142">
        <f>IFERROR(IF(I1569="EI",IF(O1569="低",3,IF(O1569="中",4,6)),IF(I1569="EO",IF(O1569="低",4,IF(O1569="中",5,7)),IF(I1569="EQ",IF(O1569="低",3,IF(O1569="中",4,6)),IF(I1569="ILF",IF(O1569="低",7,IF(O1569="中",10,15)),IF(I1569="EIF",IF(O1569="低",5,IF(O1569="中",7,10)),"不计算")))))*Q1569,"不计算")</f>
        <v/>
      </c>
      <c r="Q1569" s="142" t="n">
        <v>1</v>
      </c>
      <c r="R1569" s="143">
        <f>调整因子!$F$13</f>
        <v/>
      </c>
      <c r="S1569" s="76" t="n">
        <v>1</v>
      </c>
      <c r="T1569" s="144">
        <f>IFERROR(P1569*R1569,0)</f>
        <v/>
      </c>
      <c r="U1569" s="145">
        <f>T1569*S1569</f>
        <v/>
      </c>
      <c r="V1569" s="96" t="inlineStr">
        <is>
          <t>提醒规则表、报告解析结果表</t>
        </is>
      </c>
      <c r="W1569" s="96" t="inlineStr"/>
      <c r="X1569" s="111" t="inlineStr">
        <is>
          <t>提醒规则表{规则ID、规则名称、规则类型、规则条件、创建时间|规则ID、规则名称、规则类型}
报告解析结果表{ID、名称、类型、状态、创建时间、更新时间|ID、名称、类型}</t>
        </is>
      </c>
      <c r="Y1569" s="88" t="n"/>
      <c r="Z1569" s="88" t="n"/>
    </row>
    <row r="1570" hidden="1" ht="21.6" customHeight="1">
      <c r="A1570" s="69">
        <f>ROW()-1</f>
        <v/>
      </c>
      <c r="B1570" s="53" t="n"/>
      <c r="C1570" s="117" t="n">
        <v>2026</v>
      </c>
      <c r="E1570" s="53" t="n"/>
      <c r="F1570" s="53" t="n"/>
      <c r="G1570" s="53" t="n"/>
      <c r="H1570" s="96" t="inlineStr">
        <is>
          <t>停用接口监控</t>
        </is>
      </c>
      <c r="I1570" s="76" t="n"/>
      <c r="J1570" s="95" t="n"/>
      <c r="K1570" s="95" t="inlineStr">
        <is>
          <t>和上行合并，启停为相同功能</t>
        </is>
      </c>
      <c r="L1570" s="83">
        <f>IF(OR(X1570="估算法",X1570="算法类",X1570="无法识别"),"",IF(V1570="",IF(OR(I1570="EI",I1570="EO",I1570="EQ"),0,""),LEN(V1570)-LEN(SUBSTITUTE(V1570,"、",""))+1))</f>
        <v/>
      </c>
      <c r="M1570" s="83">
        <f>IF(OR(X1570="估算法",X1570="算法类",X1570="无法识别"),"",IF(W1570="",IF(OR(I1570="ILF",I1570="EIF"),0,""),LEN(W1570)-LEN(SUBSTITUTE(W1570,"、",""))+1))</f>
        <v/>
      </c>
      <c r="N1570" s="83">
        <f>IF(OR(X1570="估算法",X1570="算法类",X1570="无法识别"),"",IF(X1570="",IF(OR(I1570="ILF",I1570="EIF",I1570="EI",I1570="EO",I1570="EQ"),0,""),LEN(X1570)-LEN(SUBSTITUTE(SUBSTITUTE(SUBSTITUTE(SUBSTITUTE(SUBSTITUTE(X1570,"|}","--"),"{|","--"),CHAR(10),""),"、",""),"|",""))+IF(AND(OR(I1570="EI",I1570="EO",I1570="EQ"),$AD$1="NESMA"),2,1)))</f>
        <v/>
      </c>
      <c r="O1570" s="84">
        <f>IF(I1570="EI",IF(OR(X1570="估算法",X1570="算法类"),"中",IF(X1570="无法识别","低",IF(L1570&lt;2,IF(N1570&lt;16,"低","中"),IF(L1570&lt;3,IF(N1570&lt;5,"低",IF(N1570&lt;16,"中","高")),IF(N1570&lt;5,"中","高"))))),IF(OR(I1570="EO",I1570="EQ"),IF(OR(X1570="估算法",X1570="算法类"),"中",IF(X1570="无法识别","低",IF(L1570&lt;2,IF(N1570&lt;20,"低","中"),IF(L1570&lt;4,IF(N1570&lt;6,"低",IF(N1570&lt;20,"中","高")),IF(N1570&lt;6,"中","高"))))),IF(OR(I1570="ILF",I1570="EIF"),IF(OR(X1570="估算法",X1570="算法类",X1570="无法识别"),"低",IF(M1570&lt;2,IF(N1570&lt;51,"低","中"),IF(M1570&lt;6,IF(N1570&lt;20,"低",IF(N1570&lt;51,"中","高")),IF(N1570&lt;20,"中","高")))),"不计算")))</f>
        <v/>
      </c>
      <c r="P1570" s="142">
        <f>IFERROR(IF(I1570="EI",IF(O1570="低",3,IF(O1570="中",4,6)),IF(I1570="EO",IF(O1570="低",4,IF(O1570="中",5,7)),IF(I1570="EQ",IF(O1570="低",3,IF(O1570="中",4,6)),IF(I1570="ILF",IF(O1570="低",7,IF(O1570="中",10,15)),IF(I1570="EIF",IF(O1570="低",5,IF(O1570="中",7,10)),"不计算")))))*Q1570,"不计算")</f>
        <v/>
      </c>
      <c r="Q1570" s="142" t="n">
        <v>1</v>
      </c>
      <c r="R1570" s="143">
        <f>调整因子!$F$13</f>
        <v/>
      </c>
      <c r="S1570" s="70" t="n">
        <v>1</v>
      </c>
      <c r="T1570" s="144">
        <f>IFERROR(P1570*R1570,0)</f>
        <v/>
      </c>
      <c r="U1570" s="145">
        <f>T1570*S1570</f>
        <v/>
      </c>
      <c r="V1570" s="96" t="inlineStr">
        <is>
          <t>推送规则表</t>
        </is>
      </c>
      <c r="W1570" s="96" t="inlineStr"/>
      <c r="X1570" s="111" t="inlineStr">
        <is>
          <t>推送规则表{规则ID、规则名称、规则类型、规则条件、创建时间|规则ID、规则名称、规则类型}</t>
        </is>
      </c>
      <c r="Y1570" s="88" t="n"/>
      <c r="Z1570" s="88" t="n"/>
    </row>
    <row r="1571" hidden="1" ht="32.4" customHeight="1">
      <c r="A1571" s="69">
        <f>ROW()-1</f>
        <v/>
      </c>
      <c r="B1571" s="53" t="n"/>
      <c r="C1571" s="117" t="n">
        <v>2026</v>
      </c>
      <c r="E1571" s="53" t="n"/>
      <c r="F1571" s="53" t="n"/>
      <c r="G1571" s="53" t="n"/>
      <c r="H1571" s="96" t="inlineStr">
        <is>
          <t>导出监控数据</t>
        </is>
      </c>
      <c r="I1571" s="76" t="inlineStr">
        <is>
          <t>EO</t>
        </is>
      </c>
      <c r="J1571" s="95" t="n"/>
      <c r="K1571" s="95" t="n"/>
      <c r="L1571" s="83">
        <f>IF(OR(X1571="估算法",X1571="算法类",X1571="无法识别"),"",IF(V1571="",IF(OR(I1571="EI",I1571="EO",I1571="EQ"),0,""),LEN(V1571)-LEN(SUBSTITUTE(V1571,"、",""))+1))</f>
        <v/>
      </c>
      <c r="M1571" s="83">
        <f>IF(OR(X1571="估算法",X1571="算法类",X1571="无法识别"),"",IF(W1571="",IF(OR(I1571="ILF",I1571="EIF"),0,""),LEN(W1571)-LEN(SUBSTITUTE(W1571,"、",""))+1))</f>
        <v/>
      </c>
      <c r="N1571" s="83">
        <f>IF(OR(X1571="估算法",X1571="算法类",X1571="无法识别"),"",IF(X1571="",IF(OR(I1571="ILF",I1571="EIF",I1571="EI",I1571="EO",I1571="EQ"),0,""),LEN(X1571)-LEN(SUBSTITUTE(SUBSTITUTE(SUBSTITUTE(SUBSTITUTE(SUBSTITUTE(X1571,"|}","--"),"{|","--"),CHAR(10),""),"、",""),"|",""))+IF(AND(OR(I1571="EI",I1571="EO",I1571="EQ"),$AD$1="NESMA"),2,1)))</f>
        <v/>
      </c>
      <c r="O1571" s="84">
        <f>IF(I1571="EI",IF(OR(X1571="估算法",X1571="算法类"),"中",IF(X1571="无法识别","低",IF(L1571&lt;2,IF(N1571&lt;16,"低","中"),IF(L1571&lt;3,IF(N1571&lt;5,"低",IF(N1571&lt;16,"中","高")),IF(N1571&lt;5,"中","高"))))),IF(OR(I1571="EO",I1571="EQ"),IF(OR(X1571="估算法",X1571="算法类"),"中",IF(X1571="无法识别","低",IF(L1571&lt;2,IF(N1571&lt;20,"低","中"),IF(L1571&lt;4,IF(N1571&lt;6,"低",IF(N1571&lt;20,"中","高")),IF(N1571&lt;6,"中","高"))))),IF(OR(I1571="ILF",I1571="EIF"),IF(OR(X1571="估算法",X1571="算法类",X1571="无法识别"),"低",IF(M1571&lt;2,IF(N1571&lt;51,"低","中"),IF(M1571&lt;6,IF(N1571&lt;20,"低",IF(N1571&lt;51,"中","高")),IF(N1571&lt;20,"中","高")))),"不计算")))</f>
        <v/>
      </c>
      <c r="P1571" s="142">
        <f>IFERROR(IF(I1571="EI",IF(O1571="低",3,IF(O1571="中",4,6)),IF(I1571="EO",IF(O1571="低",4,IF(O1571="中",5,7)),IF(I1571="EQ",IF(O1571="低",3,IF(O1571="中",4,6)),IF(I1571="ILF",IF(O1571="低",7,IF(O1571="中",10,15)),IF(I1571="EIF",IF(O1571="低",5,IF(O1571="中",7,10)),"不计算")))))*Q1571,"不计算")</f>
        <v/>
      </c>
      <c r="Q1571" s="142" t="n">
        <v>1</v>
      </c>
      <c r="R1571" s="143">
        <f>调整因子!$F$13</f>
        <v/>
      </c>
      <c r="S1571" s="70" t="n">
        <v>1</v>
      </c>
      <c r="T1571" s="144">
        <f>IFERROR(P1571*R1571,0)</f>
        <v/>
      </c>
      <c r="U1571" s="145">
        <f>T1571*S1571</f>
        <v/>
      </c>
      <c r="V1571" s="96" t="inlineStr">
        <is>
          <t>考核指标配置表、报表模板表</t>
        </is>
      </c>
      <c r="W1571" s="96" t="inlineStr"/>
      <c r="X1571" s="111" t="inlineStr">
        <is>
          <t>考核指标配置表{配置ID、配置名称|配置ID、配置名称、配置类型、配置值、创建时间}
报表模板表{报表ID、报表名称|报表ID、报表名称、报表类型、生成时间、报表内容}</t>
        </is>
      </c>
      <c r="Y1571" s="88" t="n"/>
      <c r="Z1571" s="88" t="n"/>
    </row>
    <row r="1572" hidden="1" ht="21.6" customHeight="1">
      <c r="A1572" s="69">
        <f>ROW()-1</f>
        <v/>
      </c>
      <c r="B1572" s="53" t="n"/>
      <c r="C1572" s="117" t="n">
        <v>2026</v>
      </c>
      <c r="E1572" s="53" t="n"/>
      <c r="F1572" s="53" t="n"/>
      <c r="G1572" s="53" t="n"/>
      <c r="H1572" s="96" t="inlineStr">
        <is>
          <t>推送监控告警</t>
        </is>
      </c>
      <c r="I1572" s="76" t="inlineStr">
        <is>
          <t>EO</t>
        </is>
      </c>
      <c r="J1572" s="95" t="n"/>
      <c r="K1572" s="95" t="n"/>
      <c r="L1572" s="83">
        <f>IF(OR(X1572="估算法",X1572="算法类",X1572="无法识别"),"",IF(V1572="",IF(OR(I1572="EI",I1572="EO",I1572="EQ"),0,""),LEN(V1572)-LEN(SUBSTITUTE(V1572,"、",""))+1))</f>
        <v/>
      </c>
      <c r="M1572" s="83">
        <f>IF(OR(X1572="估算法",X1572="算法类",X1572="无法识别"),"",IF(W1572="",IF(OR(I1572="ILF",I1572="EIF"),0,""),LEN(W1572)-LEN(SUBSTITUTE(W1572,"、",""))+1))</f>
        <v/>
      </c>
      <c r="N1572" s="83">
        <f>IF(OR(X1572="估算法",X1572="算法类",X1572="无法识别"),"",IF(X1572="",IF(OR(I1572="ILF",I1572="EIF",I1572="EI",I1572="EO",I1572="EQ"),0,""),LEN(X1572)-LEN(SUBSTITUTE(SUBSTITUTE(SUBSTITUTE(SUBSTITUTE(SUBSTITUTE(X1572,"|}","--"),"{|","--"),CHAR(10),""),"、",""),"|",""))+IF(AND(OR(I1572="EI",I1572="EO",I1572="EQ"),$AD$1="NESMA"),2,1)))</f>
        <v/>
      </c>
      <c r="O1572" s="84">
        <f>IF(I1572="EI",IF(OR(X1572="估算法",X1572="算法类"),"中",IF(X1572="无法识别","低",IF(L1572&lt;2,IF(N1572&lt;16,"低","中"),IF(L1572&lt;3,IF(N1572&lt;5,"低",IF(N1572&lt;16,"中","高")),IF(N1572&lt;5,"中","高"))))),IF(OR(I1572="EO",I1572="EQ"),IF(OR(X1572="估算法",X1572="算法类"),"中",IF(X1572="无法识别","低",IF(L1572&lt;2,IF(N1572&lt;20,"低","中"),IF(L1572&lt;4,IF(N1572&lt;6,"低",IF(N1572&lt;20,"中","高")),IF(N1572&lt;6,"中","高"))))),IF(OR(I1572="ILF",I1572="EIF"),IF(OR(X1572="估算法",X1572="算法类",X1572="无法识别"),"低",IF(M1572&lt;2,IF(N1572&lt;51,"低","中"),IF(M1572&lt;6,IF(N1572&lt;20,"低",IF(N1572&lt;51,"中","高")),IF(N1572&lt;20,"中","高")))),"不计算")))</f>
        <v/>
      </c>
      <c r="P1572" s="142">
        <f>IFERROR(IF(I1572="EI",IF(O1572="低",3,IF(O1572="中",4,6)),IF(I1572="EO",IF(O1572="低",4,IF(O1572="中",5,7)),IF(I1572="EQ",IF(O1572="低",3,IF(O1572="中",4,6)),IF(I1572="ILF",IF(O1572="低",7,IF(O1572="中",10,15)),IF(I1572="EIF",IF(O1572="低",5,IF(O1572="中",7,10)),"不计算")))))*Q1572,"不计算")</f>
        <v/>
      </c>
      <c r="Q1572" s="142" t="n">
        <v>1</v>
      </c>
      <c r="R1572" s="143">
        <f>调整因子!$F$13</f>
        <v/>
      </c>
      <c r="S1572" s="76" t="n">
        <v>1</v>
      </c>
      <c r="T1572" s="144">
        <f>IFERROR(P1572*R1572,0)</f>
        <v/>
      </c>
      <c r="U1572" s="145">
        <f>T1572*S1572</f>
        <v/>
      </c>
      <c r="V1572" s="96" t="inlineStr">
        <is>
          <t>扫描盲区记录表</t>
        </is>
      </c>
      <c r="W1572" s="96" t="inlineStr"/>
      <c r="X1572" s="111" t="inlineStr">
        <is>
          <t>扫描盲区记录表{任务ID、任务名称|任务ID、任务名称、任务状态、扫描器类型、开始时间、结束时间、扫描结果}</t>
        </is>
      </c>
      <c r="Y1572" s="88" t="n"/>
      <c r="Z1572" s="88" t="n"/>
    </row>
    <row r="1573" hidden="1" ht="21.6" customHeight="1">
      <c r="A1573" s="69">
        <f>ROW()-1</f>
        <v/>
      </c>
      <c r="B1573" s="53" t="n"/>
      <c r="C1573" s="117" t="n">
        <v>2026</v>
      </c>
      <c r="E1573" s="53" t="n"/>
      <c r="F1573" s="53" t="n"/>
      <c r="G1573" s="53" t="n"/>
      <c r="H1573" s="96" t="inlineStr">
        <is>
          <t>查询监控状态</t>
        </is>
      </c>
      <c r="I1573" s="76" t="inlineStr">
        <is>
          <t>EQ</t>
        </is>
      </c>
      <c r="J1573" s="95" t="n"/>
      <c r="K1573" s="95" t="n"/>
      <c r="L1573" s="83">
        <f>IF(OR(X1573="估算法",X1573="算法类",X1573="无法识别"),"",IF(V1573="",IF(OR(I1573="EI",I1573="EO",I1573="EQ"),0,""),LEN(V1573)-LEN(SUBSTITUTE(V1573,"、",""))+1))</f>
        <v/>
      </c>
      <c r="M1573" s="83">
        <f>IF(OR(X1573="估算法",X1573="算法类",X1573="无法识别"),"",IF(W1573="",IF(OR(I1573="ILF",I1573="EIF"),0,""),LEN(W1573)-LEN(SUBSTITUTE(W1573,"、",""))+1))</f>
        <v/>
      </c>
      <c r="N1573" s="83">
        <f>IF(OR(X1573="估算法",X1573="算法类",X1573="无法识别"),"",IF(X1573="",IF(OR(I1573="ILF",I1573="EIF",I1573="EI",I1573="EO",I1573="EQ"),0,""),LEN(X1573)-LEN(SUBSTITUTE(SUBSTITUTE(SUBSTITUTE(SUBSTITUTE(SUBSTITUTE(X1573,"|}","--"),"{|","--"),CHAR(10),""),"、",""),"|",""))+IF(AND(OR(I1573="EI",I1573="EO",I1573="EQ"),$AD$1="NESMA"),2,1)))</f>
        <v/>
      </c>
      <c r="O1573" s="84">
        <f>IF(I1573="EI",IF(OR(X1573="估算法",X1573="算法类"),"中",IF(X1573="无法识别","低",IF(L1573&lt;2,IF(N1573&lt;16,"低","中"),IF(L1573&lt;3,IF(N1573&lt;5,"低",IF(N1573&lt;16,"中","高")),IF(N1573&lt;5,"中","高"))))),IF(OR(I1573="EO",I1573="EQ"),IF(OR(X1573="估算法",X1573="算法类"),"中",IF(X1573="无法识别","低",IF(L1573&lt;2,IF(N1573&lt;20,"低","中"),IF(L1573&lt;4,IF(N1573&lt;6,"低",IF(N1573&lt;20,"中","高")),IF(N1573&lt;6,"中","高"))))),IF(OR(I1573="ILF",I1573="EIF"),IF(OR(X1573="估算法",X1573="算法类",X1573="无法识别"),"低",IF(M1573&lt;2,IF(N1573&lt;51,"低","中"),IF(M1573&lt;6,IF(N1573&lt;20,"低",IF(N1573&lt;51,"中","高")),IF(N1573&lt;20,"中","高")))),"不计算")))</f>
        <v/>
      </c>
      <c r="P1573" s="142">
        <f>IFERROR(IF(I1573="EI",IF(O1573="低",3,IF(O1573="中",4,6)),IF(I1573="EO",IF(O1573="低",4,IF(O1573="中",5,7)),IF(I1573="EQ",IF(O1573="低",3,IF(O1573="中",4,6)),IF(I1573="ILF",IF(O1573="低",7,IF(O1573="中",10,15)),IF(I1573="EIF",IF(O1573="低",5,IF(O1573="中",7,10)),"不计算")))))*Q1573,"不计算")</f>
        <v/>
      </c>
      <c r="Q1573" s="142" t="n">
        <v>1</v>
      </c>
      <c r="R1573" s="143">
        <f>调整因子!$F$13</f>
        <v/>
      </c>
      <c r="S1573" s="76" t="n">
        <v>1</v>
      </c>
      <c r="T1573" s="144">
        <f>IFERROR(P1573*R1573,0)</f>
        <v/>
      </c>
      <c r="U1573" s="145">
        <f>T1573*S1573</f>
        <v/>
      </c>
      <c r="V1573" s="96" t="inlineStr">
        <is>
          <t>通报模板表、指标阈值表</t>
        </is>
      </c>
      <c r="W1573" s="96" t="inlineStr"/>
      <c r="X1573" s="111" t="inlineStr">
        <is>
          <t>通报模板表{ID、名称|ID、名称、类型、状态、创建时间、更新时间}
指标阈值表{ID、名称|ID、名称、类型、状态、创建时间、更新时间}</t>
        </is>
      </c>
      <c r="Y1573" s="88" t="n"/>
      <c r="Z1573" s="88" t="n"/>
    </row>
    <row r="1574" hidden="1" ht="21.6" customHeight="1">
      <c r="A1574" s="69">
        <f>ROW()-1</f>
        <v/>
      </c>
      <c r="B1574" s="53" t="n"/>
      <c r="C1574" s="117" t="n">
        <v>2026</v>
      </c>
      <c r="E1574" s="53" t="n"/>
      <c r="F1574" s="53" t="n"/>
      <c r="G1574" s="54" t="n"/>
      <c r="H1574" s="96" t="inlineStr">
        <is>
          <t>查看性能趋势</t>
        </is>
      </c>
      <c r="I1574" s="76" t="inlineStr">
        <is>
          <t>EQ</t>
        </is>
      </c>
      <c r="J1574" s="95" t="n"/>
      <c r="K1574" s="95" t="n"/>
      <c r="L1574" s="83">
        <f>IF(OR(X1574="估算法",X1574="算法类",X1574="无法识别"),"",IF(V1574="",IF(OR(I1574="EI",I1574="EO",I1574="EQ"),0,""),LEN(V1574)-LEN(SUBSTITUTE(V1574,"、",""))+1))</f>
        <v/>
      </c>
      <c r="M1574" s="83">
        <f>IF(OR(X1574="估算法",X1574="算法类",X1574="无法识别"),"",IF(W1574="",IF(OR(I1574="ILF",I1574="EIF"),0,""),LEN(W1574)-LEN(SUBSTITUTE(W1574,"、",""))+1))</f>
        <v/>
      </c>
      <c r="N1574" s="83">
        <f>IF(OR(X1574="估算法",X1574="算法类",X1574="无法识别"),"",IF(X1574="",IF(OR(I1574="ILF",I1574="EIF",I1574="EI",I1574="EO",I1574="EQ"),0,""),LEN(X1574)-LEN(SUBSTITUTE(SUBSTITUTE(SUBSTITUTE(SUBSTITUTE(SUBSTITUTE(X1574,"|}","--"),"{|","--"),CHAR(10),""),"、",""),"|",""))+IF(AND(OR(I1574="EI",I1574="EO",I1574="EQ"),$AD$1="NESMA"),2,1)))</f>
        <v/>
      </c>
      <c r="O1574" s="84">
        <f>IF(I1574="EI",IF(OR(X1574="估算法",X1574="算法类"),"中",IF(X1574="无法识别","低",IF(L1574&lt;2,IF(N1574&lt;16,"低","中"),IF(L1574&lt;3,IF(N1574&lt;5,"低",IF(N1574&lt;16,"中","高")),IF(N1574&lt;5,"中","高"))))),IF(OR(I1574="EO",I1574="EQ"),IF(OR(X1574="估算法",X1574="算法类"),"中",IF(X1574="无法识别","低",IF(L1574&lt;2,IF(N1574&lt;20,"低","中"),IF(L1574&lt;4,IF(N1574&lt;6,"低",IF(N1574&lt;20,"中","高")),IF(N1574&lt;6,"中","高"))))),IF(OR(I1574="ILF",I1574="EIF"),IF(OR(X1574="估算法",X1574="算法类",X1574="无法识别"),"低",IF(M1574&lt;2,IF(N1574&lt;51,"低","中"),IF(M1574&lt;6,IF(N1574&lt;20,"低",IF(N1574&lt;51,"中","高")),IF(N1574&lt;20,"中","高")))),"不计算")))</f>
        <v/>
      </c>
      <c r="P1574" s="142">
        <f>IFERROR(IF(I1574="EI",IF(O1574="低",3,IF(O1574="中",4,6)),IF(I1574="EO",IF(O1574="低",4,IF(O1574="中",5,7)),IF(I1574="EQ",IF(O1574="低",3,IF(O1574="中",4,6)),IF(I1574="ILF",IF(O1574="低",7,IF(O1574="中",10,15)),IF(I1574="EIF",IF(O1574="低",5,IF(O1574="中",7,10)),"不计算")))))*Q1574,"不计算")</f>
        <v/>
      </c>
      <c r="Q1574" s="142" t="n">
        <v>1</v>
      </c>
      <c r="R1574" s="143">
        <f>调整因子!$F$13</f>
        <v/>
      </c>
      <c r="S1574" s="70" t="n">
        <v>1</v>
      </c>
      <c r="T1574" s="144">
        <f>IFERROR(P1574*R1574,0)</f>
        <v/>
      </c>
      <c r="U1574" s="145">
        <f>T1574*S1574</f>
        <v/>
      </c>
      <c r="V1574" s="96" t="inlineStr">
        <is>
          <t>扫描能力缺口表</t>
        </is>
      </c>
      <c r="W1574" s="96" t="inlineStr"/>
      <c r="X1574" s="111" t="inlineStr">
        <is>
          <t>扫描能力缺口表{任务ID、任务名称|任务ID、任务名称、任务状态、扫描器类型、开始时间、结束时间}</t>
        </is>
      </c>
      <c r="Y1574" s="88" t="n"/>
      <c r="Z1574" s="88" t="n"/>
    </row>
    <row r="1575" hidden="1" ht="21.6" customHeight="1">
      <c r="A1575" s="69">
        <f>ROW()-1</f>
        <v/>
      </c>
      <c r="B1575" s="53" t="n"/>
      <c r="C1575" s="117" t="n">
        <v>2026</v>
      </c>
      <c r="E1575" s="53" t="n"/>
      <c r="F1575" s="53" t="n"/>
      <c r="G1575" s="111" t="inlineStr">
        <is>
          <t>接口异常告警管理</t>
        </is>
      </c>
      <c r="H1575" s="96" t="inlineStr">
        <is>
          <t>编辑告警规则</t>
        </is>
      </c>
      <c r="I1575" s="76" t="inlineStr">
        <is>
          <t>EI</t>
        </is>
      </c>
      <c r="J1575" s="95" t="n"/>
      <c r="K1575" s="95" t="n"/>
      <c r="L1575" s="83">
        <f>IF(OR(X1575="估算法",X1575="算法类",X1575="无法识别"),"",IF(V1575="",IF(OR(I1575="EI",I1575="EO",I1575="EQ"),0,""),LEN(V1575)-LEN(SUBSTITUTE(V1575,"、",""))+1))</f>
        <v/>
      </c>
      <c r="M1575" s="83">
        <f>IF(OR(X1575="估算法",X1575="算法类",X1575="无法识别"),"",IF(W1575="",IF(OR(I1575="ILF",I1575="EIF"),0,""),LEN(W1575)-LEN(SUBSTITUTE(W1575,"、",""))+1))</f>
        <v/>
      </c>
      <c r="N1575" s="83">
        <f>IF(OR(X1575="估算法",X1575="算法类",X1575="无法识别"),"",IF(X1575="",IF(OR(I1575="ILF",I1575="EIF",I1575="EI",I1575="EO",I1575="EQ"),0,""),LEN(X1575)-LEN(SUBSTITUTE(SUBSTITUTE(SUBSTITUTE(SUBSTITUTE(SUBSTITUTE(X1575,"|}","--"),"{|","--"),CHAR(10),""),"、",""),"|",""))+IF(AND(OR(I1575="EI",I1575="EO",I1575="EQ"),$AD$1="NESMA"),2,1)))</f>
        <v/>
      </c>
      <c r="O1575" s="84">
        <f>IF(I1575="EI",IF(OR(X1575="估算法",X1575="算法类"),"中",IF(X1575="无法识别","低",IF(L1575&lt;2,IF(N1575&lt;16,"低","中"),IF(L1575&lt;3,IF(N1575&lt;5,"低",IF(N1575&lt;16,"中","高")),IF(N1575&lt;5,"中","高"))))),IF(OR(I1575="EO",I1575="EQ"),IF(OR(X1575="估算法",X1575="算法类"),"中",IF(X1575="无法识别","低",IF(L1575&lt;2,IF(N1575&lt;20,"低","中"),IF(L1575&lt;4,IF(N1575&lt;6,"低",IF(N1575&lt;20,"中","高")),IF(N1575&lt;6,"中","高"))))),IF(OR(I1575="ILF",I1575="EIF"),IF(OR(X1575="估算法",X1575="算法类",X1575="无法识别"),"低",IF(M1575&lt;2,IF(N1575&lt;51,"低","中"),IF(M1575&lt;6,IF(N1575&lt;20,"低",IF(N1575&lt;51,"中","高")),IF(N1575&lt;20,"中","高")))),"不计算")))</f>
        <v/>
      </c>
      <c r="P1575" s="142">
        <f>IFERROR(IF(I1575="EI",IF(O1575="低",3,IF(O1575="中",4,6)),IF(I1575="EO",IF(O1575="低",4,IF(O1575="中",5,7)),IF(I1575="EQ",IF(O1575="低",3,IF(O1575="中",4,6)),IF(I1575="ILF",IF(O1575="低",7,IF(O1575="中",10,15)),IF(I1575="EIF",IF(O1575="低",5,IF(O1575="中",7,10)),"不计算")))))*Q1575,"不计算")</f>
        <v/>
      </c>
      <c r="Q1575" s="142" t="n">
        <v>1</v>
      </c>
      <c r="R1575" s="143">
        <f>调整因子!$F$13</f>
        <v/>
      </c>
      <c r="S1575" s="70" t="n">
        <v>1</v>
      </c>
      <c r="T1575" s="144">
        <f>IFERROR(P1575*R1575,0)</f>
        <v/>
      </c>
      <c r="U1575" s="145">
        <f>T1575*S1575</f>
        <v/>
      </c>
      <c r="V1575" s="96" t="inlineStr">
        <is>
          <t>推送规则表</t>
        </is>
      </c>
      <c r="W1575" s="96" t="inlineStr"/>
      <c r="X1575" s="111" t="inlineStr">
        <is>
          <t>推送规则表{规则ID、规则名称、规则类型、规则条件、创建时间|规则ID、规则名称、规则类型}</t>
        </is>
      </c>
      <c r="Y1575" s="88" t="n"/>
      <c r="Z1575" s="88" t="n"/>
    </row>
    <row r="1576" hidden="1" ht="43.2" customHeight="1">
      <c r="A1576" s="69">
        <f>ROW()-1</f>
        <v/>
      </c>
      <c r="B1576" s="53" t="n"/>
      <c r="C1576" s="117" t="n">
        <v>2026</v>
      </c>
      <c r="E1576" s="53" t="n"/>
      <c r="F1576" s="53" t="n"/>
      <c r="G1576" s="53" t="n"/>
      <c r="H1576" s="96" t="inlineStr">
        <is>
          <t>删除告警规则</t>
        </is>
      </c>
      <c r="I1576" s="76" t="inlineStr">
        <is>
          <t>EI</t>
        </is>
      </c>
      <c r="J1576" s="95" t="n"/>
      <c r="K1576" s="95" t="n"/>
      <c r="L1576" s="83">
        <f>IF(OR(X1576="估算法",X1576="算法类",X1576="无法识别"),"",IF(V1576="",IF(OR(I1576="EI",I1576="EO",I1576="EQ"),0,""),LEN(V1576)-LEN(SUBSTITUTE(V1576,"、",""))+1))</f>
        <v/>
      </c>
      <c r="M1576" s="83">
        <f>IF(OR(X1576="估算法",X1576="算法类",X1576="无法识别"),"",IF(W1576="",IF(OR(I1576="ILF",I1576="EIF"),0,""),LEN(W1576)-LEN(SUBSTITUTE(W1576,"、",""))+1))</f>
        <v/>
      </c>
      <c r="N1576" s="83">
        <f>IF(OR(X1576="估算法",X1576="算法类",X1576="无法识别"),"",IF(X1576="",IF(OR(I1576="ILF",I1576="EIF",I1576="EI",I1576="EO",I1576="EQ"),0,""),LEN(X1576)-LEN(SUBSTITUTE(SUBSTITUTE(SUBSTITUTE(SUBSTITUTE(SUBSTITUTE(X1576,"|}","--"),"{|","--"),CHAR(10),""),"、",""),"|",""))+IF(AND(OR(I1576="EI",I1576="EO",I1576="EQ"),$AD$1="NESMA"),2,1)))</f>
        <v/>
      </c>
      <c r="O1576" s="84">
        <f>IF(I1576="EI",IF(OR(X1576="估算法",X1576="算法类"),"中",IF(X1576="无法识别","低",IF(L1576&lt;2,IF(N1576&lt;16,"低","中"),IF(L1576&lt;3,IF(N1576&lt;5,"低",IF(N1576&lt;16,"中","高")),IF(N1576&lt;5,"中","高"))))),IF(OR(I1576="EO",I1576="EQ"),IF(OR(X1576="估算法",X1576="算法类"),"中",IF(X1576="无法识别","低",IF(L1576&lt;2,IF(N1576&lt;20,"低","中"),IF(L1576&lt;4,IF(N1576&lt;6,"低",IF(N1576&lt;20,"中","高")),IF(N1576&lt;6,"中","高"))))),IF(OR(I1576="ILF",I1576="EIF"),IF(OR(X1576="估算法",X1576="算法类",X1576="无法识别"),"低",IF(M1576&lt;2,IF(N1576&lt;51,"低","中"),IF(M1576&lt;6,IF(N1576&lt;20,"低",IF(N1576&lt;51,"中","高")),IF(N1576&lt;20,"中","高")))),"不计算")))</f>
        <v/>
      </c>
      <c r="P1576" s="142">
        <f>IFERROR(IF(I1576="EI",IF(O1576="低",3,IF(O1576="中",4,6)),IF(I1576="EO",IF(O1576="低",4,IF(O1576="中",5,7)),IF(I1576="EQ",IF(O1576="低",3,IF(O1576="中",4,6)),IF(I1576="ILF",IF(O1576="低",7,IF(O1576="中",10,15)),IF(I1576="EIF",IF(O1576="低",5,IF(O1576="中",7,10)),"不计算")))))*Q1576,"不计算")</f>
        <v/>
      </c>
      <c r="Q1576" s="142" t="n">
        <v>0.333333333333333</v>
      </c>
      <c r="R1576" s="143">
        <f>调整因子!$F$13</f>
        <v/>
      </c>
      <c r="S1576" s="76" t="n">
        <v>1</v>
      </c>
      <c r="T1576" s="144">
        <f>IFERROR(P1576*R1576,0)</f>
        <v/>
      </c>
      <c r="U1576" s="145">
        <f>T1576*S1576</f>
        <v/>
      </c>
      <c r="V1576" s="96" t="inlineStr">
        <is>
          <t>推送规则表、提醒规则表</t>
        </is>
      </c>
      <c r="W1576" s="96" t="inlineStr"/>
      <c r="X1576" s="111" t="inlineStr">
        <is>
          <t>推送规则表{规则ID、规则名称、规则类型、规则条件、创建时间|规则ID、规则名称、规则类型}
提醒规则表{规则ID、规则名称、规则类型、规则条件、创建时间|规则ID、规则名称、规则类型}</t>
        </is>
      </c>
      <c r="Y1576" s="88" t="n"/>
      <c r="Z1576" s="88" t="n"/>
    </row>
    <row r="1577" hidden="1" ht="21.6" customHeight="1">
      <c r="A1577" s="69">
        <f>ROW()-1</f>
        <v/>
      </c>
      <c r="B1577" s="53" t="n"/>
      <c r="C1577" s="117" t="n">
        <v>2026</v>
      </c>
      <c r="E1577" s="53" t="n"/>
      <c r="F1577" s="53" t="n"/>
      <c r="G1577" s="53" t="n"/>
      <c r="H1577" s="96" t="inlineStr">
        <is>
          <t>启用告警规则</t>
        </is>
      </c>
      <c r="I1577" s="76" t="inlineStr">
        <is>
          <t>EI</t>
        </is>
      </c>
      <c r="J1577" s="95" t="n"/>
      <c r="K1577" s="95" t="n"/>
      <c r="L1577" s="83">
        <f>IF(OR(X1577="估算法",X1577="算法类",X1577="无法识别"),"",IF(V1577="",IF(OR(I1577="EI",I1577="EO",I1577="EQ"),0,""),LEN(V1577)-LEN(SUBSTITUTE(V1577,"、",""))+1))</f>
        <v/>
      </c>
      <c r="M1577" s="83">
        <f>IF(OR(X1577="估算法",X1577="算法类",X1577="无法识别"),"",IF(W1577="",IF(OR(I1577="ILF",I1577="EIF"),0,""),LEN(W1577)-LEN(SUBSTITUTE(W1577,"、",""))+1))</f>
        <v/>
      </c>
      <c r="N1577" s="83">
        <f>IF(OR(X1577="估算法",X1577="算法类",X1577="无法识别"),"",IF(X1577="",IF(OR(I1577="ILF",I1577="EIF",I1577="EI",I1577="EO",I1577="EQ"),0,""),LEN(X1577)-LEN(SUBSTITUTE(SUBSTITUTE(SUBSTITUTE(SUBSTITUTE(SUBSTITUTE(X1577,"|}","--"),"{|","--"),CHAR(10),""),"、",""),"|",""))+IF(AND(OR(I1577="EI",I1577="EO",I1577="EQ"),$AD$1="NESMA"),2,1)))</f>
        <v/>
      </c>
      <c r="O1577" s="84">
        <f>IF(I1577="EI",IF(OR(X1577="估算法",X1577="算法类"),"中",IF(X1577="无法识别","低",IF(L1577&lt;2,IF(N1577&lt;16,"低","中"),IF(L1577&lt;3,IF(N1577&lt;5,"低",IF(N1577&lt;16,"中","高")),IF(N1577&lt;5,"中","高"))))),IF(OR(I1577="EO",I1577="EQ"),IF(OR(X1577="估算法",X1577="算法类"),"中",IF(X1577="无法识别","低",IF(L1577&lt;2,IF(N1577&lt;20,"低","中"),IF(L1577&lt;4,IF(N1577&lt;6,"低",IF(N1577&lt;20,"中","高")),IF(N1577&lt;6,"中","高"))))),IF(OR(I1577="ILF",I1577="EIF"),IF(OR(X1577="估算法",X1577="算法类",X1577="无法识别"),"低",IF(M1577&lt;2,IF(N1577&lt;51,"低","中"),IF(M1577&lt;6,IF(N1577&lt;20,"低",IF(N1577&lt;51,"中","高")),IF(N1577&lt;20,"中","高")))),"不计算")))</f>
        <v/>
      </c>
      <c r="P1577" s="142">
        <f>IFERROR(IF(I1577="EI",IF(O1577="低",3,IF(O1577="中",4,6)),IF(I1577="EO",IF(O1577="低",4,IF(O1577="中",5,7)),IF(I1577="EQ",IF(O1577="低",3,IF(O1577="中",4,6)),IF(I1577="ILF",IF(O1577="低",7,IF(O1577="中",10,15)),IF(I1577="EIF",IF(O1577="低",5,IF(O1577="中",7,10)),"不计算")))))*Q1577,"不计算")</f>
        <v/>
      </c>
      <c r="Q1577" s="142" t="n">
        <v>1</v>
      </c>
      <c r="R1577" s="143">
        <f>调整因子!$F$13</f>
        <v/>
      </c>
      <c r="S1577" s="70" t="n">
        <v>1</v>
      </c>
      <c r="T1577" s="144">
        <f>IFERROR(P1577*R1577,0)</f>
        <v/>
      </c>
      <c r="U1577" s="145">
        <f>T1577*S1577</f>
        <v/>
      </c>
      <c r="V1577" s="96" t="inlineStr">
        <is>
          <t>推送规则表</t>
        </is>
      </c>
      <c r="W1577" s="96" t="inlineStr"/>
      <c r="X1577" s="111" t="inlineStr">
        <is>
          <t>推送规则表{规则ID、规则名称、规则类型、规则条件、创建时间|规则ID、规则名称、规则类型}</t>
        </is>
      </c>
      <c r="Y1577" s="88" t="n"/>
      <c r="Z1577" s="88" t="n"/>
    </row>
    <row r="1578" hidden="1" ht="43.2" customHeight="1">
      <c r="A1578" s="69">
        <f>ROW()-1</f>
        <v/>
      </c>
      <c r="B1578" s="53" t="n"/>
      <c r="C1578" s="117" t="n">
        <v>2026</v>
      </c>
      <c r="E1578" s="54" t="n"/>
      <c r="F1578" s="54" t="n"/>
      <c r="G1578" s="54" t="n"/>
      <c r="H1578" s="96" t="inlineStr">
        <is>
          <t>停用告警规则</t>
        </is>
      </c>
      <c r="I1578" s="76" t="n"/>
      <c r="J1578" s="95" t="n"/>
      <c r="K1578" s="95" t="inlineStr">
        <is>
          <t>和上行合并，启停为相同功能</t>
        </is>
      </c>
      <c r="L1578" s="83">
        <f>IF(OR(X1578="估算法",X1578="算法类",X1578="无法识别"),"",IF(V1578="",IF(OR(I1578="EI",I1578="EO",I1578="EQ"),0,""),LEN(V1578)-LEN(SUBSTITUTE(V1578,"、",""))+1))</f>
        <v/>
      </c>
      <c r="M1578" s="83">
        <f>IF(OR(X1578="估算法",X1578="算法类",X1578="无法识别"),"",IF(W1578="",IF(OR(I1578="ILF",I1578="EIF"),0,""),LEN(W1578)-LEN(SUBSTITUTE(W1578,"、",""))+1))</f>
        <v/>
      </c>
      <c r="N1578" s="83">
        <f>IF(OR(X1578="估算法",X1578="算法类",X1578="无法识别"),"",IF(X1578="",IF(OR(I1578="ILF",I1578="EIF",I1578="EI",I1578="EO",I1578="EQ"),0,""),LEN(X1578)-LEN(SUBSTITUTE(SUBSTITUTE(SUBSTITUTE(SUBSTITUTE(SUBSTITUTE(X1578,"|}","--"),"{|","--"),CHAR(10),""),"、",""),"|",""))+IF(AND(OR(I1578="EI",I1578="EO",I1578="EQ"),$AD$1="NESMA"),2,1)))</f>
        <v/>
      </c>
      <c r="O1578" s="84">
        <f>IF(I1578="EI",IF(OR(X1578="估算法",X1578="算法类"),"中",IF(X1578="无法识别","低",IF(L1578&lt;2,IF(N1578&lt;16,"低","中"),IF(L1578&lt;3,IF(N1578&lt;5,"低",IF(N1578&lt;16,"中","高")),IF(N1578&lt;5,"中","高"))))),IF(OR(I1578="EO",I1578="EQ"),IF(OR(X1578="估算法",X1578="算法类"),"中",IF(X1578="无法识别","低",IF(L1578&lt;2,IF(N1578&lt;20,"低","中"),IF(L1578&lt;4,IF(N1578&lt;6,"低",IF(N1578&lt;20,"中","高")),IF(N1578&lt;6,"中","高"))))),IF(OR(I1578="ILF",I1578="EIF"),IF(OR(X1578="估算法",X1578="算法类",X1578="无法识别"),"低",IF(M1578&lt;2,IF(N1578&lt;51,"低","中"),IF(M1578&lt;6,IF(N1578&lt;20,"低",IF(N1578&lt;51,"中","高")),IF(N1578&lt;20,"中","高")))),"不计算")))</f>
        <v/>
      </c>
      <c r="P1578" s="142">
        <f>IFERROR(IF(I1578="EI",IF(O1578="低",3,IF(O1578="中",4,6)),IF(I1578="EO",IF(O1578="低",4,IF(O1578="中",5,7)),IF(I1578="EQ",IF(O1578="低",3,IF(O1578="中",4,6)),IF(I1578="ILF",IF(O1578="低",7,IF(O1578="中",10,15)),IF(I1578="EIF",IF(O1578="低",5,IF(O1578="中",7,10)),"不计算")))))*Q1578,"不计算")</f>
        <v/>
      </c>
      <c r="Q1578" s="142" t="n">
        <v>1</v>
      </c>
      <c r="R1578" s="143">
        <f>调整因子!$F$13</f>
        <v/>
      </c>
      <c r="S1578" s="70" t="n">
        <v>1</v>
      </c>
      <c r="T1578" s="144">
        <f>IFERROR(P1578*R1578,0)</f>
        <v/>
      </c>
      <c r="U1578" s="145">
        <f>T1578*S1578</f>
        <v/>
      </c>
      <c r="V1578" s="96" t="inlineStr">
        <is>
          <t>推送规则表、提醒规则表</t>
        </is>
      </c>
      <c r="W1578" s="96" t="inlineStr"/>
      <c r="X1578" s="111" t="inlineStr">
        <is>
          <t>推送规则表{规则ID、规则名称、规则类型、规则条件、创建时间|规则ID、规则名称、规则类型}
提醒规则表{规则ID、规则名称、规则类型、规则条件、创建时间|规则ID、规则名称、规则类型}</t>
        </is>
      </c>
      <c r="Y1578" s="88" t="n"/>
      <c r="Z1578" s="88" t="n"/>
    </row>
    <row r="1579" hidden="1" ht="21.6" customHeight="1">
      <c r="A1579" s="69">
        <f>ROW()-1</f>
        <v/>
      </c>
      <c r="B1579" s="53" t="n"/>
      <c r="C1579" s="117" t="n">
        <v>2026</v>
      </c>
      <c r="E1579" s="111" t="inlineStr">
        <is>
          <t>运营支撑</t>
        </is>
      </c>
      <c r="F1579" s="111" t="inlineStr">
        <is>
          <t>漏洞态势可视化</t>
        </is>
      </c>
      <c r="G1579" s="111" t="inlineStr">
        <is>
          <t>态势大屏管理</t>
        </is>
      </c>
      <c r="H1579" s="96" t="inlineStr">
        <is>
          <t>态势大屏配置表</t>
        </is>
      </c>
      <c r="I1579" s="76" t="inlineStr">
        <is>
          <t>ILF</t>
        </is>
      </c>
      <c r="J1579" s="95" t="n"/>
      <c r="K1579" s="95" t="n"/>
      <c r="L1579" s="83">
        <f>IF(OR(X1579="估算法",X1579="算法类",X1579="无法识别"),"",IF(V1579="",IF(OR(I1579="EI",I1579="EO",I1579="EQ"),0,""),LEN(V1579)-LEN(SUBSTITUTE(V1579,"、",""))+1))</f>
        <v/>
      </c>
      <c r="M1579" s="83">
        <f>IF(OR(X1579="估算法",X1579="算法类",X1579="无法识别"),"",IF(W1579="",IF(OR(I1579="ILF",I1579="EIF"),0,""),LEN(W1579)-LEN(SUBSTITUTE(W1579,"、",""))+1))</f>
        <v/>
      </c>
      <c r="N1579" s="83">
        <f>IF(OR(X1579="估算法",X1579="算法类",X1579="无法识别"),"",IF(X1579="",IF(OR(I1579="ILF",I1579="EIF",I1579="EI",I1579="EO",I1579="EQ"),0,""),LEN(X1579)-LEN(SUBSTITUTE(SUBSTITUTE(SUBSTITUTE(SUBSTITUTE(SUBSTITUTE(X1579,"|}","--"),"{|","--"),CHAR(10),""),"、",""),"|",""))+IF(AND(OR(I1579="EI",I1579="EO",I1579="EQ"),$AD$1="NESMA"),2,1)))</f>
        <v/>
      </c>
      <c r="O1579" s="84">
        <f>IF(I1579="EI",IF(OR(X1579="估算法",X1579="算法类"),"中",IF(X1579="无法识别","低",IF(L1579&lt;2,IF(N1579&lt;16,"低","中"),IF(L1579&lt;3,IF(N1579&lt;5,"低",IF(N1579&lt;16,"中","高")),IF(N1579&lt;5,"中","高"))))),IF(OR(I1579="EO",I1579="EQ"),IF(OR(X1579="估算法",X1579="算法类"),"中",IF(X1579="无法识别","低",IF(L1579&lt;2,IF(N1579&lt;20,"低","中"),IF(L1579&lt;4,IF(N1579&lt;6,"低",IF(N1579&lt;20,"中","高")),IF(N1579&lt;6,"中","高"))))),IF(OR(I1579="ILF",I1579="EIF"),IF(OR(X1579="估算法",X1579="算法类",X1579="无法识别"),"低",IF(M1579&lt;2,IF(N1579&lt;51,"低","中"),IF(M1579&lt;6,IF(N1579&lt;20,"低",IF(N1579&lt;51,"中","高")),IF(N1579&lt;20,"中","高")))),"不计算")))</f>
        <v/>
      </c>
      <c r="P1579" s="142">
        <f>IFERROR(IF(I1579="EI",IF(O1579="低",3,IF(O1579="中",4,6)),IF(I1579="EO",IF(O1579="低",4,IF(O1579="中",5,7)),IF(I1579="EQ",IF(O1579="低",3,IF(O1579="中",4,6)),IF(I1579="ILF",IF(O1579="低",7,IF(O1579="中",10,15)),IF(I1579="EIF",IF(O1579="低",5,IF(O1579="中",7,10)),"不计算")))))*Q1579,"不计算")</f>
        <v/>
      </c>
      <c r="Q1579" s="142" t="n">
        <v>1</v>
      </c>
      <c r="R1579" s="143">
        <f>调整因子!$F$13</f>
        <v/>
      </c>
      <c r="S1579" s="76" t="n">
        <v>1</v>
      </c>
      <c r="T1579" s="144">
        <f>IFERROR(P1579*R1579,0)</f>
        <v/>
      </c>
      <c r="U1579" s="145">
        <f>T1579*S1579</f>
        <v/>
      </c>
      <c r="V1579" s="96" t="inlineStr"/>
      <c r="W1579" s="96" t="inlineStr">
        <is>
          <t>配置项</t>
        </is>
      </c>
      <c r="X1579" s="111" t="inlineStr">
        <is>
          <t>态势大屏配置表{配置ID、配置名称、配置类型|配置ID、配置名称、配置类型、配置值、创建时间}</t>
        </is>
      </c>
      <c r="Y1579" s="88">
        <f>IF(COUNTIFS(V:V,"*"&amp;H1579&amp;"*")&gt;0,"存在","不存在")</f>
        <v/>
      </c>
      <c r="Z1579" s="88">
        <f>IF(COUNTIFS(AA:AA,"*"&amp;H1579&amp;"*")&gt;0,"存在","不存在")</f>
        <v/>
      </c>
    </row>
    <row r="1580" hidden="1" ht="43.2" customHeight="1">
      <c r="A1580" s="69">
        <f>ROW()-1</f>
        <v/>
      </c>
      <c r="B1580" s="53" t="n"/>
      <c r="C1580" s="117" t="n">
        <v>2026</v>
      </c>
      <c r="E1580" s="53" t="n"/>
      <c r="F1580" s="53" t="n"/>
      <c r="G1580" s="53" t="n"/>
      <c r="H1580" s="96" t="inlineStr">
        <is>
          <t>编辑大屏布局</t>
        </is>
      </c>
      <c r="I1580" s="76" t="inlineStr">
        <is>
          <t>EI</t>
        </is>
      </c>
      <c r="J1580" s="95" t="n"/>
      <c r="K1580" s="95" t="n"/>
      <c r="L1580" s="83">
        <f>IF(OR(X1580="估算法",X1580="算法类",X1580="无法识别"),"",IF(V1580="",IF(OR(I1580="EI",I1580="EO",I1580="EQ"),0,""),LEN(V1580)-LEN(SUBSTITUTE(V1580,"、",""))+1))</f>
        <v/>
      </c>
      <c r="M1580" s="83">
        <f>IF(OR(X1580="估算法",X1580="算法类",X1580="无法识别"),"",IF(W1580="",IF(OR(I1580="ILF",I1580="EIF"),0,""),LEN(W1580)-LEN(SUBSTITUTE(W1580,"、",""))+1))</f>
        <v/>
      </c>
      <c r="N1580" s="83">
        <f>IF(OR(X1580="估算法",X1580="算法类",X1580="无法识别"),"",IF(X1580="",IF(OR(I1580="ILF",I1580="EIF",I1580="EI",I1580="EO",I1580="EQ"),0,""),LEN(X1580)-LEN(SUBSTITUTE(SUBSTITUTE(SUBSTITUTE(SUBSTITUTE(SUBSTITUTE(X1580,"|}","--"),"{|","--"),CHAR(10),""),"、",""),"|",""))+IF(AND(OR(I1580="EI",I1580="EO",I1580="EQ"),$AD$1="NESMA"),2,1)))</f>
        <v/>
      </c>
      <c r="O1580" s="84">
        <f>IF(I1580="EI",IF(OR(X1580="估算法",X1580="算法类"),"中",IF(X1580="无法识别","低",IF(L1580&lt;2,IF(N1580&lt;16,"低","中"),IF(L1580&lt;3,IF(N1580&lt;5,"低",IF(N1580&lt;16,"中","高")),IF(N1580&lt;5,"中","高"))))),IF(OR(I1580="EO",I1580="EQ"),IF(OR(X1580="估算法",X1580="算法类"),"中",IF(X1580="无法识别","低",IF(L1580&lt;2,IF(N1580&lt;20,"低","中"),IF(L1580&lt;4,IF(N1580&lt;6,"低",IF(N1580&lt;20,"中","高")),IF(N1580&lt;6,"中","高"))))),IF(OR(I1580="ILF",I1580="EIF"),IF(OR(X1580="估算法",X1580="算法类",X1580="无法识别"),"低",IF(M1580&lt;2,IF(N1580&lt;51,"低","中"),IF(M1580&lt;6,IF(N1580&lt;20,"低",IF(N1580&lt;51,"中","高")),IF(N1580&lt;20,"中","高")))),"不计算")))</f>
        <v/>
      </c>
      <c r="P1580" s="142">
        <f>IFERROR(IF(I1580="EI",IF(O1580="低",3,IF(O1580="中",4,6)),IF(I1580="EO",IF(O1580="低",4,IF(O1580="中",5,7)),IF(I1580="EQ",IF(O1580="低",3,IF(O1580="中",4,6)),IF(I1580="ILF",IF(O1580="低",7,IF(O1580="中",10,15)),IF(I1580="EIF",IF(O1580="低",5,IF(O1580="中",7,10)),"不计算")))))*Q1580,"不计算")</f>
        <v/>
      </c>
      <c r="Q1580" s="142" t="n">
        <v>1</v>
      </c>
      <c r="R1580" s="143">
        <f>调整因子!$F$13</f>
        <v/>
      </c>
      <c r="S1580" s="76" t="n">
        <v>1</v>
      </c>
      <c r="T1580" s="144">
        <f>IFERROR(P1580*R1580,0)</f>
        <v/>
      </c>
      <c r="U1580" s="145">
        <f>T1580*S1580</f>
        <v/>
      </c>
      <c r="V1580" s="96" t="inlineStr">
        <is>
          <t>数据清洗任务表、接口监控配置表</t>
        </is>
      </c>
      <c r="W1580" s="96" t="inlineStr"/>
      <c r="X1580" s="111" t="inlineStr">
        <is>
          <t>数据清洗任务表{任务ID、任务名称、任务类型、任务状态、创建时间、执行时间|任务ID、任务名称、任务类型}
接口监控配置表{配置ID、配置名称、配置类型、配置值、创建时间|配置ID、配置名称、配置类型}</t>
        </is>
      </c>
      <c r="Y1580" s="88" t="n"/>
      <c r="Z1580" s="88" t="n"/>
    </row>
    <row r="1581" hidden="1" ht="43.2" customHeight="1">
      <c r="A1581" s="69">
        <f>ROW()-1</f>
        <v/>
      </c>
      <c r="B1581" s="53" t="n"/>
      <c r="C1581" s="117" t="n">
        <v>2026</v>
      </c>
      <c r="E1581" s="53" t="n"/>
      <c r="F1581" s="53" t="n"/>
      <c r="G1581" s="53" t="n"/>
      <c r="H1581" s="96" t="inlineStr">
        <is>
          <t>删除大屏配置</t>
        </is>
      </c>
      <c r="I1581" s="76" t="inlineStr">
        <is>
          <t>EI</t>
        </is>
      </c>
      <c r="J1581" s="95" t="n"/>
      <c r="K1581" s="95" t="n"/>
      <c r="L1581" s="83">
        <f>IF(OR(X1581="估算法",X1581="算法类",X1581="无法识别"),"",IF(V1581="",IF(OR(I1581="EI",I1581="EO",I1581="EQ"),0,""),LEN(V1581)-LEN(SUBSTITUTE(V1581,"、",""))+1))</f>
        <v/>
      </c>
      <c r="M1581" s="83">
        <f>IF(OR(X1581="估算法",X1581="算法类",X1581="无法识别"),"",IF(W1581="",IF(OR(I1581="ILF",I1581="EIF"),0,""),LEN(W1581)-LEN(SUBSTITUTE(W1581,"、",""))+1))</f>
        <v/>
      </c>
      <c r="N1581" s="83">
        <f>IF(OR(X1581="估算法",X1581="算法类",X1581="无法识别"),"",IF(X1581="",IF(OR(I1581="ILF",I1581="EIF",I1581="EI",I1581="EO",I1581="EQ"),0,""),LEN(X1581)-LEN(SUBSTITUTE(SUBSTITUTE(SUBSTITUTE(SUBSTITUTE(SUBSTITUTE(X1581,"|}","--"),"{|","--"),CHAR(10),""),"、",""),"|",""))+IF(AND(OR(I1581="EI",I1581="EO",I1581="EQ"),$AD$1="NESMA"),2,1)))</f>
        <v/>
      </c>
      <c r="O1581" s="84">
        <f>IF(I1581="EI",IF(OR(X1581="估算法",X1581="算法类"),"中",IF(X1581="无法识别","低",IF(L1581&lt;2,IF(N1581&lt;16,"低","中"),IF(L1581&lt;3,IF(N1581&lt;5,"低",IF(N1581&lt;16,"中","高")),IF(N1581&lt;5,"中","高"))))),IF(OR(I1581="EO",I1581="EQ"),IF(OR(X1581="估算法",X1581="算法类"),"中",IF(X1581="无法识别","低",IF(L1581&lt;2,IF(N1581&lt;20,"低","中"),IF(L1581&lt;4,IF(N1581&lt;6,"低",IF(N1581&lt;20,"中","高")),IF(N1581&lt;6,"中","高"))))),IF(OR(I1581="ILF",I1581="EIF"),IF(OR(X1581="估算法",X1581="算法类",X1581="无法识别"),"低",IF(M1581&lt;2,IF(N1581&lt;51,"低","中"),IF(M1581&lt;6,IF(N1581&lt;20,"低",IF(N1581&lt;51,"中","高")),IF(N1581&lt;20,"中","高")))),"不计算")))</f>
        <v/>
      </c>
      <c r="P1581" s="142">
        <f>IFERROR(IF(I1581="EI",IF(O1581="低",3,IF(O1581="中",4,6)),IF(I1581="EO",IF(O1581="低",4,IF(O1581="中",5,7)),IF(I1581="EQ",IF(O1581="低",3,IF(O1581="中",4,6)),IF(I1581="ILF",IF(O1581="低",7,IF(O1581="中",10,15)),IF(I1581="EIF",IF(O1581="低",5,IF(O1581="中",7,10)),"不计算")))))*Q1581,"不计算")</f>
        <v/>
      </c>
      <c r="Q1581" s="142" t="n">
        <v>0.333333333333333</v>
      </c>
      <c r="R1581" s="143">
        <f>调整因子!$F$13</f>
        <v/>
      </c>
      <c r="S1581" s="70" t="n">
        <v>1</v>
      </c>
      <c r="T1581" s="144">
        <f>IFERROR(P1581*R1581,0)</f>
        <v/>
      </c>
      <c r="U1581" s="145">
        <f>T1581*S1581</f>
        <v/>
      </c>
      <c r="V1581" s="96" t="inlineStr">
        <is>
          <t>任务优先级配置表、模板参数配置表</t>
        </is>
      </c>
      <c r="W1581" s="96" t="inlineStr"/>
      <c r="X1581" s="111" t="inlineStr">
        <is>
          <t>任务优先级配置表{任务ID、任务名称、任务类型、任务状态、创建时间、执行时间|任务ID、任务名称、任务类型}
模板参数配置表{配置ID、配置名称、配置类型、配置值、创建时间|配置ID、配置名称、配置类型}</t>
        </is>
      </c>
      <c r="Y1581" s="88" t="n"/>
      <c r="Z1581" s="88" t="n"/>
    </row>
    <row r="1582" hidden="1" ht="43.2" customHeight="1">
      <c r="A1582" s="69">
        <f>ROW()-1</f>
        <v/>
      </c>
      <c r="B1582" s="53" t="n"/>
      <c r="C1582" s="117" t="n">
        <v>2026</v>
      </c>
      <c r="E1582" s="53" t="n"/>
      <c r="F1582" s="53" t="n"/>
      <c r="G1582" s="53" t="n"/>
      <c r="H1582" s="96" t="inlineStr">
        <is>
          <t>导出大屏配置</t>
        </is>
      </c>
      <c r="I1582" s="76" t="inlineStr">
        <is>
          <t>EO</t>
        </is>
      </c>
      <c r="J1582" s="95" t="n"/>
      <c r="K1582" s="95" t="n"/>
      <c r="L1582" s="83">
        <f>IF(OR(X1582="估算法",X1582="算法类",X1582="无法识别"),"",IF(V1582="",IF(OR(I1582="EI",I1582="EO",I1582="EQ"),0,""),LEN(V1582)-LEN(SUBSTITUTE(V1582,"、",""))+1))</f>
        <v/>
      </c>
      <c r="M1582" s="83">
        <f>IF(OR(X1582="估算法",X1582="算法类",X1582="无法识别"),"",IF(W1582="",IF(OR(I1582="ILF",I1582="EIF"),0,""),LEN(W1582)-LEN(SUBSTITUTE(W1582,"、",""))+1))</f>
        <v/>
      </c>
      <c r="N1582" s="83">
        <f>IF(OR(X1582="估算法",X1582="算法类",X1582="无法识别"),"",IF(X1582="",IF(OR(I1582="ILF",I1582="EIF",I1582="EI",I1582="EO",I1582="EQ"),0,""),LEN(X1582)-LEN(SUBSTITUTE(SUBSTITUTE(SUBSTITUTE(SUBSTITUTE(SUBSTITUTE(X1582,"|}","--"),"{|","--"),CHAR(10),""),"、",""),"|",""))+IF(AND(OR(I1582="EI",I1582="EO",I1582="EQ"),$AD$1="NESMA"),2,1)))</f>
        <v/>
      </c>
      <c r="O1582" s="84">
        <f>IF(I1582="EI",IF(OR(X1582="估算法",X1582="算法类"),"中",IF(X1582="无法识别","低",IF(L1582&lt;2,IF(N1582&lt;16,"低","中"),IF(L1582&lt;3,IF(N1582&lt;5,"低",IF(N1582&lt;16,"中","高")),IF(N1582&lt;5,"中","高"))))),IF(OR(I1582="EO",I1582="EQ"),IF(OR(X1582="估算法",X1582="算法类"),"中",IF(X1582="无法识别","低",IF(L1582&lt;2,IF(N1582&lt;20,"低","中"),IF(L1582&lt;4,IF(N1582&lt;6,"低",IF(N1582&lt;20,"中","高")),IF(N1582&lt;6,"中","高"))))),IF(OR(I1582="ILF",I1582="EIF"),IF(OR(X1582="估算法",X1582="算法类",X1582="无法识别"),"低",IF(M1582&lt;2,IF(N1582&lt;51,"低","中"),IF(M1582&lt;6,IF(N1582&lt;20,"低",IF(N1582&lt;51,"中","高")),IF(N1582&lt;20,"中","高")))),"不计算")))</f>
        <v/>
      </c>
      <c r="P1582" s="142">
        <f>IFERROR(IF(I1582="EI",IF(O1582="低",3,IF(O1582="中",4,6)),IF(I1582="EO",IF(O1582="低",4,IF(O1582="中",5,7)),IF(I1582="EQ",IF(O1582="低",3,IF(O1582="中",4,6)),IF(I1582="ILF",IF(O1582="低",7,IF(O1582="中",10,15)),IF(I1582="EIF",IF(O1582="低",5,IF(O1582="中",7,10)),"不计算")))))*Q1582,"不计算")</f>
        <v/>
      </c>
      <c r="Q1582" s="142" t="n">
        <v>1</v>
      </c>
      <c r="R1582" s="143">
        <f>调整因子!$F$13</f>
        <v/>
      </c>
      <c r="S1582" s="70" t="n">
        <v>1</v>
      </c>
      <c r="T1582" s="144">
        <f>IFERROR(P1582*R1582,0)</f>
        <v/>
      </c>
      <c r="U1582" s="145">
        <f>T1582*S1582</f>
        <v/>
      </c>
      <c r="V1582" s="96" t="inlineStr">
        <is>
          <t>任务优先级配置表、模板参数配置表</t>
        </is>
      </c>
      <c r="W1582" s="96" t="inlineStr"/>
      <c r="X1582" s="111" t="inlineStr">
        <is>
          <t>任务优先级配置表{任务ID、任务名称|任务ID、任务名称、任务类型、任务状态、创建时间、执行时间}
模板参数配置表{配置ID、配置名称|配置ID、配置名称、配置类型、配置值、创建时间}</t>
        </is>
      </c>
      <c r="Y1582" s="88" t="n"/>
      <c r="Z1582" s="88" t="n"/>
    </row>
    <row r="1583" hidden="1" ht="21.6" customHeight="1">
      <c r="A1583" s="69">
        <f>ROW()-1</f>
        <v/>
      </c>
      <c r="B1583" s="53" t="n"/>
      <c r="C1583" s="117" t="n">
        <v>2026</v>
      </c>
      <c r="E1583" s="53" t="n"/>
      <c r="F1583" s="53" t="n"/>
      <c r="G1583" s="53" t="n"/>
      <c r="H1583" s="96" t="inlineStr">
        <is>
          <t>查看态势大屏</t>
        </is>
      </c>
      <c r="I1583" s="76" t="inlineStr">
        <is>
          <t>EQ</t>
        </is>
      </c>
      <c r="J1583" s="95" t="n"/>
      <c r="K1583" s="95" t="n"/>
      <c r="L1583" s="83">
        <f>IF(OR(X1583="估算法",X1583="算法类",X1583="无法识别"),"",IF(V1583="",IF(OR(I1583="EI",I1583="EO",I1583="EQ"),0,""),LEN(V1583)-LEN(SUBSTITUTE(V1583,"、",""))+1))</f>
        <v/>
      </c>
      <c r="M1583" s="83">
        <f>IF(OR(X1583="估算法",X1583="算法类",X1583="无法识别"),"",IF(W1583="",IF(OR(I1583="ILF",I1583="EIF"),0,""),LEN(W1583)-LEN(SUBSTITUTE(W1583,"、",""))+1))</f>
        <v/>
      </c>
      <c r="N1583" s="83">
        <f>IF(OR(X1583="估算法",X1583="算法类",X1583="无法识别"),"",IF(X1583="",IF(OR(I1583="ILF",I1583="EIF",I1583="EI",I1583="EO",I1583="EQ"),0,""),LEN(X1583)-LEN(SUBSTITUTE(SUBSTITUTE(SUBSTITUTE(SUBSTITUTE(SUBSTITUTE(X1583,"|}","--"),"{|","--"),CHAR(10),""),"、",""),"|",""))+IF(AND(OR(I1583="EI",I1583="EO",I1583="EQ"),$AD$1="NESMA"),2,1)))</f>
        <v/>
      </c>
      <c r="O1583" s="84">
        <f>IF(I1583="EI",IF(OR(X1583="估算法",X1583="算法类"),"中",IF(X1583="无法识别","低",IF(L1583&lt;2,IF(N1583&lt;16,"低","中"),IF(L1583&lt;3,IF(N1583&lt;5,"低",IF(N1583&lt;16,"中","高")),IF(N1583&lt;5,"中","高"))))),IF(OR(I1583="EO",I1583="EQ"),IF(OR(X1583="估算法",X1583="算法类"),"中",IF(X1583="无法识别","低",IF(L1583&lt;2,IF(N1583&lt;20,"低","中"),IF(L1583&lt;4,IF(N1583&lt;6,"低",IF(N1583&lt;20,"中","高")),IF(N1583&lt;6,"中","高"))))),IF(OR(I1583="ILF",I1583="EIF"),IF(OR(X1583="估算法",X1583="算法类",X1583="无法识别"),"低",IF(M1583&lt;2,IF(N1583&lt;51,"低","中"),IF(M1583&lt;6,IF(N1583&lt;20,"低",IF(N1583&lt;51,"中","高")),IF(N1583&lt;20,"中","高")))),"不计算")))</f>
        <v/>
      </c>
      <c r="P1583" s="142">
        <f>IFERROR(IF(I1583="EI",IF(O1583="低",3,IF(O1583="中",4,6)),IF(I1583="EO",IF(O1583="低",4,IF(O1583="中",5,7)),IF(I1583="EQ",IF(O1583="低",3,IF(O1583="中",4,6)),IF(I1583="ILF",IF(O1583="低",7,IF(O1583="中",10,15)),IF(I1583="EIF",IF(O1583="低",5,IF(O1583="中",7,10)),"不计算")))))*Q1583,"不计算")</f>
        <v/>
      </c>
      <c r="Q1583" s="142" t="n">
        <v>1</v>
      </c>
      <c r="R1583" s="143">
        <f>调整因子!$F$13</f>
        <v/>
      </c>
      <c r="S1583" s="76" t="n">
        <v>1</v>
      </c>
      <c r="T1583" s="144">
        <f>IFERROR(P1583*R1583,0)</f>
        <v/>
      </c>
      <c r="U1583" s="145">
        <f>T1583*S1583</f>
        <v/>
      </c>
      <c r="V1583" s="96" t="inlineStr">
        <is>
          <t>采集记录表、通报配置表</t>
        </is>
      </c>
      <c r="W1583" s="96" t="inlineStr"/>
      <c r="X1583" s="111" t="inlineStr">
        <is>
          <t>采集记录表{ID、名称|ID、名称、类型、状态、创建时间、更新时间}
通报配置表{配置ID、配置名称|配置ID、配置名称、配置类型、配置值、创建时间}</t>
        </is>
      </c>
      <c r="Y1583" s="88" t="n"/>
      <c r="Z1583" s="88" t="n"/>
    </row>
    <row r="1584" hidden="1" ht="21.6" customHeight="1">
      <c r="A1584" s="69">
        <f>ROW()-1</f>
        <v/>
      </c>
      <c r="B1584" s="53" t="n"/>
      <c r="C1584" s="117" t="n">
        <v>2026</v>
      </c>
      <c r="E1584" s="53" t="n"/>
      <c r="F1584" s="53" t="n"/>
      <c r="G1584" s="54" t="n"/>
      <c r="H1584" s="96" t="inlineStr">
        <is>
          <t>查看资产态势</t>
        </is>
      </c>
      <c r="I1584" s="76" t="inlineStr">
        <is>
          <t>EQ</t>
        </is>
      </c>
      <c r="J1584" s="95" t="n"/>
      <c r="K1584" s="95" t="n"/>
      <c r="L1584" s="83">
        <f>IF(OR(X1584="估算法",X1584="算法类",X1584="无法识别"),"",IF(V1584="",IF(OR(I1584="EI",I1584="EO",I1584="EQ"),0,""),LEN(V1584)-LEN(SUBSTITUTE(V1584,"、",""))+1))</f>
        <v/>
      </c>
      <c r="M1584" s="83">
        <f>IF(OR(X1584="估算法",X1584="算法类",X1584="无法识别"),"",IF(W1584="",IF(OR(I1584="ILF",I1584="EIF"),0,""),LEN(W1584)-LEN(SUBSTITUTE(W1584,"、",""))+1))</f>
        <v/>
      </c>
      <c r="N1584" s="83">
        <f>IF(OR(X1584="估算法",X1584="算法类",X1584="无法识别"),"",IF(X1584="",IF(OR(I1584="ILF",I1584="EIF",I1584="EI",I1584="EO",I1584="EQ"),0,""),LEN(X1584)-LEN(SUBSTITUTE(SUBSTITUTE(SUBSTITUTE(SUBSTITUTE(SUBSTITUTE(X1584,"|}","--"),"{|","--"),CHAR(10),""),"、",""),"|",""))+IF(AND(OR(I1584="EI",I1584="EO",I1584="EQ"),$AD$1="NESMA"),2,1)))</f>
        <v/>
      </c>
      <c r="O1584" s="84">
        <f>IF(I1584="EI",IF(OR(X1584="估算法",X1584="算法类"),"中",IF(X1584="无法识别","低",IF(L1584&lt;2,IF(N1584&lt;16,"低","中"),IF(L1584&lt;3,IF(N1584&lt;5,"低",IF(N1584&lt;16,"中","高")),IF(N1584&lt;5,"中","高"))))),IF(OR(I1584="EO",I1584="EQ"),IF(OR(X1584="估算法",X1584="算法类"),"中",IF(X1584="无法识别","低",IF(L1584&lt;2,IF(N1584&lt;20,"低","中"),IF(L1584&lt;4,IF(N1584&lt;6,"低",IF(N1584&lt;20,"中","高")),IF(N1584&lt;6,"中","高"))))),IF(OR(I1584="ILF",I1584="EIF"),IF(OR(X1584="估算法",X1584="算法类",X1584="无法识别"),"低",IF(M1584&lt;2,IF(N1584&lt;51,"低","中"),IF(M1584&lt;6,IF(N1584&lt;20,"低",IF(N1584&lt;51,"中","高")),IF(N1584&lt;20,"中","高")))),"不计算")))</f>
        <v/>
      </c>
      <c r="P1584" s="142">
        <f>IFERROR(IF(I1584="EI",IF(O1584="低",3,IF(O1584="中",4,6)),IF(I1584="EO",IF(O1584="低",4,IF(O1584="中",5,7)),IF(I1584="EQ",IF(O1584="低",3,IF(O1584="中",4,6)),IF(I1584="ILF",IF(O1584="低",7,IF(O1584="中",10,15)),IF(I1584="EIF",IF(O1584="低",5,IF(O1584="中",7,10)),"不计算")))))*Q1584,"不计算")</f>
        <v/>
      </c>
      <c r="Q1584" s="142" t="n">
        <v>1</v>
      </c>
      <c r="R1584" s="143">
        <f>调整因子!$F$13</f>
        <v/>
      </c>
      <c r="S1584" s="70" t="n">
        <v>1</v>
      </c>
      <c r="T1584" s="144">
        <f>IFERROR(P1584*R1584,0)</f>
        <v/>
      </c>
      <c r="U1584" s="145">
        <f>T1584*S1584</f>
        <v/>
      </c>
      <c r="V1584" s="96" t="inlineStr">
        <is>
          <t>资产同步任务表</t>
        </is>
      </c>
      <c r="W1584" s="96" t="inlineStr"/>
      <c r="X1584" s="111" t="inlineStr">
        <is>
          <t>资产同步任务表{资产ID、资产名称|资产ID、资产名称、IP地址、资产类型、资产状态、创建时间、更新时间}</t>
        </is>
      </c>
      <c r="Y1584" s="88" t="n"/>
      <c r="Z1584" s="88" t="n"/>
    </row>
    <row r="1585" hidden="1" ht="32.4" customHeight="1">
      <c r="A1585" s="69">
        <f>ROW()-1</f>
        <v/>
      </c>
      <c r="B1585" s="53" t="n"/>
      <c r="C1585" s="117" t="n">
        <v>2026</v>
      </c>
      <c r="E1585" s="53" t="n"/>
      <c r="F1585" s="53" t="n"/>
      <c r="G1585" s="111" t="inlineStr">
        <is>
          <t>资产可视化展示</t>
        </is>
      </c>
      <c r="H1585" s="96" t="inlineStr">
        <is>
          <t>编辑可视化布局</t>
        </is>
      </c>
      <c r="I1585" s="76" t="inlineStr">
        <is>
          <t>EI</t>
        </is>
      </c>
      <c r="J1585" s="95" t="n"/>
      <c r="K1585" s="95" t="n"/>
      <c r="L1585" s="83">
        <f>IF(OR(X1585="估算法",X1585="算法类",X1585="无法识别"),"",IF(V1585="",IF(OR(I1585="EI",I1585="EO",I1585="EQ"),0,""),LEN(V1585)-LEN(SUBSTITUTE(V1585,"、",""))+1))</f>
        <v/>
      </c>
      <c r="M1585" s="83">
        <f>IF(OR(X1585="估算法",X1585="算法类",X1585="无法识别"),"",IF(W1585="",IF(OR(I1585="ILF",I1585="EIF"),0,""),LEN(W1585)-LEN(SUBSTITUTE(W1585,"、",""))+1))</f>
        <v/>
      </c>
      <c r="N1585" s="83">
        <f>IF(OR(X1585="估算法",X1585="算法类",X1585="无法识别"),"",IF(X1585="",IF(OR(I1585="ILF",I1585="EIF",I1585="EI",I1585="EO",I1585="EQ"),0,""),LEN(X1585)-LEN(SUBSTITUTE(SUBSTITUTE(SUBSTITUTE(SUBSTITUTE(SUBSTITUTE(X1585,"|}","--"),"{|","--"),CHAR(10),""),"、",""),"|",""))+IF(AND(OR(I1585="EI",I1585="EO",I1585="EQ"),$AD$1="NESMA"),2,1)))</f>
        <v/>
      </c>
      <c r="O1585" s="84">
        <f>IF(I1585="EI",IF(OR(X1585="估算法",X1585="算法类"),"中",IF(X1585="无法识别","低",IF(L1585&lt;2,IF(N1585&lt;16,"低","中"),IF(L1585&lt;3,IF(N1585&lt;5,"低",IF(N1585&lt;16,"中","高")),IF(N1585&lt;5,"中","高"))))),IF(OR(I1585="EO",I1585="EQ"),IF(OR(X1585="估算法",X1585="算法类"),"中",IF(X1585="无法识别","低",IF(L1585&lt;2,IF(N1585&lt;20,"低","中"),IF(L1585&lt;4,IF(N1585&lt;6,"低",IF(N1585&lt;20,"中","高")),IF(N1585&lt;6,"中","高"))))),IF(OR(I1585="ILF",I1585="EIF"),IF(OR(X1585="估算法",X1585="算法类",X1585="无法识别"),"低",IF(M1585&lt;2,IF(N1585&lt;51,"低","中"),IF(M1585&lt;6,IF(N1585&lt;20,"低",IF(N1585&lt;51,"中","高")),IF(N1585&lt;20,"中","高")))),"不计算")))</f>
        <v/>
      </c>
      <c r="P1585" s="142">
        <f>IFERROR(IF(I1585="EI",IF(O1585="低",3,IF(O1585="中",4,6)),IF(I1585="EO",IF(O1585="低",4,IF(O1585="中",5,7)),IF(I1585="EQ",IF(O1585="低",3,IF(O1585="中",4,6)),IF(I1585="ILF",IF(O1585="低",7,IF(O1585="中",10,15)),IF(I1585="EIF",IF(O1585="低",5,IF(O1585="中",7,10)),"不计算")))))*Q1585,"不计算")</f>
        <v/>
      </c>
      <c r="Q1585" s="142" t="n">
        <v>1</v>
      </c>
      <c r="R1585" s="143">
        <f>调整因子!$F$13</f>
        <v/>
      </c>
      <c r="S1585" s="70" t="n">
        <v>1</v>
      </c>
      <c r="T1585" s="144">
        <f>IFERROR(P1585*R1585,0)</f>
        <v/>
      </c>
      <c r="U1585" s="145">
        <f>T1585*S1585</f>
        <v/>
      </c>
      <c r="V1585" s="96" t="inlineStr">
        <is>
          <t>性能数据表、接口参数配置表</t>
        </is>
      </c>
      <c r="W1585" s="96" t="inlineStr"/>
      <c r="X1585" s="111" t="inlineStr">
        <is>
          <t>性能数据表{ID、名称、类型、状态、创建时间、更新时间|ID、名称、类型}
接口参数配置表{配置ID、配置名称、配置类型、配置值、创建时间|配置ID、配置名称、配置类型}</t>
        </is>
      </c>
      <c r="Y1585" s="88" t="n"/>
      <c r="Z1585" s="88" t="n"/>
    </row>
    <row r="1586" hidden="1" ht="21.6" customHeight="1">
      <c r="A1586" s="69">
        <f>ROW()-1</f>
        <v/>
      </c>
      <c r="B1586" s="53" t="n"/>
      <c r="C1586" s="117" t="n">
        <v>2026</v>
      </c>
      <c r="E1586" s="53" t="n"/>
      <c r="F1586" s="53" t="n"/>
      <c r="G1586" s="53" t="n"/>
      <c r="H1586" s="96" t="inlineStr">
        <is>
          <t>删除可视化配置</t>
        </is>
      </c>
      <c r="I1586" s="76" t="inlineStr">
        <is>
          <t>EI</t>
        </is>
      </c>
      <c r="J1586" s="95" t="n"/>
      <c r="K1586" s="95" t="n"/>
      <c r="L1586" s="83">
        <f>IF(OR(X1586="估算法",X1586="算法类",X1586="无法识别"),"",IF(V1586="",IF(OR(I1586="EI",I1586="EO",I1586="EQ"),0,""),LEN(V1586)-LEN(SUBSTITUTE(V1586,"、",""))+1))</f>
        <v/>
      </c>
      <c r="M1586" s="83">
        <f>IF(OR(X1586="估算法",X1586="算法类",X1586="无法识别"),"",IF(W1586="",IF(OR(I1586="ILF",I1586="EIF"),0,""),LEN(W1586)-LEN(SUBSTITUTE(W1586,"、",""))+1))</f>
        <v/>
      </c>
      <c r="N1586" s="83">
        <f>IF(OR(X1586="估算法",X1586="算法类",X1586="无法识别"),"",IF(X1586="",IF(OR(I1586="ILF",I1586="EIF",I1586="EI",I1586="EO",I1586="EQ"),0,""),LEN(X1586)-LEN(SUBSTITUTE(SUBSTITUTE(SUBSTITUTE(SUBSTITUTE(SUBSTITUTE(X1586,"|}","--"),"{|","--"),CHAR(10),""),"、",""),"|",""))+IF(AND(OR(I1586="EI",I1586="EO",I1586="EQ"),$AD$1="NESMA"),2,1)))</f>
        <v/>
      </c>
      <c r="O1586" s="84">
        <f>IF(I1586="EI",IF(OR(X1586="估算法",X1586="算法类"),"中",IF(X1586="无法识别","低",IF(L1586&lt;2,IF(N1586&lt;16,"低","中"),IF(L1586&lt;3,IF(N1586&lt;5,"低",IF(N1586&lt;16,"中","高")),IF(N1586&lt;5,"中","高"))))),IF(OR(I1586="EO",I1586="EQ"),IF(OR(X1586="估算法",X1586="算法类"),"中",IF(X1586="无法识别","低",IF(L1586&lt;2,IF(N1586&lt;20,"低","中"),IF(L1586&lt;4,IF(N1586&lt;6,"低",IF(N1586&lt;20,"中","高")),IF(N1586&lt;6,"中","高"))))),IF(OR(I1586="ILF",I1586="EIF"),IF(OR(X1586="估算法",X1586="算法类",X1586="无法识别"),"低",IF(M1586&lt;2,IF(N1586&lt;51,"低","中"),IF(M1586&lt;6,IF(N1586&lt;20,"低",IF(N1586&lt;51,"中","高")),IF(N1586&lt;20,"中","高")))),"不计算")))</f>
        <v/>
      </c>
      <c r="P1586" s="142">
        <f>IFERROR(IF(I1586="EI",IF(O1586="低",3,IF(O1586="中",4,6)),IF(I1586="EO",IF(O1586="低",4,IF(O1586="中",5,7)),IF(I1586="EQ",IF(O1586="低",3,IF(O1586="中",4,6)),IF(I1586="ILF",IF(O1586="低",7,IF(O1586="中",10,15)),IF(I1586="EIF",IF(O1586="低",5,IF(O1586="中",7,10)),"不计算")))))*Q1586,"不计算")</f>
        <v/>
      </c>
      <c r="Q1586" s="142" t="n">
        <v>0.333333333333333</v>
      </c>
      <c r="R1586" s="143">
        <f>调整因子!$F$13</f>
        <v/>
      </c>
      <c r="S1586" s="76" t="n">
        <v>1</v>
      </c>
      <c r="T1586" s="144">
        <f>IFERROR(P1586*R1586,0)</f>
        <v/>
      </c>
      <c r="U1586" s="145">
        <f>T1586*S1586</f>
        <v/>
      </c>
      <c r="V1586" s="96" t="inlineStr">
        <is>
          <t>任务优先级配置表</t>
        </is>
      </c>
      <c r="W1586" s="96" t="inlineStr"/>
      <c r="X1586" s="111" t="inlineStr">
        <is>
          <t>任务优先级配置表{任务ID、任务名称、任务类型、任务状态、创建时间、执行时间|任务ID、任务名称、任务类型}</t>
        </is>
      </c>
      <c r="Y1586" s="88" t="n"/>
      <c r="Z1586" s="88" t="n"/>
    </row>
    <row r="1587" hidden="1" ht="21.6" customHeight="1">
      <c r="A1587" s="69">
        <f>ROW()-1</f>
        <v/>
      </c>
      <c r="B1587" s="53" t="n"/>
      <c r="C1587" s="117" t="n">
        <v>2026</v>
      </c>
      <c r="E1587" s="53" t="n"/>
      <c r="F1587" s="53" t="n"/>
      <c r="G1587" s="53" t="n"/>
      <c r="H1587" s="96" t="inlineStr">
        <is>
          <t>导出资产图表</t>
        </is>
      </c>
      <c r="I1587" s="76" t="inlineStr">
        <is>
          <t>EO</t>
        </is>
      </c>
      <c r="J1587" s="95" t="n"/>
      <c r="K1587" s="95" t="n"/>
      <c r="L1587" s="83">
        <f>IF(OR(X1587="估算法",X1587="算法类",X1587="无法识别"),"",IF(V1587="",IF(OR(I1587="EI",I1587="EO",I1587="EQ"),0,""),LEN(V1587)-LEN(SUBSTITUTE(V1587,"、",""))+1))</f>
        <v/>
      </c>
      <c r="M1587" s="83">
        <f>IF(OR(X1587="估算法",X1587="算法类",X1587="无法识别"),"",IF(W1587="",IF(OR(I1587="ILF",I1587="EIF"),0,""),LEN(W1587)-LEN(SUBSTITUTE(W1587,"、",""))+1))</f>
        <v/>
      </c>
      <c r="N1587" s="83">
        <f>IF(OR(X1587="估算法",X1587="算法类",X1587="无法识别"),"",IF(X1587="",IF(OR(I1587="ILF",I1587="EIF",I1587="EI",I1587="EO",I1587="EQ"),0,""),LEN(X1587)-LEN(SUBSTITUTE(SUBSTITUTE(SUBSTITUTE(SUBSTITUTE(SUBSTITUTE(X1587,"|}","--"),"{|","--"),CHAR(10),""),"、",""),"|",""))+IF(AND(OR(I1587="EI",I1587="EO",I1587="EQ"),$AD$1="NESMA"),2,1)))</f>
        <v/>
      </c>
      <c r="O1587" s="84">
        <f>IF(I1587="EI",IF(OR(X1587="估算法",X1587="算法类"),"中",IF(X1587="无法识别","低",IF(L1587&lt;2,IF(N1587&lt;16,"低","中"),IF(L1587&lt;3,IF(N1587&lt;5,"低",IF(N1587&lt;16,"中","高")),IF(N1587&lt;5,"中","高"))))),IF(OR(I1587="EO",I1587="EQ"),IF(OR(X1587="估算法",X1587="算法类"),"中",IF(X1587="无法识别","低",IF(L1587&lt;2,IF(N1587&lt;20,"低","中"),IF(L1587&lt;4,IF(N1587&lt;6,"低",IF(N1587&lt;20,"中","高")),IF(N1587&lt;6,"中","高"))))),IF(OR(I1587="ILF",I1587="EIF"),IF(OR(X1587="估算法",X1587="算法类",X1587="无法识别"),"低",IF(M1587&lt;2,IF(N1587&lt;51,"低","中"),IF(M1587&lt;6,IF(N1587&lt;20,"低",IF(N1587&lt;51,"中","高")),IF(N1587&lt;20,"中","高")))),"不计算")))</f>
        <v/>
      </c>
      <c r="P1587" s="142">
        <f>IFERROR(IF(I1587="EI",IF(O1587="低",3,IF(O1587="中",4,6)),IF(I1587="EO",IF(O1587="低",4,IF(O1587="中",5,7)),IF(I1587="EQ",IF(O1587="低",3,IF(O1587="中",4,6)),IF(I1587="ILF",IF(O1587="低",7,IF(O1587="中",10,15)),IF(I1587="EIF",IF(O1587="低",5,IF(O1587="中",7,10)),"不计算")))))*Q1587,"不计算")</f>
        <v/>
      </c>
      <c r="Q1587" s="142" t="n">
        <v>1</v>
      </c>
      <c r="R1587" s="143">
        <f>调整因子!$F$13</f>
        <v/>
      </c>
      <c r="S1587" s="76" t="n">
        <v>1</v>
      </c>
      <c r="T1587" s="144">
        <f>IFERROR(P1587*R1587,0)</f>
        <v/>
      </c>
      <c r="U1587" s="145">
        <f>T1587*S1587</f>
        <v/>
      </c>
      <c r="V1587" s="96" t="inlineStr">
        <is>
          <t>资产同步任务表</t>
        </is>
      </c>
      <c r="W1587" s="96" t="inlineStr"/>
      <c r="X1587" s="111" t="inlineStr">
        <is>
          <t>资产同步任务表{资产ID、资产名称|资产ID、资产名称、IP地址、资产类型、资产状态、创建时间}</t>
        </is>
      </c>
      <c r="Y1587" s="88" t="n"/>
      <c r="Z1587" s="88" t="n"/>
    </row>
    <row r="1588" hidden="1" ht="43.2" customHeight="1">
      <c r="A1588" s="69">
        <f>ROW()-1</f>
        <v/>
      </c>
      <c r="B1588" s="53" t="n"/>
      <c r="C1588" s="117" t="n">
        <v>2026</v>
      </c>
      <c r="E1588" s="53" t="n"/>
      <c r="F1588" s="53" t="n"/>
      <c r="G1588" s="53" t="n"/>
      <c r="H1588" s="96" t="inlineStr">
        <is>
          <t>查看资产分布</t>
        </is>
      </c>
      <c r="I1588" s="76" t="inlineStr">
        <is>
          <t>EQ</t>
        </is>
      </c>
      <c r="J1588" s="95" t="n"/>
      <c r="K1588" s="95" t="n"/>
      <c r="L1588" s="83">
        <f>IF(OR(X1588="估算法",X1588="算法类",X1588="无法识别"),"",IF(V1588="",IF(OR(I1588="EI",I1588="EO",I1588="EQ"),0,""),LEN(V1588)-LEN(SUBSTITUTE(V1588,"、",""))+1))</f>
        <v/>
      </c>
      <c r="M1588" s="83">
        <f>IF(OR(X1588="估算法",X1588="算法类",X1588="无法识别"),"",IF(W1588="",IF(OR(I1588="ILF",I1588="EIF"),0,""),LEN(W1588)-LEN(SUBSTITUTE(W1588,"、",""))+1))</f>
        <v/>
      </c>
      <c r="N1588" s="83">
        <f>IF(OR(X1588="估算法",X1588="算法类",X1588="无法识别"),"",IF(X1588="",IF(OR(I1588="ILF",I1588="EIF",I1588="EI",I1588="EO",I1588="EQ"),0,""),LEN(X1588)-LEN(SUBSTITUTE(SUBSTITUTE(SUBSTITUTE(SUBSTITUTE(SUBSTITUTE(X1588,"|}","--"),"{|","--"),CHAR(10),""),"、",""),"|",""))+IF(AND(OR(I1588="EI",I1588="EO",I1588="EQ"),$AD$1="NESMA"),2,1)))</f>
        <v/>
      </c>
      <c r="O1588" s="84">
        <f>IF(I1588="EI",IF(OR(X1588="估算法",X1588="算法类"),"中",IF(X1588="无法识别","低",IF(L1588&lt;2,IF(N1588&lt;16,"低","中"),IF(L1588&lt;3,IF(N1588&lt;5,"低",IF(N1588&lt;16,"中","高")),IF(N1588&lt;5,"中","高"))))),IF(OR(I1588="EO",I1588="EQ"),IF(OR(X1588="估算法",X1588="算法类"),"中",IF(X1588="无法识别","低",IF(L1588&lt;2,IF(N1588&lt;20,"低","中"),IF(L1588&lt;4,IF(N1588&lt;6,"低",IF(N1588&lt;20,"中","高")),IF(N1588&lt;6,"中","高"))))),IF(OR(I1588="ILF",I1588="EIF"),IF(OR(X1588="估算法",X1588="算法类",X1588="无法识别"),"低",IF(M1588&lt;2,IF(N1588&lt;51,"低","中"),IF(M1588&lt;6,IF(N1588&lt;20,"低",IF(N1588&lt;51,"中","高")),IF(N1588&lt;20,"中","高")))),"不计算")))</f>
        <v/>
      </c>
      <c r="P1588" s="142">
        <f>IFERROR(IF(I1588="EI",IF(O1588="低",3,IF(O1588="中",4,6)),IF(I1588="EO",IF(O1588="低",4,IF(O1588="中",5,7)),IF(I1588="EQ",IF(O1588="低",3,IF(O1588="中",4,6)),IF(I1588="ILF",IF(O1588="低",7,IF(O1588="中",10,15)),IF(I1588="EIF",IF(O1588="低",5,IF(O1588="中",7,10)),"不计算")))))*Q1588,"不计算")</f>
        <v/>
      </c>
      <c r="Q1588" s="142" t="n">
        <v>1</v>
      </c>
      <c r="R1588" s="143">
        <f>调整因子!$F$13</f>
        <v/>
      </c>
      <c r="S1588" s="70" t="n">
        <v>1</v>
      </c>
      <c r="T1588" s="144">
        <f>IFERROR(P1588*R1588,0)</f>
        <v/>
      </c>
      <c r="U1588" s="145">
        <f>T1588*S1588</f>
        <v/>
      </c>
      <c r="V1588" s="96" t="inlineStr">
        <is>
          <t>资产同步任务表、资产扫描覆盖表</t>
        </is>
      </c>
      <c r="W1588" s="96" t="inlineStr"/>
      <c r="X1588" s="111" t="inlineStr">
        <is>
          <t>资产同步任务表{资产ID、资产名称|资产ID、资产名称、IP地址、资产类型、资产状态、创建时间}
资产扫描覆盖表{资产ID、资产名称|资产ID、资产名称、IP地址、资产类型、资产状态、创建时间}</t>
        </is>
      </c>
      <c r="Y1588" s="88" t="n"/>
      <c r="Z1588" s="88" t="n"/>
    </row>
    <row r="1589" hidden="1" ht="21.6" customHeight="1">
      <c r="A1589" s="69">
        <f>ROW()-1</f>
        <v/>
      </c>
      <c r="B1589" s="53" t="n"/>
      <c r="C1589" s="117" t="n">
        <v>2026</v>
      </c>
      <c r="E1589" s="53" t="n"/>
      <c r="F1589" s="53" t="n"/>
      <c r="G1589" s="54" t="n"/>
      <c r="H1589" s="96" t="inlineStr">
        <is>
          <t>查看资产拓扑</t>
        </is>
      </c>
      <c r="I1589" s="76" t="inlineStr">
        <is>
          <t>EQ</t>
        </is>
      </c>
      <c r="J1589" s="95" t="n"/>
      <c r="K1589" s="95" t="n"/>
      <c r="L1589" s="83">
        <f>IF(OR(X1589="估算法",X1589="算法类",X1589="无法识别"),"",IF(V1589="",IF(OR(I1589="EI",I1589="EO",I1589="EQ"),0,""),LEN(V1589)-LEN(SUBSTITUTE(V1589,"、",""))+1))</f>
        <v/>
      </c>
      <c r="M1589" s="83">
        <f>IF(OR(X1589="估算法",X1589="算法类",X1589="无法识别"),"",IF(W1589="",IF(OR(I1589="ILF",I1589="EIF"),0,""),LEN(W1589)-LEN(SUBSTITUTE(W1589,"、",""))+1))</f>
        <v/>
      </c>
      <c r="N1589" s="83">
        <f>IF(OR(X1589="估算法",X1589="算法类",X1589="无法识别"),"",IF(X1589="",IF(OR(I1589="ILF",I1589="EIF",I1589="EI",I1589="EO",I1589="EQ"),0,""),LEN(X1589)-LEN(SUBSTITUTE(SUBSTITUTE(SUBSTITUTE(SUBSTITUTE(SUBSTITUTE(X1589,"|}","--"),"{|","--"),CHAR(10),""),"、",""),"|",""))+IF(AND(OR(I1589="EI",I1589="EO",I1589="EQ"),$AD$1="NESMA"),2,1)))</f>
        <v/>
      </c>
      <c r="O1589" s="84">
        <f>IF(I1589="EI",IF(OR(X1589="估算法",X1589="算法类"),"中",IF(X1589="无法识别","低",IF(L1589&lt;2,IF(N1589&lt;16,"低","中"),IF(L1589&lt;3,IF(N1589&lt;5,"低",IF(N1589&lt;16,"中","高")),IF(N1589&lt;5,"中","高"))))),IF(OR(I1589="EO",I1589="EQ"),IF(OR(X1589="估算法",X1589="算法类"),"中",IF(X1589="无法识别","低",IF(L1589&lt;2,IF(N1589&lt;20,"低","中"),IF(L1589&lt;4,IF(N1589&lt;6,"低",IF(N1589&lt;20,"中","高")),IF(N1589&lt;6,"中","高"))))),IF(OR(I1589="ILF",I1589="EIF"),IF(OR(X1589="估算法",X1589="算法类",X1589="无法识别"),"低",IF(M1589&lt;2,IF(N1589&lt;51,"低","中"),IF(M1589&lt;6,IF(N1589&lt;20,"低",IF(N1589&lt;51,"中","高")),IF(N1589&lt;20,"中","高")))),"不计算")))</f>
        <v/>
      </c>
      <c r="P1589" s="142">
        <f>IFERROR(IF(I1589="EI",IF(O1589="低",3,IF(O1589="中",4,6)),IF(I1589="EO",IF(O1589="低",4,IF(O1589="中",5,7)),IF(I1589="EQ",IF(O1589="低",3,IF(O1589="中",4,6)),IF(I1589="ILF",IF(O1589="低",7,IF(O1589="中",10,15)),IF(I1589="EIF",IF(O1589="低",5,IF(O1589="中",7,10)),"不计算")))))*Q1589,"不计算")</f>
        <v/>
      </c>
      <c r="Q1589" s="142" t="n">
        <v>0.333333333333333</v>
      </c>
      <c r="R1589" s="143">
        <f>调整因子!$F$13</f>
        <v/>
      </c>
      <c r="S1589" s="70" t="n">
        <v>1</v>
      </c>
      <c r="T1589" s="144">
        <f>IFERROR(P1589*R1589,0)</f>
        <v/>
      </c>
      <c r="U1589" s="145">
        <f>T1589*S1589</f>
        <v/>
      </c>
      <c r="V1589" s="96" t="inlineStr">
        <is>
          <t>资产同步任务表</t>
        </is>
      </c>
      <c r="W1589" s="96" t="inlineStr"/>
      <c r="X1589" s="111" t="inlineStr">
        <is>
          <t>资产同步任务表{资产ID、资产名称|资产ID、资产名称、IP地址、资产类型、资产状态、创建时间、更新时间}</t>
        </is>
      </c>
      <c r="Y1589" s="88" t="n"/>
      <c r="Z1589" s="88" t="n"/>
    </row>
    <row r="1590" hidden="1" ht="21.6" customHeight="1">
      <c r="A1590" s="69">
        <f>ROW()-1</f>
        <v/>
      </c>
      <c r="B1590" s="53" t="n"/>
      <c r="C1590" s="117" t="n">
        <v>2026</v>
      </c>
      <c r="E1590" s="53" t="n"/>
      <c r="F1590" s="53" t="n"/>
      <c r="G1590" s="111" t="inlineStr">
        <is>
          <t>漏洞可视化展示</t>
        </is>
      </c>
      <c r="H1590" s="96" t="inlineStr">
        <is>
          <t>编辑可视化视图</t>
        </is>
      </c>
      <c r="I1590" s="76" t="inlineStr">
        <is>
          <t>EI</t>
        </is>
      </c>
      <c r="J1590" s="95" t="n"/>
      <c r="K1590" s="95" t="n"/>
      <c r="L1590" s="83">
        <f>IF(OR(X1590="估算法",X1590="算法类",X1590="无法识别"),"",IF(V1590="",IF(OR(I1590="EI",I1590="EO",I1590="EQ"),0,""),LEN(V1590)-LEN(SUBSTITUTE(V1590,"、",""))+1))</f>
        <v/>
      </c>
      <c r="M1590" s="83">
        <f>IF(OR(X1590="估算法",X1590="算法类",X1590="无法识别"),"",IF(W1590="",IF(OR(I1590="ILF",I1590="EIF"),0,""),LEN(W1590)-LEN(SUBSTITUTE(W1590,"、",""))+1))</f>
        <v/>
      </c>
      <c r="N1590" s="83">
        <f>IF(OR(X1590="估算法",X1590="算法类",X1590="无法识别"),"",IF(X1590="",IF(OR(I1590="ILF",I1590="EIF",I1590="EI",I1590="EO",I1590="EQ"),0,""),LEN(X1590)-LEN(SUBSTITUTE(SUBSTITUTE(SUBSTITUTE(SUBSTITUTE(SUBSTITUTE(X1590,"|}","--"),"{|","--"),CHAR(10),""),"、",""),"|",""))+IF(AND(OR(I1590="EI",I1590="EO",I1590="EQ"),$AD$1="NESMA"),2,1)))</f>
        <v/>
      </c>
      <c r="O1590" s="84">
        <f>IF(I1590="EI",IF(OR(X1590="估算法",X1590="算法类"),"中",IF(X1590="无法识别","低",IF(L1590&lt;2,IF(N1590&lt;16,"低","中"),IF(L1590&lt;3,IF(N1590&lt;5,"低",IF(N1590&lt;16,"中","高")),IF(N1590&lt;5,"中","高"))))),IF(OR(I1590="EO",I1590="EQ"),IF(OR(X1590="估算法",X1590="算法类"),"中",IF(X1590="无法识别","低",IF(L1590&lt;2,IF(N1590&lt;20,"低","中"),IF(L1590&lt;4,IF(N1590&lt;6,"低",IF(N1590&lt;20,"中","高")),IF(N1590&lt;6,"中","高"))))),IF(OR(I1590="ILF",I1590="EIF"),IF(OR(X1590="估算法",X1590="算法类",X1590="无法识别"),"低",IF(M1590&lt;2,IF(N1590&lt;51,"低","中"),IF(M1590&lt;6,IF(N1590&lt;20,"低",IF(N1590&lt;51,"中","高")),IF(N1590&lt;20,"中","高")))),"不计算")))</f>
        <v/>
      </c>
      <c r="P1590" s="142">
        <f>IFERROR(IF(I1590="EI",IF(O1590="低",3,IF(O1590="中",4,6)),IF(I1590="EO",IF(O1590="低",4,IF(O1590="中",5,7)),IF(I1590="EQ",IF(O1590="低",3,IF(O1590="中",4,6)),IF(I1590="ILF",IF(O1590="低",7,IF(O1590="中",10,15)),IF(I1590="EIF",IF(O1590="低",5,IF(O1590="中",7,10)),"不计算")))))*Q1590,"不计算")</f>
        <v/>
      </c>
      <c r="Q1590" s="142" t="n">
        <v>1</v>
      </c>
      <c r="R1590" s="143">
        <f>调整因子!$F$13</f>
        <v/>
      </c>
      <c r="S1590" s="76" t="n">
        <v>1</v>
      </c>
      <c r="T1590" s="144">
        <f>IFERROR(P1590*R1590,0)</f>
        <v/>
      </c>
      <c r="U1590" s="145">
        <f>T1590*S1590</f>
        <v/>
      </c>
      <c r="V1590" s="96" t="inlineStr">
        <is>
          <t>态势大屏配置表</t>
        </is>
      </c>
      <c r="W1590" s="96" t="inlineStr"/>
      <c r="X1590" s="111" t="inlineStr">
        <is>
          <t>态势大屏配置表{配置ID、配置名称、配置类型、配置值、创建时间|配置ID、配置名称、配置类型}</t>
        </is>
      </c>
      <c r="Y1590" s="88" t="n"/>
      <c r="Z1590" s="88" t="n"/>
    </row>
    <row r="1591" hidden="1" ht="43.2" customHeight="1">
      <c r="A1591" s="69">
        <f>ROW()-1</f>
        <v/>
      </c>
      <c r="B1591" s="53" t="n"/>
      <c r="C1591" s="117" t="n">
        <v>2026</v>
      </c>
      <c r="E1591" s="53" t="n"/>
      <c r="F1591" s="53" t="n"/>
      <c r="G1591" s="53" t="n"/>
      <c r="H1591" s="96" t="inlineStr">
        <is>
          <t>删除可视化配置</t>
        </is>
      </c>
      <c r="I1591" s="76" t="inlineStr">
        <is>
          <t>EI</t>
        </is>
      </c>
      <c r="J1591" s="95" t="n"/>
      <c r="K1591" s="95" t="n"/>
      <c r="L1591" s="83">
        <f>IF(OR(X1591="估算法",X1591="算法类",X1591="无法识别"),"",IF(V1591="",IF(OR(I1591="EI",I1591="EO",I1591="EQ"),0,""),LEN(V1591)-LEN(SUBSTITUTE(V1591,"、",""))+1))</f>
        <v/>
      </c>
      <c r="M1591" s="83">
        <f>IF(OR(X1591="估算法",X1591="算法类",X1591="无法识别"),"",IF(W1591="",IF(OR(I1591="ILF",I1591="EIF"),0,""),LEN(W1591)-LEN(SUBSTITUTE(W1591,"、",""))+1))</f>
        <v/>
      </c>
      <c r="N1591" s="83">
        <f>IF(OR(X1591="估算法",X1591="算法类",X1591="无法识别"),"",IF(X1591="",IF(OR(I1591="ILF",I1591="EIF",I1591="EI",I1591="EO",I1591="EQ"),0,""),LEN(X1591)-LEN(SUBSTITUTE(SUBSTITUTE(SUBSTITUTE(SUBSTITUTE(SUBSTITUTE(X1591,"|}","--"),"{|","--"),CHAR(10),""),"、",""),"|",""))+IF(AND(OR(I1591="EI",I1591="EO",I1591="EQ"),$AD$1="NESMA"),2,1)))</f>
        <v/>
      </c>
      <c r="O1591" s="84">
        <f>IF(I1591="EI",IF(OR(X1591="估算法",X1591="算法类"),"中",IF(X1591="无法识别","低",IF(L1591&lt;2,IF(N1591&lt;16,"低","中"),IF(L1591&lt;3,IF(N1591&lt;5,"低",IF(N1591&lt;16,"中","高")),IF(N1591&lt;5,"中","高"))))),IF(OR(I1591="EO",I1591="EQ"),IF(OR(X1591="估算法",X1591="算法类"),"中",IF(X1591="无法识别","低",IF(L1591&lt;2,IF(N1591&lt;20,"低","中"),IF(L1591&lt;4,IF(N1591&lt;6,"低",IF(N1591&lt;20,"中","高")),IF(N1591&lt;6,"中","高"))))),IF(OR(I1591="ILF",I1591="EIF"),IF(OR(X1591="估算法",X1591="算法类",X1591="无法识别"),"低",IF(M1591&lt;2,IF(N1591&lt;51,"低","中"),IF(M1591&lt;6,IF(N1591&lt;20,"低",IF(N1591&lt;51,"中","高")),IF(N1591&lt;20,"中","高")))),"不计算")))</f>
        <v/>
      </c>
      <c r="P1591" s="142">
        <f>IFERROR(IF(I1591="EI",IF(O1591="低",3,IF(O1591="中",4,6)),IF(I1591="EO",IF(O1591="低",4,IF(O1591="中",5,7)),IF(I1591="EQ",IF(O1591="低",3,IF(O1591="中",4,6)),IF(I1591="ILF",IF(O1591="低",7,IF(O1591="中",10,15)),IF(I1591="EIF",IF(O1591="低",5,IF(O1591="中",7,10)),"不计算")))))*Q1591,"不计算")</f>
        <v/>
      </c>
      <c r="Q1591" s="142" t="n">
        <v>0.333333333333333</v>
      </c>
      <c r="R1591" s="143">
        <f>调整因子!$F$13</f>
        <v/>
      </c>
      <c r="S1591" s="70" t="n">
        <v>1</v>
      </c>
      <c r="T1591" s="144">
        <f>IFERROR(P1591*R1591,0)</f>
        <v/>
      </c>
      <c r="U1591" s="145">
        <f>T1591*S1591</f>
        <v/>
      </c>
      <c r="V1591" s="96" t="inlineStr">
        <is>
          <t>任务优先级配置表、模板参数配置表</t>
        </is>
      </c>
      <c r="W1591" s="96" t="inlineStr"/>
      <c r="X1591" s="111" t="inlineStr">
        <is>
          <t>任务优先级配置表{任务ID、任务名称、任务类型、任务状态、创建时间、执行时间|任务ID、任务名称、任务类型}
模板参数配置表{配置ID、配置名称、配置类型、配置值、创建时间|配置ID、配置名称、配置类型}</t>
        </is>
      </c>
      <c r="Y1591" s="88" t="n"/>
      <c r="Z1591" s="88" t="n"/>
    </row>
    <row r="1592" hidden="1" ht="43.2" customHeight="1">
      <c r="A1592" s="69">
        <f>ROW()-1</f>
        <v/>
      </c>
      <c r="B1592" s="53" t="n"/>
      <c r="C1592" s="117" t="n">
        <v>2026</v>
      </c>
      <c r="E1592" s="53" t="n"/>
      <c r="F1592" s="53" t="n"/>
      <c r="G1592" s="53" t="n"/>
      <c r="H1592" s="96" t="inlineStr">
        <is>
          <t>导出漏洞图表</t>
        </is>
      </c>
      <c r="I1592" s="76" t="inlineStr">
        <is>
          <t>EO</t>
        </is>
      </c>
      <c r="J1592" s="95" t="n"/>
      <c r="K1592" s="95" t="n"/>
      <c r="L1592" s="83">
        <f>IF(OR(X1592="估算法",X1592="算法类",X1592="无法识别"),"",IF(V1592="",IF(OR(I1592="EI",I1592="EO",I1592="EQ"),0,""),LEN(V1592)-LEN(SUBSTITUTE(V1592,"、",""))+1))</f>
        <v/>
      </c>
      <c r="M1592" s="83">
        <f>IF(OR(X1592="估算法",X1592="算法类",X1592="无法识别"),"",IF(W1592="",IF(OR(I1592="ILF",I1592="EIF"),0,""),LEN(W1592)-LEN(SUBSTITUTE(W1592,"、",""))+1))</f>
        <v/>
      </c>
      <c r="N1592" s="83">
        <f>IF(OR(X1592="估算法",X1592="算法类",X1592="无法识别"),"",IF(X1592="",IF(OR(I1592="ILF",I1592="EIF",I1592="EI",I1592="EO",I1592="EQ"),0,""),LEN(X1592)-LEN(SUBSTITUTE(SUBSTITUTE(SUBSTITUTE(SUBSTITUTE(SUBSTITUTE(X1592,"|}","--"),"{|","--"),CHAR(10),""),"、",""),"|",""))+IF(AND(OR(I1592="EI",I1592="EO",I1592="EQ"),$AD$1="NESMA"),2,1)))</f>
        <v/>
      </c>
      <c r="O1592" s="84">
        <f>IF(I1592="EI",IF(OR(X1592="估算法",X1592="算法类"),"中",IF(X1592="无法识别","低",IF(L1592&lt;2,IF(N1592&lt;16,"低","中"),IF(L1592&lt;3,IF(N1592&lt;5,"低",IF(N1592&lt;16,"中","高")),IF(N1592&lt;5,"中","高"))))),IF(OR(I1592="EO",I1592="EQ"),IF(OR(X1592="估算法",X1592="算法类"),"中",IF(X1592="无法识别","低",IF(L1592&lt;2,IF(N1592&lt;20,"低","中"),IF(L1592&lt;4,IF(N1592&lt;6,"低",IF(N1592&lt;20,"中","高")),IF(N1592&lt;6,"中","高"))))),IF(OR(I1592="ILF",I1592="EIF"),IF(OR(X1592="估算法",X1592="算法类",X1592="无法识别"),"低",IF(M1592&lt;2,IF(N1592&lt;51,"低","中"),IF(M1592&lt;6,IF(N1592&lt;20,"低",IF(N1592&lt;51,"中","高")),IF(N1592&lt;20,"中","高")))),"不计算")))</f>
        <v/>
      </c>
      <c r="P1592" s="142">
        <f>IFERROR(IF(I1592="EI",IF(O1592="低",3,IF(O1592="中",4,6)),IF(I1592="EO",IF(O1592="低",4,IF(O1592="中",5,7)),IF(I1592="EQ",IF(O1592="低",3,IF(O1592="中",4,6)),IF(I1592="ILF",IF(O1592="低",7,IF(O1592="中",10,15)),IF(I1592="EIF",IF(O1592="低",5,IF(O1592="中",7,10)),"不计算")))))*Q1592,"不计算")</f>
        <v/>
      </c>
      <c r="Q1592" s="142" t="n">
        <v>1</v>
      </c>
      <c r="R1592" s="143">
        <f>调整因子!$F$13</f>
        <v/>
      </c>
      <c r="S1592" s="70" t="n">
        <v>1</v>
      </c>
      <c r="T1592" s="144">
        <f>IFERROR(P1592*R1592,0)</f>
        <v/>
      </c>
      <c r="U1592" s="145">
        <f>T1592*S1592</f>
        <v/>
      </c>
      <c r="V1592" s="96" t="inlineStr">
        <is>
          <t>漏洞处置单表、漏洞统计数据表</t>
        </is>
      </c>
      <c r="W1592" s="96" t="inlineStr"/>
      <c r="X1592" s="111" t="inlineStr">
        <is>
          <t>漏洞处置单表{漏洞ID、漏洞名称|漏洞ID、漏洞名称、漏洞等级、漏洞类型、CVE编号、发现时间}
漏洞统计数据表{漏洞ID、漏洞名称|漏洞ID、漏洞名称、漏洞等级、漏洞类型、CVE编号、发现时间}</t>
        </is>
      </c>
      <c r="Y1592" s="88" t="n"/>
      <c r="Z1592" s="88" t="n"/>
    </row>
    <row r="1593" hidden="1" ht="43.2" customHeight="1">
      <c r="A1593" s="69">
        <f>ROW()-1</f>
        <v/>
      </c>
      <c r="B1593" s="53" t="n"/>
      <c r="C1593" s="117" t="n">
        <v>2026</v>
      </c>
      <c r="E1593" s="53" t="n"/>
      <c r="F1593" s="53" t="n"/>
      <c r="G1593" s="53" t="n"/>
      <c r="H1593" s="96" t="inlineStr">
        <is>
          <t>查看漏洞分布</t>
        </is>
      </c>
      <c r="I1593" s="76" t="inlineStr">
        <is>
          <t>EQ</t>
        </is>
      </c>
      <c r="J1593" s="95" t="n"/>
      <c r="K1593" s="95" t="n"/>
      <c r="L1593" s="83">
        <f>IF(OR(X1593="估算法",X1593="算法类",X1593="无法识别"),"",IF(V1593="",IF(OR(I1593="EI",I1593="EO",I1593="EQ"),0,""),LEN(V1593)-LEN(SUBSTITUTE(V1593,"、",""))+1))</f>
        <v/>
      </c>
      <c r="M1593" s="83">
        <f>IF(OR(X1593="估算法",X1593="算法类",X1593="无法识别"),"",IF(W1593="",IF(OR(I1593="ILF",I1593="EIF"),0,""),LEN(W1593)-LEN(SUBSTITUTE(W1593,"、",""))+1))</f>
        <v/>
      </c>
      <c r="N1593" s="83">
        <f>IF(OR(X1593="估算法",X1593="算法类",X1593="无法识别"),"",IF(X1593="",IF(OR(I1593="ILF",I1593="EIF",I1593="EI",I1593="EO",I1593="EQ"),0,""),LEN(X1593)-LEN(SUBSTITUTE(SUBSTITUTE(SUBSTITUTE(SUBSTITUTE(SUBSTITUTE(X1593,"|}","--"),"{|","--"),CHAR(10),""),"、",""),"|",""))+IF(AND(OR(I1593="EI",I1593="EO",I1593="EQ"),$AD$1="NESMA"),2,1)))</f>
        <v/>
      </c>
      <c r="O1593" s="84">
        <f>IF(I1593="EI",IF(OR(X1593="估算法",X1593="算法类"),"中",IF(X1593="无法识别","低",IF(L1593&lt;2,IF(N1593&lt;16,"低","中"),IF(L1593&lt;3,IF(N1593&lt;5,"低",IF(N1593&lt;16,"中","高")),IF(N1593&lt;5,"中","高"))))),IF(OR(I1593="EO",I1593="EQ"),IF(OR(X1593="估算法",X1593="算法类"),"中",IF(X1593="无法识别","低",IF(L1593&lt;2,IF(N1593&lt;20,"低","中"),IF(L1593&lt;4,IF(N1593&lt;6,"低",IF(N1593&lt;20,"中","高")),IF(N1593&lt;6,"中","高"))))),IF(OR(I1593="ILF",I1593="EIF"),IF(OR(X1593="估算法",X1593="算法类",X1593="无法识别"),"低",IF(M1593&lt;2,IF(N1593&lt;51,"低","中"),IF(M1593&lt;6,IF(N1593&lt;20,"低",IF(N1593&lt;51,"中","高")),IF(N1593&lt;20,"中","高")))),"不计算")))</f>
        <v/>
      </c>
      <c r="P1593" s="142">
        <f>IFERROR(IF(I1593="EI",IF(O1593="低",3,IF(O1593="中",4,6)),IF(I1593="EO",IF(O1593="低",4,IF(O1593="中",5,7)),IF(I1593="EQ",IF(O1593="低",3,IF(O1593="中",4,6)),IF(I1593="ILF",IF(O1593="低",7,IF(O1593="中",10,15)),IF(I1593="EIF",IF(O1593="低",5,IF(O1593="中",7,10)),"不计算")))))*Q1593,"不计算")</f>
        <v/>
      </c>
      <c r="Q1593" s="142" t="n">
        <v>1</v>
      </c>
      <c r="R1593" s="143">
        <f>调整因子!$F$13</f>
        <v/>
      </c>
      <c r="S1593" s="76" t="n">
        <v>1</v>
      </c>
      <c r="T1593" s="144">
        <f>IFERROR(P1593*R1593,0)</f>
        <v/>
      </c>
      <c r="U1593" s="145">
        <f>T1593*S1593</f>
        <v/>
      </c>
      <c r="V1593" s="96" t="inlineStr">
        <is>
          <t>漏洞处置单表、漏洞统计数据表</t>
        </is>
      </c>
      <c r="W1593" s="96" t="inlineStr"/>
      <c r="X1593" s="111" t="inlineStr">
        <is>
          <t>漏洞处置单表{漏洞ID、漏洞名称|漏洞ID、漏洞名称、漏洞等级、漏洞类型、CVE编号、发现时间、修复状态}
漏洞统计数据表{漏洞ID、漏洞名称|漏洞ID、漏洞名称、漏洞等级、漏洞类型、CVE编号、发现时间、修复状态}</t>
        </is>
      </c>
      <c r="Y1593" s="88" t="n"/>
      <c r="Z1593" s="88" t="n"/>
    </row>
    <row r="1594" hidden="1" ht="43.2" customHeight="1">
      <c r="A1594" s="69">
        <f>ROW()-1</f>
        <v/>
      </c>
      <c r="B1594" s="53" t="n"/>
      <c r="C1594" s="117" t="n">
        <v>2026</v>
      </c>
      <c r="E1594" s="53" t="n"/>
      <c r="F1594" s="54" t="n"/>
      <c r="G1594" s="54" t="n"/>
      <c r="H1594" s="96" t="inlineStr">
        <is>
          <t>查看漏洞趋势</t>
        </is>
      </c>
      <c r="I1594" s="76" t="inlineStr">
        <is>
          <t>EQ</t>
        </is>
      </c>
      <c r="J1594" s="95" t="n"/>
      <c r="K1594" s="95" t="n"/>
      <c r="L1594" s="83">
        <f>IF(OR(X1594="估算法",X1594="算法类",X1594="无法识别"),"",IF(V1594="",IF(OR(I1594="EI",I1594="EO",I1594="EQ"),0,""),LEN(V1594)-LEN(SUBSTITUTE(V1594,"、",""))+1))</f>
        <v/>
      </c>
      <c r="M1594" s="83">
        <f>IF(OR(X1594="估算法",X1594="算法类",X1594="无法识别"),"",IF(W1594="",IF(OR(I1594="ILF",I1594="EIF"),0,""),LEN(W1594)-LEN(SUBSTITUTE(W1594,"、",""))+1))</f>
        <v/>
      </c>
      <c r="N1594" s="83">
        <f>IF(OR(X1594="估算法",X1594="算法类",X1594="无法识别"),"",IF(X1594="",IF(OR(I1594="ILF",I1594="EIF",I1594="EI",I1594="EO",I1594="EQ"),0,""),LEN(X1594)-LEN(SUBSTITUTE(SUBSTITUTE(SUBSTITUTE(SUBSTITUTE(SUBSTITUTE(X1594,"|}","--"),"{|","--"),CHAR(10),""),"、",""),"|",""))+IF(AND(OR(I1594="EI",I1594="EO",I1594="EQ"),$AD$1="NESMA"),2,1)))</f>
        <v/>
      </c>
      <c r="O1594" s="84">
        <f>IF(I1594="EI",IF(OR(X1594="估算法",X1594="算法类"),"中",IF(X1594="无法识别","低",IF(L1594&lt;2,IF(N1594&lt;16,"低","中"),IF(L1594&lt;3,IF(N1594&lt;5,"低",IF(N1594&lt;16,"中","高")),IF(N1594&lt;5,"中","高"))))),IF(OR(I1594="EO",I1594="EQ"),IF(OR(X1594="估算法",X1594="算法类"),"中",IF(X1594="无法识别","低",IF(L1594&lt;2,IF(N1594&lt;20,"低","中"),IF(L1594&lt;4,IF(N1594&lt;6,"低",IF(N1594&lt;20,"中","高")),IF(N1594&lt;6,"中","高"))))),IF(OR(I1594="ILF",I1594="EIF"),IF(OR(X1594="估算法",X1594="算法类",X1594="无法识别"),"低",IF(M1594&lt;2,IF(N1594&lt;51,"低","中"),IF(M1594&lt;6,IF(N1594&lt;20,"低",IF(N1594&lt;51,"中","高")),IF(N1594&lt;20,"中","高")))),"不计算")))</f>
        <v/>
      </c>
      <c r="P1594" s="142">
        <f>IFERROR(IF(I1594="EI",IF(O1594="低",3,IF(O1594="中",4,6)),IF(I1594="EO",IF(O1594="低",4,IF(O1594="中",5,7)),IF(I1594="EQ",IF(O1594="低",3,IF(O1594="中",4,6)),IF(I1594="ILF",IF(O1594="低",7,IF(O1594="中",10,15)),IF(I1594="EIF",IF(O1594="低",5,IF(O1594="中",7,10)),"不计算")))))*Q1594,"不计算")</f>
        <v/>
      </c>
      <c r="Q1594" s="142" t="n">
        <v>0.333333333333333</v>
      </c>
      <c r="R1594" s="143">
        <f>调整因子!$F$13</f>
        <v/>
      </c>
      <c r="S1594" s="76" t="n">
        <v>1</v>
      </c>
      <c r="T1594" s="144">
        <f>IFERROR(P1594*R1594,0)</f>
        <v/>
      </c>
      <c r="U1594" s="145">
        <f>T1594*S1594</f>
        <v/>
      </c>
      <c r="V1594" s="96" t="inlineStr">
        <is>
          <t>漏洞处置单表、漏洞统计数据表</t>
        </is>
      </c>
      <c r="W1594" s="96" t="inlineStr"/>
      <c r="X1594" s="111" t="inlineStr">
        <is>
          <t>漏洞处置单表{漏洞ID、漏洞名称|漏洞ID、漏洞名称、漏洞等级、漏洞类型、CVE编号、发现时间、修复状态}
漏洞统计数据表{漏洞ID、漏洞名称|漏洞ID、漏洞名称、漏洞等级、漏洞类型、CVE编号、发现时间、修复状态}</t>
        </is>
      </c>
      <c r="Y1594" s="88" t="n"/>
      <c r="Z1594" s="88" t="n"/>
    </row>
    <row r="1595" hidden="1" ht="21.6" customHeight="1">
      <c r="A1595" s="69">
        <f>ROW()-1</f>
        <v/>
      </c>
      <c r="B1595" s="53" t="n"/>
      <c r="C1595" s="117" t="n">
        <v>2026</v>
      </c>
      <c r="E1595" s="53" t="n"/>
      <c r="F1595" s="111" t="inlineStr">
        <is>
          <t>多维度统计报表</t>
        </is>
      </c>
      <c r="G1595" s="111" t="inlineStr">
        <is>
          <t>报表模板管理</t>
        </is>
      </c>
      <c r="H1595" s="96" t="inlineStr">
        <is>
          <t>报表模板表</t>
        </is>
      </c>
      <c r="I1595" s="76" t="inlineStr">
        <is>
          <t>ILF</t>
        </is>
      </c>
      <c r="J1595" s="95" t="n"/>
      <c r="K1595" s="95" t="n"/>
      <c r="L1595" s="83">
        <f>IF(OR(X1595="估算法",X1595="算法类",X1595="无法识别"),"",IF(V1595="",IF(OR(I1595="EI",I1595="EO",I1595="EQ"),0,""),LEN(V1595)-LEN(SUBSTITUTE(V1595,"、",""))+1))</f>
        <v/>
      </c>
      <c r="M1595" s="83">
        <f>IF(OR(X1595="估算法",X1595="算法类",X1595="无法识别"),"",IF(W1595="",IF(OR(I1595="ILF",I1595="EIF"),0,""),LEN(W1595)-LEN(SUBSTITUTE(W1595,"、",""))+1))</f>
        <v/>
      </c>
      <c r="N1595" s="83">
        <f>IF(OR(X1595="估算法",X1595="算法类",X1595="无法识别"),"",IF(X1595="",IF(OR(I1595="ILF",I1595="EIF",I1595="EI",I1595="EO",I1595="EQ"),0,""),LEN(X1595)-LEN(SUBSTITUTE(SUBSTITUTE(SUBSTITUTE(SUBSTITUTE(SUBSTITUTE(X1595,"|}","--"),"{|","--"),CHAR(10),""),"、",""),"|",""))+IF(AND(OR(I1595="EI",I1595="EO",I1595="EQ"),$AD$1="NESMA"),2,1)))</f>
        <v/>
      </c>
      <c r="O1595" s="84">
        <f>IF(I1595="EI",IF(OR(X1595="估算法",X1595="算法类"),"中",IF(X1595="无法识别","低",IF(L1595&lt;2,IF(N1595&lt;16,"低","中"),IF(L1595&lt;3,IF(N1595&lt;5,"低",IF(N1595&lt;16,"中","高")),IF(N1595&lt;5,"中","高"))))),IF(OR(I1595="EO",I1595="EQ"),IF(OR(X1595="估算法",X1595="算法类"),"中",IF(X1595="无法识别","低",IF(L1595&lt;2,IF(N1595&lt;20,"低","中"),IF(L1595&lt;4,IF(N1595&lt;6,"低",IF(N1595&lt;20,"中","高")),IF(N1595&lt;6,"中","高"))))),IF(OR(I1595="ILF",I1595="EIF"),IF(OR(X1595="估算法",X1595="算法类",X1595="无法识别"),"低",IF(M1595&lt;2,IF(N1595&lt;51,"低","中"),IF(M1595&lt;6,IF(N1595&lt;20,"低",IF(N1595&lt;51,"中","高")),IF(N1595&lt;20,"中","高")))),"不计算")))</f>
        <v/>
      </c>
      <c r="P1595" s="142">
        <f>IFERROR(IF(I1595="EI",IF(O1595="低",3,IF(O1595="中",4,6)),IF(I1595="EO",IF(O1595="低",4,IF(O1595="中",5,7)),IF(I1595="EQ",IF(O1595="低",3,IF(O1595="中",4,6)),IF(I1595="ILF",IF(O1595="低",7,IF(O1595="中",10,15)),IF(I1595="EIF",IF(O1595="低",5,IF(O1595="中",7,10)),"不计算")))))*Q1595,"不计算")</f>
        <v/>
      </c>
      <c r="Q1595" s="142" t="n">
        <v>1</v>
      </c>
      <c r="R1595" s="143">
        <f>调整因子!$F$13</f>
        <v/>
      </c>
      <c r="S1595" s="70" t="n">
        <v>1</v>
      </c>
      <c r="T1595" s="144">
        <f>IFERROR(P1595*R1595,0)</f>
        <v/>
      </c>
      <c r="U1595" s="145">
        <f>T1595*S1595</f>
        <v/>
      </c>
      <c r="V1595" s="96" t="inlineStr"/>
      <c r="W1595" s="96" t="inlineStr">
        <is>
          <t>数据记录</t>
        </is>
      </c>
      <c r="X1595" s="111" t="inlineStr">
        <is>
          <t>报表模板表{报表ID、报表名称、报表类型|报表ID、报表名称、报表类型、生成时间、报表内容}</t>
        </is>
      </c>
      <c r="Y1595" s="88">
        <f>IF(COUNTIFS(V:V,"*"&amp;H1595&amp;"*")&gt;0,"存在","不存在")</f>
        <v/>
      </c>
      <c r="Z1595" s="88">
        <f>IF(COUNTIFS(AA:AA,"*"&amp;H1595&amp;"*")&gt;0,"存在","不存在")</f>
        <v/>
      </c>
    </row>
    <row r="1596" hidden="1" ht="21.6" customHeight="1">
      <c r="A1596" s="69">
        <f>ROW()-1</f>
        <v/>
      </c>
      <c r="B1596" s="53" t="n"/>
      <c r="C1596" s="117" t="n">
        <v>2026</v>
      </c>
      <c r="E1596" s="53" t="n"/>
      <c r="F1596" s="53" t="n"/>
      <c r="G1596" s="53" t="n"/>
      <c r="H1596" s="96" t="inlineStr">
        <is>
          <t>模板配置表</t>
        </is>
      </c>
      <c r="I1596" s="76" t="inlineStr">
        <is>
          <t>ILF</t>
        </is>
      </c>
      <c r="J1596" s="95" t="n"/>
      <c r="K1596" s="95" t="n"/>
      <c r="L1596" s="83">
        <f>IF(OR(X1596="估算法",X1596="算法类",X1596="无法识别"),"",IF(V1596="",IF(OR(I1596="EI",I1596="EO",I1596="EQ"),0,""),LEN(V1596)-LEN(SUBSTITUTE(V1596,"、",""))+1))</f>
        <v/>
      </c>
      <c r="M1596" s="83">
        <f>IF(OR(X1596="估算法",X1596="算法类",X1596="无法识别"),"",IF(W1596="",IF(OR(I1596="ILF",I1596="EIF"),0,""),LEN(W1596)-LEN(SUBSTITUTE(W1596,"、",""))+1))</f>
        <v/>
      </c>
      <c r="N1596" s="83">
        <f>IF(OR(X1596="估算法",X1596="算法类",X1596="无法识别"),"",IF(X1596="",IF(OR(I1596="ILF",I1596="EIF",I1596="EI",I1596="EO",I1596="EQ"),0,""),LEN(X1596)-LEN(SUBSTITUTE(SUBSTITUTE(SUBSTITUTE(SUBSTITUTE(SUBSTITUTE(X1596,"|}","--"),"{|","--"),CHAR(10),""),"、",""),"|",""))+IF(AND(OR(I1596="EI",I1596="EO",I1596="EQ"),$AD$1="NESMA"),2,1)))</f>
        <v/>
      </c>
      <c r="O1596" s="84">
        <f>IF(I1596="EI",IF(OR(X1596="估算法",X1596="算法类"),"中",IF(X1596="无法识别","低",IF(L1596&lt;2,IF(N1596&lt;16,"低","中"),IF(L1596&lt;3,IF(N1596&lt;5,"低",IF(N1596&lt;16,"中","高")),IF(N1596&lt;5,"中","高"))))),IF(OR(I1596="EO",I1596="EQ"),IF(OR(X1596="估算法",X1596="算法类"),"中",IF(X1596="无法识别","低",IF(L1596&lt;2,IF(N1596&lt;20,"低","中"),IF(L1596&lt;4,IF(N1596&lt;6,"低",IF(N1596&lt;20,"中","高")),IF(N1596&lt;6,"中","高"))))),IF(OR(I1596="ILF",I1596="EIF"),IF(OR(X1596="估算法",X1596="算法类",X1596="无法识别"),"低",IF(M1596&lt;2,IF(N1596&lt;51,"低","中"),IF(M1596&lt;6,IF(N1596&lt;20,"低",IF(N1596&lt;51,"中","高")),IF(N1596&lt;20,"中","高")))),"不计算")))</f>
        <v/>
      </c>
      <c r="P1596" s="142">
        <f>IFERROR(IF(I1596="EI",IF(O1596="低",3,IF(O1596="中",4,6)),IF(I1596="EO",IF(O1596="低",4,IF(O1596="中",5,7)),IF(I1596="EQ",IF(O1596="低",3,IF(O1596="中",4,6)),IF(I1596="ILF",IF(O1596="低",7,IF(O1596="中",10,15)),IF(I1596="EIF",IF(O1596="低",5,IF(O1596="中",7,10)),"不计算")))))*Q1596,"不计算")</f>
        <v/>
      </c>
      <c r="Q1596" s="142" t="n">
        <v>1</v>
      </c>
      <c r="R1596" s="143">
        <f>调整因子!$F$13</f>
        <v/>
      </c>
      <c r="S1596" s="70" t="n">
        <v>1</v>
      </c>
      <c r="T1596" s="144">
        <f>IFERROR(P1596*R1596,0)</f>
        <v/>
      </c>
      <c r="U1596" s="145">
        <f>T1596*S1596</f>
        <v/>
      </c>
      <c r="V1596" s="96" t="inlineStr"/>
      <c r="W1596" s="96" t="inlineStr">
        <is>
          <t>配置项</t>
        </is>
      </c>
      <c r="X1596" s="111" t="inlineStr">
        <is>
          <t>模板配置表{配置ID、配置名称、配置类型|配置ID、配置名称、配置类型、配置值、创建时间}</t>
        </is>
      </c>
      <c r="Y1596" s="88">
        <f>IF(COUNTIFS(V:V,"*"&amp;H1596&amp;"*")&gt;0,"存在","不存在")</f>
        <v/>
      </c>
      <c r="Z1596" s="88">
        <f>IF(COUNTIFS(AA:AA,"*"&amp;H1596&amp;"*")&gt;0,"存在","不存在")</f>
        <v/>
      </c>
    </row>
    <row r="1597" hidden="1" ht="32.4" customHeight="1">
      <c r="A1597" s="69">
        <f>ROW()-1</f>
        <v/>
      </c>
      <c r="B1597" s="53" t="n"/>
      <c r="C1597" s="117" t="n">
        <v>2026</v>
      </c>
      <c r="E1597" s="53" t="n"/>
      <c r="F1597" s="53" t="n"/>
      <c r="G1597" s="53" t="n"/>
      <c r="H1597" s="96" t="inlineStr">
        <is>
          <t>编辑报表模板</t>
        </is>
      </c>
      <c r="I1597" s="76" t="inlineStr">
        <is>
          <t>EI</t>
        </is>
      </c>
      <c r="J1597" s="95" t="n"/>
      <c r="K1597" s="95" t="n"/>
      <c r="L1597" s="83">
        <f>IF(OR(X1597="估算法",X1597="算法类",X1597="无法识别"),"",IF(V1597="",IF(OR(I1597="EI",I1597="EO",I1597="EQ"),0,""),LEN(V1597)-LEN(SUBSTITUTE(V1597,"、",""))+1))</f>
        <v/>
      </c>
      <c r="M1597" s="83">
        <f>IF(OR(X1597="估算法",X1597="算法类",X1597="无法识别"),"",IF(W1597="",IF(OR(I1597="ILF",I1597="EIF"),0,""),LEN(W1597)-LEN(SUBSTITUTE(W1597,"、",""))+1))</f>
        <v/>
      </c>
      <c r="N1597" s="83">
        <f>IF(OR(X1597="估算法",X1597="算法类",X1597="无法识别"),"",IF(X1597="",IF(OR(I1597="ILF",I1597="EIF",I1597="EI",I1597="EO",I1597="EQ"),0,""),LEN(X1597)-LEN(SUBSTITUTE(SUBSTITUTE(SUBSTITUTE(SUBSTITUTE(SUBSTITUTE(X1597,"|}","--"),"{|","--"),CHAR(10),""),"、",""),"|",""))+IF(AND(OR(I1597="EI",I1597="EO",I1597="EQ"),$AD$1="NESMA"),2,1)))</f>
        <v/>
      </c>
      <c r="O1597" s="84">
        <f>IF(I1597="EI",IF(OR(X1597="估算法",X1597="算法类"),"中",IF(X1597="无法识别","低",IF(L1597&lt;2,IF(N1597&lt;16,"低","中"),IF(L1597&lt;3,IF(N1597&lt;5,"低",IF(N1597&lt;16,"中","高")),IF(N1597&lt;5,"中","高"))))),IF(OR(I1597="EO",I1597="EQ"),IF(OR(X1597="估算法",X1597="算法类"),"中",IF(X1597="无法识别","低",IF(L1597&lt;2,IF(N1597&lt;20,"低","中"),IF(L1597&lt;4,IF(N1597&lt;6,"低",IF(N1597&lt;20,"中","高")),IF(N1597&lt;6,"中","高"))))),IF(OR(I1597="ILF",I1597="EIF"),IF(OR(X1597="估算法",X1597="算法类",X1597="无法识别"),"低",IF(M1597&lt;2,IF(N1597&lt;51,"低","中"),IF(M1597&lt;6,IF(N1597&lt;20,"低",IF(N1597&lt;51,"中","高")),IF(N1597&lt;20,"中","高")))),"不计算")))</f>
        <v/>
      </c>
      <c r="P1597" s="142">
        <f>IFERROR(IF(I1597="EI",IF(O1597="低",3,IF(O1597="中",4,6)),IF(I1597="EO",IF(O1597="低",4,IF(O1597="中",5,7)),IF(I1597="EQ",IF(O1597="低",3,IF(O1597="中",4,6)),IF(I1597="ILF",IF(O1597="低",7,IF(O1597="中",10,15)),IF(I1597="EIF",IF(O1597="低",5,IF(O1597="中",7,10)),"不计算")))))*Q1597,"不计算")</f>
        <v/>
      </c>
      <c r="Q1597" s="142" t="n">
        <v>1</v>
      </c>
      <c r="R1597" s="143">
        <f>调整因子!$F$13</f>
        <v/>
      </c>
      <c r="S1597" s="76" t="n">
        <v>1</v>
      </c>
      <c r="T1597" s="144">
        <f>IFERROR(P1597*R1597,0)</f>
        <v/>
      </c>
      <c r="U1597" s="145">
        <f>T1597*S1597</f>
        <v/>
      </c>
      <c r="V1597" s="96" t="inlineStr">
        <is>
          <t>报表模板表、推送失败重试表</t>
        </is>
      </c>
      <c r="W1597" s="96" t="inlineStr"/>
      <c r="X1597" s="111" t="inlineStr">
        <is>
          <t>报表模板表{报表ID、报表名称、报表类型、生成时间、报表内容|报表ID、报表名称、报表类型}
推送失败重试表{ID、名称、类型、状态、创建时间、更新时间|ID、名称、类型}</t>
        </is>
      </c>
      <c r="Y1597" s="88" t="n"/>
      <c r="Z1597" s="88" t="n"/>
    </row>
    <row r="1598" hidden="1" ht="43.2" customHeight="1">
      <c r="A1598" s="69">
        <f>ROW()-1</f>
        <v/>
      </c>
      <c r="B1598" s="53" t="n"/>
      <c r="C1598" s="117" t="n">
        <v>2026</v>
      </c>
      <c r="E1598" s="53" t="n"/>
      <c r="F1598" s="53" t="n"/>
      <c r="G1598" s="53" t="n"/>
      <c r="H1598" s="96" t="inlineStr">
        <is>
          <t>删除报表模板</t>
        </is>
      </c>
      <c r="I1598" s="76" t="inlineStr">
        <is>
          <t>EI</t>
        </is>
      </c>
      <c r="J1598" s="95" t="n"/>
      <c r="K1598" s="95" t="n"/>
      <c r="L1598" s="83">
        <f>IF(OR(X1598="估算法",X1598="算法类",X1598="无法识别"),"",IF(V1598="",IF(OR(I1598="EI",I1598="EO",I1598="EQ"),0,""),LEN(V1598)-LEN(SUBSTITUTE(V1598,"、",""))+1))</f>
        <v/>
      </c>
      <c r="M1598" s="83">
        <f>IF(OR(X1598="估算法",X1598="算法类",X1598="无法识别"),"",IF(W1598="",IF(OR(I1598="ILF",I1598="EIF"),0,""),LEN(W1598)-LEN(SUBSTITUTE(W1598,"、",""))+1))</f>
        <v/>
      </c>
      <c r="N1598" s="83">
        <f>IF(OR(X1598="估算法",X1598="算法类",X1598="无法识别"),"",IF(X1598="",IF(OR(I1598="ILF",I1598="EIF",I1598="EI",I1598="EO",I1598="EQ"),0,""),LEN(X1598)-LEN(SUBSTITUTE(SUBSTITUTE(SUBSTITUTE(SUBSTITUTE(SUBSTITUTE(X1598,"|}","--"),"{|","--"),CHAR(10),""),"、",""),"|",""))+IF(AND(OR(I1598="EI",I1598="EO",I1598="EQ"),$AD$1="NESMA"),2,1)))</f>
        <v/>
      </c>
      <c r="O1598" s="84">
        <f>IF(I1598="EI",IF(OR(X1598="估算法",X1598="算法类"),"中",IF(X1598="无法识别","低",IF(L1598&lt;2,IF(N1598&lt;16,"低","中"),IF(L1598&lt;3,IF(N1598&lt;5,"低",IF(N1598&lt;16,"中","高")),IF(N1598&lt;5,"中","高"))))),IF(OR(I1598="EO",I1598="EQ"),IF(OR(X1598="估算法",X1598="算法类"),"中",IF(X1598="无法识别","低",IF(L1598&lt;2,IF(N1598&lt;20,"低","中"),IF(L1598&lt;4,IF(N1598&lt;6,"低",IF(N1598&lt;20,"中","高")),IF(N1598&lt;6,"中","高"))))),IF(OR(I1598="ILF",I1598="EIF"),IF(OR(X1598="估算法",X1598="算法类",X1598="无法识别"),"低",IF(M1598&lt;2,IF(N1598&lt;51,"低","中"),IF(M1598&lt;6,IF(N1598&lt;20,"低",IF(N1598&lt;51,"中","高")),IF(N1598&lt;20,"中","高")))),"不计算")))</f>
        <v/>
      </c>
      <c r="P1598" s="142">
        <f>IFERROR(IF(I1598="EI",IF(O1598="低",3,IF(O1598="中",4,6)),IF(I1598="EO",IF(O1598="低",4,IF(O1598="中",5,7)),IF(I1598="EQ",IF(O1598="低",3,IF(O1598="中",4,6)),IF(I1598="ILF",IF(O1598="低",7,IF(O1598="中",10,15)),IF(I1598="EIF",IF(O1598="低",5,IF(O1598="中",7,10)),"不计算")))))*Q1598,"不计算")</f>
        <v/>
      </c>
      <c r="Q1598" s="142" t="n">
        <v>0.333333333333333</v>
      </c>
      <c r="R1598" s="143">
        <f>调整因子!$F$13</f>
        <v/>
      </c>
      <c r="S1598" s="70" t="n">
        <v>1</v>
      </c>
      <c r="T1598" s="144">
        <f>IFERROR(P1598*R1598,0)</f>
        <v/>
      </c>
      <c r="U1598" s="145">
        <f>T1598*S1598</f>
        <v/>
      </c>
      <c r="V1598" s="96" t="inlineStr">
        <is>
          <t>报表模板表、漏洞处置推送接口配置表</t>
        </is>
      </c>
      <c r="W1598" s="96" t="inlineStr"/>
      <c r="X1598" s="111" t="inlineStr">
        <is>
          <t>报表模板表{报表ID、报表名称、报表类型、生成时间、报表内容|报表ID、报表名称、报表类型}
漏洞处置推送接口配置表{漏洞ID、漏洞名称、漏洞等级、漏洞类型、CVE编号、发现时间、修复状态|漏洞ID、漏洞名称、漏洞等级}</t>
        </is>
      </c>
      <c r="Y1598" s="88" t="n"/>
      <c r="Z1598" s="88" t="n"/>
    </row>
    <row r="1599" hidden="1" ht="21.6" customHeight="1">
      <c r="A1599" s="69">
        <f>ROW()-1</f>
        <v/>
      </c>
      <c r="B1599" s="53" t="n"/>
      <c r="C1599" s="117" t="n">
        <v>2026</v>
      </c>
      <c r="E1599" s="53" t="n"/>
      <c r="F1599" s="53" t="n"/>
      <c r="G1599" s="53" t="n"/>
      <c r="H1599" s="96" t="inlineStr">
        <is>
          <t>启用报表模板</t>
        </is>
      </c>
      <c r="I1599" s="76" t="inlineStr">
        <is>
          <t>EI</t>
        </is>
      </c>
      <c r="J1599" s="95" t="n"/>
      <c r="K1599" s="95" t="n"/>
      <c r="L1599" s="83">
        <f>IF(OR(X1599="估算法",X1599="算法类",X1599="无法识别"),"",IF(V1599="",IF(OR(I1599="EI",I1599="EO",I1599="EQ"),0,""),LEN(V1599)-LEN(SUBSTITUTE(V1599,"、",""))+1))</f>
        <v/>
      </c>
      <c r="M1599" s="83">
        <f>IF(OR(X1599="估算法",X1599="算法类",X1599="无法识别"),"",IF(W1599="",IF(OR(I1599="ILF",I1599="EIF"),0,""),LEN(W1599)-LEN(SUBSTITUTE(W1599,"、",""))+1))</f>
        <v/>
      </c>
      <c r="N1599" s="83">
        <f>IF(OR(X1599="估算法",X1599="算法类",X1599="无法识别"),"",IF(X1599="",IF(OR(I1599="ILF",I1599="EIF",I1599="EI",I1599="EO",I1599="EQ"),0,""),LEN(X1599)-LEN(SUBSTITUTE(SUBSTITUTE(SUBSTITUTE(SUBSTITUTE(SUBSTITUTE(X1599,"|}","--"),"{|","--"),CHAR(10),""),"、",""),"|",""))+IF(AND(OR(I1599="EI",I1599="EO",I1599="EQ"),$AD$1="NESMA"),2,1)))</f>
        <v/>
      </c>
      <c r="O1599" s="84">
        <f>IF(I1599="EI",IF(OR(X1599="估算法",X1599="算法类"),"中",IF(X1599="无法识别","低",IF(L1599&lt;2,IF(N1599&lt;16,"低","中"),IF(L1599&lt;3,IF(N1599&lt;5,"低",IF(N1599&lt;16,"中","高")),IF(N1599&lt;5,"中","高"))))),IF(OR(I1599="EO",I1599="EQ"),IF(OR(X1599="估算法",X1599="算法类"),"中",IF(X1599="无法识别","低",IF(L1599&lt;2,IF(N1599&lt;20,"低","中"),IF(L1599&lt;4,IF(N1599&lt;6,"低",IF(N1599&lt;20,"中","高")),IF(N1599&lt;6,"中","高"))))),IF(OR(I1599="ILF",I1599="EIF"),IF(OR(X1599="估算法",X1599="算法类",X1599="无法识别"),"低",IF(M1599&lt;2,IF(N1599&lt;51,"低","中"),IF(M1599&lt;6,IF(N1599&lt;20,"低",IF(N1599&lt;51,"中","高")),IF(N1599&lt;20,"中","高")))),"不计算")))</f>
        <v/>
      </c>
      <c r="P1599" s="142">
        <f>IFERROR(IF(I1599="EI",IF(O1599="低",3,IF(O1599="中",4,6)),IF(I1599="EO",IF(O1599="低",4,IF(O1599="中",5,7)),IF(I1599="EQ",IF(O1599="低",3,IF(O1599="中",4,6)),IF(I1599="ILF",IF(O1599="低",7,IF(O1599="中",10,15)),IF(I1599="EIF",IF(O1599="低",5,IF(O1599="中",7,10)),"不计算")))))*Q1599,"不计算")</f>
        <v/>
      </c>
      <c r="Q1599" s="142" t="n">
        <v>1</v>
      </c>
      <c r="R1599" s="143">
        <f>调整因子!$F$13</f>
        <v/>
      </c>
      <c r="S1599" s="70" t="n">
        <v>1</v>
      </c>
      <c r="T1599" s="144">
        <f>IFERROR(P1599*R1599,0)</f>
        <v/>
      </c>
      <c r="U1599" s="145">
        <f>T1599*S1599</f>
        <v/>
      </c>
      <c r="V1599" s="96" t="inlineStr">
        <is>
          <t>报表模板表</t>
        </is>
      </c>
      <c r="W1599" s="96" t="inlineStr"/>
      <c r="X1599" s="111" t="inlineStr">
        <is>
          <t>报表模板表{报表ID、报表名称、报表类型、生成时间、报表内容|报表ID、报表名称、报表类型}</t>
        </is>
      </c>
      <c r="Y1599" s="88" t="n"/>
      <c r="Z1599" s="88" t="n"/>
    </row>
    <row r="1600" hidden="1" ht="32.4" customHeight="1">
      <c r="A1600" s="69">
        <f>ROW()-1</f>
        <v/>
      </c>
      <c r="B1600" s="53" t="n"/>
      <c r="C1600" s="117" t="n">
        <v>2026</v>
      </c>
      <c r="E1600" s="53" t="n"/>
      <c r="F1600" s="53" t="n"/>
      <c r="G1600" s="53" t="n"/>
      <c r="H1600" s="96" t="inlineStr">
        <is>
          <t>停用报表模板</t>
        </is>
      </c>
      <c r="I1600" s="76" t="n"/>
      <c r="J1600" s="95" t="n"/>
      <c r="K1600" s="95" t="inlineStr">
        <is>
          <t>和上行合并，启停为相同功能</t>
        </is>
      </c>
      <c r="L1600" s="83">
        <f>IF(OR(X1600="估算法",X1600="算法类",X1600="无法识别"),"",IF(V1600="",IF(OR(I1600="EI",I1600="EO",I1600="EQ"),0,""),LEN(V1600)-LEN(SUBSTITUTE(V1600,"、",""))+1))</f>
        <v/>
      </c>
      <c r="M1600" s="83">
        <f>IF(OR(X1600="估算法",X1600="算法类",X1600="无法识别"),"",IF(W1600="",IF(OR(I1600="ILF",I1600="EIF"),0,""),LEN(W1600)-LEN(SUBSTITUTE(W1600,"、",""))+1))</f>
        <v/>
      </c>
      <c r="N1600" s="83">
        <f>IF(OR(X1600="估算法",X1600="算法类",X1600="无法识别"),"",IF(X1600="",IF(OR(I1600="ILF",I1600="EIF",I1600="EI",I1600="EO",I1600="EQ"),0,""),LEN(X1600)-LEN(SUBSTITUTE(SUBSTITUTE(SUBSTITUTE(SUBSTITUTE(SUBSTITUTE(X1600,"|}","--"),"{|","--"),CHAR(10),""),"、",""),"|",""))+IF(AND(OR(I1600="EI",I1600="EO",I1600="EQ"),$AD$1="NESMA"),2,1)))</f>
        <v/>
      </c>
      <c r="O1600" s="84">
        <f>IF(I1600="EI",IF(OR(X1600="估算法",X1600="算法类"),"中",IF(X1600="无法识别","低",IF(L1600&lt;2,IF(N1600&lt;16,"低","中"),IF(L1600&lt;3,IF(N1600&lt;5,"低",IF(N1600&lt;16,"中","高")),IF(N1600&lt;5,"中","高"))))),IF(OR(I1600="EO",I1600="EQ"),IF(OR(X1600="估算法",X1600="算法类"),"中",IF(X1600="无法识别","低",IF(L1600&lt;2,IF(N1600&lt;20,"低","中"),IF(L1600&lt;4,IF(N1600&lt;6,"低",IF(N1600&lt;20,"中","高")),IF(N1600&lt;6,"中","高"))))),IF(OR(I1600="ILF",I1600="EIF"),IF(OR(X1600="估算法",X1600="算法类",X1600="无法识别"),"低",IF(M1600&lt;2,IF(N1600&lt;51,"低","中"),IF(M1600&lt;6,IF(N1600&lt;20,"低",IF(N1600&lt;51,"中","高")),IF(N1600&lt;20,"中","高")))),"不计算")))</f>
        <v/>
      </c>
      <c r="P1600" s="142">
        <f>IFERROR(IF(I1600="EI",IF(O1600="低",3,IF(O1600="中",4,6)),IF(I1600="EO",IF(O1600="低",4,IF(O1600="中",5,7)),IF(I1600="EQ",IF(O1600="低",3,IF(O1600="中",4,6)),IF(I1600="ILF",IF(O1600="低",7,IF(O1600="中",10,15)),IF(I1600="EIF",IF(O1600="低",5,IF(O1600="中",7,10)),"不计算")))))*Q1600,"不计算")</f>
        <v/>
      </c>
      <c r="Q1600" s="142" t="n">
        <v>1</v>
      </c>
      <c r="R1600" s="143">
        <f>调整因子!$F$13</f>
        <v/>
      </c>
      <c r="S1600" s="76" t="n">
        <v>1</v>
      </c>
      <c r="T1600" s="144">
        <f>IFERROR(P1600*R1600,0)</f>
        <v/>
      </c>
      <c r="U1600" s="145">
        <f>T1600*S1600</f>
        <v/>
      </c>
      <c r="V1600" s="96" t="inlineStr">
        <is>
          <t>报表模板表、修复步骤表</t>
        </is>
      </c>
      <c r="W1600" s="96" t="inlineStr"/>
      <c r="X1600" s="111" t="inlineStr">
        <is>
          <t>报表模板表{报表ID、报表名称、报表类型、生成时间、报表内容|报表ID、报表名称、报表类型}
修复步骤表{ID、名称、类型、状态、创建时间、更新时间|ID、名称、类型}</t>
        </is>
      </c>
      <c r="Y1600" s="88" t="n"/>
      <c r="Z1600" s="88" t="n"/>
    </row>
    <row r="1601" hidden="1" ht="43.2" customHeight="1">
      <c r="A1601" s="69">
        <f>ROW()-1</f>
        <v/>
      </c>
      <c r="B1601" s="53" t="n"/>
      <c r="C1601" s="117" t="n">
        <v>2026</v>
      </c>
      <c r="E1601" s="53" t="n"/>
      <c r="F1601" s="53" t="n"/>
      <c r="G1601" s="53" t="n"/>
      <c r="H1601" s="96" t="inlineStr">
        <is>
          <t>导出模板配置</t>
        </is>
      </c>
      <c r="I1601" s="76" t="inlineStr">
        <is>
          <t>EO</t>
        </is>
      </c>
      <c r="J1601" s="95" t="n"/>
      <c r="K1601" s="95" t="n"/>
      <c r="L1601" s="83">
        <f>IF(OR(X1601="估算法",X1601="算法类",X1601="无法识别"),"",IF(V1601="",IF(OR(I1601="EI",I1601="EO",I1601="EQ"),0,""),LEN(V1601)-LEN(SUBSTITUTE(V1601,"、",""))+1))</f>
        <v/>
      </c>
      <c r="M1601" s="83">
        <f>IF(OR(X1601="估算法",X1601="算法类",X1601="无法识别"),"",IF(W1601="",IF(OR(I1601="ILF",I1601="EIF"),0,""),LEN(W1601)-LEN(SUBSTITUTE(W1601,"、",""))+1))</f>
        <v/>
      </c>
      <c r="N1601" s="83">
        <f>IF(OR(X1601="估算法",X1601="算法类",X1601="无法识别"),"",IF(X1601="",IF(OR(I1601="ILF",I1601="EIF",I1601="EI",I1601="EO",I1601="EQ"),0,""),LEN(X1601)-LEN(SUBSTITUTE(SUBSTITUTE(SUBSTITUTE(SUBSTITUTE(SUBSTITUTE(X1601,"|}","--"),"{|","--"),CHAR(10),""),"、",""),"|",""))+IF(AND(OR(I1601="EI",I1601="EO",I1601="EQ"),$AD$1="NESMA"),2,1)))</f>
        <v/>
      </c>
      <c r="O1601" s="84">
        <f>IF(I1601="EI",IF(OR(X1601="估算法",X1601="算法类"),"中",IF(X1601="无法识别","低",IF(L1601&lt;2,IF(N1601&lt;16,"低","中"),IF(L1601&lt;3,IF(N1601&lt;5,"低",IF(N1601&lt;16,"中","高")),IF(N1601&lt;5,"中","高"))))),IF(OR(I1601="EO",I1601="EQ"),IF(OR(X1601="估算法",X1601="算法类"),"中",IF(X1601="无法识别","低",IF(L1601&lt;2,IF(N1601&lt;20,"低","中"),IF(L1601&lt;4,IF(N1601&lt;6,"低",IF(N1601&lt;20,"中","高")),IF(N1601&lt;6,"中","高"))))),IF(OR(I1601="ILF",I1601="EIF"),IF(OR(X1601="估算法",X1601="算法类",X1601="无法识别"),"低",IF(M1601&lt;2,IF(N1601&lt;51,"低","中"),IF(M1601&lt;6,IF(N1601&lt;20,"低",IF(N1601&lt;51,"中","高")),IF(N1601&lt;20,"中","高")))),"不计算")))</f>
        <v/>
      </c>
      <c r="P1601" s="142">
        <f>IFERROR(IF(I1601="EI",IF(O1601="低",3,IF(O1601="中",4,6)),IF(I1601="EO",IF(O1601="低",4,IF(O1601="中",5,7)),IF(I1601="EQ",IF(O1601="低",3,IF(O1601="中",4,6)),IF(I1601="ILF",IF(O1601="低",7,IF(O1601="中",10,15)),IF(I1601="EIF",IF(O1601="低",5,IF(O1601="中",7,10)),"不计算")))))*Q1601,"不计算")</f>
        <v/>
      </c>
      <c r="Q1601" s="142" t="n">
        <v>1</v>
      </c>
      <c r="R1601" s="143">
        <f>调整因子!$F$13</f>
        <v/>
      </c>
      <c r="S1601" s="76" t="n">
        <v>1</v>
      </c>
      <c r="T1601" s="144">
        <f>IFERROR(P1601*R1601,0)</f>
        <v/>
      </c>
      <c r="U1601" s="145">
        <f>T1601*S1601</f>
        <v/>
      </c>
      <c r="V1601" s="96" t="inlineStr">
        <is>
          <t>任务优先级配置表、模板参数配置表</t>
        </is>
      </c>
      <c r="W1601" s="96" t="inlineStr"/>
      <c r="X1601" s="111" t="inlineStr">
        <is>
          <t>任务优先级配置表{任务ID、任务名称|任务ID、任务名称、任务类型、任务状态、创建时间、执行时间}
模板参数配置表{配置ID、配置名称|配置ID、配置名称、配置类型、配置值、创建时间}</t>
        </is>
      </c>
      <c r="Y1601" s="88" t="n"/>
      <c r="Z1601" s="88" t="n"/>
    </row>
    <row r="1602" hidden="1" ht="21.6" customHeight="1">
      <c r="A1602" s="69">
        <f>ROW()-1</f>
        <v/>
      </c>
      <c r="B1602" s="53" t="n"/>
      <c r="C1602" s="117" t="n">
        <v>2026</v>
      </c>
      <c r="E1602" s="53" t="n"/>
      <c r="F1602" s="53" t="n"/>
      <c r="G1602" s="53" t="n"/>
      <c r="H1602" s="96" t="inlineStr">
        <is>
          <t>查询模板列表</t>
        </is>
      </c>
      <c r="I1602" s="76" t="inlineStr">
        <is>
          <t>EO</t>
        </is>
      </c>
      <c r="J1602" s="95" t="n"/>
      <c r="K1602" s="95" t="n"/>
      <c r="L1602" s="83">
        <f>IF(OR(X1602="估算法",X1602="算法类",X1602="无法识别"),"",IF(V1602="",IF(OR(I1602="EI",I1602="EO",I1602="EQ"),0,""),LEN(V1602)-LEN(SUBSTITUTE(V1602,"、",""))+1))</f>
        <v/>
      </c>
      <c r="M1602" s="83">
        <f>IF(OR(X1602="估算法",X1602="算法类",X1602="无法识别"),"",IF(W1602="",IF(OR(I1602="ILF",I1602="EIF"),0,""),LEN(W1602)-LEN(SUBSTITUTE(W1602,"、",""))+1))</f>
        <v/>
      </c>
      <c r="N1602" s="83">
        <f>IF(OR(X1602="估算法",X1602="算法类",X1602="无法识别"),"",IF(X1602="",IF(OR(I1602="ILF",I1602="EIF",I1602="EI",I1602="EO",I1602="EQ"),0,""),LEN(X1602)-LEN(SUBSTITUTE(SUBSTITUTE(SUBSTITUTE(SUBSTITUTE(SUBSTITUTE(X1602,"|}","--"),"{|","--"),CHAR(10),""),"、",""),"|",""))+IF(AND(OR(I1602="EI",I1602="EO",I1602="EQ"),$AD$1="NESMA"),2,1)))</f>
        <v/>
      </c>
      <c r="O1602" s="84">
        <f>IF(I1602="EI",IF(OR(X1602="估算法",X1602="算法类"),"中",IF(X1602="无法识别","低",IF(L1602&lt;2,IF(N1602&lt;16,"低","中"),IF(L1602&lt;3,IF(N1602&lt;5,"低",IF(N1602&lt;16,"中","高")),IF(N1602&lt;5,"中","高"))))),IF(OR(I1602="EO",I1602="EQ"),IF(OR(X1602="估算法",X1602="算法类"),"中",IF(X1602="无法识别","低",IF(L1602&lt;2,IF(N1602&lt;20,"低","中"),IF(L1602&lt;4,IF(N1602&lt;6,"低",IF(N1602&lt;20,"中","高")),IF(N1602&lt;6,"中","高"))))),IF(OR(I1602="ILF",I1602="EIF"),IF(OR(X1602="估算法",X1602="算法类",X1602="无法识别"),"低",IF(M1602&lt;2,IF(N1602&lt;51,"低","中"),IF(M1602&lt;6,IF(N1602&lt;20,"低",IF(N1602&lt;51,"中","高")),IF(N1602&lt;20,"中","高")))),"不计算")))</f>
        <v/>
      </c>
      <c r="P1602" s="142">
        <f>IFERROR(IF(I1602="EI",IF(O1602="低",3,IF(O1602="中",4,6)),IF(I1602="EO",IF(O1602="低",4,IF(O1602="中",5,7)),IF(I1602="EQ",IF(O1602="低",3,IF(O1602="中",4,6)),IF(I1602="ILF",IF(O1602="低",7,IF(O1602="中",10,15)),IF(I1602="EIF",IF(O1602="低",5,IF(O1602="中",7,10)),"不计算")))))*Q1602,"不计算")</f>
        <v/>
      </c>
      <c r="Q1602" s="142" t="n">
        <v>1</v>
      </c>
      <c r="R1602" s="143">
        <f>调整因子!$F$13</f>
        <v/>
      </c>
      <c r="S1602" s="70" t="n">
        <v>1</v>
      </c>
      <c r="T1602" s="144">
        <f>IFERROR(P1602*R1602,0)</f>
        <v/>
      </c>
      <c r="U1602" s="145">
        <f>T1602*S1602</f>
        <v/>
      </c>
      <c r="V1602" s="96" t="inlineStr">
        <is>
          <t>性能数据表、加密策略表</t>
        </is>
      </c>
      <c r="W1602" s="96" t="inlineStr"/>
      <c r="X1602" s="111" t="inlineStr">
        <is>
          <t>性能数据表{ID、名称|ID、名称、类型、状态、创建时间、更新时间}
加密策略表{策略ID、策略名称|策略ID、策略名称、策略类型、策略内容、生效时间}</t>
        </is>
      </c>
      <c r="Y1602" s="88" t="n"/>
      <c r="Z1602" s="88" t="n"/>
    </row>
    <row r="1603" hidden="1" ht="21.6" customHeight="1">
      <c r="A1603" s="69">
        <f>ROW()-1</f>
        <v/>
      </c>
      <c r="B1603" s="53" t="n"/>
      <c r="C1603" s="117" t="n">
        <v>2026</v>
      </c>
      <c r="E1603" s="53" t="n"/>
      <c r="F1603" s="53" t="n"/>
      <c r="G1603" s="54" t="n"/>
      <c r="H1603" s="96" t="inlineStr">
        <is>
          <t>查看模板详情</t>
        </is>
      </c>
      <c r="I1603" s="76" t="inlineStr">
        <is>
          <t>EQ</t>
        </is>
      </c>
      <c r="J1603" s="95" t="n"/>
      <c r="K1603" s="95" t="n"/>
      <c r="L1603" s="83">
        <f>IF(OR(X1603="估算法",X1603="算法类",X1603="无法识别"),"",IF(V1603="",IF(OR(I1603="EI",I1603="EO",I1603="EQ"),0,""),LEN(V1603)-LEN(SUBSTITUTE(V1603,"、",""))+1))</f>
        <v/>
      </c>
      <c r="M1603" s="83">
        <f>IF(OR(X1603="估算法",X1603="算法类",X1603="无法识别"),"",IF(W1603="",IF(OR(I1603="ILF",I1603="EIF"),0,""),LEN(W1603)-LEN(SUBSTITUTE(W1603,"、",""))+1))</f>
        <v/>
      </c>
      <c r="N1603" s="83">
        <f>IF(OR(X1603="估算法",X1603="算法类",X1603="无法识别"),"",IF(X1603="",IF(OR(I1603="ILF",I1603="EIF",I1603="EI",I1603="EO",I1603="EQ"),0,""),LEN(X1603)-LEN(SUBSTITUTE(SUBSTITUTE(SUBSTITUTE(SUBSTITUTE(SUBSTITUTE(X1603,"|}","--"),"{|","--"),CHAR(10),""),"、",""),"|",""))+IF(AND(OR(I1603="EI",I1603="EO",I1603="EQ"),$AD$1="NESMA"),2,1)))</f>
        <v/>
      </c>
      <c r="O1603" s="84">
        <f>IF(I1603="EI",IF(OR(X1603="估算法",X1603="算法类"),"中",IF(X1603="无法识别","低",IF(L1603&lt;2,IF(N1603&lt;16,"低","中"),IF(L1603&lt;3,IF(N1603&lt;5,"低",IF(N1603&lt;16,"中","高")),IF(N1603&lt;5,"中","高"))))),IF(OR(I1603="EO",I1603="EQ"),IF(OR(X1603="估算法",X1603="算法类"),"中",IF(X1603="无法识别","低",IF(L1603&lt;2,IF(N1603&lt;20,"低","中"),IF(L1603&lt;4,IF(N1603&lt;6,"低",IF(N1603&lt;20,"中","高")),IF(N1603&lt;6,"中","高"))))),IF(OR(I1603="ILF",I1603="EIF"),IF(OR(X1603="估算法",X1603="算法类",X1603="无法识别"),"低",IF(M1603&lt;2,IF(N1603&lt;51,"低","中"),IF(M1603&lt;6,IF(N1603&lt;20,"低",IF(N1603&lt;51,"中","高")),IF(N1603&lt;20,"中","高")))),"不计算")))</f>
        <v/>
      </c>
      <c r="P1603" s="142">
        <f>IFERROR(IF(I1603="EI",IF(O1603="低",3,IF(O1603="中",4,6)),IF(I1603="EO",IF(O1603="低",4,IF(O1603="中",5,7)),IF(I1603="EQ",IF(O1603="低",3,IF(O1603="中",4,6)),IF(I1603="ILF",IF(O1603="低",7,IF(O1603="中",10,15)),IF(I1603="EIF",IF(O1603="低",5,IF(O1603="中",7,10)),"不计算")))))*Q1603,"不计算")</f>
        <v/>
      </c>
      <c r="Q1603" s="142" t="n">
        <v>1</v>
      </c>
      <c r="R1603" s="143">
        <f>调整因子!$F$13</f>
        <v/>
      </c>
      <c r="S1603" s="70" t="n">
        <v>1</v>
      </c>
      <c r="T1603" s="144">
        <f>IFERROR(P1603*R1603,0)</f>
        <v/>
      </c>
      <c r="U1603" s="145">
        <f>T1603*S1603</f>
        <v/>
      </c>
      <c r="V1603" s="96" t="inlineStr">
        <is>
          <t>漏洞查询接口配置表</t>
        </is>
      </c>
      <c r="W1603" s="96" t="inlineStr"/>
      <c r="X1603" s="111" t="inlineStr">
        <is>
          <t>漏洞查询接口配置表{漏洞ID、漏洞名称|漏洞ID、漏洞名称、漏洞等级、漏洞类型、CVE编号、发现时间、修复状态}</t>
        </is>
      </c>
      <c r="Y1603" s="88" t="n"/>
      <c r="Z1603" s="88" t="n"/>
    </row>
    <row r="1604" hidden="1" ht="21.6" customHeight="1">
      <c r="A1604" s="69">
        <f>ROW()-1</f>
        <v/>
      </c>
      <c r="B1604" s="53" t="n"/>
      <c r="C1604" s="117" t="n">
        <v>2026</v>
      </c>
      <c r="E1604" s="53" t="n"/>
      <c r="F1604" s="53" t="n"/>
      <c r="G1604" s="111" t="inlineStr">
        <is>
          <t>报表生成管理</t>
        </is>
      </c>
      <c r="H1604" s="96" t="inlineStr">
        <is>
          <t>编辑报表内容</t>
        </is>
      </c>
      <c r="I1604" s="76" t="inlineStr">
        <is>
          <t>EI</t>
        </is>
      </c>
      <c r="J1604" s="95" t="n"/>
      <c r="K1604" s="95" t="n"/>
      <c r="L1604" s="83">
        <f>IF(OR(X1604="估算法",X1604="算法类",X1604="无法识别"),"",IF(V1604="",IF(OR(I1604="EI",I1604="EO",I1604="EQ"),0,""),LEN(V1604)-LEN(SUBSTITUTE(V1604,"、",""))+1))</f>
        <v/>
      </c>
      <c r="M1604" s="83">
        <f>IF(OR(X1604="估算法",X1604="算法类",X1604="无法识别"),"",IF(W1604="",IF(OR(I1604="ILF",I1604="EIF"),0,""),LEN(W1604)-LEN(SUBSTITUTE(W1604,"、",""))+1))</f>
        <v/>
      </c>
      <c r="N1604" s="83">
        <f>IF(OR(X1604="估算法",X1604="算法类",X1604="无法识别"),"",IF(X1604="",IF(OR(I1604="ILF",I1604="EIF",I1604="EI",I1604="EO",I1604="EQ"),0,""),LEN(X1604)-LEN(SUBSTITUTE(SUBSTITUTE(SUBSTITUTE(SUBSTITUTE(SUBSTITUTE(X1604,"|}","--"),"{|","--"),CHAR(10),""),"、",""),"|",""))+IF(AND(OR(I1604="EI",I1604="EO",I1604="EQ"),$AD$1="NESMA"),2,1)))</f>
        <v/>
      </c>
      <c r="O1604" s="84">
        <f>IF(I1604="EI",IF(OR(X1604="估算法",X1604="算法类"),"中",IF(X1604="无法识别","低",IF(L1604&lt;2,IF(N1604&lt;16,"低","中"),IF(L1604&lt;3,IF(N1604&lt;5,"低",IF(N1604&lt;16,"中","高")),IF(N1604&lt;5,"中","高"))))),IF(OR(I1604="EO",I1604="EQ"),IF(OR(X1604="估算法",X1604="算法类"),"中",IF(X1604="无法识别","低",IF(L1604&lt;2,IF(N1604&lt;20,"低","中"),IF(L1604&lt;4,IF(N1604&lt;6,"低",IF(N1604&lt;20,"中","高")),IF(N1604&lt;6,"中","高"))))),IF(OR(I1604="ILF",I1604="EIF"),IF(OR(X1604="估算法",X1604="算法类",X1604="无法识别"),"低",IF(M1604&lt;2,IF(N1604&lt;51,"低","中"),IF(M1604&lt;6,IF(N1604&lt;20,"低",IF(N1604&lt;51,"中","高")),IF(N1604&lt;20,"中","高")))),"不计算")))</f>
        <v/>
      </c>
      <c r="P1604" s="142">
        <f>IFERROR(IF(I1604="EI",IF(O1604="低",3,IF(O1604="中",4,6)),IF(I1604="EO",IF(O1604="低",4,IF(O1604="中",5,7)),IF(I1604="EQ",IF(O1604="低",3,IF(O1604="中",4,6)),IF(I1604="ILF",IF(O1604="低",7,IF(O1604="中",10,15)),IF(I1604="EIF",IF(O1604="低",5,IF(O1604="中",7,10)),"不计算")))))*Q1604,"不计算")</f>
        <v/>
      </c>
      <c r="Q1604" s="142" t="n">
        <v>1</v>
      </c>
      <c r="R1604" s="143">
        <f>调整因子!$F$13</f>
        <v/>
      </c>
      <c r="S1604" s="76" t="n">
        <v>1</v>
      </c>
      <c r="T1604" s="144">
        <f>IFERROR(P1604*R1604,0)</f>
        <v/>
      </c>
      <c r="U1604" s="145">
        <f>T1604*S1604</f>
        <v/>
      </c>
      <c r="V1604" s="96" t="inlineStr">
        <is>
          <t>报表模板表</t>
        </is>
      </c>
      <c r="W1604" s="96" t="inlineStr"/>
      <c r="X1604" s="111" t="inlineStr">
        <is>
          <t>报表模板表{报表ID、报表名称、报表类型、生成时间、报表内容|报表ID、报表名称、报表类型}</t>
        </is>
      </c>
      <c r="Y1604" s="88" t="n"/>
      <c r="Z1604" s="88" t="n"/>
    </row>
    <row r="1605" hidden="1" ht="43.2" customHeight="1">
      <c r="A1605" s="69">
        <f>ROW()-1</f>
        <v/>
      </c>
      <c r="B1605" s="53" t="n"/>
      <c r="C1605" s="117" t="n">
        <v>2026</v>
      </c>
      <c r="E1605" s="53" t="n"/>
      <c r="F1605" s="53" t="n"/>
      <c r="G1605" s="53" t="n"/>
      <c r="H1605" s="96" t="inlineStr">
        <is>
          <t>删除报表记录</t>
        </is>
      </c>
      <c r="I1605" s="76" t="inlineStr">
        <is>
          <t>EI</t>
        </is>
      </c>
      <c r="J1605" s="95" t="n"/>
      <c r="K1605" s="95" t="n"/>
      <c r="L1605" s="83">
        <f>IF(OR(X1605="估算法",X1605="算法类",X1605="无法识别"),"",IF(V1605="",IF(OR(I1605="EI",I1605="EO",I1605="EQ"),0,""),LEN(V1605)-LEN(SUBSTITUTE(V1605,"、",""))+1))</f>
        <v/>
      </c>
      <c r="M1605" s="83">
        <f>IF(OR(X1605="估算法",X1605="算法类",X1605="无法识别"),"",IF(W1605="",IF(OR(I1605="ILF",I1605="EIF"),0,""),LEN(W1605)-LEN(SUBSTITUTE(W1605,"、",""))+1))</f>
        <v/>
      </c>
      <c r="N1605" s="83">
        <f>IF(OR(X1605="估算法",X1605="算法类",X1605="无法识别"),"",IF(X1605="",IF(OR(I1605="ILF",I1605="EIF",I1605="EI",I1605="EO",I1605="EQ"),0,""),LEN(X1605)-LEN(SUBSTITUTE(SUBSTITUTE(SUBSTITUTE(SUBSTITUTE(SUBSTITUTE(X1605,"|}","--"),"{|","--"),CHAR(10),""),"、",""),"|",""))+IF(AND(OR(I1605="EI",I1605="EO",I1605="EQ"),$AD$1="NESMA"),2,1)))</f>
        <v/>
      </c>
      <c r="O1605" s="84">
        <f>IF(I1605="EI",IF(OR(X1605="估算法",X1605="算法类"),"中",IF(X1605="无法识别","低",IF(L1605&lt;2,IF(N1605&lt;16,"低","中"),IF(L1605&lt;3,IF(N1605&lt;5,"低",IF(N1605&lt;16,"中","高")),IF(N1605&lt;5,"中","高"))))),IF(OR(I1605="EO",I1605="EQ"),IF(OR(X1605="估算法",X1605="算法类"),"中",IF(X1605="无法识别","低",IF(L1605&lt;2,IF(N1605&lt;20,"低","中"),IF(L1605&lt;4,IF(N1605&lt;6,"低",IF(N1605&lt;20,"中","高")),IF(N1605&lt;6,"中","高"))))),IF(OR(I1605="ILF",I1605="EIF"),IF(OR(X1605="估算法",X1605="算法类",X1605="无法识别"),"低",IF(M1605&lt;2,IF(N1605&lt;51,"低","中"),IF(M1605&lt;6,IF(N1605&lt;20,"低",IF(N1605&lt;51,"中","高")),IF(N1605&lt;20,"中","高")))),"不计算")))</f>
        <v/>
      </c>
      <c r="P1605" s="142">
        <f>IFERROR(IF(I1605="EI",IF(O1605="低",3,IF(O1605="中",4,6)),IF(I1605="EO",IF(O1605="低",4,IF(O1605="中",5,7)),IF(I1605="EQ",IF(O1605="低",3,IF(O1605="中",4,6)),IF(I1605="ILF",IF(O1605="低",7,IF(O1605="中",10,15)),IF(I1605="EIF",IF(O1605="低",5,IF(O1605="中",7,10)),"不计算")))))*Q1605,"不计算")</f>
        <v/>
      </c>
      <c r="Q1605" s="142" t="n">
        <v>0.333333333333333</v>
      </c>
      <c r="R1605" s="143">
        <f>调整因子!$F$13</f>
        <v/>
      </c>
      <c r="S1605" s="70" t="n">
        <v>1</v>
      </c>
      <c r="T1605" s="144">
        <f>IFERROR(P1605*R1605,0)</f>
        <v/>
      </c>
      <c r="U1605" s="145">
        <f>T1605*S1605</f>
        <v/>
      </c>
      <c r="V1605" s="96" t="inlineStr">
        <is>
          <t>报表模板表、加密规则表</t>
        </is>
      </c>
      <c r="W1605" s="96" t="inlineStr"/>
      <c r="X1605" s="111" t="inlineStr">
        <is>
          <t>报表模板表{报表ID、报表名称、报表类型、生成时间、报表内容|报表ID、报表名称、报表类型}
加密规则表{规则ID、规则名称、规则类型、规则条件、创建时间|规则ID、规则名称、规则类型}</t>
        </is>
      </c>
      <c r="Y1605" s="88" t="n"/>
      <c r="Z1605" s="88" t="n"/>
    </row>
    <row r="1606" hidden="1" ht="21.6" customHeight="1">
      <c r="A1606" s="69">
        <f>ROW()-1</f>
        <v/>
      </c>
      <c r="B1606" s="53" t="n"/>
      <c r="C1606" s="117" t="n">
        <v>2026</v>
      </c>
      <c r="E1606" s="53" t="n"/>
      <c r="F1606" s="53" t="n"/>
      <c r="G1606" s="53" t="n"/>
      <c r="H1606" s="96" t="inlineStr">
        <is>
          <t>导出报表文件</t>
        </is>
      </c>
      <c r="I1606" s="76" t="inlineStr">
        <is>
          <t>EO</t>
        </is>
      </c>
      <c r="J1606" s="95" t="n"/>
      <c r="K1606" s="95" t="n"/>
      <c r="L1606" s="83">
        <f>IF(OR(X1606="估算法",X1606="算法类",X1606="无法识别"),"",IF(V1606="",IF(OR(I1606="EI",I1606="EO",I1606="EQ"),0,""),LEN(V1606)-LEN(SUBSTITUTE(V1606,"、",""))+1))</f>
        <v/>
      </c>
      <c r="M1606" s="83">
        <f>IF(OR(X1606="估算法",X1606="算法类",X1606="无法识别"),"",IF(W1606="",IF(OR(I1606="ILF",I1606="EIF"),0,""),LEN(W1606)-LEN(SUBSTITUTE(W1606,"、",""))+1))</f>
        <v/>
      </c>
      <c r="N1606" s="83">
        <f>IF(OR(X1606="估算法",X1606="算法类",X1606="无法识别"),"",IF(X1606="",IF(OR(I1606="ILF",I1606="EIF",I1606="EI",I1606="EO",I1606="EQ"),0,""),LEN(X1606)-LEN(SUBSTITUTE(SUBSTITUTE(SUBSTITUTE(SUBSTITUTE(SUBSTITUTE(X1606,"|}","--"),"{|","--"),CHAR(10),""),"、",""),"|",""))+IF(AND(OR(I1606="EI",I1606="EO",I1606="EQ"),$AD$1="NESMA"),2,1)))</f>
        <v/>
      </c>
      <c r="O1606" s="84">
        <f>IF(I1606="EI",IF(OR(X1606="估算法",X1606="算法类"),"中",IF(X1606="无法识别","低",IF(L1606&lt;2,IF(N1606&lt;16,"低","中"),IF(L1606&lt;3,IF(N1606&lt;5,"低",IF(N1606&lt;16,"中","高")),IF(N1606&lt;5,"中","高"))))),IF(OR(I1606="EO",I1606="EQ"),IF(OR(X1606="估算法",X1606="算法类"),"中",IF(X1606="无法识别","低",IF(L1606&lt;2,IF(N1606&lt;20,"低","中"),IF(L1606&lt;4,IF(N1606&lt;6,"低",IF(N1606&lt;20,"中","高")),IF(N1606&lt;6,"中","高"))))),IF(OR(I1606="ILF",I1606="EIF"),IF(OR(X1606="估算法",X1606="算法类",X1606="无法识别"),"低",IF(M1606&lt;2,IF(N1606&lt;51,"低","中"),IF(M1606&lt;6,IF(N1606&lt;20,"低",IF(N1606&lt;51,"中","高")),IF(N1606&lt;20,"中","高")))),"不计算")))</f>
        <v/>
      </c>
      <c r="P1606" s="142">
        <f>IFERROR(IF(I1606="EI",IF(O1606="低",3,IF(O1606="中",4,6)),IF(I1606="EO",IF(O1606="低",4,IF(O1606="中",5,7)),IF(I1606="EQ",IF(O1606="低",3,IF(O1606="中",4,6)),IF(I1606="ILF",IF(O1606="低",7,IF(O1606="中",10,15)),IF(I1606="EIF",IF(O1606="低",5,IF(O1606="中",7,10)),"不计算")))))*Q1606,"不计算")</f>
        <v/>
      </c>
      <c r="Q1606" s="142" t="n">
        <v>1</v>
      </c>
      <c r="R1606" s="143">
        <f>调整因子!$F$13</f>
        <v/>
      </c>
      <c r="S1606" s="70" t="n">
        <v>1</v>
      </c>
      <c r="T1606" s="144">
        <f>IFERROR(P1606*R1606,0)</f>
        <v/>
      </c>
      <c r="U1606" s="145">
        <f>T1606*S1606</f>
        <v/>
      </c>
      <c r="V1606" s="96" t="inlineStr">
        <is>
          <t>报表模板表、调用统计表</t>
        </is>
      </c>
      <c r="W1606" s="96" t="inlineStr"/>
      <c r="X1606" s="111" t="inlineStr">
        <is>
          <t>报表模板表{报表ID、报表名称|报表ID、报表名称、报表类型、生成时间、报表内容}
调用统计表{ID、名称|ID、名称、类型、状态、创建时间、更新时间}</t>
        </is>
      </c>
      <c r="Y1606" s="88" t="n"/>
      <c r="Z1606" s="88" t="n"/>
    </row>
    <row r="1607" hidden="1">
      <c r="A1607" s="69">
        <f>ROW()-1</f>
        <v/>
      </c>
      <c r="B1607" s="53" t="n"/>
      <c r="C1607" s="117" t="n">
        <v>2026</v>
      </c>
      <c r="E1607" s="53" t="n"/>
      <c r="F1607" s="53" t="n"/>
      <c r="G1607" s="53" t="n"/>
      <c r="H1607" s="96" t="inlineStr">
        <is>
          <t>下载报表文档</t>
        </is>
      </c>
      <c r="I1607" s="76" t="inlineStr">
        <is>
          <t>EO</t>
        </is>
      </c>
      <c r="J1607" s="95" t="n"/>
      <c r="K1607" s="95" t="n"/>
      <c r="L1607" s="83">
        <f>IF(OR(X1607="估算法",X1607="算法类",X1607="无法识别"),"",IF(V1607="",IF(OR(I1607="EI",I1607="EO",I1607="EQ"),0,""),LEN(V1607)-LEN(SUBSTITUTE(V1607,"、",""))+1))</f>
        <v/>
      </c>
      <c r="M1607" s="83">
        <f>IF(OR(X1607="估算法",X1607="算法类",X1607="无法识别"),"",IF(W1607="",IF(OR(I1607="ILF",I1607="EIF"),0,""),LEN(W1607)-LEN(SUBSTITUTE(W1607,"、",""))+1))</f>
        <v/>
      </c>
      <c r="N1607" s="83">
        <f>IF(OR(X1607="估算法",X1607="算法类",X1607="无法识别"),"",IF(X1607="",IF(OR(I1607="ILF",I1607="EIF",I1607="EI",I1607="EO",I1607="EQ"),0,""),LEN(X1607)-LEN(SUBSTITUTE(SUBSTITUTE(SUBSTITUTE(SUBSTITUTE(SUBSTITUTE(X1607,"|}","--"),"{|","--"),CHAR(10),""),"、",""),"|",""))+IF(AND(OR(I1607="EI",I1607="EO",I1607="EQ"),$AD$1="NESMA"),2,1)))</f>
        <v/>
      </c>
      <c r="O1607" s="84">
        <f>IF(I1607="EI",IF(OR(X1607="估算法",X1607="算法类"),"中",IF(X1607="无法识别","低",IF(L1607&lt;2,IF(N1607&lt;16,"低","中"),IF(L1607&lt;3,IF(N1607&lt;5,"低",IF(N1607&lt;16,"中","高")),IF(N1607&lt;5,"中","高"))))),IF(OR(I1607="EO",I1607="EQ"),IF(OR(X1607="估算法",X1607="算法类"),"中",IF(X1607="无法识别","低",IF(L1607&lt;2,IF(N1607&lt;20,"低","中"),IF(L1607&lt;4,IF(N1607&lt;6,"低",IF(N1607&lt;20,"中","高")),IF(N1607&lt;6,"中","高"))))),IF(OR(I1607="ILF",I1607="EIF"),IF(OR(X1607="估算法",X1607="算法类",X1607="无法识别"),"低",IF(M1607&lt;2,IF(N1607&lt;51,"低","中"),IF(M1607&lt;6,IF(N1607&lt;20,"低",IF(N1607&lt;51,"中","高")),IF(N1607&lt;20,"中","高")))),"不计算")))</f>
        <v/>
      </c>
      <c r="P1607" s="142">
        <f>IFERROR(IF(I1607="EI",IF(O1607="低",3,IF(O1607="中",4,6)),IF(I1607="EO",IF(O1607="低",4,IF(O1607="中",5,7)),IF(I1607="EQ",IF(O1607="低",3,IF(O1607="中",4,6)),IF(I1607="ILF",IF(O1607="低",7,IF(O1607="中",10,15)),IF(I1607="EIF",IF(O1607="低",5,IF(O1607="中",7,10)),"不计算")))))*Q1607,"不计算")</f>
        <v/>
      </c>
      <c r="Q1607" s="142" t="n">
        <v>1</v>
      </c>
      <c r="R1607" s="143">
        <f>调整因子!$F$13</f>
        <v/>
      </c>
      <c r="S1607" s="76" t="n">
        <v>1</v>
      </c>
      <c r="T1607" s="144">
        <f>IFERROR(P1607*R1607,0)</f>
        <v/>
      </c>
      <c r="U1607" s="145">
        <f>T1607*S1607</f>
        <v/>
      </c>
      <c r="V1607" s="96" t="inlineStr">
        <is>
          <t>报表模板表</t>
        </is>
      </c>
      <c r="W1607" s="96" t="inlineStr"/>
      <c r="X1607" s="111" t="inlineStr">
        <is>
          <t>报表模板表{报表ID、报表名称|报表ID、报表名称、报表类型、生成时间、报表内容}</t>
        </is>
      </c>
      <c r="Y1607" s="88" t="n"/>
      <c r="Z1607" s="88" t="n"/>
    </row>
    <row r="1608" hidden="1" ht="32.4" customHeight="1">
      <c r="A1608" s="69">
        <f>ROW()-1</f>
        <v/>
      </c>
      <c r="B1608" s="53" t="n"/>
      <c r="C1608" s="117" t="n">
        <v>2026</v>
      </c>
      <c r="E1608" s="53" t="n"/>
      <c r="F1608" s="53" t="n"/>
      <c r="G1608" s="53" t="n"/>
      <c r="H1608" s="96" t="inlineStr">
        <is>
          <t>推送报表通知</t>
        </is>
      </c>
      <c r="I1608" s="76" t="inlineStr">
        <is>
          <t>EO</t>
        </is>
      </c>
      <c r="J1608" s="95" t="n"/>
      <c r="K1608" s="95" t="n"/>
      <c r="L1608" s="83">
        <f>IF(OR(X1608="估算法",X1608="算法类",X1608="无法识别"),"",IF(V1608="",IF(OR(I1608="EI",I1608="EO",I1608="EQ"),0,""),LEN(V1608)-LEN(SUBSTITUTE(V1608,"、",""))+1))</f>
        <v/>
      </c>
      <c r="M1608" s="83">
        <f>IF(OR(X1608="估算法",X1608="算法类",X1608="无法识别"),"",IF(W1608="",IF(OR(I1608="ILF",I1608="EIF"),0,""),LEN(W1608)-LEN(SUBSTITUTE(W1608,"、",""))+1))</f>
        <v/>
      </c>
      <c r="N1608" s="83">
        <f>IF(OR(X1608="估算法",X1608="算法类",X1608="无法识别"),"",IF(X1608="",IF(OR(I1608="ILF",I1608="EIF",I1608="EI",I1608="EO",I1608="EQ"),0,""),LEN(X1608)-LEN(SUBSTITUTE(SUBSTITUTE(SUBSTITUTE(SUBSTITUTE(SUBSTITUTE(X1608,"|}","--"),"{|","--"),CHAR(10),""),"、",""),"|",""))+IF(AND(OR(I1608="EI",I1608="EO",I1608="EQ"),$AD$1="NESMA"),2,1)))</f>
        <v/>
      </c>
      <c r="O1608" s="84">
        <f>IF(I1608="EI",IF(OR(X1608="估算法",X1608="算法类"),"中",IF(X1608="无法识别","低",IF(L1608&lt;2,IF(N1608&lt;16,"低","中"),IF(L1608&lt;3,IF(N1608&lt;5,"低",IF(N1608&lt;16,"中","高")),IF(N1608&lt;5,"中","高"))))),IF(OR(I1608="EO",I1608="EQ"),IF(OR(X1608="估算法",X1608="算法类"),"中",IF(X1608="无法识别","低",IF(L1608&lt;2,IF(N1608&lt;20,"低","中"),IF(L1608&lt;4,IF(N1608&lt;6,"低",IF(N1608&lt;20,"中","高")),IF(N1608&lt;6,"中","高"))))),IF(OR(I1608="ILF",I1608="EIF"),IF(OR(X1608="估算法",X1608="算法类",X1608="无法识别"),"低",IF(M1608&lt;2,IF(N1608&lt;51,"低","中"),IF(M1608&lt;6,IF(N1608&lt;20,"低",IF(N1608&lt;51,"中","高")),IF(N1608&lt;20,"中","高")))),"不计算")))</f>
        <v/>
      </c>
      <c r="P1608" s="142">
        <f>IFERROR(IF(I1608="EI",IF(O1608="低",3,IF(O1608="中",4,6)),IF(I1608="EO",IF(O1608="低",4,IF(O1608="中",5,7)),IF(I1608="EQ",IF(O1608="低",3,IF(O1608="中",4,6)),IF(I1608="ILF",IF(O1608="低",7,IF(O1608="中",10,15)),IF(I1608="EIF",IF(O1608="低",5,IF(O1608="中",7,10)),"不计算")))))*Q1608,"不计算")</f>
        <v/>
      </c>
      <c r="Q1608" s="142" t="n">
        <v>1</v>
      </c>
      <c r="R1608" s="143">
        <f>调整因子!$F$13</f>
        <v/>
      </c>
      <c r="S1608" s="76" t="n">
        <v>1</v>
      </c>
      <c r="T1608" s="144">
        <f>IFERROR(P1608*R1608,0)</f>
        <v/>
      </c>
      <c r="U1608" s="145">
        <f>T1608*S1608</f>
        <v/>
      </c>
      <c r="V1608" s="96" t="inlineStr">
        <is>
          <t>报表模板表、同步任务调度表</t>
        </is>
      </c>
      <c r="W1608" s="96" t="inlineStr"/>
      <c r="X1608" s="111" t="inlineStr">
        <is>
          <t>报表模板表{报表ID、报表名称|报表ID、报表名称、报表类型、生成时间、报表内容}
同步任务调度表{任务ID、任务名称|任务ID、任务名称、任务类型、任务状态、创建时间、执行时间}</t>
        </is>
      </c>
      <c r="Y1608" s="88" t="n"/>
      <c r="Z1608" s="88" t="n"/>
    </row>
    <row r="1609" hidden="1" ht="21.6" customHeight="1">
      <c r="A1609" s="69">
        <f>ROW()-1</f>
        <v/>
      </c>
      <c r="B1609" s="53" t="n"/>
      <c r="C1609" s="117" t="n">
        <v>2026</v>
      </c>
      <c r="E1609" s="53" t="n"/>
      <c r="F1609" s="53" t="n"/>
      <c r="G1609" s="53" t="n"/>
      <c r="H1609" s="96" t="inlineStr">
        <is>
          <t>查询报表列表</t>
        </is>
      </c>
      <c r="I1609" s="76" t="inlineStr">
        <is>
          <t>EO</t>
        </is>
      </c>
      <c r="J1609" s="95" t="n"/>
      <c r="K1609" s="95" t="n"/>
      <c r="L1609" s="83">
        <f>IF(OR(X1609="估算法",X1609="算法类",X1609="无法识别"),"",IF(V1609="",IF(OR(I1609="EI",I1609="EO",I1609="EQ"),0,""),LEN(V1609)-LEN(SUBSTITUTE(V1609,"、",""))+1))</f>
        <v/>
      </c>
      <c r="M1609" s="83">
        <f>IF(OR(X1609="估算法",X1609="算法类",X1609="无法识别"),"",IF(W1609="",IF(OR(I1609="ILF",I1609="EIF"),0,""),LEN(W1609)-LEN(SUBSTITUTE(W1609,"、",""))+1))</f>
        <v/>
      </c>
      <c r="N1609" s="83">
        <f>IF(OR(X1609="估算法",X1609="算法类",X1609="无法识别"),"",IF(X1609="",IF(OR(I1609="ILF",I1609="EIF",I1609="EI",I1609="EO",I1609="EQ"),0,""),LEN(X1609)-LEN(SUBSTITUTE(SUBSTITUTE(SUBSTITUTE(SUBSTITUTE(SUBSTITUTE(X1609,"|}","--"),"{|","--"),CHAR(10),""),"、",""),"|",""))+IF(AND(OR(I1609="EI",I1609="EO",I1609="EQ"),$AD$1="NESMA"),2,1)))</f>
        <v/>
      </c>
      <c r="O1609" s="84">
        <f>IF(I1609="EI",IF(OR(X1609="估算法",X1609="算法类"),"中",IF(X1609="无法识别","低",IF(L1609&lt;2,IF(N1609&lt;16,"低","中"),IF(L1609&lt;3,IF(N1609&lt;5,"低",IF(N1609&lt;16,"中","高")),IF(N1609&lt;5,"中","高"))))),IF(OR(I1609="EO",I1609="EQ"),IF(OR(X1609="估算法",X1609="算法类"),"中",IF(X1609="无法识别","低",IF(L1609&lt;2,IF(N1609&lt;20,"低","中"),IF(L1609&lt;4,IF(N1609&lt;6,"低",IF(N1609&lt;20,"中","高")),IF(N1609&lt;6,"中","高"))))),IF(OR(I1609="ILF",I1609="EIF"),IF(OR(X1609="估算法",X1609="算法类",X1609="无法识别"),"低",IF(M1609&lt;2,IF(N1609&lt;51,"低","中"),IF(M1609&lt;6,IF(N1609&lt;20,"低",IF(N1609&lt;51,"中","高")),IF(N1609&lt;20,"中","高")))),"不计算")))</f>
        <v/>
      </c>
      <c r="P1609" s="142">
        <f>IFERROR(IF(I1609="EI",IF(O1609="低",3,IF(O1609="中",4,6)),IF(I1609="EO",IF(O1609="低",4,IF(O1609="中",5,7)),IF(I1609="EQ",IF(O1609="低",3,IF(O1609="中",4,6)),IF(I1609="ILF",IF(O1609="低",7,IF(O1609="中",10,15)),IF(I1609="EIF",IF(O1609="低",5,IF(O1609="中",7,10)),"不计算")))))*Q1609,"不计算")</f>
        <v/>
      </c>
      <c r="Q1609" s="142" t="n">
        <v>1</v>
      </c>
      <c r="R1609" s="143">
        <f>调整因子!$F$13</f>
        <v/>
      </c>
      <c r="S1609" s="70" t="n">
        <v>1</v>
      </c>
      <c r="T1609" s="144">
        <f>IFERROR(P1609*R1609,0)</f>
        <v/>
      </c>
      <c r="U1609" s="145">
        <f>T1609*S1609</f>
        <v/>
      </c>
      <c r="V1609" s="96" t="inlineStr">
        <is>
          <t>报表模板表、模板配置表</t>
        </is>
      </c>
      <c r="W1609" s="96" t="inlineStr"/>
      <c r="X1609" s="111" t="inlineStr">
        <is>
          <t>报表模板表{报表ID、报表名称|报表ID、报表名称、报表类型、生成时间、报表内容}
模板配置表{配置ID、配置名称|配置ID、配置名称、配置类型、配置值、创建时间}</t>
        </is>
      </c>
      <c r="Y1609" s="88" t="n"/>
      <c r="Z1609" s="88" t="n"/>
    </row>
    <row r="1610" hidden="1" ht="32.4" customHeight="1">
      <c r="A1610" s="69">
        <f>ROW()-1</f>
        <v/>
      </c>
      <c r="B1610" s="53" t="n"/>
      <c r="C1610" s="117" t="n">
        <v>2026</v>
      </c>
      <c r="E1610" s="53" t="n"/>
      <c r="F1610" s="54" t="n"/>
      <c r="G1610" s="54" t="n"/>
      <c r="H1610" s="96" t="inlineStr">
        <is>
          <t>查看报表详情</t>
        </is>
      </c>
      <c r="I1610" s="76" t="inlineStr">
        <is>
          <t>EQ</t>
        </is>
      </c>
      <c r="J1610" s="95" t="n"/>
      <c r="K1610" s="95" t="n"/>
      <c r="L1610" s="83">
        <f>IF(OR(X1610="估算法",X1610="算法类",X1610="无法识别"),"",IF(V1610="",IF(OR(I1610="EI",I1610="EO",I1610="EQ"),0,""),LEN(V1610)-LEN(SUBSTITUTE(V1610,"、",""))+1))</f>
        <v/>
      </c>
      <c r="M1610" s="83">
        <f>IF(OR(X1610="估算法",X1610="算法类",X1610="无法识别"),"",IF(W1610="",IF(OR(I1610="ILF",I1610="EIF"),0,""),LEN(W1610)-LEN(SUBSTITUTE(W1610,"、",""))+1))</f>
        <v/>
      </c>
      <c r="N1610" s="83">
        <f>IF(OR(X1610="估算法",X1610="算法类",X1610="无法识别"),"",IF(X1610="",IF(OR(I1610="ILF",I1610="EIF",I1610="EI",I1610="EO",I1610="EQ"),0,""),LEN(X1610)-LEN(SUBSTITUTE(SUBSTITUTE(SUBSTITUTE(SUBSTITUTE(SUBSTITUTE(X1610,"|}","--"),"{|","--"),CHAR(10),""),"、",""),"|",""))+IF(AND(OR(I1610="EI",I1610="EO",I1610="EQ"),$AD$1="NESMA"),2,1)))</f>
        <v/>
      </c>
      <c r="O1610" s="84">
        <f>IF(I1610="EI",IF(OR(X1610="估算法",X1610="算法类"),"中",IF(X1610="无法识别","低",IF(L1610&lt;2,IF(N1610&lt;16,"低","中"),IF(L1610&lt;3,IF(N1610&lt;5,"低",IF(N1610&lt;16,"中","高")),IF(N1610&lt;5,"中","高"))))),IF(OR(I1610="EO",I1610="EQ"),IF(OR(X1610="估算法",X1610="算法类"),"中",IF(X1610="无法识别","低",IF(L1610&lt;2,IF(N1610&lt;20,"低","中"),IF(L1610&lt;4,IF(N1610&lt;6,"低",IF(N1610&lt;20,"中","高")),IF(N1610&lt;6,"中","高"))))),IF(OR(I1610="ILF",I1610="EIF"),IF(OR(X1610="估算法",X1610="算法类",X1610="无法识别"),"低",IF(M1610&lt;2,IF(N1610&lt;51,"低","中"),IF(M1610&lt;6,IF(N1610&lt;20,"低",IF(N1610&lt;51,"中","高")),IF(N1610&lt;20,"中","高")))),"不计算")))</f>
        <v/>
      </c>
      <c r="P1610" s="142">
        <f>IFERROR(IF(I1610="EI",IF(O1610="低",3,IF(O1610="中",4,6)),IF(I1610="EO",IF(O1610="低",4,IF(O1610="中",5,7)),IF(I1610="EQ",IF(O1610="低",3,IF(O1610="中",4,6)),IF(I1610="ILF",IF(O1610="低",7,IF(O1610="中",10,15)),IF(I1610="EIF",IF(O1610="低",5,IF(O1610="中",7,10)),"不计算")))))*Q1610,"不计算")</f>
        <v/>
      </c>
      <c r="Q1610" s="142" t="n">
        <v>1</v>
      </c>
      <c r="R1610" s="143">
        <f>调整因子!$F$13</f>
        <v/>
      </c>
      <c r="S1610" s="70" t="n">
        <v>1</v>
      </c>
      <c r="T1610" s="144">
        <f>IFERROR(P1610*R1610,0)</f>
        <v/>
      </c>
      <c r="U1610" s="145">
        <f>T1610*S1610</f>
        <v/>
      </c>
      <c r="V1610" s="96" t="inlineStr">
        <is>
          <t>报表模板表、扫描任务接口配置表</t>
        </is>
      </c>
      <c r="W1610" s="96" t="inlineStr"/>
      <c r="X1610" s="111" t="inlineStr">
        <is>
          <t>报表模板表{报表ID、报表名称|报表ID、报表名称、报表类型、生成时间、报表内容}
扫描任务接口配置表{任务ID、任务名称|任务ID、任务名称、任务状态、扫描器类型、开始时间、结束时间}</t>
        </is>
      </c>
      <c r="Y1610" s="88" t="n"/>
      <c r="Z1610" s="88" t="n"/>
    </row>
    <row r="1611" hidden="1" ht="21.6" customHeight="1">
      <c r="A1611" s="69">
        <f>ROW()-1</f>
        <v/>
      </c>
      <c r="B1611" s="53" t="n"/>
      <c r="C1611" s="117" t="n">
        <v>2026</v>
      </c>
      <c r="E1611" s="53" t="n"/>
      <c r="F1611" s="111" t="inlineStr">
        <is>
          <t>考核指标监控看板</t>
        </is>
      </c>
      <c r="G1611" s="111" t="inlineStr">
        <is>
          <t>指标配置管理</t>
        </is>
      </c>
      <c r="H1611" s="96" t="inlineStr">
        <is>
          <t>考核指标配置表</t>
        </is>
      </c>
      <c r="I1611" s="76" t="n"/>
      <c r="J1611" s="108" t="n"/>
      <c r="K1611" s="108" t="inlineStr">
        <is>
          <t>重复数据库表</t>
        </is>
      </c>
      <c r="L1611" s="83">
        <f>IF(OR(X1611="估算法",X1611="算法类",X1611="无法识别"),"",IF(V1611="",IF(OR(I1611="EI",I1611="EO",I1611="EQ"),0,""),LEN(V1611)-LEN(SUBSTITUTE(V1611,"、",""))+1))</f>
        <v/>
      </c>
      <c r="M1611" s="83">
        <f>IF(OR(X1611="估算法",X1611="算法类",X1611="无法识别"),"",IF(W1611="",IF(OR(I1611="ILF",I1611="EIF"),0,""),LEN(W1611)-LEN(SUBSTITUTE(W1611,"、",""))+1))</f>
        <v/>
      </c>
      <c r="N1611" s="83">
        <f>IF(OR(X1611="估算法",X1611="算法类",X1611="无法识别"),"",IF(X1611="",IF(OR(I1611="ILF",I1611="EIF",I1611="EI",I1611="EO",I1611="EQ"),0,""),LEN(X1611)-LEN(SUBSTITUTE(SUBSTITUTE(SUBSTITUTE(SUBSTITUTE(SUBSTITUTE(X1611,"|}","--"),"{|","--"),CHAR(10),""),"、",""),"|",""))+IF(AND(OR(I1611="EI",I1611="EO",I1611="EQ"),$AD$1="NESMA"),2,1)))</f>
        <v/>
      </c>
      <c r="O1611" s="84">
        <f>IF(I1611="EI",IF(OR(X1611="估算法",X1611="算法类"),"中",IF(X1611="无法识别","低",IF(L1611&lt;2,IF(N1611&lt;16,"低","中"),IF(L1611&lt;3,IF(N1611&lt;5,"低",IF(N1611&lt;16,"中","高")),IF(N1611&lt;5,"中","高"))))),IF(OR(I1611="EO",I1611="EQ"),IF(OR(X1611="估算法",X1611="算法类"),"中",IF(X1611="无法识别","低",IF(L1611&lt;2,IF(N1611&lt;20,"低","中"),IF(L1611&lt;4,IF(N1611&lt;6,"低",IF(N1611&lt;20,"中","高")),IF(N1611&lt;6,"中","高"))))),IF(OR(I1611="ILF",I1611="EIF"),IF(OR(X1611="估算法",X1611="算法类",X1611="无法识别"),"低",IF(M1611&lt;2,IF(N1611&lt;51,"低","中"),IF(M1611&lt;6,IF(N1611&lt;20,"低",IF(N1611&lt;51,"中","高")),IF(N1611&lt;20,"中","高")))),"不计算")))</f>
        <v/>
      </c>
      <c r="P1611" s="142">
        <f>IFERROR(IF(I1611="EI",IF(O1611="低",3,IF(O1611="中",4,6)),IF(I1611="EO",IF(O1611="低",4,IF(O1611="中",5,7)),IF(I1611="EQ",IF(O1611="低",3,IF(O1611="中",4,6)),IF(I1611="ILF",IF(O1611="低",7,IF(O1611="中",10,15)),IF(I1611="EIF",IF(O1611="低",5,IF(O1611="中",7,10)),"不计算")))))*Q1611,"不计算")</f>
        <v/>
      </c>
      <c r="Q1611" s="142" t="n">
        <v>1</v>
      </c>
      <c r="R1611" s="143">
        <f>调整因子!$F$13</f>
        <v/>
      </c>
      <c r="S1611" s="76" t="n">
        <v>1</v>
      </c>
      <c r="T1611" s="144">
        <f>IFERROR(P1611*R1611,0)</f>
        <v/>
      </c>
      <c r="U1611" s="145">
        <f>T1611*S1611</f>
        <v/>
      </c>
      <c r="V1611" s="96" t="inlineStr"/>
      <c r="W1611" s="96" t="inlineStr">
        <is>
          <t>配置项</t>
        </is>
      </c>
      <c r="X1611" s="111" t="inlineStr">
        <is>
          <t>考核指标配置表{配置ID、配置名称、配置类型|配置ID、配置名称、配置类型、配置值、创建时间}</t>
        </is>
      </c>
      <c r="Y1611" s="88">
        <f>IF(COUNTIFS(V:V,"*"&amp;H1611&amp;"*")&gt;0,"存在","不存在")</f>
        <v/>
      </c>
      <c r="Z1611" s="88">
        <f>IF(COUNTIFS(AA:AA,"*"&amp;H1611&amp;"*")&gt;0,"存在","不存在")</f>
        <v/>
      </c>
    </row>
    <row r="1612" hidden="1">
      <c r="A1612" s="69">
        <f>ROW()-1</f>
        <v/>
      </c>
      <c r="B1612" s="53" t="n"/>
      <c r="C1612" s="117" t="n">
        <v>2026</v>
      </c>
      <c r="E1612" s="53" t="n"/>
      <c r="F1612" s="53" t="n"/>
      <c r="G1612" s="53" t="n"/>
      <c r="H1612" s="96" t="inlineStr">
        <is>
          <t>指标阈值表</t>
        </is>
      </c>
      <c r="I1612" s="76" t="n"/>
      <c r="J1612" s="95" t="n"/>
      <c r="K1612" s="95" t="inlineStr">
        <is>
          <t>重复数据库表</t>
        </is>
      </c>
      <c r="L1612" s="83">
        <f>IF(OR(X1612="估算法",X1612="算法类",X1612="无法识别"),"",IF(V1612="",IF(OR(I1612="EI",I1612="EO",I1612="EQ"),0,""),LEN(V1612)-LEN(SUBSTITUTE(V1612,"、",""))+1))</f>
        <v/>
      </c>
      <c r="M1612" s="83">
        <f>IF(OR(X1612="估算法",X1612="算法类",X1612="无法识别"),"",IF(W1612="",IF(OR(I1612="ILF",I1612="EIF"),0,""),LEN(W1612)-LEN(SUBSTITUTE(W1612,"、",""))+1))</f>
        <v/>
      </c>
      <c r="N1612" s="83">
        <f>IF(OR(X1612="估算法",X1612="算法类",X1612="无法识别"),"",IF(X1612="",IF(OR(I1612="ILF",I1612="EIF",I1612="EI",I1612="EO",I1612="EQ"),0,""),LEN(X1612)-LEN(SUBSTITUTE(SUBSTITUTE(SUBSTITUTE(SUBSTITUTE(SUBSTITUTE(X1612,"|}","--"),"{|","--"),CHAR(10),""),"、",""),"|",""))+IF(AND(OR(I1612="EI",I1612="EO",I1612="EQ"),$AD$1="NESMA"),2,1)))</f>
        <v/>
      </c>
      <c r="O1612" s="84">
        <f>IF(I1612="EI",IF(OR(X1612="估算法",X1612="算法类"),"中",IF(X1612="无法识别","低",IF(L1612&lt;2,IF(N1612&lt;16,"低","中"),IF(L1612&lt;3,IF(N1612&lt;5,"低",IF(N1612&lt;16,"中","高")),IF(N1612&lt;5,"中","高"))))),IF(OR(I1612="EO",I1612="EQ"),IF(OR(X1612="估算法",X1612="算法类"),"中",IF(X1612="无法识别","低",IF(L1612&lt;2,IF(N1612&lt;20,"低","中"),IF(L1612&lt;4,IF(N1612&lt;6,"低",IF(N1612&lt;20,"中","高")),IF(N1612&lt;6,"中","高"))))),IF(OR(I1612="ILF",I1612="EIF"),IF(OR(X1612="估算法",X1612="算法类",X1612="无法识别"),"低",IF(M1612&lt;2,IF(N1612&lt;51,"低","中"),IF(M1612&lt;6,IF(N1612&lt;20,"低",IF(N1612&lt;51,"中","高")),IF(N1612&lt;20,"中","高")))),"不计算")))</f>
        <v/>
      </c>
      <c r="P1612" s="142">
        <f>IFERROR(IF(I1612="EI",IF(O1612="低",3,IF(O1612="中",4,6)),IF(I1612="EO",IF(O1612="低",4,IF(O1612="中",5,7)),IF(I1612="EQ",IF(O1612="低",3,IF(O1612="中",4,6)),IF(I1612="ILF",IF(O1612="低",7,IF(O1612="中",10,15)),IF(I1612="EIF",IF(O1612="低",5,IF(O1612="中",7,10)),"不计算")))))*Q1612,"不计算")</f>
        <v/>
      </c>
      <c r="Q1612" s="142" t="n">
        <v>1</v>
      </c>
      <c r="R1612" s="143">
        <f>调整因子!$F$13</f>
        <v/>
      </c>
      <c r="S1612" s="70" t="n">
        <v>1</v>
      </c>
      <c r="T1612" s="144">
        <f>IFERROR(P1612*R1612,0)</f>
        <v/>
      </c>
      <c r="U1612" s="145">
        <f>T1612*S1612</f>
        <v/>
      </c>
      <c r="V1612" s="96" t="inlineStr"/>
      <c r="W1612" s="96" t="inlineStr">
        <is>
          <t>数据记录</t>
        </is>
      </c>
      <c r="X1612" s="111" t="inlineStr">
        <is>
          <t>指标阈值表{ID、名称、类型|ID、名称、类型、状态、创建时间、更新时间}</t>
        </is>
      </c>
      <c r="Y1612" s="88">
        <f>IF(COUNTIFS(V:V,"*"&amp;H1612&amp;"*")&gt;0,"存在","不存在")</f>
        <v/>
      </c>
      <c r="Z1612" s="88">
        <f>IF(COUNTIFS(AA:AA,"*"&amp;H1612&amp;"*")&gt;0,"存在","不存在")</f>
        <v/>
      </c>
    </row>
    <row r="1613" hidden="1" ht="43.2" customHeight="1">
      <c r="A1613" s="69">
        <f>ROW()-1</f>
        <v/>
      </c>
      <c r="B1613" s="53" t="n"/>
      <c r="C1613" s="117" t="n">
        <v>2026</v>
      </c>
      <c r="E1613" s="53" t="n"/>
      <c r="F1613" s="53" t="n"/>
      <c r="G1613" s="53" t="n"/>
      <c r="H1613" s="96" t="inlineStr">
        <is>
          <t>配置监控指标</t>
        </is>
      </c>
      <c r="I1613" s="76" t="inlineStr">
        <is>
          <t>EI</t>
        </is>
      </c>
      <c r="J1613" s="95" t="n"/>
      <c r="K1613" s="95" t="n"/>
      <c r="L1613" s="83">
        <f>IF(OR(X1613="估算法",X1613="算法类",X1613="无法识别"),"",IF(V1613="",IF(OR(I1613="EI",I1613="EO",I1613="EQ"),0,""),LEN(V1613)-LEN(SUBSTITUTE(V1613,"、",""))+1))</f>
        <v/>
      </c>
      <c r="M1613" s="83">
        <f>IF(OR(X1613="估算法",X1613="算法类",X1613="无法识别"),"",IF(W1613="",IF(OR(I1613="ILF",I1613="EIF"),0,""),LEN(W1613)-LEN(SUBSTITUTE(W1613,"、",""))+1))</f>
        <v/>
      </c>
      <c r="N1613" s="83">
        <f>IF(OR(X1613="估算法",X1613="算法类",X1613="无法识别"),"",IF(X1613="",IF(OR(I1613="ILF",I1613="EIF",I1613="EI",I1613="EO",I1613="EQ"),0,""),LEN(X1613)-LEN(SUBSTITUTE(SUBSTITUTE(SUBSTITUTE(SUBSTITUTE(SUBSTITUTE(X1613,"|}","--"),"{|","--"),CHAR(10),""),"、",""),"|",""))+IF(AND(OR(I1613="EI",I1613="EO",I1613="EQ"),$AD$1="NESMA"),2,1)))</f>
        <v/>
      </c>
      <c r="O1613" s="84">
        <f>IF(I1613="EI",IF(OR(X1613="估算法",X1613="算法类"),"中",IF(X1613="无法识别","低",IF(L1613&lt;2,IF(N1613&lt;16,"低","中"),IF(L1613&lt;3,IF(N1613&lt;5,"低",IF(N1613&lt;16,"中","高")),IF(N1613&lt;5,"中","高"))))),IF(OR(I1613="EO",I1613="EQ"),IF(OR(X1613="估算法",X1613="算法类"),"中",IF(X1613="无法识别","低",IF(L1613&lt;2,IF(N1613&lt;20,"低","中"),IF(L1613&lt;4,IF(N1613&lt;6,"低",IF(N1613&lt;20,"中","高")),IF(N1613&lt;6,"中","高"))))),IF(OR(I1613="ILF",I1613="EIF"),IF(OR(X1613="估算法",X1613="算法类",X1613="无法识别"),"低",IF(M1613&lt;2,IF(N1613&lt;51,"低","中"),IF(M1613&lt;6,IF(N1613&lt;20,"低",IF(N1613&lt;51,"中","高")),IF(N1613&lt;20,"中","高")))),"不计算")))</f>
        <v/>
      </c>
      <c r="P1613" s="142">
        <f>IFERROR(IF(I1613="EI",IF(O1613="低",3,IF(O1613="中",4,6)),IF(I1613="EO",IF(O1613="低",4,IF(O1613="中",5,7)),IF(I1613="EQ",IF(O1613="低",3,IF(O1613="中",4,6)),IF(I1613="ILF",IF(O1613="低",7,IF(O1613="中",10,15)),IF(I1613="EIF",IF(O1613="低",5,IF(O1613="中",7,10)),"不计算")))))*Q1613,"不计算")</f>
        <v/>
      </c>
      <c r="Q1613" s="142" t="n">
        <v>1</v>
      </c>
      <c r="R1613" s="143">
        <f>调整因子!$F$13</f>
        <v/>
      </c>
      <c r="S1613" s="70" t="n">
        <v>1</v>
      </c>
      <c r="T1613" s="144">
        <f>IFERROR(P1613*R1613,0)</f>
        <v/>
      </c>
      <c r="U1613" s="145">
        <f>T1613*S1613</f>
        <v/>
      </c>
      <c r="V1613" s="96" t="inlineStr">
        <is>
          <t>任务优先级配置表、模板参数配置表</t>
        </is>
      </c>
      <c r="W1613" s="96" t="inlineStr"/>
      <c r="X1613" s="111" t="inlineStr">
        <is>
          <t>任务优先级配置表{任务ID、任务名称、任务类型、任务状态、创建时间、执行时间|任务ID、任务名称、任务类型}
模板参数配置表{配置ID、配置名称、配置类型、配置值、创建时间|配置ID、配置名称、配置类型}</t>
        </is>
      </c>
      <c r="Y1613" s="88" t="n"/>
      <c r="Z1613" s="88" t="n"/>
    </row>
    <row r="1614" hidden="1" ht="21.6" customHeight="1">
      <c r="A1614" s="69">
        <f>ROW()-1</f>
        <v/>
      </c>
      <c r="B1614" s="53" t="n"/>
      <c r="C1614" s="117" t="n">
        <v>2026</v>
      </c>
      <c r="E1614" s="53" t="n"/>
      <c r="F1614" s="53" t="n"/>
      <c r="G1614" s="53" t="n"/>
      <c r="H1614" s="96" t="inlineStr">
        <is>
          <t>编辑监控指标</t>
        </is>
      </c>
      <c r="I1614" s="76" t="inlineStr">
        <is>
          <t>EI</t>
        </is>
      </c>
      <c r="J1614" s="95" t="n"/>
      <c r="K1614" s="95" t="n"/>
      <c r="L1614" s="83">
        <f>IF(OR(X1614="估算法",X1614="算法类",X1614="无法识别"),"",IF(V1614="",IF(OR(I1614="EI",I1614="EO",I1614="EQ"),0,""),LEN(V1614)-LEN(SUBSTITUTE(V1614,"、",""))+1))</f>
        <v/>
      </c>
      <c r="M1614" s="83">
        <f>IF(OR(X1614="估算法",X1614="算法类",X1614="无法识别"),"",IF(W1614="",IF(OR(I1614="ILF",I1614="EIF"),0,""),LEN(W1614)-LEN(SUBSTITUTE(W1614,"、",""))+1))</f>
        <v/>
      </c>
      <c r="N1614" s="83">
        <f>IF(OR(X1614="估算法",X1614="算法类",X1614="无法识别"),"",IF(X1614="",IF(OR(I1614="ILF",I1614="EIF",I1614="EI",I1614="EO",I1614="EQ"),0,""),LEN(X1614)-LEN(SUBSTITUTE(SUBSTITUTE(SUBSTITUTE(SUBSTITUTE(SUBSTITUTE(X1614,"|}","--"),"{|","--"),CHAR(10),""),"、",""),"|",""))+IF(AND(OR(I1614="EI",I1614="EO",I1614="EQ"),$AD$1="NESMA"),2,1)))</f>
        <v/>
      </c>
      <c r="O1614" s="84">
        <f>IF(I1614="EI",IF(OR(X1614="估算法",X1614="算法类"),"中",IF(X1614="无法识别","低",IF(L1614&lt;2,IF(N1614&lt;16,"低","中"),IF(L1614&lt;3,IF(N1614&lt;5,"低",IF(N1614&lt;16,"中","高")),IF(N1614&lt;5,"中","高"))))),IF(OR(I1614="EO",I1614="EQ"),IF(OR(X1614="估算法",X1614="算法类"),"中",IF(X1614="无法识别","低",IF(L1614&lt;2,IF(N1614&lt;20,"低","中"),IF(L1614&lt;4,IF(N1614&lt;6,"低",IF(N1614&lt;20,"中","高")),IF(N1614&lt;6,"中","高"))))),IF(OR(I1614="ILF",I1614="EIF"),IF(OR(X1614="估算法",X1614="算法类",X1614="无法识别"),"低",IF(M1614&lt;2,IF(N1614&lt;51,"低","中"),IF(M1614&lt;6,IF(N1614&lt;20,"低",IF(N1614&lt;51,"中","高")),IF(N1614&lt;20,"中","高")))),"不计算")))</f>
        <v/>
      </c>
      <c r="P1614" s="142">
        <f>IFERROR(IF(I1614="EI",IF(O1614="低",3,IF(O1614="中",4,6)),IF(I1614="EO",IF(O1614="低",4,IF(O1614="中",5,7)),IF(I1614="EQ",IF(O1614="低",3,IF(O1614="中",4,6)),IF(I1614="ILF",IF(O1614="低",7,IF(O1614="中",10,15)),IF(I1614="EIF",IF(O1614="低",5,IF(O1614="中",7,10)),"不计算")))))*Q1614,"不计算")</f>
        <v/>
      </c>
      <c r="Q1614" s="142" t="n">
        <v>1</v>
      </c>
      <c r="R1614" s="143">
        <f>调整因子!$F$13</f>
        <v/>
      </c>
      <c r="S1614" s="76" t="n">
        <v>1</v>
      </c>
      <c r="T1614" s="144">
        <f>IFERROR(P1614*R1614,0)</f>
        <v/>
      </c>
      <c r="U1614" s="145">
        <f>T1614*S1614</f>
        <v/>
      </c>
      <c r="V1614" s="96" t="inlineStr">
        <is>
          <t>任务队列表</t>
        </is>
      </c>
      <c r="W1614" s="96" t="inlineStr"/>
      <c r="X1614" s="111" t="inlineStr">
        <is>
          <t>任务队列表{任务ID、任务名称、任务类型、任务状态、创建时间、执行时间|任务ID、任务名称、任务类型}</t>
        </is>
      </c>
      <c r="Y1614" s="88" t="n"/>
      <c r="Z1614" s="88" t="n"/>
    </row>
    <row r="1615" hidden="1">
      <c r="A1615" s="69">
        <f>ROW()-1</f>
        <v/>
      </c>
      <c r="B1615" s="53" t="n"/>
      <c r="C1615" s="117" t="n">
        <v>2026</v>
      </c>
      <c r="E1615" s="53" t="n"/>
      <c r="F1615" s="53" t="n"/>
      <c r="G1615" s="53" t="n"/>
      <c r="H1615" s="96" t="inlineStr">
        <is>
          <t>删除监控指标</t>
        </is>
      </c>
      <c r="I1615" s="76" t="inlineStr">
        <is>
          <t>EI</t>
        </is>
      </c>
      <c r="J1615" s="95" t="n"/>
      <c r="K1615" s="95" t="n"/>
      <c r="L1615" s="83">
        <f>IF(OR(X1615="估算法",X1615="算法类",X1615="无法识别"),"",IF(V1615="",IF(OR(I1615="EI",I1615="EO",I1615="EQ"),0,""),LEN(V1615)-LEN(SUBSTITUTE(V1615,"、",""))+1))</f>
        <v/>
      </c>
      <c r="M1615" s="83">
        <f>IF(OR(X1615="估算法",X1615="算法类",X1615="无法识别"),"",IF(W1615="",IF(OR(I1615="ILF",I1615="EIF"),0,""),LEN(W1615)-LEN(SUBSTITUTE(W1615,"、",""))+1))</f>
        <v/>
      </c>
      <c r="N1615" s="83">
        <f>IF(OR(X1615="估算法",X1615="算法类",X1615="无法识别"),"",IF(X1615="",IF(OR(I1615="ILF",I1615="EIF",I1615="EI",I1615="EO",I1615="EQ"),0,""),LEN(X1615)-LEN(SUBSTITUTE(SUBSTITUTE(SUBSTITUTE(SUBSTITUTE(SUBSTITUTE(X1615,"|}","--"),"{|","--"),CHAR(10),""),"、",""),"|",""))+IF(AND(OR(I1615="EI",I1615="EO",I1615="EQ"),$AD$1="NESMA"),2,1)))</f>
        <v/>
      </c>
      <c r="O1615" s="84">
        <f>IF(I1615="EI",IF(OR(X1615="估算法",X1615="算法类"),"中",IF(X1615="无法识别","低",IF(L1615&lt;2,IF(N1615&lt;16,"低","中"),IF(L1615&lt;3,IF(N1615&lt;5,"低",IF(N1615&lt;16,"中","高")),IF(N1615&lt;5,"中","高"))))),IF(OR(I1615="EO",I1615="EQ"),IF(OR(X1615="估算法",X1615="算法类"),"中",IF(X1615="无法识别","低",IF(L1615&lt;2,IF(N1615&lt;20,"低","中"),IF(L1615&lt;4,IF(N1615&lt;6,"低",IF(N1615&lt;20,"中","高")),IF(N1615&lt;6,"中","高"))))),IF(OR(I1615="ILF",I1615="EIF"),IF(OR(X1615="估算法",X1615="算法类",X1615="无法识别"),"低",IF(M1615&lt;2,IF(N1615&lt;51,"低","中"),IF(M1615&lt;6,IF(N1615&lt;20,"低",IF(N1615&lt;51,"中","高")),IF(N1615&lt;20,"中","高")))),"不计算")))</f>
        <v/>
      </c>
      <c r="P1615" s="142">
        <f>IFERROR(IF(I1615="EI",IF(O1615="低",3,IF(O1615="中",4,6)),IF(I1615="EO",IF(O1615="低",4,IF(O1615="中",5,7)),IF(I1615="EQ",IF(O1615="低",3,IF(O1615="中",4,6)),IF(I1615="ILF",IF(O1615="低",7,IF(O1615="中",10,15)),IF(I1615="EIF",IF(O1615="低",5,IF(O1615="中",7,10)),"不计算")))))*Q1615,"不计算")</f>
        <v/>
      </c>
      <c r="Q1615" s="142" t="n">
        <v>0.333333333333333</v>
      </c>
      <c r="R1615" s="143">
        <f>调整因子!$F$13</f>
        <v/>
      </c>
      <c r="S1615" s="76" t="n">
        <v>1</v>
      </c>
      <c r="T1615" s="144">
        <f>IFERROR(P1615*R1615,0)</f>
        <v/>
      </c>
      <c r="U1615" s="145">
        <f>T1615*S1615</f>
        <v/>
      </c>
      <c r="V1615" s="96" t="inlineStr">
        <is>
          <t>报告模板表</t>
        </is>
      </c>
      <c r="W1615" s="96" t="inlineStr"/>
      <c r="X1615" s="111" t="inlineStr">
        <is>
          <t>报告模板表{ID、名称、类型、状态、创建时间、更新时间|ID、名称、类型}</t>
        </is>
      </c>
      <c r="Y1615" s="88" t="n"/>
      <c r="Z1615" s="88" t="n"/>
    </row>
    <row r="1616" hidden="1" ht="21.6" customHeight="1">
      <c r="A1616" s="69">
        <f>ROW()-1</f>
        <v/>
      </c>
      <c r="B1616" s="53" t="n"/>
      <c r="C1616" s="117" t="n">
        <v>2026</v>
      </c>
      <c r="E1616" s="53" t="n"/>
      <c r="F1616" s="53" t="n"/>
      <c r="G1616" s="53" t="n"/>
      <c r="H1616" s="96" t="inlineStr">
        <is>
          <t>启用监控指标</t>
        </is>
      </c>
      <c r="I1616" s="76" t="inlineStr">
        <is>
          <t>EI</t>
        </is>
      </c>
      <c r="J1616" s="95" t="n"/>
      <c r="K1616" s="95" t="n"/>
      <c r="L1616" s="83">
        <f>IF(OR(X1616="估算法",X1616="算法类",X1616="无法识别"),"",IF(V1616="",IF(OR(I1616="EI",I1616="EO",I1616="EQ"),0,""),LEN(V1616)-LEN(SUBSTITUTE(V1616,"、",""))+1))</f>
        <v/>
      </c>
      <c r="M1616" s="83">
        <f>IF(OR(X1616="估算法",X1616="算法类",X1616="无法识别"),"",IF(W1616="",IF(OR(I1616="ILF",I1616="EIF"),0,""),LEN(W1616)-LEN(SUBSTITUTE(W1616,"、",""))+1))</f>
        <v/>
      </c>
      <c r="N1616" s="83">
        <f>IF(OR(X1616="估算法",X1616="算法类",X1616="无法识别"),"",IF(X1616="",IF(OR(I1616="ILF",I1616="EIF",I1616="EI",I1616="EO",I1616="EQ"),0,""),LEN(X1616)-LEN(SUBSTITUTE(SUBSTITUTE(SUBSTITUTE(SUBSTITUTE(SUBSTITUTE(X1616,"|}","--"),"{|","--"),CHAR(10),""),"、",""),"|",""))+IF(AND(OR(I1616="EI",I1616="EO",I1616="EQ"),$AD$1="NESMA"),2,1)))</f>
        <v/>
      </c>
      <c r="O1616" s="84">
        <f>IF(I1616="EI",IF(OR(X1616="估算法",X1616="算法类"),"中",IF(X1616="无法识别","低",IF(L1616&lt;2,IF(N1616&lt;16,"低","中"),IF(L1616&lt;3,IF(N1616&lt;5,"低",IF(N1616&lt;16,"中","高")),IF(N1616&lt;5,"中","高"))))),IF(OR(I1616="EO",I1616="EQ"),IF(OR(X1616="估算法",X1616="算法类"),"中",IF(X1616="无法识别","低",IF(L1616&lt;2,IF(N1616&lt;20,"低","中"),IF(L1616&lt;4,IF(N1616&lt;6,"低",IF(N1616&lt;20,"中","高")),IF(N1616&lt;6,"中","高"))))),IF(OR(I1616="ILF",I1616="EIF"),IF(OR(X1616="估算法",X1616="算法类",X1616="无法识别"),"低",IF(M1616&lt;2,IF(N1616&lt;51,"低","中"),IF(M1616&lt;6,IF(N1616&lt;20,"低",IF(N1616&lt;51,"中","高")),IF(N1616&lt;20,"中","高")))),"不计算")))</f>
        <v/>
      </c>
      <c r="P1616" s="142">
        <f>IFERROR(IF(I1616="EI",IF(O1616="低",3,IF(O1616="中",4,6)),IF(I1616="EO",IF(O1616="低",4,IF(O1616="中",5,7)),IF(I1616="EQ",IF(O1616="低",3,IF(O1616="中",4,6)),IF(I1616="ILF",IF(O1616="低",7,IF(O1616="中",10,15)),IF(I1616="EIF",IF(O1616="低",5,IF(O1616="中",7,10)),"不计算")))))*Q1616,"不计算")</f>
        <v/>
      </c>
      <c r="Q1616" s="142" t="n">
        <v>1</v>
      </c>
      <c r="R1616" s="143">
        <f>调整因子!$F$13</f>
        <v/>
      </c>
      <c r="S1616" s="70" t="n">
        <v>1</v>
      </c>
      <c r="T1616" s="144">
        <f>IFERROR(P1616*R1616,0)</f>
        <v/>
      </c>
      <c r="U1616" s="145">
        <f>T1616*S1616</f>
        <v/>
      </c>
      <c r="V1616" s="96" t="inlineStr">
        <is>
          <t>任务趋势分析表</t>
        </is>
      </c>
      <c r="W1616" s="96" t="inlineStr"/>
      <c r="X1616" s="111" t="inlineStr">
        <is>
          <t>任务趋势分析表{任务ID、任务名称、任务类型、任务状态、创建时间、执行时间|任务ID、任务名称、任务类型}</t>
        </is>
      </c>
      <c r="Y1616" s="88" t="n"/>
      <c r="Z1616" s="88" t="n"/>
    </row>
    <row r="1617" hidden="1" ht="21.6" customHeight="1">
      <c r="A1617" s="69">
        <f>ROW()-1</f>
        <v/>
      </c>
      <c r="B1617" s="53" t="n"/>
      <c r="C1617" s="117" t="n">
        <v>2026</v>
      </c>
      <c r="E1617" s="53" t="n"/>
      <c r="F1617" s="53" t="n"/>
      <c r="G1617" s="53" t="n"/>
      <c r="H1617" s="96" t="inlineStr">
        <is>
          <t>停用监控指标</t>
        </is>
      </c>
      <c r="I1617" s="76" t="n"/>
      <c r="J1617" s="95" t="n"/>
      <c r="K1617" s="95" t="inlineStr">
        <is>
          <t>和上行合并，启停为相同功能</t>
        </is>
      </c>
      <c r="L1617" s="83">
        <f>IF(OR(X1617="估算法",X1617="算法类",X1617="无法识别"),"",IF(V1617="",IF(OR(I1617="EI",I1617="EO",I1617="EQ"),0,""),LEN(V1617)-LEN(SUBSTITUTE(V1617,"、",""))+1))</f>
        <v/>
      </c>
      <c r="M1617" s="83">
        <f>IF(OR(X1617="估算法",X1617="算法类",X1617="无法识别"),"",IF(W1617="",IF(OR(I1617="ILF",I1617="EIF"),0,""),LEN(W1617)-LEN(SUBSTITUTE(W1617,"、",""))+1))</f>
        <v/>
      </c>
      <c r="N1617" s="83">
        <f>IF(OR(X1617="估算法",X1617="算法类",X1617="无法识别"),"",IF(X1617="",IF(OR(I1617="ILF",I1617="EIF",I1617="EI",I1617="EO",I1617="EQ"),0,""),LEN(X1617)-LEN(SUBSTITUTE(SUBSTITUTE(SUBSTITUTE(SUBSTITUTE(SUBSTITUTE(X1617,"|}","--"),"{|","--"),CHAR(10),""),"、",""),"|",""))+IF(AND(OR(I1617="EI",I1617="EO",I1617="EQ"),$AD$1="NESMA"),2,1)))</f>
        <v/>
      </c>
      <c r="O1617" s="84">
        <f>IF(I1617="EI",IF(OR(X1617="估算法",X1617="算法类"),"中",IF(X1617="无法识别","低",IF(L1617&lt;2,IF(N1617&lt;16,"低","中"),IF(L1617&lt;3,IF(N1617&lt;5,"低",IF(N1617&lt;16,"中","高")),IF(N1617&lt;5,"中","高"))))),IF(OR(I1617="EO",I1617="EQ"),IF(OR(X1617="估算法",X1617="算法类"),"中",IF(X1617="无法识别","低",IF(L1617&lt;2,IF(N1617&lt;20,"低","中"),IF(L1617&lt;4,IF(N1617&lt;6,"低",IF(N1617&lt;20,"中","高")),IF(N1617&lt;6,"中","高"))))),IF(OR(I1617="ILF",I1617="EIF"),IF(OR(X1617="估算法",X1617="算法类",X1617="无法识别"),"低",IF(M1617&lt;2,IF(N1617&lt;51,"低","中"),IF(M1617&lt;6,IF(N1617&lt;20,"低",IF(N1617&lt;51,"中","高")),IF(N1617&lt;20,"中","高")))),"不计算")))</f>
        <v/>
      </c>
      <c r="P1617" s="142">
        <f>IFERROR(IF(I1617="EI",IF(O1617="低",3,IF(O1617="中",4,6)),IF(I1617="EO",IF(O1617="低",4,IF(O1617="中",5,7)),IF(I1617="EQ",IF(O1617="低",3,IF(O1617="中",4,6)),IF(I1617="ILF",IF(O1617="低",7,IF(O1617="中",10,15)),IF(I1617="EIF",IF(O1617="低",5,IF(O1617="中",7,10)),"不计算")))))*Q1617,"不计算")</f>
        <v/>
      </c>
      <c r="Q1617" s="142" t="n">
        <v>1</v>
      </c>
      <c r="R1617" s="143">
        <f>调整因子!$F$13</f>
        <v/>
      </c>
      <c r="S1617" s="70" t="n">
        <v>1</v>
      </c>
      <c r="T1617" s="144">
        <f>IFERROR(P1617*R1617,0)</f>
        <v/>
      </c>
      <c r="U1617" s="145">
        <f>T1617*S1617</f>
        <v/>
      </c>
      <c r="V1617" s="96" t="inlineStr">
        <is>
          <t>验证配置表</t>
        </is>
      </c>
      <c r="W1617" s="96" t="inlineStr"/>
      <c r="X1617" s="111" t="inlineStr">
        <is>
          <t>验证配置表{配置ID、配置名称、配置类型、配置值、创建时间|配置ID、配置名称、配置类型}</t>
        </is>
      </c>
      <c r="Y1617" s="88" t="n"/>
      <c r="Z1617" s="88" t="n"/>
    </row>
    <row r="1618" hidden="1" ht="21.6" customHeight="1">
      <c r="A1618" s="69">
        <f>ROW()-1</f>
        <v/>
      </c>
      <c r="B1618" s="53" t="n"/>
      <c r="C1618" s="117" t="n">
        <v>2026</v>
      </c>
      <c r="E1618" s="53" t="n"/>
      <c r="F1618" s="53" t="n"/>
      <c r="G1618" s="53" t="n"/>
      <c r="H1618" s="96" t="inlineStr">
        <is>
          <t>配置指标阈值</t>
        </is>
      </c>
      <c r="I1618" s="76" t="inlineStr">
        <is>
          <t>EI</t>
        </is>
      </c>
      <c r="J1618" s="95" t="n"/>
      <c r="K1618" s="95" t="n"/>
      <c r="L1618" s="83">
        <f>IF(OR(X1618="估算法",X1618="算法类",X1618="无法识别"),"",IF(V1618="",IF(OR(I1618="EI",I1618="EO",I1618="EQ"),0,""),LEN(V1618)-LEN(SUBSTITUTE(V1618,"、",""))+1))</f>
        <v/>
      </c>
      <c r="M1618" s="83">
        <f>IF(OR(X1618="估算法",X1618="算法类",X1618="无法识别"),"",IF(W1618="",IF(OR(I1618="ILF",I1618="EIF"),0,""),LEN(W1618)-LEN(SUBSTITUTE(W1618,"、",""))+1))</f>
        <v/>
      </c>
      <c r="N1618" s="83">
        <f>IF(OR(X1618="估算法",X1618="算法类",X1618="无法识别"),"",IF(X1618="",IF(OR(I1618="ILF",I1618="EIF",I1618="EI",I1618="EO",I1618="EQ"),0,""),LEN(X1618)-LEN(SUBSTITUTE(SUBSTITUTE(SUBSTITUTE(SUBSTITUTE(SUBSTITUTE(X1618,"|}","--"),"{|","--"),CHAR(10),""),"、",""),"|",""))+IF(AND(OR(I1618="EI",I1618="EO",I1618="EQ"),$AD$1="NESMA"),2,1)))</f>
        <v/>
      </c>
      <c r="O1618" s="84">
        <f>IF(I1618="EI",IF(OR(X1618="估算法",X1618="算法类"),"中",IF(X1618="无法识别","低",IF(L1618&lt;2,IF(N1618&lt;16,"低","中"),IF(L1618&lt;3,IF(N1618&lt;5,"低",IF(N1618&lt;16,"中","高")),IF(N1618&lt;5,"中","高"))))),IF(OR(I1618="EO",I1618="EQ"),IF(OR(X1618="估算法",X1618="算法类"),"中",IF(X1618="无法识别","低",IF(L1618&lt;2,IF(N1618&lt;20,"低","中"),IF(L1618&lt;4,IF(N1618&lt;6,"低",IF(N1618&lt;20,"中","高")),IF(N1618&lt;6,"中","高"))))),IF(OR(I1618="ILF",I1618="EIF"),IF(OR(X1618="估算法",X1618="算法类",X1618="无法识别"),"低",IF(M1618&lt;2,IF(N1618&lt;51,"低","中"),IF(M1618&lt;6,IF(N1618&lt;20,"低",IF(N1618&lt;51,"中","高")),IF(N1618&lt;20,"中","高")))),"不计算")))</f>
        <v/>
      </c>
      <c r="P1618" s="142">
        <f>IFERROR(IF(I1618="EI",IF(O1618="低",3,IF(O1618="中",4,6)),IF(I1618="EO",IF(O1618="低",4,IF(O1618="中",5,7)),IF(I1618="EQ",IF(O1618="低",3,IF(O1618="中",4,6)),IF(I1618="ILF",IF(O1618="低",7,IF(O1618="中",10,15)),IF(I1618="EIF",IF(O1618="低",5,IF(O1618="中",7,10)),"不计算")))))*Q1618,"不计算")</f>
        <v/>
      </c>
      <c r="Q1618" s="142" t="n">
        <v>1</v>
      </c>
      <c r="R1618" s="143">
        <f>调整因子!$F$13</f>
        <v/>
      </c>
      <c r="S1618" s="76" t="n">
        <v>1</v>
      </c>
      <c r="T1618" s="144">
        <f>IFERROR(P1618*R1618,0)</f>
        <v/>
      </c>
      <c r="U1618" s="145">
        <f>T1618*S1618</f>
        <v/>
      </c>
      <c r="V1618" s="96" t="inlineStr">
        <is>
          <t>任务优先级配置表</t>
        </is>
      </c>
      <c r="W1618" s="96" t="inlineStr"/>
      <c r="X1618" s="111" t="inlineStr">
        <is>
          <t>任务优先级配置表{任务ID、任务名称、任务类型、任务状态、创建时间、执行时间|任务ID、任务名称、任务类型}</t>
        </is>
      </c>
      <c r="Y1618" s="88" t="n"/>
      <c r="Z1618" s="88" t="n"/>
    </row>
    <row r="1619" hidden="1" ht="21.6" customHeight="1">
      <c r="A1619" s="69">
        <f>ROW()-1</f>
        <v/>
      </c>
      <c r="B1619" s="53" t="n"/>
      <c r="C1619" s="117" t="n">
        <v>2026</v>
      </c>
      <c r="E1619" s="53" t="n"/>
      <c r="F1619" s="53" t="n"/>
      <c r="G1619" s="53" t="n"/>
      <c r="H1619" s="96" t="inlineStr">
        <is>
          <t>导出指标配置</t>
        </is>
      </c>
      <c r="I1619" s="76" t="inlineStr">
        <is>
          <t>EO</t>
        </is>
      </c>
      <c r="J1619" s="95" t="n"/>
      <c r="K1619" s="95" t="n"/>
      <c r="L1619" s="83">
        <f>IF(OR(X1619="估算法",X1619="算法类",X1619="无法识别"),"",IF(V1619="",IF(OR(I1619="EI",I1619="EO",I1619="EQ"),0,""),LEN(V1619)-LEN(SUBSTITUTE(V1619,"、",""))+1))</f>
        <v/>
      </c>
      <c r="M1619" s="83">
        <f>IF(OR(X1619="估算法",X1619="算法类",X1619="无法识别"),"",IF(W1619="",IF(OR(I1619="ILF",I1619="EIF"),0,""),LEN(W1619)-LEN(SUBSTITUTE(W1619,"、",""))+1))</f>
        <v/>
      </c>
      <c r="N1619" s="83">
        <f>IF(OR(X1619="估算法",X1619="算法类",X1619="无法识别"),"",IF(X1619="",IF(OR(I1619="ILF",I1619="EIF",I1619="EI",I1619="EO",I1619="EQ"),0,""),LEN(X1619)-LEN(SUBSTITUTE(SUBSTITUTE(SUBSTITUTE(SUBSTITUTE(SUBSTITUTE(X1619,"|}","--"),"{|","--"),CHAR(10),""),"、",""),"|",""))+IF(AND(OR(I1619="EI",I1619="EO",I1619="EQ"),$AD$1="NESMA"),2,1)))</f>
        <v/>
      </c>
      <c r="O1619" s="84">
        <f>IF(I1619="EI",IF(OR(X1619="估算法",X1619="算法类"),"中",IF(X1619="无法识别","低",IF(L1619&lt;2,IF(N1619&lt;16,"低","中"),IF(L1619&lt;3,IF(N1619&lt;5,"低",IF(N1619&lt;16,"中","高")),IF(N1619&lt;5,"中","高"))))),IF(OR(I1619="EO",I1619="EQ"),IF(OR(X1619="估算法",X1619="算法类"),"中",IF(X1619="无法识别","低",IF(L1619&lt;2,IF(N1619&lt;20,"低","中"),IF(L1619&lt;4,IF(N1619&lt;6,"低",IF(N1619&lt;20,"中","高")),IF(N1619&lt;6,"中","高"))))),IF(OR(I1619="ILF",I1619="EIF"),IF(OR(X1619="估算法",X1619="算法类",X1619="无法识别"),"低",IF(M1619&lt;2,IF(N1619&lt;51,"低","中"),IF(M1619&lt;6,IF(N1619&lt;20,"低",IF(N1619&lt;51,"中","高")),IF(N1619&lt;20,"中","高")))),"不计算")))</f>
        <v/>
      </c>
      <c r="P1619" s="142">
        <f>IFERROR(IF(I1619="EI",IF(O1619="低",3,IF(O1619="中",4,6)),IF(I1619="EO",IF(O1619="低",4,IF(O1619="中",5,7)),IF(I1619="EQ",IF(O1619="低",3,IF(O1619="中",4,6)),IF(I1619="ILF",IF(O1619="低",7,IF(O1619="中",10,15)),IF(I1619="EIF",IF(O1619="低",5,IF(O1619="中",7,10)),"不计算")))))*Q1619,"不计算")</f>
        <v/>
      </c>
      <c r="Q1619" s="142" t="n">
        <v>1</v>
      </c>
      <c r="R1619" s="143">
        <f>调整因子!$F$13</f>
        <v/>
      </c>
      <c r="S1619" s="70" t="n">
        <v>1</v>
      </c>
      <c r="T1619" s="144">
        <f>IFERROR(P1619*R1619,0)</f>
        <v/>
      </c>
      <c r="U1619" s="145">
        <f>T1619*S1619</f>
        <v/>
      </c>
      <c r="V1619" s="96" t="inlineStr">
        <is>
          <t>任务优先级配置表</t>
        </is>
      </c>
      <c r="W1619" s="96" t="inlineStr"/>
      <c r="X1619" s="111" t="inlineStr">
        <is>
          <t>任务优先级配置表{任务ID、任务名称|任务ID、任务名称、任务类型、任务状态、创建时间、执行时间}</t>
        </is>
      </c>
      <c r="Y1619" s="88" t="n"/>
      <c r="Z1619" s="88" t="n"/>
    </row>
    <row r="1620" hidden="1">
      <c r="A1620" s="69">
        <f>ROW()-1</f>
        <v/>
      </c>
      <c r="B1620" s="53" t="n"/>
      <c r="C1620" s="117" t="n">
        <v>2026</v>
      </c>
      <c r="E1620" s="53" t="n"/>
      <c r="F1620" s="53" t="n"/>
      <c r="G1620" s="53" t="n"/>
      <c r="H1620" s="96" t="inlineStr">
        <is>
          <t>查询指标列表</t>
        </is>
      </c>
      <c r="I1620" s="76" t="inlineStr">
        <is>
          <t>EQ</t>
        </is>
      </c>
      <c r="J1620" s="95" t="n"/>
      <c r="K1620" s="95" t="n"/>
      <c r="L1620" s="83">
        <f>IF(OR(X1620="估算法",X1620="算法类",X1620="无法识别"),"",IF(V1620="",IF(OR(I1620="EI",I1620="EO",I1620="EQ"),0,""),LEN(V1620)-LEN(SUBSTITUTE(V1620,"、",""))+1))</f>
        <v/>
      </c>
      <c r="M1620" s="83">
        <f>IF(OR(X1620="估算法",X1620="算法类",X1620="无法识别"),"",IF(W1620="",IF(OR(I1620="ILF",I1620="EIF"),0,""),LEN(W1620)-LEN(SUBSTITUTE(W1620,"、",""))+1))</f>
        <v/>
      </c>
      <c r="N1620" s="83">
        <f>IF(OR(X1620="估算法",X1620="算法类",X1620="无法识别"),"",IF(X1620="",IF(OR(I1620="ILF",I1620="EIF",I1620="EI",I1620="EO",I1620="EQ"),0,""),LEN(X1620)-LEN(SUBSTITUTE(SUBSTITUTE(SUBSTITUTE(SUBSTITUTE(SUBSTITUTE(X1620,"|}","--"),"{|","--"),CHAR(10),""),"、",""),"|",""))+IF(AND(OR(I1620="EI",I1620="EO",I1620="EQ"),$AD$1="NESMA"),2,1)))</f>
        <v/>
      </c>
      <c r="O1620" s="84">
        <f>IF(I1620="EI",IF(OR(X1620="估算法",X1620="算法类"),"中",IF(X1620="无法识别","低",IF(L1620&lt;2,IF(N1620&lt;16,"低","中"),IF(L1620&lt;3,IF(N1620&lt;5,"低",IF(N1620&lt;16,"中","高")),IF(N1620&lt;5,"中","高"))))),IF(OR(I1620="EO",I1620="EQ"),IF(OR(X1620="估算法",X1620="算法类"),"中",IF(X1620="无法识别","低",IF(L1620&lt;2,IF(N1620&lt;20,"低","中"),IF(L1620&lt;4,IF(N1620&lt;6,"低",IF(N1620&lt;20,"中","高")),IF(N1620&lt;6,"中","高"))))),IF(OR(I1620="ILF",I1620="EIF"),IF(OR(X1620="估算法",X1620="算法类",X1620="无法识别"),"低",IF(M1620&lt;2,IF(N1620&lt;51,"低","中"),IF(M1620&lt;6,IF(N1620&lt;20,"低",IF(N1620&lt;51,"中","高")),IF(N1620&lt;20,"中","高")))),"不计算")))</f>
        <v/>
      </c>
      <c r="P1620" s="142">
        <f>IFERROR(IF(I1620="EI",IF(O1620="低",3,IF(O1620="中",4,6)),IF(I1620="EO",IF(O1620="低",4,IF(O1620="中",5,7)),IF(I1620="EQ",IF(O1620="低",3,IF(O1620="中",4,6)),IF(I1620="ILF",IF(O1620="低",7,IF(O1620="中",10,15)),IF(I1620="EIF",IF(O1620="低",5,IF(O1620="中",7,10)),"不计算")))))*Q1620,"不计算")</f>
        <v/>
      </c>
      <c r="Q1620" s="142" t="n">
        <v>1</v>
      </c>
      <c r="R1620" s="143">
        <f>调整因子!$F$13</f>
        <v/>
      </c>
      <c r="S1620" s="70" t="n">
        <v>1</v>
      </c>
      <c r="T1620" s="144">
        <f>IFERROR(P1620*R1620,0)</f>
        <v/>
      </c>
      <c r="U1620" s="145">
        <f>T1620*S1620</f>
        <v/>
      </c>
      <c r="V1620" s="96" t="inlineStr">
        <is>
          <t>性能数据表</t>
        </is>
      </c>
      <c r="W1620" s="96" t="inlineStr"/>
      <c r="X1620" s="111" t="inlineStr">
        <is>
          <t>性能数据表{ID、名称|ID、名称、类型、状态、创建时间、更新时间}</t>
        </is>
      </c>
      <c r="Y1620" s="88" t="n"/>
      <c r="Z1620" s="88" t="n"/>
    </row>
    <row r="1621" hidden="1">
      <c r="A1621" s="69">
        <f>ROW()-1</f>
        <v/>
      </c>
      <c r="B1621" s="53" t="n"/>
      <c r="C1621" s="117" t="n">
        <v>2026</v>
      </c>
      <c r="E1621" s="53" t="n"/>
      <c r="F1621" s="53" t="n"/>
      <c r="G1621" s="54" t="n"/>
      <c r="H1621" s="96" t="inlineStr">
        <is>
          <t>查看指标详情</t>
        </is>
      </c>
      <c r="I1621" s="76" t="inlineStr">
        <is>
          <t>EQ</t>
        </is>
      </c>
      <c r="J1621" s="95" t="n"/>
      <c r="K1621" s="95" t="n"/>
      <c r="L1621" s="83">
        <f>IF(OR(X1621="估算法",X1621="算法类",X1621="无法识别"),"",IF(V1621="",IF(OR(I1621="EI",I1621="EO",I1621="EQ"),0,""),LEN(V1621)-LEN(SUBSTITUTE(V1621,"、",""))+1))</f>
        <v/>
      </c>
      <c r="M1621" s="83">
        <f>IF(OR(X1621="估算法",X1621="算法类",X1621="无法识别"),"",IF(W1621="",IF(OR(I1621="ILF",I1621="EIF"),0,""),LEN(W1621)-LEN(SUBSTITUTE(W1621,"、",""))+1))</f>
        <v/>
      </c>
      <c r="N1621" s="83">
        <f>IF(OR(X1621="估算法",X1621="算法类",X1621="无法识别"),"",IF(X1621="",IF(OR(I1621="ILF",I1621="EIF",I1621="EI",I1621="EO",I1621="EQ"),0,""),LEN(X1621)-LEN(SUBSTITUTE(SUBSTITUTE(SUBSTITUTE(SUBSTITUTE(SUBSTITUTE(X1621,"|}","--"),"{|","--"),CHAR(10),""),"、",""),"|",""))+IF(AND(OR(I1621="EI",I1621="EO",I1621="EQ"),$AD$1="NESMA"),2,1)))</f>
        <v/>
      </c>
      <c r="O1621" s="84">
        <f>IF(I1621="EI",IF(OR(X1621="估算法",X1621="算法类"),"中",IF(X1621="无法识别","低",IF(L1621&lt;2,IF(N1621&lt;16,"低","中"),IF(L1621&lt;3,IF(N1621&lt;5,"低",IF(N1621&lt;16,"中","高")),IF(N1621&lt;5,"中","高"))))),IF(OR(I1621="EO",I1621="EQ"),IF(OR(X1621="估算法",X1621="算法类"),"中",IF(X1621="无法识别","低",IF(L1621&lt;2,IF(N1621&lt;20,"低","中"),IF(L1621&lt;4,IF(N1621&lt;6,"低",IF(N1621&lt;20,"中","高")),IF(N1621&lt;6,"中","高"))))),IF(OR(I1621="ILF",I1621="EIF"),IF(OR(X1621="估算法",X1621="算法类",X1621="无法识别"),"低",IF(M1621&lt;2,IF(N1621&lt;51,"低","中"),IF(M1621&lt;6,IF(N1621&lt;20,"低",IF(N1621&lt;51,"中","高")),IF(N1621&lt;20,"中","高")))),"不计算")))</f>
        <v/>
      </c>
      <c r="P1621" s="142">
        <f>IFERROR(IF(I1621="EI",IF(O1621="低",3,IF(O1621="中",4,6)),IF(I1621="EO",IF(O1621="低",4,IF(O1621="中",5,7)),IF(I1621="EQ",IF(O1621="低",3,IF(O1621="中",4,6)),IF(I1621="ILF",IF(O1621="低",7,IF(O1621="中",10,15)),IF(I1621="EIF",IF(O1621="低",5,IF(O1621="中",7,10)),"不计算")))))*Q1621,"不计算")</f>
        <v/>
      </c>
      <c r="Q1621" s="142" t="n">
        <v>1</v>
      </c>
      <c r="R1621" s="143">
        <f>调整因子!$F$13</f>
        <v/>
      </c>
      <c r="S1621" s="76" t="n">
        <v>1</v>
      </c>
      <c r="T1621" s="144">
        <f>IFERROR(P1621*R1621,0)</f>
        <v/>
      </c>
      <c r="U1621" s="145">
        <f>T1621*S1621</f>
        <v/>
      </c>
      <c r="V1621" s="96" t="inlineStr">
        <is>
          <t>脱敏规则表</t>
        </is>
      </c>
      <c r="W1621" s="96" t="inlineStr"/>
      <c r="X1621" s="111" t="inlineStr">
        <is>
          <t>脱敏规则表{规则ID、规则名称|规则ID、规则名称、规则类型、规则条件、创建时间}</t>
        </is>
      </c>
      <c r="Y1621" s="88" t="n"/>
      <c r="Z1621" s="88" t="n"/>
    </row>
    <row r="1622" hidden="1" ht="21.6" customHeight="1">
      <c r="A1622" s="69">
        <f>ROW()-1</f>
        <v/>
      </c>
      <c r="B1622" s="53" t="n"/>
      <c r="C1622" s="117" t="n">
        <v>2026</v>
      </c>
      <c r="E1622" s="53" t="n"/>
      <c r="F1622" s="53" t="n"/>
      <c r="G1622" s="111" t="inlineStr">
        <is>
          <t>实时监控管理</t>
        </is>
      </c>
      <c r="H1622" s="96" t="inlineStr">
        <is>
          <t>启用实时监控</t>
        </is>
      </c>
      <c r="I1622" s="76" t="inlineStr">
        <is>
          <t>EI</t>
        </is>
      </c>
      <c r="J1622" s="95" t="n"/>
      <c r="K1622" s="95" t="n"/>
      <c r="L1622" s="83">
        <f>IF(OR(X1622="估算法",X1622="算法类",X1622="无法识别"),"",IF(V1622="",IF(OR(I1622="EI",I1622="EO",I1622="EQ"),0,""),LEN(V1622)-LEN(SUBSTITUTE(V1622,"、",""))+1))</f>
        <v/>
      </c>
      <c r="M1622" s="83">
        <f>IF(OR(X1622="估算法",X1622="算法类",X1622="无法识别"),"",IF(W1622="",IF(OR(I1622="ILF",I1622="EIF"),0,""),LEN(W1622)-LEN(SUBSTITUTE(W1622,"、",""))+1))</f>
        <v/>
      </c>
      <c r="N1622" s="83">
        <f>IF(OR(X1622="估算法",X1622="算法类",X1622="无法识别"),"",IF(X1622="",IF(OR(I1622="ILF",I1622="EIF",I1622="EI",I1622="EO",I1622="EQ"),0,""),LEN(X1622)-LEN(SUBSTITUTE(SUBSTITUTE(SUBSTITUTE(SUBSTITUTE(SUBSTITUTE(X1622,"|}","--"),"{|","--"),CHAR(10),""),"、",""),"|",""))+IF(AND(OR(I1622="EI",I1622="EO",I1622="EQ"),$AD$1="NESMA"),2,1)))</f>
        <v/>
      </c>
      <c r="O1622" s="84">
        <f>IF(I1622="EI",IF(OR(X1622="估算法",X1622="算法类"),"中",IF(X1622="无法识别","低",IF(L1622&lt;2,IF(N1622&lt;16,"低","中"),IF(L1622&lt;3,IF(N1622&lt;5,"低",IF(N1622&lt;16,"中","高")),IF(N1622&lt;5,"中","高"))))),IF(OR(I1622="EO",I1622="EQ"),IF(OR(X1622="估算法",X1622="算法类"),"中",IF(X1622="无法识别","低",IF(L1622&lt;2,IF(N1622&lt;20,"低","中"),IF(L1622&lt;4,IF(N1622&lt;6,"低",IF(N1622&lt;20,"中","高")),IF(N1622&lt;6,"中","高"))))),IF(OR(I1622="ILF",I1622="EIF"),IF(OR(X1622="估算法",X1622="算法类",X1622="无法识别"),"低",IF(M1622&lt;2,IF(N1622&lt;51,"低","中"),IF(M1622&lt;6,IF(N1622&lt;20,"低",IF(N1622&lt;51,"中","高")),IF(N1622&lt;20,"中","高")))),"不计算")))</f>
        <v/>
      </c>
      <c r="P1622" s="142">
        <f>IFERROR(IF(I1622="EI",IF(O1622="低",3,IF(O1622="中",4,6)),IF(I1622="EO",IF(O1622="低",4,IF(O1622="中",5,7)),IF(I1622="EQ",IF(O1622="低",3,IF(O1622="中",4,6)),IF(I1622="ILF",IF(O1622="低",7,IF(O1622="中",10,15)),IF(I1622="EIF",IF(O1622="低",5,IF(O1622="中",7,10)),"不计算")))))*Q1622,"不计算")</f>
        <v/>
      </c>
      <c r="Q1622" s="142" t="n">
        <v>1</v>
      </c>
      <c r="R1622" s="143">
        <f>调整因子!$F$13</f>
        <v/>
      </c>
      <c r="S1622" s="76" t="n">
        <v>1</v>
      </c>
      <c r="T1622" s="144">
        <f>IFERROR(P1622*R1622,0)</f>
        <v/>
      </c>
      <c r="U1622" s="145">
        <f>T1622*S1622</f>
        <v/>
      </c>
      <c r="V1622" s="96" t="inlineStr">
        <is>
          <t>采集任务配置表</t>
        </is>
      </c>
      <c r="W1622" s="96" t="inlineStr"/>
      <c r="X1622" s="111" t="inlineStr">
        <is>
          <t>采集任务配置表{任务ID、任务名称、任务类型、任务状态、创建时间、执行时间|任务ID、任务名称、任务类型}</t>
        </is>
      </c>
      <c r="Y1622" s="88" t="n"/>
      <c r="Z1622" s="88" t="n"/>
    </row>
    <row r="1623" hidden="1" ht="43.2" customHeight="1">
      <c r="A1623" s="69">
        <f>ROW()-1</f>
        <v/>
      </c>
      <c r="B1623" s="53" t="n"/>
      <c r="C1623" s="117" t="n">
        <v>2026</v>
      </c>
      <c r="E1623" s="53" t="n"/>
      <c r="F1623" s="53" t="n"/>
      <c r="G1623" s="53" t="n"/>
      <c r="H1623" s="96" t="inlineStr">
        <is>
          <t>停用实时监控</t>
        </is>
      </c>
      <c r="I1623" s="76" t="n"/>
      <c r="J1623" s="95" t="n"/>
      <c r="K1623" s="95" t="inlineStr">
        <is>
          <t>和上行合并，启停为相同功能</t>
        </is>
      </c>
      <c r="L1623" s="83">
        <f>IF(OR(X1623="估算法",X1623="算法类",X1623="无法识别"),"",IF(V1623="",IF(OR(I1623="EI",I1623="EO",I1623="EQ"),0,""),LEN(V1623)-LEN(SUBSTITUTE(V1623,"、",""))+1))</f>
        <v/>
      </c>
      <c r="M1623" s="83">
        <f>IF(OR(X1623="估算法",X1623="算法类",X1623="无法识别"),"",IF(W1623="",IF(OR(I1623="ILF",I1623="EIF"),0,""),LEN(W1623)-LEN(SUBSTITUTE(W1623,"、",""))+1))</f>
        <v/>
      </c>
      <c r="N1623" s="83">
        <f>IF(OR(X1623="估算法",X1623="算法类",X1623="无法识别"),"",IF(X1623="",IF(OR(I1623="ILF",I1623="EIF",I1623="EI",I1623="EO",I1623="EQ"),0,""),LEN(X1623)-LEN(SUBSTITUTE(SUBSTITUTE(SUBSTITUTE(SUBSTITUTE(SUBSTITUTE(X1623,"|}","--"),"{|","--"),CHAR(10),""),"、",""),"|",""))+IF(AND(OR(I1623="EI",I1623="EO",I1623="EQ"),$AD$1="NESMA"),2,1)))</f>
        <v/>
      </c>
      <c r="O1623" s="84">
        <f>IF(I1623="EI",IF(OR(X1623="估算法",X1623="算法类"),"中",IF(X1623="无法识别","低",IF(L1623&lt;2,IF(N1623&lt;16,"低","中"),IF(L1623&lt;3,IF(N1623&lt;5,"低",IF(N1623&lt;16,"中","高")),IF(N1623&lt;5,"中","高"))))),IF(OR(I1623="EO",I1623="EQ"),IF(OR(X1623="估算法",X1623="算法类"),"中",IF(X1623="无法识别","低",IF(L1623&lt;2,IF(N1623&lt;20,"低","中"),IF(L1623&lt;4,IF(N1623&lt;6,"低",IF(N1623&lt;20,"中","高")),IF(N1623&lt;6,"中","高"))))),IF(OR(I1623="ILF",I1623="EIF"),IF(OR(X1623="估算法",X1623="算法类",X1623="无法识别"),"低",IF(M1623&lt;2,IF(N1623&lt;51,"低","中"),IF(M1623&lt;6,IF(N1623&lt;20,"低",IF(N1623&lt;51,"中","高")),IF(N1623&lt;20,"中","高")))),"不计算")))</f>
        <v/>
      </c>
      <c r="P1623" s="142">
        <f>IFERROR(IF(I1623="EI",IF(O1623="低",3,IF(O1623="中",4,6)),IF(I1623="EO",IF(O1623="低",4,IF(O1623="中",5,7)),IF(I1623="EQ",IF(O1623="低",3,IF(O1623="中",4,6)),IF(I1623="ILF",IF(O1623="低",7,IF(O1623="中",10,15)),IF(I1623="EIF",IF(O1623="低",5,IF(O1623="中",7,10)),"不计算")))))*Q1623,"不计算")</f>
        <v/>
      </c>
      <c r="Q1623" s="142" t="n">
        <v>1</v>
      </c>
      <c r="R1623" s="143">
        <f>调整因子!$F$13</f>
        <v/>
      </c>
      <c r="S1623" s="70" t="n">
        <v>1</v>
      </c>
      <c r="T1623" s="144">
        <f>IFERROR(P1623*R1623,0)</f>
        <v/>
      </c>
      <c r="U1623" s="145">
        <f>T1623*S1623</f>
        <v/>
      </c>
      <c r="V1623" s="96" t="inlineStr">
        <is>
          <t>漏洞统计数据表、验证配置表</t>
        </is>
      </c>
      <c r="W1623" s="96" t="inlineStr"/>
      <c r="X1623" s="111" t="inlineStr">
        <is>
          <t>漏洞统计数据表{漏洞ID、漏洞名称、漏洞等级、漏洞类型、CVE编号、发现时间、修复状态|漏洞ID、漏洞名称、漏洞等级}
验证配置表{配置ID、配置名称、配置类型、配置值、创建时间|配置ID、配置名称、配置类型}</t>
        </is>
      </c>
      <c r="Y1623" s="88" t="n"/>
      <c r="Z1623" s="88" t="n"/>
    </row>
    <row r="1624" hidden="1" ht="21.6" customHeight="1">
      <c r="A1624" s="69">
        <f>ROW()-1</f>
        <v/>
      </c>
      <c r="B1624" s="53" t="n"/>
      <c r="C1624" s="117" t="n">
        <v>2026</v>
      </c>
      <c r="E1624" s="53" t="n"/>
      <c r="F1624" s="53" t="n"/>
      <c r="G1624" s="53" t="n"/>
      <c r="H1624" s="96" t="inlineStr">
        <is>
          <t>推送超限预警</t>
        </is>
      </c>
      <c r="I1624" s="76" t="inlineStr">
        <is>
          <t>EO</t>
        </is>
      </c>
      <c r="J1624" s="95" t="n"/>
      <c r="K1624" s="95" t="n"/>
      <c r="L1624" s="83">
        <f>IF(OR(X1624="估算法",X1624="算法类",X1624="无法识别"),"",IF(V1624="",IF(OR(I1624="EI",I1624="EO",I1624="EQ"),0,""),LEN(V1624)-LEN(SUBSTITUTE(V1624,"、",""))+1))</f>
        <v/>
      </c>
      <c r="M1624" s="83">
        <f>IF(OR(X1624="估算法",X1624="算法类",X1624="无法识别"),"",IF(W1624="",IF(OR(I1624="ILF",I1624="EIF"),0,""),LEN(W1624)-LEN(SUBSTITUTE(W1624,"、",""))+1))</f>
        <v/>
      </c>
      <c r="N1624" s="83">
        <f>IF(OR(X1624="估算法",X1624="算法类",X1624="无法识别"),"",IF(X1624="",IF(OR(I1624="ILF",I1624="EIF",I1624="EI",I1624="EO",I1624="EQ"),0,""),LEN(X1624)-LEN(SUBSTITUTE(SUBSTITUTE(SUBSTITUTE(SUBSTITUTE(SUBSTITUTE(X1624,"|}","--"),"{|","--"),CHAR(10),""),"、",""),"|",""))+IF(AND(OR(I1624="EI",I1624="EO",I1624="EQ"),$AD$1="NESMA"),2,1)))</f>
        <v/>
      </c>
      <c r="O1624" s="84">
        <f>IF(I1624="EI",IF(OR(X1624="估算法",X1624="算法类"),"中",IF(X1624="无法识别","低",IF(L1624&lt;2,IF(N1624&lt;16,"低","中"),IF(L1624&lt;3,IF(N1624&lt;5,"低",IF(N1624&lt;16,"中","高")),IF(N1624&lt;5,"中","高"))))),IF(OR(I1624="EO",I1624="EQ"),IF(OR(X1624="估算法",X1624="算法类"),"中",IF(X1624="无法识别","低",IF(L1624&lt;2,IF(N1624&lt;20,"低","中"),IF(L1624&lt;4,IF(N1624&lt;6,"低",IF(N1624&lt;20,"中","高")),IF(N1624&lt;6,"中","高"))))),IF(OR(I1624="ILF",I1624="EIF"),IF(OR(X1624="估算法",X1624="算法类",X1624="无法识别"),"低",IF(M1624&lt;2,IF(N1624&lt;51,"低","中"),IF(M1624&lt;6,IF(N1624&lt;20,"低",IF(N1624&lt;51,"中","高")),IF(N1624&lt;20,"中","高")))),"不计算")))</f>
        <v/>
      </c>
      <c r="P1624" s="142">
        <f>IFERROR(IF(I1624="EI",IF(O1624="低",3,IF(O1624="中",4,6)),IF(I1624="EO",IF(O1624="低",4,IF(O1624="中",5,7)),IF(I1624="EQ",IF(O1624="低",3,IF(O1624="中",4,6)),IF(I1624="ILF",IF(O1624="低",7,IF(O1624="中",10,15)),IF(I1624="EIF",IF(O1624="低",5,IF(O1624="中",7,10)),"不计算")))))*Q1624,"不计算")</f>
        <v/>
      </c>
      <c r="Q1624" s="142" t="n">
        <v>1</v>
      </c>
      <c r="R1624" s="143">
        <f>调整因子!$F$13</f>
        <v/>
      </c>
      <c r="S1624" s="70" t="n">
        <v>1</v>
      </c>
      <c r="T1624" s="144">
        <f>IFERROR(P1624*R1624,0)</f>
        <v/>
      </c>
      <c r="U1624" s="145">
        <f>T1624*S1624</f>
        <v/>
      </c>
      <c r="V1624" s="96" t="inlineStr">
        <is>
          <t>日志加密配置表</t>
        </is>
      </c>
      <c r="W1624" s="96" t="inlineStr"/>
      <c r="X1624" s="111" t="inlineStr">
        <is>
          <t>日志加密配置表{配置ID、配置名称|配置ID、配置名称、配置类型、配置值、创建时间}</t>
        </is>
      </c>
      <c r="Y1624" s="88" t="n"/>
      <c r="Z1624" s="88" t="n"/>
    </row>
    <row r="1625" hidden="1">
      <c r="A1625" s="69">
        <f>ROW()-1</f>
        <v/>
      </c>
      <c r="B1625" s="53" t="n"/>
      <c r="C1625" s="117" t="n">
        <v>2026</v>
      </c>
      <c r="E1625" s="53" t="n"/>
      <c r="F1625" s="53" t="n"/>
      <c r="G1625" s="53" t="n"/>
      <c r="H1625" s="96" t="inlineStr">
        <is>
          <t>查询监控状态</t>
        </is>
      </c>
      <c r="I1625" s="76" t="inlineStr">
        <is>
          <t>EQ</t>
        </is>
      </c>
      <c r="J1625" s="95" t="n"/>
      <c r="K1625" s="95" t="n"/>
      <c r="L1625" s="83">
        <f>IF(OR(X1625="估算法",X1625="算法类",X1625="无法识别"),"",IF(V1625="",IF(OR(I1625="EI",I1625="EO",I1625="EQ"),0,""),LEN(V1625)-LEN(SUBSTITUTE(V1625,"、",""))+1))</f>
        <v/>
      </c>
      <c r="M1625" s="83">
        <f>IF(OR(X1625="估算法",X1625="算法类",X1625="无法识别"),"",IF(W1625="",IF(OR(I1625="ILF",I1625="EIF"),0,""),LEN(W1625)-LEN(SUBSTITUTE(W1625,"、",""))+1))</f>
        <v/>
      </c>
      <c r="N1625" s="83">
        <f>IF(OR(X1625="估算法",X1625="算法类",X1625="无法识别"),"",IF(X1625="",IF(OR(I1625="ILF",I1625="EIF",I1625="EI",I1625="EO",I1625="EQ"),0,""),LEN(X1625)-LEN(SUBSTITUTE(SUBSTITUTE(SUBSTITUTE(SUBSTITUTE(SUBSTITUTE(X1625,"|}","--"),"{|","--"),CHAR(10),""),"、",""),"|",""))+IF(AND(OR(I1625="EI",I1625="EO",I1625="EQ"),$AD$1="NESMA"),2,1)))</f>
        <v/>
      </c>
      <c r="O1625" s="84">
        <f>IF(I1625="EI",IF(OR(X1625="估算法",X1625="算法类"),"中",IF(X1625="无法识别","低",IF(L1625&lt;2,IF(N1625&lt;16,"低","中"),IF(L1625&lt;3,IF(N1625&lt;5,"低",IF(N1625&lt;16,"中","高")),IF(N1625&lt;5,"中","高"))))),IF(OR(I1625="EO",I1625="EQ"),IF(OR(X1625="估算法",X1625="算法类"),"中",IF(X1625="无法识别","低",IF(L1625&lt;2,IF(N1625&lt;20,"低","中"),IF(L1625&lt;4,IF(N1625&lt;6,"低",IF(N1625&lt;20,"中","高")),IF(N1625&lt;6,"中","高"))))),IF(OR(I1625="ILF",I1625="EIF"),IF(OR(X1625="估算法",X1625="算法类",X1625="无法识别"),"低",IF(M1625&lt;2,IF(N1625&lt;51,"低","中"),IF(M1625&lt;6,IF(N1625&lt;20,"低",IF(N1625&lt;51,"中","高")),IF(N1625&lt;20,"中","高")))),"不计算")))</f>
        <v/>
      </c>
      <c r="P1625" s="142">
        <f>IFERROR(IF(I1625="EI",IF(O1625="低",3,IF(O1625="中",4,6)),IF(I1625="EO",IF(O1625="低",4,IF(O1625="中",5,7)),IF(I1625="EQ",IF(O1625="低",3,IF(O1625="中",4,6)),IF(I1625="ILF",IF(O1625="低",7,IF(O1625="中",10,15)),IF(I1625="EIF",IF(O1625="低",5,IF(O1625="中",7,10)),"不计算")))))*Q1625,"不计算")</f>
        <v/>
      </c>
      <c r="Q1625" s="142" t="n">
        <v>1</v>
      </c>
      <c r="R1625" s="143">
        <f>调整因子!$F$13</f>
        <v/>
      </c>
      <c r="S1625" s="76" t="n">
        <v>1</v>
      </c>
      <c r="T1625" s="144">
        <f>IFERROR(P1625*R1625,0)</f>
        <v/>
      </c>
      <c r="U1625" s="145">
        <f>T1625*S1625</f>
        <v/>
      </c>
      <c r="V1625" s="96" t="inlineStr">
        <is>
          <t>指标权重表</t>
        </is>
      </c>
      <c r="W1625" s="96" t="inlineStr"/>
      <c r="X1625" s="111" t="inlineStr">
        <is>
          <t>指标权重表{ID、名称|ID、名称、类型、状态、创建时间、更新时间}</t>
        </is>
      </c>
      <c r="Y1625" s="88" t="n"/>
      <c r="Z1625" s="88" t="n"/>
    </row>
    <row r="1626" hidden="1" ht="43.2" customHeight="1">
      <c r="A1626" s="69">
        <f>ROW()-1</f>
        <v/>
      </c>
      <c r="B1626" s="53" t="n"/>
      <c r="C1626" s="117" t="n">
        <v>2026</v>
      </c>
      <c r="E1626" s="53" t="n"/>
      <c r="F1626" s="54" t="n"/>
      <c r="G1626" s="54" t="n"/>
      <c r="H1626" s="96" t="inlineStr">
        <is>
          <t>查看监控趋势</t>
        </is>
      </c>
      <c r="I1626" s="76" t="inlineStr">
        <is>
          <t>EQ</t>
        </is>
      </c>
      <c r="J1626" s="95" t="n"/>
      <c r="K1626" s="95" t="n"/>
      <c r="L1626" s="83">
        <f>IF(OR(X1626="估算法",X1626="算法类",X1626="无法识别"),"",IF(V1626="",IF(OR(I1626="EI",I1626="EO",I1626="EQ"),0,""),LEN(V1626)-LEN(SUBSTITUTE(V1626,"、",""))+1))</f>
        <v/>
      </c>
      <c r="M1626" s="83">
        <f>IF(OR(X1626="估算法",X1626="算法类",X1626="无法识别"),"",IF(W1626="",IF(OR(I1626="ILF",I1626="EIF"),0,""),LEN(W1626)-LEN(SUBSTITUTE(W1626,"、",""))+1))</f>
        <v/>
      </c>
      <c r="N1626" s="83">
        <f>IF(OR(X1626="估算法",X1626="算法类",X1626="无法识别"),"",IF(X1626="",IF(OR(I1626="ILF",I1626="EIF",I1626="EI",I1626="EO",I1626="EQ"),0,""),LEN(X1626)-LEN(SUBSTITUTE(SUBSTITUTE(SUBSTITUTE(SUBSTITUTE(SUBSTITUTE(X1626,"|}","--"),"{|","--"),CHAR(10),""),"、",""),"|",""))+IF(AND(OR(I1626="EI",I1626="EO",I1626="EQ"),$AD$1="NESMA"),2,1)))</f>
        <v/>
      </c>
      <c r="O1626" s="84">
        <f>IF(I1626="EI",IF(OR(X1626="估算法",X1626="算法类"),"中",IF(X1626="无法识别","低",IF(L1626&lt;2,IF(N1626&lt;16,"低","中"),IF(L1626&lt;3,IF(N1626&lt;5,"低",IF(N1626&lt;16,"中","高")),IF(N1626&lt;5,"中","高"))))),IF(OR(I1626="EO",I1626="EQ"),IF(OR(X1626="估算法",X1626="算法类"),"中",IF(X1626="无法识别","低",IF(L1626&lt;2,IF(N1626&lt;20,"低","中"),IF(L1626&lt;4,IF(N1626&lt;6,"低",IF(N1626&lt;20,"中","高")),IF(N1626&lt;6,"中","高"))))),IF(OR(I1626="ILF",I1626="EIF"),IF(OR(X1626="估算法",X1626="算法类",X1626="无法识别"),"低",IF(M1626&lt;2,IF(N1626&lt;51,"低","中"),IF(M1626&lt;6,IF(N1626&lt;20,"低",IF(N1626&lt;51,"中","高")),IF(N1626&lt;20,"中","高")))),"不计算")))</f>
        <v/>
      </c>
      <c r="P1626" s="142">
        <f>IFERROR(IF(I1626="EI",IF(O1626="低",3,IF(O1626="中",4,6)),IF(I1626="EO",IF(O1626="低",4,IF(O1626="中",5,7)),IF(I1626="EQ",IF(O1626="低",3,IF(O1626="中",4,6)),IF(I1626="ILF",IF(O1626="低",7,IF(O1626="中",10,15)),IF(I1626="EIF",IF(O1626="低",5,IF(O1626="中",7,10)),"不计算")))))*Q1626,"不计算")</f>
        <v/>
      </c>
      <c r="Q1626" s="142" t="n">
        <v>0.333333333333333</v>
      </c>
      <c r="R1626" s="143">
        <f>调整因子!$F$13</f>
        <v/>
      </c>
      <c r="S1626" s="70" t="n">
        <v>1</v>
      </c>
      <c r="T1626" s="144">
        <f>IFERROR(P1626*R1626,0)</f>
        <v/>
      </c>
      <c r="U1626" s="145">
        <f>T1626*S1626</f>
        <v/>
      </c>
      <c r="V1626" s="96" t="inlineStr">
        <is>
          <t>考核指标配置表、离线扫描报告表</t>
        </is>
      </c>
      <c r="W1626" s="96" t="inlineStr"/>
      <c r="X1626" s="111" t="inlineStr">
        <is>
          <t>考核指标配置表{配置ID、配置名称|配置ID、配置名称、配置类型、配置值、创建时间}
离线扫描报告表{任务ID、任务名称|任务ID、任务名称、任务状态、扫描器类型、开始时间、结束时间、扫描结果}</t>
        </is>
      </c>
      <c r="Y1626" s="88" t="n"/>
      <c r="Z1626" s="88" t="n"/>
    </row>
    <row r="1627" hidden="1" ht="21.6" customHeight="1">
      <c r="A1627" s="69">
        <f>ROW()-1</f>
        <v/>
      </c>
      <c r="B1627" s="53" t="n"/>
      <c r="C1627" s="117" t="n">
        <v>2026</v>
      </c>
      <c r="E1627" s="53" t="n"/>
      <c r="F1627" s="111" t="inlineStr">
        <is>
          <t>漏洞处置到期提醒</t>
        </is>
      </c>
      <c r="G1627" s="111" t="inlineStr">
        <is>
          <t>提醒策略配置</t>
        </is>
      </c>
      <c r="H1627" s="96" t="inlineStr">
        <is>
          <t>提醒策略配置表</t>
        </is>
      </c>
      <c r="I1627" s="76" t="inlineStr">
        <is>
          <t>ILF</t>
        </is>
      </c>
      <c r="J1627" s="95" t="n"/>
      <c r="K1627" s="95" t="n"/>
      <c r="L1627" s="83">
        <f>IF(OR(X1627="估算法",X1627="算法类",X1627="无法识别"),"",IF(V1627="",IF(OR(I1627="EI",I1627="EO",I1627="EQ"),0,""),LEN(V1627)-LEN(SUBSTITUTE(V1627,"、",""))+1))</f>
        <v/>
      </c>
      <c r="M1627" s="83">
        <f>IF(OR(X1627="估算法",X1627="算法类",X1627="无法识别"),"",IF(W1627="",IF(OR(I1627="ILF",I1627="EIF"),0,""),LEN(W1627)-LEN(SUBSTITUTE(W1627,"、",""))+1))</f>
        <v/>
      </c>
      <c r="N1627" s="83">
        <f>IF(OR(X1627="估算法",X1627="算法类",X1627="无法识别"),"",IF(X1627="",IF(OR(I1627="ILF",I1627="EIF",I1627="EI",I1627="EO",I1627="EQ"),0,""),LEN(X1627)-LEN(SUBSTITUTE(SUBSTITUTE(SUBSTITUTE(SUBSTITUTE(SUBSTITUTE(X1627,"|}","--"),"{|","--"),CHAR(10),""),"、",""),"|",""))+IF(AND(OR(I1627="EI",I1627="EO",I1627="EQ"),$AD$1="NESMA"),2,1)))</f>
        <v/>
      </c>
      <c r="O1627" s="84">
        <f>IF(I1627="EI",IF(OR(X1627="估算法",X1627="算法类"),"中",IF(X1627="无法识别","低",IF(L1627&lt;2,IF(N1627&lt;16,"低","中"),IF(L1627&lt;3,IF(N1627&lt;5,"低",IF(N1627&lt;16,"中","高")),IF(N1627&lt;5,"中","高"))))),IF(OR(I1627="EO",I1627="EQ"),IF(OR(X1627="估算法",X1627="算法类"),"中",IF(X1627="无法识别","低",IF(L1627&lt;2,IF(N1627&lt;20,"低","中"),IF(L1627&lt;4,IF(N1627&lt;6,"低",IF(N1627&lt;20,"中","高")),IF(N1627&lt;6,"中","高"))))),IF(OR(I1627="ILF",I1627="EIF"),IF(OR(X1627="估算法",X1627="算法类",X1627="无法识别"),"低",IF(M1627&lt;2,IF(N1627&lt;51,"低","中"),IF(M1627&lt;6,IF(N1627&lt;20,"低",IF(N1627&lt;51,"中","高")),IF(N1627&lt;20,"中","高")))),"不计算")))</f>
        <v/>
      </c>
      <c r="P1627" s="142">
        <f>IFERROR(IF(I1627="EI",IF(O1627="低",3,IF(O1627="中",4,6)),IF(I1627="EO",IF(O1627="低",4,IF(O1627="中",5,7)),IF(I1627="EQ",IF(O1627="低",3,IF(O1627="中",4,6)),IF(I1627="ILF",IF(O1627="低",7,IF(O1627="中",10,15)),IF(I1627="EIF",IF(O1627="低",5,IF(O1627="中",7,10)),"不计算")))))*Q1627,"不计算")</f>
        <v/>
      </c>
      <c r="Q1627" s="142" t="n">
        <v>1</v>
      </c>
      <c r="R1627" s="143">
        <f>调整因子!$F$13</f>
        <v/>
      </c>
      <c r="S1627" s="70" t="n">
        <v>1</v>
      </c>
      <c r="T1627" s="144">
        <f>IFERROR(P1627*R1627,0)</f>
        <v/>
      </c>
      <c r="U1627" s="145">
        <f>T1627*S1627</f>
        <v/>
      </c>
      <c r="V1627" s="96" t="inlineStr"/>
      <c r="W1627" s="96" t="inlineStr">
        <is>
          <t>配置项</t>
        </is>
      </c>
      <c r="X1627" s="111" t="inlineStr">
        <is>
          <t>提醒策略配置表{配置ID、配置名称、配置类型|配置ID、配置名称、配置类型、配置值、创建时间}</t>
        </is>
      </c>
      <c r="Y1627" s="88">
        <f>IF(COUNTIFS(V:V,"*"&amp;H1627&amp;"*")&gt;0,"存在","不存在")</f>
        <v/>
      </c>
      <c r="Z1627" s="88">
        <f>IF(COUNTIFS(AA:AA,"*"&amp;H1627&amp;"*")&gt;0,"存在","不存在")</f>
        <v/>
      </c>
    </row>
    <row r="1628" hidden="1" ht="21.6" customHeight="1">
      <c r="A1628" s="69">
        <f>ROW()-1</f>
        <v/>
      </c>
      <c r="B1628" s="53" t="n"/>
      <c r="C1628" s="117" t="n">
        <v>2026</v>
      </c>
      <c r="E1628" s="53" t="n"/>
      <c r="F1628" s="53" t="n"/>
      <c r="G1628" s="53" t="n"/>
      <c r="H1628" s="96" t="inlineStr">
        <is>
          <t>提醒规则表</t>
        </is>
      </c>
      <c r="I1628" s="76" t="inlineStr">
        <is>
          <t>ILF</t>
        </is>
      </c>
      <c r="J1628" s="95" t="n"/>
      <c r="K1628" s="95" t="n"/>
      <c r="L1628" s="83">
        <f>IF(OR(X1628="估算法",X1628="算法类",X1628="无法识别"),"",IF(V1628="",IF(OR(I1628="EI",I1628="EO",I1628="EQ"),0,""),LEN(V1628)-LEN(SUBSTITUTE(V1628,"、",""))+1))</f>
        <v/>
      </c>
      <c r="M1628" s="83">
        <f>IF(OR(X1628="估算法",X1628="算法类",X1628="无法识别"),"",IF(W1628="",IF(OR(I1628="ILF",I1628="EIF"),0,""),LEN(W1628)-LEN(SUBSTITUTE(W1628,"、",""))+1))</f>
        <v/>
      </c>
      <c r="N1628" s="83">
        <f>IF(OR(X1628="估算法",X1628="算法类",X1628="无法识别"),"",IF(X1628="",IF(OR(I1628="ILF",I1628="EIF",I1628="EI",I1628="EO",I1628="EQ"),0,""),LEN(X1628)-LEN(SUBSTITUTE(SUBSTITUTE(SUBSTITUTE(SUBSTITUTE(SUBSTITUTE(X1628,"|}","--"),"{|","--"),CHAR(10),""),"、",""),"|",""))+IF(AND(OR(I1628="EI",I1628="EO",I1628="EQ"),$AD$1="NESMA"),2,1)))</f>
        <v/>
      </c>
      <c r="O1628" s="84">
        <f>IF(I1628="EI",IF(OR(X1628="估算法",X1628="算法类"),"中",IF(X1628="无法识别","低",IF(L1628&lt;2,IF(N1628&lt;16,"低","中"),IF(L1628&lt;3,IF(N1628&lt;5,"低",IF(N1628&lt;16,"中","高")),IF(N1628&lt;5,"中","高"))))),IF(OR(I1628="EO",I1628="EQ"),IF(OR(X1628="估算法",X1628="算法类"),"中",IF(X1628="无法识别","低",IF(L1628&lt;2,IF(N1628&lt;20,"低","中"),IF(L1628&lt;4,IF(N1628&lt;6,"低",IF(N1628&lt;20,"中","高")),IF(N1628&lt;6,"中","高"))))),IF(OR(I1628="ILF",I1628="EIF"),IF(OR(X1628="估算法",X1628="算法类",X1628="无法识别"),"低",IF(M1628&lt;2,IF(N1628&lt;51,"低","中"),IF(M1628&lt;6,IF(N1628&lt;20,"低",IF(N1628&lt;51,"中","高")),IF(N1628&lt;20,"中","高")))),"不计算")))</f>
        <v/>
      </c>
      <c r="P1628" s="142">
        <f>IFERROR(IF(I1628="EI",IF(O1628="低",3,IF(O1628="中",4,6)),IF(I1628="EO",IF(O1628="低",4,IF(O1628="中",5,7)),IF(I1628="EQ",IF(O1628="低",3,IF(O1628="中",4,6)),IF(I1628="ILF",IF(O1628="低",7,IF(O1628="中",10,15)),IF(I1628="EIF",IF(O1628="低",5,IF(O1628="中",7,10)),"不计算")))))*Q1628,"不计算")</f>
        <v/>
      </c>
      <c r="Q1628" s="142" t="n">
        <v>1</v>
      </c>
      <c r="R1628" s="143">
        <f>调整因子!$F$13</f>
        <v/>
      </c>
      <c r="S1628" s="76" t="n">
        <v>1</v>
      </c>
      <c r="T1628" s="144">
        <f>IFERROR(P1628*R1628,0)</f>
        <v/>
      </c>
      <c r="U1628" s="145">
        <f>T1628*S1628</f>
        <v/>
      </c>
      <c r="V1628" s="96" t="inlineStr"/>
      <c r="W1628" s="96" t="inlineStr">
        <is>
          <t>数据记录</t>
        </is>
      </c>
      <c r="X1628" s="111" t="inlineStr">
        <is>
          <t>提醒规则表{规则ID、规则名称、规则类型|规则ID、规则名称、规则类型、规则条件、创建时间}</t>
        </is>
      </c>
      <c r="Y1628" s="88">
        <f>IF(COUNTIFS(V:V,"*"&amp;H1628&amp;"*")&gt;0,"存在","不存在")</f>
        <v/>
      </c>
      <c r="Z1628" s="88">
        <f>IF(COUNTIFS(AA:AA,"*"&amp;H1628&amp;"*")&gt;0,"存在","不存在")</f>
        <v/>
      </c>
    </row>
    <row r="1629" hidden="1" ht="21.6" customHeight="1">
      <c r="A1629" s="69">
        <f>ROW()-1</f>
        <v/>
      </c>
      <c r="B1629" s="53" t="n"/>
      <c r="C1629" s="117" t="n">
        <v>2026</v>
      </c>
      <c r="E1629" s="53" t="n"/>
      <c r="F1629" s="53" t="n"/>
      <c r="G1629" s="53" t="n"/>
      <c r="H1629" s="96" t="inlineStr">
        <is>
          <t>配置提醒策略</t>
        </is>
      </c>
      <c r="I1629" s="76" t="inlineStr">
        <is>
          <t>EI</t>
        </is>
      </c>
      <c r="J1629" s="95" t="n"/>
      <c r="K1629" s="95" t="n"/>
      <c r="L1629" s="83">
        <f>IF(OR(X1629="估算法",X1629="算法类",X1629="无法识别"),"",IF(V1629="",IF(OR(I1629="EI",I1629="EO",I1629="EQ"),0,""),LEN(V1629)-LEN(SUBSTITUTE(V1629,"、",""))+1))</f>
        <v/>
      </c>
      <c r="M1629" s="83">
        <f>IF(OR(X1629="估算法",X1629="算法类",X1629="无法识别"),"",IF(W1629="",IF(OR(I1629="ILF",I1629="EIF"),0,""),LEN(W1629)-LEN(SUBSTITUTE(W1629,"、",""))+1))</f>
        <v/>
      </c>
      <c r="N1629" s="83">
        <f>IF(OR(X1629="估算法",X1629="算法类",X1629="无法识别"),"",IF(X1629="",IF(OR(I1629="ILF",I1629="EIF",I1629="EI",I1629="EO",I1629="EQ"),0,""),LEN(X1629)-LEN(SUBSTITUTE(SUBSTITUTE(SUBSTITUTE(SUBSTITUTE(SUBSTITUTE(X1629,"|}","--"),"{|","--"),CHAR(10),""),"、",""),"|",""))+IF(AND(OR(I1629="EI",I1629="EO",I1629="EQ"),$AD$1="NESMA"),2,1)))</f>
        <v/>
      </c>
      <c r="O1629" s="84">
        <f>IF(I1629="EI",IF(OR(X1629="估算法",X1629="算法类"),"中",IF(X1629="无法识别","低",IF(L1629&lt;2,IF(N1629&lt;16,"低","中"),IF(L1629&lt;3,IF(N1629&lt;5,"低",IF(N1629&lt;16,"中","高")),IF(N1629&lt;5,"中","高"))))),IF(OR(I1629="EO",I1629="EQ"),IF(OR(X1629="估算法",X1629="算法类"),"中",IF(X1629="无法识别","低",IF(L1629&lt;2,IF(N1629&lt;20,"低","中"),IF(L1629&lt;4,IF(N1629&lt;6,"低",IF(N1629&lt;20,"中","高")),IF(N1629&lt;6,"中","高"))))),IF(OR(I1629="ILF",I1629="EIF"),IF(OR(X1629="估算法",X1629="算法类",X1629="无法识别"),"低",IF(M1629&lt;2,IF(N1629&lt;51,"低","中"),IF(M1629&lt;6,IF(N1629&lt;20,"低",IF(N1629&lt;51,"中","高")),IF(N1629&lt;20,"中","高")))),"不计算")))</f>
        <v/>
      </c>
      <c r="P1629" s="142">
        <f>IFERROR(IF(I1629="EI",IF(O1629="低",3,IF(O1629="中",4,6)),IF(I1629="EO",IF(O1629="低",4,IF(O1629="中",5,7)),IF(I1629="EQ",IF(O1629="低",3,IF(O1629="中",4,6)),IF(I1629="ILF",IF(O1629="低",7,IF(O1629="中",10,15)),IF(I1629="EIF",IF(O1629="低",5,IF(O1629="中",7,10)),"不计算")))))*Q1629,"不计算")</f>
        <v/>
      </c>
      <c r="Q1629" s="142" t="n">
        <v>1</v>
      </c>
      <c r="R1629" s="143">
        <f>调整因子!$F$13</f>
        <v/>
      </c>
      <c r="S1629" s="76" t="n">
        <v>1</v>
      </c>
      <c r="T1629" s="144">
        <f>IFERROR(P1629*R1629,0)</f>
        <v/>
      </c>
      <c r="U1629" s="145">
        <f>T1629*S1629</f>
        <v/>
      </c>
      <c r="V1629" s="96" t="inlineStr">
        <is>
          <t>任务优先级配置表</t>
        </is>
      </c>
      <c r="W1629" s="96" t="inlineStr"/>
      <c r="X1629" s="111" t="inlineStr">
        <is>
          <t>任务优先级配置表{任务ID、任务名称、任务类型、任务状态、创建时间、执行时间|任务ID、任务名称、任务类型}</t>
        </is>
      </c>
      <c r="Y1629" s="88" t="n"/>
      <c r="Z1629" s="88" t="n"/>
    </row>
    <row r="1630" hidden="1" ht="21.6" customHeight="1">
      <c r="A1630" s="69">
        <f>ROW()-1</f>
        <v/>
      </c>
      <c r="B1630" s="53" t="n"/>
      <c r="C1630" s="117" t="n">
        <v>2026</v>
      </c>
      <c r="E1630" s="53" t="n"/>
      <c r="F1630" s="53" t="n"/>
      <c r="G1630" s="53" t="n"/>
      <c r="H1630" s="96" t="inlineStr">
        <is>
          <t>编辑提醒策略</t>
        </is>
      </c>
      <c r="I1630" s="76" t="inlineStr">
        <is>
          <t>EI</t>
        </is>
      </c>
      <c r="J1630" s="95" t="n"/>
      <c r="K1630" s="95" t="n"/>
      <c r="L1630" s="83">
        <f>IF(OR(X1630="估算法",X1630="算法类",X1630="无法识别"),"",IF(V1630="",IF(OR(I1630="EI",I1630="EO",I1630="EQ"),0,""),LEN(V1630)-LEN(SUBSTITUTE(V1630,"、",""))+1))</f>
        <v/>
      </c>
      <c r="M1630" s="83">
        <f>IF(OR(X1630="估算法",X1630="算法类",X1630="无法识别"),"",IF(W1630="",IF(OR(I1630="ILF",I1630="EIF"),0,""),LEN(W1630)-LEN(SUBSTITUTE(W1630,"、",""))+1))</f>
        <v/>
      </c>
      <c r="N1630" s="83">
        <f>IF(OR(X1630="估算法",X1630="算法类",X1630="无法识别"),"",IF(X1630="",IF(OR(I1630="ILF",I1630="EIF",I1630="EI",I1630="EO",I1630="EQ"),0,""),LEN(X1630)-LEN(SUBSTITUTE(SUBSTITUTE(SUBSTITUTE(SUBSTITUTE(SUBSTITUTE(X1630,"|}","--"),"{|","--"),CHAR(10),""),"、",""),"|",""))+IF(AND(OR(I1630="EI",I1630="EO",I1630="EQ"),$AD$1="NESMA"),2,1)))</f>
        <v/>
      </c>
      <c r="O1630" s="84">
        <f>IF(I1630="EI",IF(OR(X1630="估算法",X1630="算法类"),"中",IF(X1630="无法识别","低",IF(L1630&lt;2,IF(N1630&lt;16,"低","中"),IF(L1630&lt;3,IF(N1630&lt;5,"低",IF(N1630&lt;16,"中","高")),IF(N1630&lt;5,"中","高"))))),IF(OR(I1630="EO",I1630="EQ"),IF(OR(X1630="估算法",X1630="算法类"),"中",IF(X1630="无法识别","低",IF(L1630&lt;2,IF(N1630&lt;20,"低","中"),IF(L1630&lt;4,IF(N1630&lt;6,"低",IF(N1630&lt;20,"中","高")),IF(N1630&lt;6,"中","高"))))),IF(OR(I1630="ILF",I1630="EIF"),IF(OR(X1630="估算法",X1630="算法类",X1630="无法识别"),"低",IF(M1630&lt;2,IF(N1630&lt;51,"低","中"),IF(M1630&lt;6,IF(N1630&lt;20,"低",IF(N1630&lt;51,"中","高")),IF(N1630&lt;20,"中","高")))),"不计算")))</f>
        <v/>
      </c>
      <c r="P1630" s="142">
        <f>IFERROR(IF(I1630="EI",IF(O1630="低",3,IF(O1630="中",4,6)),IF(I1630="EO",IF(O1630="低",4,IF(O1630="中",5,7)),IF(I1630="EQ",IF(O1630="低",3,IF(O1630="中",4,6)),IF(I1630="ILF",IF(O1630="低",7,IF(O1630="中",10,15)),IF(I1630="EIF",IF(O1630="低",5,IF(O1630="中",7,10)),"不计算")))))*Q1630,"不计算")</f>
        <v/>
      </c>
      <c r="Q1630" s="142" t="n">
        <v>1</v>
      </c>
      <c r="R1630" s="143">
        <f>调整因子!$F$13</f>
        <v/>
      </c>
      <c r="S1630" s="70" t="n">
        <v>1</v>
      </c>
      <c r="T1630" s="144">
        <f>IFERROR(P1630*R1630,0)</f>
        <v/>
      </c>
      <c r="U1630" s="145">
        <f>T1630*S1630</f>
        <v/>
      </c>
      <c r="V1630" s="96" t="inlineStr">
        <is>
          <t>扫描策略模板表</t>
        </is>
      </c>
      <c r="W1630" s="96" t="inlineStr"/>
      <c r="X1630" s="111" t="inlineStr">
        <is>
          <t>扫描策略模板表{任务ID、任务名称、任务状态、扫描器类型、开始时间、结束时间、扫描结果|任务ID、任务名称、任务状态}</t>
        </is>
      </c>
      <c r="Y1630" s="88" t="n"/>
      <c r="Z1630" s="88" t="n"/>
    </row>
    <row r="1631" hidden="1" ht="43.2" customHeight="1">
      <c r="A1631" s="69">
        <f>ROW()-1</f>
        <v/>
      </c>
      <c r="B1631" s="53" t="n"/>
      <c r="C1631" s="117" t="n">
        <v>2026</v>
      </c>
      <c r="E1631" s="53" t="n"/>
      <c r="F1631" s="53" t="n"/>
      <c r="G1631" s="53" t="n"/>
      <c r="H1631" s="96" t="inlineStr">
        <is>
          <t>删除提醒策略</t>
        </is>
      </c>
      <c r="I1631" s="76" t="inlineStr">
        <is>
          <t>EI</t>
        </is>
      </c>
      <c r="J1631" s="95" t="n"/>
      <c r="K1631" s="95" t="n"/>
      <c r="L1631" s="83">
        <f>IF(OR(X1631="估算法",X1631="算法类",X1631="无法识别"),"",IF(V1631="",IF(OR(I1631="EI",I1631="EO",I1631="EQ"),0,""),LEN(V1631)-LEN(SUBSTITUTE(V1631,"、",""))+1))</f>
        <v/>
      </c>
      <c r="M1631" s="83">
        <f>IF(OR(X1631="估算法",X1631="算法类",X1631="无法识别"),"",IF(W1631="",IF(OR(I1631="ILF",I1631="EIF"),0,""),LEN(W1631)-LEN(SUBSTITUTE(W1631,"、",""))+1))</f>
        <v/>
      </c>
      <c r="N1631" s="83">
        <f>IF(OR(X1631="估算法",X1631="算法类",X1631="无法识别"),"",IF(X1631="",IF(OR(I1631="ILF",I1631="EIF",I1631="EI",I1631="EO",I1631="EQ"),0,""),LEN(X1631)-LEN(SUBSTITUTE(SUBSTITUTE(SUBSTITUTE(SUBSTITUTE(SUBSTITUTE(X1631,"|}","--"),"{|","--"),CHAR(10),""),"、",""),"|",""))+IF(AND(OR(I1631="EI",I1631="EO",I1631="EQ"),$AD$1="NESMA"),2,1)))</f>
        <v/>
      </c>
      <c r="O1631" s="84">
        <f>IF(I1631="EI",IF(OR(X1631="估算法",X1631="算法类"),"中",IF(X1631="无法识别","低",IF(L1631&lt;2,IF(N1631&lt;16,"低","中"),IF(L1631&lt;3,IF(N1631&lt;5,"低",IF(N1631&lt;16,"中","高")),IF(N1631&lt;5,"中","高"))))),IF(OR(I1631="EO",I1631="EQ"),IF(OR(X1631="估算法",X1631="算法类"),"中",IF(X1631="无法识别","低",IF(L1631&lt;2,IF(N1631&lt;20,"低","中"),IF(L1631&lt;4,IF(N1631&lt;6,"低",IF(N1631&lt;20,"中","高")),IF(N1631&lt;6,"中","高"))))),IF(OR(I1631="ILF",I1631="EIF"),IF(OR(X1631="估算法",X1631="算法类",X1631="无法识别"),"低",IF(M1631&lt;2,IF(N1631&lt;51,"低","中"),IF(M1631&lt;6,IF(N1631&lt;20,"低",IF(N1631&lt;51,"中","高")),IF(N1631&lt;20,"中","高")))),"不计算")))</f>
        <v/>
      </c>
      <c r="P1631" s="142">
        <f>IFERROR(IF(I1631="EI",IF(O1631="低",3,IF(O1631="中",4,6)),IF(I1631="EO",IF(O1631="低",4,IF(O1631="中",5,7)),IF(I1631="EQ",IF(O1631="低",3,IF(O1631="中",4,6)),IF(I1631="ILF",IF(O1631="低",7,IF(O1631="中",10,15)),IF(I1631="EIF",IF(O1631="低",5,IF(O1631="中",7,10)),"不计算")))))*Q1631,"不计算")</f>
        <v/>
      </c>
      <c r="Q1631" s="142" t="n">
        <v>0.333333333333333</v>
      </c>
      <c r="R1631" s="143">
        <f>调整因子!$F$13</f>
        <v/>
      </c>
      <c r="S1631" s="70" t="n">
        <v>1</v>
      </c>
      <c r="T1631" s="144">
        <f>IFERROR(P1631*R1631,0)</f>
        <v/>
      </c>
      <c r="U1631" s="145">
        <f>T1631*S1631</f>
        <v/>
      </c>
      <c r="V1631" s="96" t="inlineStr">
        <is>
          <t>扫描策略模板表、提醒策略配置表</t>
        </is>
      </c>
      <c r="W1631" s="96" t="inlineStr"/>
      <c r="X1631" s="111" t="inlineStr">
        <is>
          <t>扫描策略模板表{任务ID、任务名称、任务状态、扫描器类型、开始时间、结束时间、扫描结果|任务ID、任务名称、任务状态}
提醒策略配置表{配置ID、配置名称、配置类型、配置值、创建时间|配置ID、配置名称、配置类型}</t>
        </is>
      </c>
      <c r="Y1631" s="88" t="n"/>
      <c r="Z1631" s="88" t="n"/>
    </row>
    <row r="1632" hidden="1" ht="43.2" customHeight="1">
      <c r="A1632" s="69">
        <f>ROW()-1</f>
        <v/>
      </c>
      <c r="B1632" s="53" t="n"/>
      <c r="C1632" s="117" t="n">
        <v>2026</v>
      </c>
      <c r="E1632" s="53" t="n"/>
      <c r="F1632" s="53" t="n"/>
      <c r="G1632" s="53" t="n"/>
      <c r="H1632" s="96" t="inlineStr">
        <is>
          <t>启用提醒策略</t>
        </is>
      </c>
      <c r="I1632" s="76" t="inlineStr">
        <is>
          <t>EI</t>
        </is>
      </c>
      <c r="J1632" s="95" t="n"/>
      <c r="K1632" s="95" t="n"/>
      <c r="L1632" s="83">
        <f>IF(OR(X1632="估算法",X1632="算法类",X1632="无法识别"),"",IF(V1632="",IF(OR(I1632="EI",I1632="EO",I1632="EQ"),0,""),LEN(V1632)-LEN(SUBSTITUTE(V1632,"、",""))+1))</f>
        <v/>
      </c>
      <c r="M1632" s="83">
        <f>IF(OR(X1632="估算法",X1632="算法类",X1632="无法识别"),"",IF(W1632="",IF(OR(I1632="ILF",I1632="EIF"),0,""),LEN(W1632)-LEN(SUBSTITUTE(W1632,"、",""))+1))</f>
        <v/>
      </c>
      <c r="N1632" s="83">
        <f>IF(OR(X1632="估算法",X1632="算法类",X1632="无法识别"),"",IF(X1632="",IF(OR(I1632="ILF",I1632="EIF",I1632="EI",I1632="EO",I1632="EQ"),0,""),LEN(X1632)-LEN(SUBSTITUTE(SUBSTITUTE(SUBSTITUTE(SUBSTITUTE(SUBSTITUTE(X1632,"|}","--"),"{|","--"),CHAR(10),""),"、",""),"|",""))+IF(AND(OR(I1632="EI",I1632="EO",I1632="EQ"),$AD$1="NESMA"),2,1)))</f>
        <v/>
      </c>
      <c r="O1632" s="84">
        <f>IF(I1632="EI",IF(OR(X1632="估算法",X1632="算法类"),"中",IF(X1632="无法识别","低",IF(L1632&lt;2,IF(N1632&lt;16,"低","中"),IF(L1632&lt;3,IF(N1632&lt;5,"低",IF(N1632&lt;16,"中","高")),IF(N1632&lt;5,"中","高"))))),IF(OR(I1632="EO",I1632="EQ"),IF(OR(X1632="估算法",X1632="算法类"),"中",IF(X1632="无法识别","低",IF(L1632&lt;2,IF(N1632&lt;20,"低","中"),IF(L1632&lt;4,IF(N1632&lt;6,"低",IF(N1632&lt;20,"中","高")),IF(N1632&lt;6,"中","高"))))),IF(OR(I1632="ILF",I1632="EIF"),IF(OR(X1632="估算法",X1632="算法类",X1632="无法识别"),"低",IF(M1632&lt;2,IF(N1632&lt;51,"低","中"),IF(M1632&lt;6,IF(N1632&lt;20,"低",IF(N1632&lt;51,"中","高")),IF(N1632&lt;20,"中","高")))),"不计算")))</f>
        <v/>
      </c>
      <c r="P1632" s="142">
        <f>IFERROR(IF(I1632="EI",IF(O1632="低",3,IF(O1632="中",4,6)),IF(I1632="EO",IF(O1632="低",4,IF(O1632="中",5,7)),IF(I1632="EQ",IF(O1632="低",3,IF(O1632="中",4,6)),IF(I1632="ILF",IF(O1632="低",7,IF(O1632="中",10,15)),IF(I1632="EIF",IF(O1632="低",5,IF(O1632="中",7,10)),"不计算")))))*Q1632,"不计算")</f>
        <v/>
      </c>
      <c r="Q1632" s="142" t="n">
        <v>1</v>
      </c>
      <c r="R1632" s="143">
        <f>调整因子!$F$13</f>
        <v/>
      </c>
      <c r="S1632" s="76" t="n">
        <v>1</v>
      </c>
      <c r="T1632" s="144">
        <f>IFERROR(P1632*R1632,0)</f>
        <v/>
      </c>
      <c r="U1632" s="145">
        <f>T1632*S1632</f>
        <v/>
      </c>
      <c r="V1632" s="96" t="inlineStr">
        <is>
          <t>扫描策略模板表、提醒策略配置表</t>
        </is>
      </c>
      <c r="W1632" s="96" t="inlineStr"/>
      <c r="X1632" s="111" t="inlineStr">
        <is>
          <t>扫描策略模板表{任务ID、任务名称、任务状态、扫描器类型、开始时间、结束时间、扫描结果|任务ID、任务名称、任务状态}
提醒策略配置表{配置ID、配置名称、配置类型、配置值、创建时间|配置ID、配置名称、配置类型}</t>
        </is>
      </c>
      <c r="Y1632" s="88" t="n"/>
      <c r="Z1632" s="88" t="n"/>
    </row>
    <row r="1633" hidden="1" ht="21.6" customHeight="1">
      <c r="A1633" s="69">
        <f>ROW()-1</f>
        <v/>
      </c>
      <c r="B1633" s="53" t="n"/>
      <c r="C1633" s="117" t="n">
        <v>2026</v>
      </c>
      <c r="E1633" s="53" t="n"/>
      <c r="F1633" s="53" t="n"/>
      <c r="G1633" s="53" t="n"/>
      <c r="H1633" s="96" t="inlineStr">
        <is>
          <t>停用提醒策略</t>
        </is>
      </c>
      <c r="I1633" s="76" t="n"/>
      <c r="J1633" s="95" t="n"/>
      <c r="K1633" s="95" t="inlineStr">
        <is>
          <t>和上行合并，启停为相同功能</t>
        </is>
      </c>
      <c r="L1633" s="83">
        <f>IF(OR(X1633="估算法",X1633="算法类",X1633="无法识别"),"",IF(V1633="",IF(OR(I1633="EI",I1633="EO",I1633="EQ"),0,""),LEN(V1633)-LEN(SUBSTITUTE(V1633,"、",""))+1))</f>
        <v/>
      </c>
      <c r="M1633" s="83">
        <f>IF(OR(X1633="估算法",X1633="算法类",X1633="无法识别"),"",IF(W1633="",IF(OR(I1633="ILF",I1633="EIF"),0,""),LEN(W1633)-LEN(SUBSTITUTE(W1633,"、",""))+1))</f>
        <v/>
      </c>
      <c r="N1633" s="83">
        <f>IF(OR(X1633="估算法",X1633="算法类",X1633="无法识别"),"",IF(X1633="",IF(OR(I1633="ILF",I1633="EIF",I1633="EI",I1633="EO",I1633="EQ"),0,""),LEN(X1633)-LEN(SUBSTITUTE(SUBSTITUTE(SUBSTITUTE(SUBSTITUTE(SUBSTITUTE(X1633,"|}","--"),"{|","--"),CHAR(10),""),"、",""),"|",""))+IF(AND(OR(I1633="EI",I1633="EO",I1633="EQ"),$AD$1="NESMA"),2,1)))</f>
        <v/>
      </c>
      <c r="O1633" s="84">
        <f>IF(I1633="EI",IF(OR(X1633="估算法",X1633="算法类"),"中",IF(X1633="无法识别","低",IF(L1633&lt;2,IF(N1633&lt;16,"低","中"),IF(L1633&lt;3,IF(N1633&lt;5,"低",IF(N1633&lt;16,"中","高")),IF(N1633&lt;5,"中","高"))))),IF(OR(I1633="EO",I1633="EQ"),IF(OR(X1633="估算法",X1633="算法类"),"中",IF(X1633="无法识别","低",IF(L1633&lt;2,IF(N1633&lt;20,"低","中"),IF(L1633&lt;4,IF(N1633&lt;6,"低",IF(N1633&lt;20,"中","高")),IF(N1633&lt;6,"中","高"))))),IF(OR(I1633="ILF",I1633="EIF"),IF(OR(X1633="估算法",X1633="算法类",X1633="无法识别"),"低",IF(M1633&lt;2,IF(N1633&lt;51,"低","中"),IF(M1633&lt;6,IF(N1633&lt;20,"低",IF(N1633&lt;51,"中","高")),IF(N1633&lt;20,"中","高")))),"不计算")))</f>
        <v/>
      </c>
      <c r="P1633" s="142">
        <f>IFERROR(IF(I1633="EI",IF(O1633="低",3,IF(O1633="中",4,6)),IF(I1633="EO",IF(O1633="低",4,IF(O1633="中",5,7)),IF(I1633="EQ",IF(O1633="低",3,IF(O1633="中",4,6)),IF(I1633="ILF",IF(O1633="低",7,IF(O1633="中",10,15)),IF(I1633="EIF",IF(O1633="低",5,IF(O1633="中",7,10)),"不计算")))))*Q1633,"不计算")</f>
        <v/>
      </c>
      <c r="Q1633" s="142" t="n">
        <v>1</v>
      </c>
      <c r="R1633" s="143">
        <f>调整因子!$F$13</f>
        <v/>
      </c>
      <c r="S1633" s="70" t="n">
        <v>1</v>
      </c>
      <c r="T1633" s="144">
        <f>IFERROR(P1633*R1633,0)</f>
        <v/>
      </c>
      <c r="U1633" s="145">
        <f>T1633*S1633</f>
        <v/>
      </c>
      <c r="V1633" s="96" t="inlineStr">
        <is>
          <t>扫描策略模板表</t>
        </is>
      </c>
      <c r="W1633" s="96" t="inlineStr"/>
      <c r="X1633" s="111" t="inlineStr">
        <is>
          <t>扫描策略模板表{任务ID、任务名称、任务状态、扫描器类型、开始时间、结束时间、扫描结果|任务ID、任务名称、任务状态}</t>
        </is>
      </c>
      <c r="Y1633" s="88" t="n"/>
      <c r="Z1633" s="88" t="n"/>
    </row>
    <row r="1634" hidden="1" ht="21.6" customHeight="1">
      <c r="A1634" s="69">
        <f>ROW()-1</f>
        <v/>
      </c>
      <c r="B1634" s="53" t="n"/>
      <c r="C1634" s="117" t="n">
        <v>2026</v>
      </c>
      <c r="E1634" s="53" t="n"/>
      <c r="F1634" s="53" t="n"/>
      <c r="G1634" s="53" t="n"/>
      <c r="H1634" s="96" t="inlineStr">
        <is>
          <t>配置提醒规则</t>
        </is>
      </c>
      <c r="I1634" s="76" t="inlineStr">
        <is>
          <t>EI</t>
        </is>
      </c>
      <c r="J1634" s="95" t="n"/>
      <c r="K1634" s="95" t="n"/>
      <c r="L1634" s="83">
        <f>IF(OR(X1634="估算法",X1634="算法类",X1634="无法识别"),"",IF(V1634="",IF(OR(I1634="EI",I1634="EO",I1634="EQ"),0,""),LEN(V1634)-LEN(SUBSTITUTE(V1634,"、",""))+1))</f>
        <v/>
      </c>
      <c r="M1634" s="83">
        <f>IF(OR(X1634="估算法",X1634="算法类",X1634="无法识别"),"",IF(W1634="",IF(OR(I1634="ILF",I1634="EIF"),0,""),LEN(W1634)-LEN(SUBSTITUTE(W1634,"、",""))+1))</f>
        <v/>
      </c>
      <c r="N1634" s="83">
        <f>IF(OR(X1634="估算法",X1634="算法类",X1634="无法识别"),"",IF(X1634="",IF(OR(I1634="ILF",I1634="EIF",I1634="EI",I1634="EO",I1634="EQ"),0,""),LEN(X1634)-LEN(SUBSTITUTE(SUBSTITUTE(SUBSTITUTE(SUBSTITUTE(SUBSTITUTE(X1634,"|}","--"),"{|","--"),CHAR(10),""),"、",""),"|",""))+IF(AND(OR(I1634="EI",I1634="EO",I1634="EQ"),$AD$1="NESMA"),2,1)))</f>
        <v/>
      </c>
      <c r="O1634" s="84">
        <f>IF(I1634="EI",IF(OR(X1634="估算法",X1634="算法类"),"中",IF(X1634="无法识别","低",IF(L1634&lt;2,IF(N1634&lt;16,"低","中"),IF(L1634&lt;3,IF(N1634&lt;5,"低",IF(N1634&lt;16,"中","高")),IF(N1634&lt;5,"中","高"))))),IF(OR(I1634="EO",I1634="EQ"),IF(OR(X1634="估算法",X1634="算法类"),"中",IF(X1634="无法识别","低",IF(L1634&lt;2,IF(N1634&lt;20,"低","中"),IF(L1634&lt;4,IF(N1634&lt;6,"低",IF(N1634&lt;20,"中","高")),IF(N1634&lt;6,"中","高"))))),IF(OR(I1634="ILF",I1634="EIF"),IF(OR(X1634="估算法",X1634="算法类",X1634="无法识别"),"低",IF(M1634&lt;2,IF(N1634&lt;51,"低","中"),IF(M1634&lt;6,IF(N1634&lt;20,"低",IF(N1634&lt;51,"中","高")),IF(N1634&lt;20,"中","高")))),"不计算")))</f>
        <v/>
      </c>
      <c r="P1634" s="142">
        <f>IFERROR(IF(I1634="EI",IF(O1634="低",3,IF(O1634="中",4,6)),IF(I1634="EO",IF(O1634="低",4,IF(O1634="中",5,7)),IF(I1634="EQ",IF(O1634="低",3,IF(O1634="中",4,6)),IF(I1634="ILF",IF(O1634="低",7,IF(O1634="中",10,15)),IF(I1634="EIF",IF(O1634="低",5,IF(O1634="中",7,10)),"不计算")))))*Q1634,"不计算")</f>
        <v/>
      </c>
      <c r="Q1634" s="142" t="n">
        <v>1</v>
      </c>
      <c r="R1634" s="143">
        <f>调整因子!$F$13</f>
        <v/>
      </c>
      <c r="S1634" s="70" t="n">
        <v>1</v>
      </c>
      <c r="T1634" s="144">
        <f>IFERROR(P1634*R1634,0)</f>
        <v/>
      </c>
      <c r="U1634" s="145">
        <f>T1634*S1634</f>
        <v/>
      </c>
      <c r="V1634" s="96" t="inlineStr">
        <is>
          <t>任务优先级配置表</t>
        </is>
      </c>
      <c r="W1634" s="96" t="inlineStr"/>
      <c r="X1634" s="111" t="inlineStr">
        <is>
          <t>任务优先级配置表{任务ID、任务名称、任务类型、任务状态、创建时间、执行时间|任务ID、任务名称、任务类型}</t>
        </is>
      </c>
      <c r="Y1634" s="88" t="n"/>
      <c r="Z1634" s="88" t="n"/>
    </row>
    <row r="1635" hidden="1" ht="43.2" customHeight="1">
      <c r="A1635" s="69">
        <f>ROW()-1</f>
        <v/>
      </c>
      <c r="B1635" s="53" t="n"/>
      <c r="C1635" s="117" t="n">
        <v>2026</v>
      </c>
      <c r="E1635" s="53" t="n"/>
      <c r="F1635" s="53" t="n"/>
      <c r="G1635" s="53" t="n"/>
      <c r="H1635" s="96" t="inlineStr">
        <is>
          <t>导出提醒配置</t>
        </is>
      </c>
      <c r="I1635" s="76" t="inlineStr">
        <is>
          <t>EO</t>
        </is>
      </c>
      <c r="J1635" s="95" t="n"/>
      <c r="K1635" s="95" t="n"/>
      <c r="L1635" s="83">
        <f>IF(OR(X1635="估算法",X1635="算法类",X1635="无法识别"),"",IF(V1635="",IF(OR(I1635="EI",I1635="EO",I1635="EQ"),0,""),LEN(V1635)-LEN(SUBSTITUTE(V1635,"、",""))+1))</f>
        <v/>
      </c>
      <c r="M1635" s="83">
        <f>IF(OR(X1635="估算法",X1635="算法类",X1635="无法识别"),"",IF(W1635="",IF(OR(I1635="ILF",I1635="EIF"),0,""),LEN(W1635)-LEN(SUBSTITUTE(W1635,"、",""))+1))</f>
        <v/>
      </c>
      <c r="N1635" s="83">
        <f>IF(OR(X1635="估算法",X1635="算法类",X1635="无法识别"),"",IF(X1635="",IF(OR(I1635="ILF",I1635="EIF",I1635="EI",I1635="EO",I1635="EQ"),0,""),LEN(X1635)-LEN(SUBSTITUTE(SUBSTITUTE(SUBSTITUTE(SUBSTITUTE(SUBSTITUTE(X1635,"|}","--"),"{|","--"),CHAR(10),""),"、",""),"|",""))+IF(AND(OR(I1635="EI",I1635="EO",I1635="EQ"),$AD$1="NESMA"),2,1)))</f>
        <v/>
      </c>
      <c r="O1635" s="84">
        <f>IF(I1635="EI",IF(OR(X1635="估算法",X1635="算法类"),"中",IF(X1635="无法识别","低",IF(L1635&lt;2,IF(N1635&lt;16,"低","中"),IF(L1635&lt;3,IF(N1635&lt;5,"低",IF(N1635&lt;16,"中","高")),IF(N1635&lt;5,"中","高"))))),IF(OR(I1635="EO",I1635="EQ"),IF(OR(X1635="估算法",X1635="算法类"),"中",IF(X1635="无法识别","低",IF(L1635&lt;2,IF(N1635&lt;20,"低","中"),IF(L1635&lt;4,IF(N1635&lt;6,"低",IF(N1635&lt;20,"中","高")),IF(N1635&lt;6,"中","高"))))),IF(OR(I1635="ILF",I1635="EIF"),IF(OR(X1635="估算法",X1635="算法类",X1635="无法识别"),"低",IF(M1635&lt;2,IF(N1635&lt;51,"低","中"),IF(M1635&lt;6,IF(N1635&lt;20,"低",IF(N1635&lt;51,"中","高")),IF(N1635&lt;20,"中","高")))),"不计算")))</f>
        <v/>
      </c>
      <c r="P1635" s="142">
        <f>IFERROR(IF(I1635="EI",IF(O1635="低",3,IF(O1635="中",4,6)),IF(I1635="EO",IF(O1635="低",4,IF(O1635="中",5,7)),IF(I1635="EQ",IF(O1635="低",3,IF(O1635="中",4,6)),IF(I1635="ILF",IF(O1635="低",7,IF(O1635="中",10,15)),IF(I1635="EIF",IF(O1635="低",5,IF(O1635="中",7,10)),"不计算")))))*Q1635,"不计算")</f>
        <v/>
      </c>
      <c r="Q1635" s="142" t="n">
        <v>1</v>
      </c>
      <c r="R1635" s="143">
        <f>调整因子!$F$13</f>
        <v/>
      </c>
      <c r="S1635" s="76" t="n">
        <v>1</v>
      </c>
      <c r="T1635" s="144">
        <f>IFERROR(P1635*R1635,0)</f>
        <v/>
      </c>
      <c r="U1635" s="145">
        <f>T1635*S1635</f>
        <v/>
      </c>
      <c r="V1635" s="96" t="inlineStr">
        <is>
          <t>任务优先级配置表、模板参数配置表</t>
        </is>
      </c>
      <c r="W1635" s="96" t="inlineStr"/>
      <c r="X1635" s="111" t="inlineStr">
        <is>
          <t>任务优先级配置表{任务ID、任务名称|任务ID、任务名称、任务类型、任务状态、创建时间、执行时间}
模板参数配置表{配置ID、配置名称|配置ID、配置名称、配置类型、配置值、创建时间}</t>
        </is>
      </c>
      <c r="Y1635" s="88" t="n"/>
      <c r="Z1635" s="88" t="n"/>
    </row>
    <row r="1636" hidden="1" ht="43.2" customHeight="1">
      <c r="A1636" s="69">
        <f>ROW()-1</f>
        <v/>
      </c>
      <c r="B1636" s="53" t="n"/>
      <c r="C1636" s="117" t="n">
        <v>2026</v>
      </c>
      <c r="E1636" s="53" t="n"/>
      <c r="F1636" s="53" t="n"/>
      <c r="G1636" s="53" t="n"/>
      <c r="H1636" s="96" t="inlineStr">
        <is>
          <t>查询提醒策略</t>
        </is>
      </c>
      <c r="I1636" s="76" t="inlineStr">
        <is>
          <t>EQ</t>
        </is>
      </c>
      <c r="J1636" s="95" t="n"/>
      <c r="K1636" s="95" t="n"/>
      <c r="L1636" s="83">
        <f>IF(OR(X1636="估算法",X1636="算法类",X1636="无法识别"),"",IF(V1636="",IF(OR(I1636="EI",I1636="EO",I1636="EQ"),0,""),LEN(V1636)-LEN(SUBSTITUTE(V1636,"、",""))+1))</f>
        <v/>
      </c>
      <c r="M1636" s="83">
        <f>IF(OR(X1636="估算法",X1636="算法类",X1636="无法识别"),"",IF(W1636="",IF(OR(I1636="ILF",I1636="EIF"),0,""),LEN(W1636)-LEN(SUBSTITUTE(W1636,"、",""))+1))</f>
        <v/>
      </c>
      <c r="N1636" s="83">
        <f>IF(OR(X1636="估算法",X1636="算法类",X1636="无法识别"),"",IF(X1636="",IF(OR(I1636="ILF",I1636="EIF",I1636="EI",I1636="EO",I1636="EQ"),0,""),LEN(X1636)-LEN(SUBSTITUTE(SUBSTITUTE(SUBSTITUTE(SUBSTITUTE(SUBSTITUTE(X1636,"|}","--"),"{|","--"),CHAR(10),""),"、",""),"|",""))+IF(AND(OR(I1636="EI",I1636="EO",I1636="EQ"),$AD$1="NESMA"),2,1)))</f>
        <v/>
      </c>
      <c r="O1636" s="84">
        <f>IF(I1636="EI",IF(OR(X1636="估算法",X1636="算法类"),"中",IF(X1636="无法识别","低",IF(L1636&lt;2,IF(N1636&lt;16,"低","中"),IF(L1636&lt;3,IF(N1636&lt;5,"低",IF(N1636&lt;16,"中","高")),IF(N1636&lt;5,"中","高"))))),IF(OR(I1636="EO",I1636="EQ"),IF(OR(X1636="估算法",X1636="算法类"),"中",IF(X1636="无法识别","低",IF(L1636&lt;2,IF(N1636&lt;20,"低","中"),IF(L1636&lt;4,IF(N1636&lt;6,"低",IF(N1636&lt;20,"中","高")),IF(N1636&lt;6,"中","高"))))),IF(OR(I1636="ILF",I1636="EIF"),IF(OR(X1636="估算法",X1636="算法类",X1636="无法识别"),"低",IF(M1636&lt;2,IF(N1636&lt;51,"低","中"),IF(M1636&lt;6,IF(N1636&lt;20,"低",IF(N1636&lt;51,"中","高")),IF(N1636&lt;20,"中","高")))),"不计算")))</f>
        <v/>
      </c>
      <c r="P1636" s="142">
        <f>IFERROR(IF(I1636="EI",IF(O1636="低",3,IF(O1636="中",4,6)),IF(I1636="EO",IF(O1636="低",4,IF(O1636="中",5,7)),IF(I1636="EQ",IF(O1636="低",3,IF(O1636="中",4,6)),IF(I1636="ILF",IF(O1636="低",7,IF(O1636="中",10,15)),IF(I1636="EIF",IF(O1636="低",5,IF(O1636="中",7,10)),"不计算")))))*Q1636,"不计算")</f>
        <v/>
      </c>
      <c r="Q1636" s="142" t="n">
        <v>1</v>
      </c>
      <c r="R1636" s="143">
        <f>调整因子!$F$13</f>
        <v/>
      </c>
      <c r="S1636" s="76" t="n">
        <v>1</v>
      </c>
      <c r="T1636" s="144">
        <f>IFERROR(P1636*R1636,0)</f>
        <v/>
      </c>
      <c r="U1636" s="145">
        <f>T1636*S1636</f>
        <v/>
      </c>
      <c r="V1636" s="96" t="inlineStr">
        <is>
          <t>扫描策略模板表、提醒策略配置表</t>
        </is>
      </c>
      <c r="W1636" s="96" t="inlineStr"/>
      <c r="X1636" s="111" t="inlineStr">
        <is>
          <t>扫描策略模板表{任务ID、任务名称|任务ID、任务名称、任务状态、扫描器类型、开始时间、结束时间、扫描结果}
提醒策略配置表{配置ID、配置名称|配置ID、配置名称、配置类型、配置值、创建时间}</t>
        </is>
      </c>
      <c r="Y1636" s="88" t="n"/>
      <c r="Z1636" s="88" t="n"/>
    </row>
    <row r="1637" hidden="1">
      <c r="A1637" s="69">
        <f>ROW()-1</f>
        <v/>
      </c>
      <c r="B1637" s="53" t="n"/>
      <c r="C1637" s="117" t="n">
        <v>2026</v>
      </c>
      <c r="E1637" s="53" t="n"/>
      <c r="F1637" s="53" t="n"/>
      <c r="G1637" s="54" t="n"/>
      <c r="H1637" s="96" t="inlineStr">
        <is>
          <t>查看提醒规则</t>
        </is>
      </c>
      <c r="I1637" s="76" t="inlineStr">
        <is>
          <t>EQ</t>
        </is>
      </c>
      <c r="J1637" s="95" t="n"/>
      <c r="K1637" s="95" t="n"/>
      <c r="L1637" s="83">
        <f>IF(OR(X1637="估算法",X1637="算法类",X1637="无法识别"),"",IF(V1637="",IF(OR(I1637="EI",I1637="EO",I1637="EQ"),0,""),LEN(V1637)-LEN(SUBSTITUTE(V1637,"、",""))+1))</f>
        <v/>
      </c>
      <c r="M1637" s="83">
        <f>IF(OR(X1637="估算法",X1637="算法类",X1637="无法识别"),"",IF(W1637="",IF(OR(I1637="ILF",I1637="EIF"),0,""),LEN(W1637)-LEN(SUBSTITUTE(W1637,"、",""))+1))</f>
        <v/>
      </c>
      <c r="N1637" s="83">
        <f>IF(OR(X1637="估算法",X1637="算法类",X1637="无法识别"),"",IF(X1637="",IF(OR(I1637="ILF",I1637="EIF",I1637="EI",I1637="EO",I1637="EQ"),0,""),LEN(X1637)-LEN(SUBSTITUTE(SUBSTITUTE(SUBSTITUTE(SUBSTITUTE(SUBSTITUTE(X1637,"|}","--"),"{|","--"),CHAR(10),""),"、",""),"|",""))+IF(AND(OR(I1637="EI",I1637="EO",I1637="EQ"),$AD$1="NESMA"),2,1)))</f>
        <v/>
      </c>
      <c r="O1637" s="84">
        <f>IF(I1637="EI",IF(OR(X1637="估算法",X1637="算法类"),"中",IF(X1637="无法识别","低",IF(L1637&lt;2,IF(N1637&lt;16,"低","中"),IF(L1637&lt;3,IF(N1637&lt;5,"低",IF(N1637&lt;16,"中","高")),IF(N1637&lt;5,"中","高"))))),IF(OR(I1637="EO",I1637="EQ"),IF(OR(X1637="估算法",X1637="算法类"),"中",IF(X1637="无法识别","低",IF(L1637&lt;2,IF(N1637&lt;20,"低","中"),IF(L1637&lt;4,IF(N1637&lt;6,"低",IF(N1637&lt;20,"中","高")),IF(N1637&lt;6,"中","高"))))),IF(OR(I1637="ILF",I1637="EIF"),IF(OR(X1637="估算法",X1637="算法类",X1637="无法识别"),"低",IF(M1637&lt;2,IF(N1637&lt;51,"低","中"),IF(M1637&lt;6,IF(N1637&lt;20,"低",IF(N1637&lt;51,"中","高")),IF(N1637&lt;20,"中","高")))),"不计算")))</f>
        <v/>
      </c>
      <c r="P1637" s="142">
        <f>IFERROR(IF(I1637="EI",IF(O1637="低",3,IF(O1637="中",4,6)),IF(I1637="EO",IF(O1637="低",4,IF(O1637="中",5,7)),IF(I1637="EQ",IF(O1637="低",3,IF(O1637="中",4,6)),IF(I1637="ILF",IF(O1637="低",7,IF(O1637="中",10,15)),IF(I1637="EIF",IF(O1637="低",5,IF(O1637="中",7,10)),"不计算")))))*Q1637,"不计算")</f>
        <v/>
      </c>
      <c r="Q1637" s="142" t="n">
        <v>1</v>
      </c>
      <c r="R1637" s="143">
        <f>调整因子!$F$13</f>
        <v/>
      </c>
      <c r="S1637" s="70" t="n">
        <v>1</v>
      </c>
      <c r="T1637" s="144">
        <f>IFERROR(P1637*R1637,0)</f>
        <v/>
      </c>
      <c r="U1637" s="145">
        <f>T1637*S1637</f>
        <v/>
      </c>
      <c r="V1637" s="96" t="inlineStr">
        <is>
          <t>推送规则表</t>
        </is>
      </c>
      <c r="W1637" s="96" t="inlineStr"/>
      <c r="X1637" s="111" t="inlineStr">
        <is>
          <t>推送规则表{规则ID、规则名称|规则ID、规则名称、规则类型、规则条件、创建时间}</t>
        </is>
      </c>
      <c r="Y1637" s="88" t="n"/>
      <c r="Z1637" s="88" t="n"/>
    </row>
    <row r="1638" hidden="1" ht="32.4" customHeight="1">
      <c r="A1638" s="69">
        <f>ROW()-1</f>
        <v/>
      </c>
      <c r="B1638" s="53" t="n"/>
      <c r="C1638" s="117" t="n">
        <v>2026</v>
      </c>
      <c r="E1638" s="53" t="n"/>
      <c r="F1638" s="53" t="n"/>
      <c r="G1638" s="111" t="inlineStr">
        <is>
          <t>提醒通知管理</t>
        </is>
      </c>
      <c r="H1638" s="96" t="inlineStr">
        <is>
          <t>启用提醒通知</t>
        </is>
      </c>
      <c r="I1638" s="76" t="inlineStr">
        <is>
          <t>EI</t>
        </is>
      </c>
      <c r="J1638" s="95" t="n"/>
      <c r="K1638" s="95" t="n"/>
      <c r="L1638" s="83">
        <f>IF(OR(X1638="估算法",X1638="算法类",X1638="无法识别"),"",IF(V1638="",IF(OR(I1638="EI",I1638="EO",I1638="EQ"),0,""),LEN(V1638)-LEN(SUBSTITUTE(V1638,"、",""))+1))</f>
        <v/>
      </c>
      <c r="M1638" s="83">
        <f>IF(OR(X1638="估算法",X1638="算法类",X1638="无法识别"),"",IF(W1638="",IF(OR(I1638="ILF",I1638="EIF"),0,""),LEN(W1638)-LEN(SUBSTITUTE(W1638,"、",""))+1))</f>
        <v/>
      </c>
      <c r="N1638" s="83">
        <f>IF(OR(X1638="估算法",X1638="算法类",X1638="无法识别"),"",IF(X1638="",IF(OR(I1638="ILF",I1638="EIF",I1638="EI",I1638="EO",I1638="EQ"),0,""),LEN(X1638)-LEN(SUBSTITUTE(SUBSTITUTE(SUBSTITUTE(SUBSTITUTE(SUBSTITUTE(X1638,"|}","--"),"{|","--"),CHAR(10),""),"、",""),"|",""))+IF(AND(OR(I1638="EI",I1638="EO",I1638="EQ"),$AD$1="NESMA"),2,1)))</f>
        <v/>
      </c>
      <c r="O1638" s="84">
        <f>IF(I1638="EI",IF(OR(X1638="估算法",X1638="算法类"),"中",IF(X1638="无法识别","低",IF(L1638&lt;2,IF(N1638&lt;16,"低","中"),IF(L1638&lt;3,IF(N1638&lt;5,"低",IF(N1638&lt;16,"中","高")),IF(N1638&lt;5,"中","高"))))),IF(OR(I1638="EO",I1638="EQ"),IF(OR(X1638="估算法",X1638="算法类"),"中",IF(X1638="无法识别","低",IF(L1638&lt;2,IF(N1638&lt;20,"低","中"),IF(L1638&lt;4,IF(N1638&lt;6,"低",IF(N1638&lt;20,"中","高")),IF(N1638&lt;6,"中","高"))))),IF(OR(I1638="ILF",I1638="EIF"),IF(OR(X1638="估算法",X1638="算法类",X1638="无法识别"),"低",IF(M1638&lt;2,IF(N1638&lt;51,"低","中"),IF(M1638&lt;6,IF(N1638&lt;20,"低",IF(N1638&lt;51,"中","高")),IF(N1638&lt;20,"中","高")))),"不计算")))</f>
        <v/>
      </c>
      <c r="P1638" s="142">
        <f>IFERROR(IF(I1638="EI",IF(O1638="低",3,IF(O1638="中",4,6)),IF(I1638="EO",IF(O1638="低",4,IF(O1638="中",5,7)),IF(I1638="EQ",IF(O1638="低",3,IF(O1638="中",4,6)),IF(I1638="ILF",IF(O1638="低",7,IF(O1638="中",10,15)),IF(I1638="EIF",IF(O1638="低",5,IF(O1638="中",7,10)),"不计算")))))*Q1638,"不计算")</f>
        <v/>
      </c>
      <c r="Q1638" s="142" t="n">
        <v>1</v>
      </c>
      <c r="R1638" s="143">
        <f>调整因子!$F$13</f>
        <v/>
      </c>
      <c r="S1638" s="70" t="n">
        <v>1</v>
      </c>
      <c r="T1638" s="144">
        <f>IFERROR(P1638*R1638,0)</f>
        <v/>
      </c>
      <c r="U1638" s="145">
        <f>T1638*S1638</f>
        <v/>
      </c>
      <c r="V1638" s="96" t="inlineStr">
        <is>
          <t>漏洞查询接口配置表、处置单关联表</t>
        </is>
      </c>
      <c r="W1638" s="96" t="inlineStr"/>
      <c r="X1638" s="111" t="inlineStr">
        <is>
          <t>漏洞查询接口配置表{漏洞ID、漏洞名称、漏洞等级、漏洞类型、CVE编号、发现时间、修复状态|漏洞ID、漏洞名称、漏洞等级}
处置单关联表{ID、名称、类型、状态、创建时间、更新时间|ID、名称、类型}</t>
        </is>
      </c>
      <c r="Y1638" s="88" t="n"/>
      <c r="Z1638" s="88" t="n"/>
    </row>
    <row r="1639" hidden="1" ht="21.6" customHeight="1">
      <c r="A1639" s="69">
        <f>ROW()-1</f>
        <v/>
      </c>
      <c r="B1639" s="53" t="n"/>
      <c r="C1639" s="117" t="n">
        <v>2026</v>
      </c>
      <c r="E1639" s="53" t="n"/>
      <c r="F1639" s="53" t="n"/>
      <c r="G1639" s="53" t="n"/>
      <c r="H1639" s="96" t="inlineStr">
        <is>
          <t>停用提醒通知</t>
        </is>
      </c>
      <c r="I1639" s="76" t="n"/>
      <c r="J1639" s="95" t="n"/>
      <c r="K1639" s="95" t="inlineStr">
        <is>
          <t>和上行合并，启停为相同功能</t>
        </is>
      </c>
      <c r="L1639" s="83">
        <f>IF(OR(X1639="估算法",X1639="算法类",X1639="无法识别"),"",IF(V1639="",IF(OR(I1639="EI",I1639="EO",I1639="EQ"),0,""),LEN(V1639)-LEN(SUBSTITUTE(V1639,"、",""))+1))</f>
        <v/>
      </c>
      <c r="M1639" s="83">
        <f>IF(OR(X1639="估算法",X1639="算法类",X1639="无法识别"),"",IF(W1639="",IF(OR(I1639="ILF",I1639="EIF"),0,""),LEN(W1639)-LEN(SUBSTITUTE(W1639,"、",""))+1))</f>
        <v/>
      </c>
      <c r="N1639" s="83">
        <f>IF(OR(X1639="估算法",X1639="算法类",X1639="无法识别"),"",IF(X1639="",IF(OR(I1639="ILF",I1639="EIF",I1639="EI",I1639="EO",I1639="EQ"),0,""),LEN(X1639)-LEN(SUBSTITUTE(SUBSTITUTE(SUBSTITUTE(SUBSTITUTE(SUBSTITUTE(X1639,"|}","--"),"{|","--"),CHAR(10),""),"、",""),"|",""))+IF(AND(OR(I1639="EI",I1639="EO",I1639="EQ"),$AD$1="NESMA"),2,1)))</f>
        <v/>
      </c>
      <c r="O1639" s="84">
        <f>IF(I1639="EI",IF(OR(X1639="估算法",X1639="算法类"),"中",IF(X1639="无法识别","低",IF(L1639&lt;2,IF(N1639&lt;16,"低","中"),IF(L1639&lt;3,IF(N1639&lt;5,"低",IF(N1639&lt;16,"中","高")),IF(N1639&lt;5,"中","高"))))),IF(OR(I1639="EO",I1639="EQ"),IF(OR(X1639="估算法",X1639="算法类"),"中",IF(X1639="无法识别","低",IF(L1639&lt;2,IF(N1639&lt;20,"低","中"),IF(L1639&lt;4,IF(N1639&lt;6,"低",IF(N1639&lt;20,"中","高")),IF(N1639&lt;6,"中","高"))))),IF(OR(I1639="ILF",I1639="EIF"),IF(OR(X1639="估算法",X1639="算法类",X1639="无法识别"),"低",IF(M1639&lt;2,IF(N1639&lt;51,"低","中"),IF(M1639&lt;6,IF(N1639&lt;20,"低",IF(N1639&lt;51,"中","高")),IF(N1639&lt;20,"中","高")))),"不计算")))</f>
        <v/>
      </c>
      <c r="P1639" s="142">
        <f>IFERROR(IF(I1639="EI",IF(O1639="低",3,IF(O1639="中",4,6)),IF(I1639="EO",IF(O1639="低",4,IF(O1639="中",5,7)),IF(I1639="EQ",IF(O1639="低",3,IF(O1639="中",4,6)),IF(I1639="ILF",IF(O1639="低",7,IF(O1639="中",10,15)),IF(I1639="EIF",IF(O1639="低",5,IF(O1639="中",7,10)),"不计算")))))*Q1639,"不计算")</f>
        <v/>
      </c>
      <c r="Q1639" s="142" t="n">
        <v>1</v>
      </c>
      <c r="R1639" s="143">
        <f>调整因子!$F$13</f>
        <v/>
      </c>
      <c r="S1639" s="76" t="n">
        <v>1</v>
      </c>
      <c r="T1639" s="144">
        <f>IFERROR(P1639*R1639,0)</f>
        <v/>
      </c>
      <c r="U1639" s="145">
        <f>T1639*S1639</f>
        <v/>
      </c>
      <c r="V1639" s="96" t="inlineStr">
        <is>
          <t>任务优先级配置表</t>
        </is>
      </c>
      <c r="W1639" s="96" t="inlineStr"/>
      <c r="X1639" s="111" t="inlineStr">
        <is>
          <t>任务优先级配置表{任务ID、任务名称、任务类型、任务状态、创建时间、执行时间|任务ID、任务名称、任务类型}</t>
        </is>
      </c>
      <c r="Y1639" s="88" t="n"/>
      <c r="Z1639" s="88" t="n"/>
    </row>
    <row r="1640" hidden="1" ht="32.4" customHeight="1">
      <c r="A1640" s="69">
        <f>ROW()-1</f>
        <v/>
      </c>
      <c r="B1640" s="53" t="n"/>
      <c r="C1640" s="117" t="n">
        <v>2026</v>
      </c>
      <c r="E1640" s="53" t="n"/>
      <c r="F1640" s="53" t="n"/>
      <c r="G1640" s="53" t="n"/>
      <c r="H1640" s="96" t="inlineStr">
        <is>
          <t>推送提醒通知</t>
        </is>
      </c>
      <c r="I1640" s="76" t="inlineStr">
        <is>
          <t>EO</t>
        </is>
      </c>
      <c r="J1640" s="95" t="n"/>
      <c r="K1640" s="95" t="n"/>
      <c r="L1640" s="83">
        <f>IF(OR(X1640="估算法",X1640="算法类",X1640="无法识别"),"",IF(V1640="",IF(OR(I1640="EI",I1640="EO",I1640="EQ"),0,""),LEN(V1640)-LEN(SUBSTITUTE(V1640,"、",""))+1))</f>
        <v/>
      </c>
      <c r="M1640" s="83">
        <f>IF(OR(X1640="估算法",X1640="算法类",X1640="无法识别"),"",IF(W1640="",IF(OR(I1640="ILF",I1640="EIF"),0,""),LEN(W1640)-LEN(SUBSTITUTE(W1640,"、",""))+1))</f>
        <v/>
      </c>
      <c r="N1640" s="83">
        <f>IF(OR(X1640="估算法",X1640="算法类",X1640="无法识别"),"",IF(X1640="",IF(OR(I1640="ILF",I1640="EIF",I1640="EI",I1640="EO",I1640="EQ"),0,""),LEN(X1640)-LEN(SUBSTITUTE(SUBSTITUTE(SUBSTITUTE(SUBSTITUTE(SUBSTITUTE(X1640,"|}","--"),"{|","--"),CHAR(10),""),"、",""),"|",""))+IF(AND(OR(I1640="EI",I1640="EO",I1640="EQ"),$AD$1="NESMA"),2,1)))</f>
        <v/>
      </c>
      <c r="O1640" s="84">
        <f>IF(I1640="EI",IF(OR(X1640="估算法",X1640="算法类"),"中",IF(X1640="无法识别","低",IF(L1640&lt;2,IF(N1640&lt;16,"低","中"),IF(L1640&lt;3,IF(N1640&lt;5,"低",IF(N1640&lt;16,"中","高")),IF(N1640&lt;5,"中","高"))))),IF(OR(I1640="EO",I1640="EQ"),IF(OR(X1640="估算法",X1640="算法类"),"中",IF(X1640="无法识别","低",IF(L1640&lt;2,IF(N1640&lt;20,"低","中"),IF(L1640&lt;4,IF(N1640&lt;6,"低",IF(N1640&lt;20,"中","高")),IF(N1640&lt;6,"中","高"))))),IF(OR(I1640="ILF",I1640="EIF"),IF(OR(X1640="估算法",X1640="算法类",X1640="无法识别"),"低",IF(M1640&lt;2,IF(N1640&lt;51,"低","中"),IF(M1640&lt;6,IF(N1640&lt;20,"低",IF(N1640&lt;51,"中","高")),IF(N1640&lt;20,"中","高")))),"不计算")))</f>
        <v/>
      </c>
      <c r="P1640" s="142">
        <f>IFERROR(IF(I1640="EI",IF(O1640="低",3,IF(O1640="中",4,6)),IF(I1640="EO",IF(O1640="低",4,IF(O1640="中",5,7)),IF(I1640="EQ",IF(O1640="低",3,IF(O1640="中",4,6)),IF(I1640="ILF",IF(O1640="低",7,IF(O1640="中",10,15)),IF(I1640="EIF",IF(O1640="低",5,IF(O1640="中",7,10)),"不计算")))))*Q1640,"不计算")</f>
        <v/>
      </c>
      <c r="Q1640" s="142" t="n">
        <v>1</v>
      </c>
      <c r="R1640" s="143">
        <f>调整因子!$F$13</f>
        <v/>
      </c>
      <c r="S1640" s="70" t="n">
        <v>1</v>
      </c>
      <c r="T1640" s="144">
        <f>IFERROR(P1640*R1640,0)</f>
        <v/>
      </c>
      <c r="U1640" s="145">
        <f>T1640*S1640</f>
        <v/>
      </c>
      <c r="V1640" s="96" t="inlineStr">
        <is>
          <t>接口参数表、漏洞处置单表</t>
        </is>
      </c>
      <c r="W1640" s="96" t="inlineStr"/>
      <c r="X1640" s="111" t="inlineStr">
        <is>
          <t>接口参数表{接口ID、接口名称|接口ID、接口名称、接口类型、接口地址、调用时间}
漏洞处置单表{漏洞ID、漏洞名称|漏洞ID、漏洞名称、漏洞等级、漏洞类型、CVE编号、发现时间、修复状态}</t>
        </is>
      </c>
      <c r="Y1640" s="88" t="n"/>
      <c r="Z1640" s="88" t="n"/>
    </row>
    <row r="1641" hidden="1" ht="32.4" customHeight="1">
      <c r="A1641" s="69">
        <f>ROW()-1</f>
        <v/>
      </c>
      <c r="B1641" s="53" t="n"/>
      <c r="C1641" s="117" t="n">
        <v>2026</v>
      </c>
      <c r="E1641" s="53" t="n"/>
      <c r="F1641" s="53" t="n"/>
      <c r="G1641" s="53" t="n"/>
      <c r="H1641" s="96" t="inlineStr">
        <is>
          <t>导出提醒记录</t>
        </is>
      </c>
      <c r="I1641" s="76" t="inlineStr">
        <is>
          <t>EO</t>
        </is>
      </c>
      <c r="J1641" s="95" t="n"/>
      <c r="K1641" s="95" t="n"/>
      <c r="L1641" s="83">
        <f>IF(OR(X1641="估算法",X1641="算法类",X1641="无法识别"),"",IF(V1641="",IF(OR(I1641="EI",I1641="EO",I1641="EQ"),0,""),LEN(V1641)-LEN(SUBSTITUTE(V1641,"、",""))+1))</f>
        <v/>
      </c>
      <c r="M1641" s="83">
        <f>IF(OR(X1641="估算法",X1641="算法类",X1641="无法识别"),"",IF(W1641="",IF(OR(I1641="ILF",I1641="EIF"),0,""),LEN(W1641)-LEN(SUBSTITUTE(W1641,"、",""))+1))</f>
        <v/>
      </c>
      <c r="N1641" s="83">
        <f>IF(OR(X1641="估算法",X1641="算法类",X1641="无法识别"),"",IF(X1641="",IF(OR(I1641="ILF",I1641="EIF",I1641="EI",I1641="EO",I1641="EQ"),0,""),LEN(X1641)-LEN(SUBSTITUTE(SUBSTITUTE(SUBSTITUTE(SUBSTITUTE(SUBSTITUTE(X1641,"|}","--"),"{|","--"),CHAR(10),""),"、",""),"|",""))+IF(AND(OR(I1641="EI",I1641="EO",I1641="EQ"),$AD$1="NESMA"),2,1)))</f>
        <v/>
      </c>
      <c r="O1641" s="84">
        <f>IF(I1641="EI",IF(OR(X1641="估算法",X1641="算法类"),"中",IF(X1641="无法识别","低",IF(L1641&lt;2,IF(N1641&lt;16,"低","中"),IF(L1641&lt;3,IF(N1641&lt;5,"低",IF(N1641&lt;16,"中","高")),IF(N1641&lt;5,"中","高"))))),IF(OR(I1641="EO",I1641="EQ"),IF(OR(X1641="估算法",X1641="算法类"),"中",IF(X1641="无法识别","低",IF(L1641&lt;2,IF(N1641&lt;20,"低","中"),IF(L1641&lt;4,IF(N1641&lt;6,"低",IF(N1641&lt;20,"中","高")),IF(N1641&lt;6,"中","高"))))),IF(OR(I1641="ILF",I1641="EIF"),IF(OR(X1641="估算法",X1641="算法类",X1641="无法识别"),"低",IF(M1641&lt;2,IF(N1641&lt;51,"低","中"),IF(M1641&lt;6,IF(N1641&lt;20,"低",IF(N1641&lt;51,"中","高")),IF(N1641&lt;20,"中","高")))),"不计算")))</f>
        <v/>
      </c>
      <c r="P1641" s="142">
        <f>IFERROR(IF(I1641="EI",IF(O1641="低",3,IF(O1641="中",4,6)),IF(I1641="EO",IF(O1641="低",4,IF(O1641="中",5,7)),IF(I1641="EQ",IF(O1641="低",3,IF(O1641="中",4,6)),IF(I1641="ILF",IF(O1641="低",7,IF(O1641="中",10,15)),IF(I1641="EIF",IF(O1641="低",5,IF(O1641="中",7,10)),"不计算")))))*Q1641,"不计算")</f>
        <v/>
      </c>
      <c r="Q1641" s="142" t="n">
        <v>1</v>
      </c>
      <c r="R1641" s="143">
        <f>调整因子!$F$13</f>
        <v/>
      </c>
      <c r="S1641" s="70" t="n">
        <v>1</v>
      </c>
      <c r="T1641" s="144">
        <f>IFERROR(P1641*R1641,0)</f>
        <v/>
      </c>
      <c r="U1641" s="145">
        <f>T1641*S1641</f>
        <v/>
      </c>
      <c r="V1641" s="96" t="inlineStr">
        <is>
          <t>标签定义表、数据清洗任务表</t>
        </is>
      </c>
      <c r="W1641" s="96" t="inlineStr"/>
      <c r="X1641" s="111" t="inlineStr">
        <is>
          <t>标签定义表{ID、名称|ID、名称、类型、状态、创建时间、更新时间}
数据清洗任务表{任务ID、任务名称|任务ID、任务名称、任务类型、任务状态、创建时间、执行时间}</t>
        </is>
      </c>
      <c r="Y1641" s="88" t="n"/>
      <c r="Z1641" s="88" t="n"/>
    </row>
    <row r="1642" hidden="1" ht="21.6" customHeight="1">
      <c r="A1642" s="69">
        <f>ROW()-1</f>
        <v/>
      </c>
      <c r="B1642" s="53" t="n"/>
      <c r="C1642" s="117" t="n">
        <v>2026</v>
      </c>
      <c r="E1642" s="54" t="n"/>
      <c r="F1642" s="54" t="n"/>
      <c r="G1642" s="54" t="n"/>
      <c r="H1642" s="96" t="inlineStr">
        <is>
          <t>查询提醒记录</t>
        </is>
      </c>
      <c r="I1642" s="76" t="inlineStr">
        <is>
          <t>EQ</t>
        </is>
      </c>
      <c r="J1642" s="95" t="n"/>
      <c r="K1642" s="95" t="n"/>
      <c r="L1642" s="83">
        <f>IF(OR(X1642="估算法",X1642="算法类",X1642="无法识别"),"",IF(V1642="",IF(OR(I1642="EI",I1642="EO",I1642="EQ"),0,""),LEN(V1642)-LEN(SUBSTITUTE(V1642,"、",""))+1))</f>
        <v/>
      </c>
      <c r="M1642" s="83">
        <f>IF(OR(X1642="估算法",X1642="算法类",X1642="无法识别"),"",IF(W1642="",IF(OR(I1642="ILF",I1642="EIF"),0,""),LEN(W1642)-LEN(SUBSTITUTE(W1642,"、",""))+1))</f>
        <v/>
      </c>
      <c r="N1642" s="83">
        <f>IF(OR(X1642="估算法",X1642="算法类",X1642="无法识别"),"",IF(X1642="",IF(OR(I1642="ILF",I1642="EIF",I1642="EI",I1642="EO",I1642="EQ"),0,""),LEN(X1642)-LEN(SUBSTITUTE(SUBSTITUTE(SUBSTITUTE(SUBSTITUTE(SUBSTITUTE(X1642,"|}","--"),"{|","--"),CHAR(10),""),"、",""),"|",""))+IF(AND(OR(I1642="EI",I1642="EO",I1642="EQ"),$AD$1="NESMA"),2,1)))</f>
        <v/>
      </c>
      <c r="O1642" s="84">
        <f>IF(I1642="EI",IF(OR(X1642="估算法",X1642="算法类"),"中",IF(X1642="无法识别","低",IF(L1642&lt;2,IF(N1642&lt;16,"低","中"),IF(L1642&lt;3,IF(N1642&lt;5,"低",IF(N1642&lt;16,"中","高")),IF(N1642&lt;5,"中","高"))))),IF(OR(I1642="EO",I1642="EQ"),IF(OR(X1642="估算法",X1642="算法类"),"中",IF(X1642="无法识别","低",IF(L1642&lt;2,IF(N1642&lt;20,"低","中"),IF(L1642&lt;4,IF(N1642&lt;6,"低",IF(N1642&lt;20,"中","高")),IF(N1642&lt;6,"中","高"))))),IF(OR(I1642="ILF",I1642="EIF"),IF(OR(X1642="估算法",X1642="算法类",X1642="无法识别"),"低",IF(M1642&lt;2,IF(N1642&lt;51,"低","中"),IF(M1642&lt;6,IF(N1642&lt;20,"低",IF(N1642&lt;51,"中","高")),IF(N1642&lt;20,"中","高")))),"不计算")))</f>
        <v/>
      </c>
      <c r="P1642" s="142">
        <f>IFERROR(IF(I1642="EI",IF(O1642="低",3,IF(O1642="中",4,6)),IF(I1642="EO",IF(O1642="低",4,IF(O1642="中",5,7)),IF(I1642="EQ",IF(O1642="低",3,IF(O1642="中",4,6)),IF(I1642="ILF",IF(O1642="低",7,IF(O1642="中",10,15)),IF(I1642="EIF",IF(O1642="低",5,IF(O1642="中",7,10)),"不计算")))))*Q1642,"不计算")</f>
        <v/>
      </c>
      <c r="Q1642" s="142" t="n">
        <v>1</v>
      </c>
      <c r="R1642" s="143">
        <f>调整因子!$F$13</f>
        <v/>
      </c>
      <c r="S1642" s="76" t="n">
        <v>1</v>
      </c>
      <c r="T1642" s="144">
        <f>IFERROR(P1642*R1642,0)</f>
        <v/>
      </c>
      <c r="U1642" s="145">
        <f>T1642*S1642</f>
        <v/>
      </c>
      <c r="V1642" s="96" t="inlineStr">
        <is>
          <t>模板参数配置表</t>
        </is>
      </c>
      <c r="W1642" s="96" t="inlineStr"/>
      <c r="X1642" s="111" t="inlineStr">
        <is>
          <t>模板参数配置表{配置ID、配置名称|配置ID、配置名称、配置类型、配置值、创建时间}</t>
        </is>
      </c>
      <c r="Y1642" s="88" t="n"/>
      <c r="Z1642" s="88" t="n"/>
    </row>
    <row r="1643" hidden="1" ht="21.6" customHeight="1">
      <c r="A1643" s="69">
        <f>ROW()-1</f>
        <v/>
      </c>
      <c r="B1643" s="53" t="n"/>
      <c r="C1643" s="117" t="n">
        <v>2026</v>
      </c>
      <c r="E1643" s="111" t="inlineStr">
        <is>
          <t>数据安全及数据库国产化</t>
        </is>
      </c>
      <c r="F1643" s="111" t="inlineStr">
        <is>
          <t>敏感信息页面脱敏</t>
        </is>
      </c>
      <c r="G1643" s="111" t="inlineStr">
        <is>
          <t>脱敏规则配置管理</t>
        </is>
      </c>
      <c r="H1643" s="96" t="inlineStr">
        <is>
          <t>脱敏规则表</t>
        </is>
      </c>
      <c r="I1643" s="76" t="inlineStr">
        <is>
          <t>ILF</t>
        </is>
      </c>
      <c r="J1643" s="95" t="n"/>
      <c r="K1643" s="95" t="n"/>
      <c r="L1643" s="83">
        <f>IF(OR(X1643="估算法",X1643="算法类",X1643="无法识别"),"",IF(V1643="",IF(OR(I1643="EI",I1643="EO",I1643="EQ"),0,""),LEN(V1643)-LEN(SUBSTITUTE(V1643,"、",""))+1))</f>
        <v/>
      </c>
      <c r="M1643" s="83">
        <f>IF(OR(X1643="估算法",X1643="算法类",X1643="无法识别"),"",IF(W1643="",IF(OR(I1643="ILF",I1643="EIF"),0,""),LEN(W1643)-LEN(SUBSTITUTE(W1643,"、",""))+1))</f>
        <v/>
      </c>
      <c r="N1643" s="83">
        <f>IF(OR(X1643="估算法",X1643="算法类",X1643="无法识别"),"",IF(X1643="",IF(OR(I1643="ILF",I1643="EIF",I1643="EI",I1643="EO",I1643="EQ"),0,""),LEN(X1643)-LEN(SUBSTITUTE(SUBSTITUTE(SUBSTITUTE(SUBSTITUTE(SUBSTITUTE(X1643,"|}","--"),"{|","--"),CHAR(10),""),"、",""),"|",""))+IF(AND(OR(I1643="EI",I1643="EO",I1643="EQ"),$AD$1="NESMA"),2,1)))</f>
        <v/>
      </c>
      <c r="O1643" s="84">
        <f>IF(I1643="EI",IF(OR(X1643="估算法",X1643="算法类"),"中",IF(X1643="无法识别","低",IF(L1643&lt;2,IF(N1643&lt;16,"低","中"),IF(L1643&lt;3,IF(N1643&lt;5,"低",IF(N1643&lt;16,"中","高")),IF(N1643&lt;5,"中","高"))))),IF(OR(I1643="EO",I1643="EQ"),IF(OR(X1643="估算法",X1643="算法类"),"中",IF(X1643="无法识别","低",IF(L1643&lt;2,IF(N1643&lt;20,"低","中"),IF(L1643&lt;4,IF(N1643&lt;6,"低",IF(N1643&lt;20,"中","高")),IF(N1643&lt;6,"中","高"))))),IF(OR(I1643="ILF",I1643="EIF"),IF(OR(X1643="估算法",X1643="算法类",X1643="无法识别"),"低",IF(M1643&lt;2,IF(N1643&lt;51,"低","中"),IF(M1643&lt;6,IF(N1643&lt;20,"低",IF(N1643&lt;51,"中","高")),IF(N1643&lt;20,"中","高")))),"不计算")))</f>
        <v/>
      </c>
      <c r="P1643" s="142">
        <f>IFERROR(IF(I1643="EI",IF(O1643="低",3,IF(O1643="中",4,6)),IF(I1643="EO",IF(O1643="低",4,IF(O1643="中",5,7)),IF(I1643="EQ",IF(O1643="低",3,IF(O1643="中",4,6)),IF(I1643="ILF",IF(O1643="低",7,IF(O1643="中",10,15)),IF(I1643="EIF",IF(O1643="低",5,IF(O1643="中",7,10)),"不计算")))))*Q1643,"不计算")</f>
        <v/>
      </c>
      <c r="Q1643" s="142" t="n">
        <v>1</v>
      </c>
      <c r="R1643" s="143">
        <f>调整因子!$F$13</f>
        <v/>
      </c>
      <c r="S1643" s="76" t="n">
        <v>1</v>
      </c>
      <c r="T1643" s="144">
        <f>IFERROR(P1643*R1643,0)</f>
        <v/>
      </c>
      <c r="U1643" s="145">
        <f>T1643*S1643</f>
        <v/>
      </c>
      <c r="V1643" s="96" t="inlineStr"/>
      <c r="W1643" s="96" t="inlineStr">
        <is>
          <t>数据记录</t>
        </is>
      </c>
      <c r="X1643" s="111" t="inlineStr">
        <is>
          <t>脱敏规则表{规则ID、规则名称、规则类型|规则ID、规则名称、规则类型、规则条件、创建时间}</t>
        </is>
      </c>
      <c r="Y1643" s="88">
        <f>IF(COUNTIFS(V:V,"*"&amp;H1643&amp;"*")&gt;0,"存在","不存在")</f>
        <v/>
      </c>
      <c r="Z1643" s="88">
        <f>IF(COUNTIFS(AA:AA,"*"&amp;H1643&amp;"*")&gt;0,"存在","不存在")</f>
        <v/>
      </c>
    </row>
    <row r="1644" hidden="1" ht="21.6" customHeight="1">
      <c r="A1644" s="69">
        <f>ROW()-1</f>
        <v/>
      </c>
      <c r="B1644" s="53" t="n"/>
      <c r="C1644" s="117" t="n">
        <v>2026</v>
      </c>
      <c r="E1644" s="53" t="n"/>
      <c r="F1644" s="53" t="n"/>
      <c r="G1644" s="53" t="n"/>
      <c r="H1644" s="96" t="inlineStr">
        <is>
          <t>编辑脱敏规则</t>
        </is>
      </c>
      <c r="I1644" s="76" t="inlineStr">
        <is>
          <t>EI</t>
        </is>
      </c>
      <c r="J1644" s="95" t="n"/>
      <c r="K1644" s="95" t="n"/>
      <c r="L1644" s="83">
        <f>IF(OR(X1644="估算法",X1644="算法类",X1644="无法识别"),"",IF(V1644="",IF(OR(I1644="EI",I1644="EO",I1644="EQ"),0,""),LEN(V1644)-LEN(SUBSTITUTE(V1644,"、",""))+1))</f>
        <v/>
      </c>
      <c r="M1644" s="83">
        <f>IF(OR(X1644="估算法",X1644="算法类",X1644="无法识别"),"",IF(W1644="",IF(OR(I1644="ILF",I1644="EIF"),0,""),LEN(W1644)-LEN(SUBSTITUTE(W1644,"、",""))+1))</f>
        <v/>
      </c>
      <c r="N1644" s="83">
        <f>IF(OR(X1644="估算法",X1644="算法类",X1644="无法识别"),"",IF(X1644="",IF(OR(I1644="ILF",I1644="EIF",I1644="EI",I1644="EO",I1644="EQ"),0,""),LEN(X1644)-LEN(SUBSTITUTE(SUBSTITUTE(SUBSTITUTE(SUBSTITUTE(SUBSTITUTE(X1644,"|}","--"),"{|","--"),CHAR(10),""),"、",""),"|",""))+IF(AND(OR(I1644="EI",I1644="EO",I1644="EQ"),$AD$1="NESMA"),2,1)))</f>
        <v/>
      </c>
      <c r="O1644" s="84">
        <f>IF(I1644="EI",IF(OR(X1644="估算法",X1644="算法类"),"中",IF(X1644="无法识别","低",IF(L1644&lt;2,IF(N1644&lt;16,"低","中"),IF(L1644&lt;3,IF(N1644&lt;5,"低",IF(N1644&lt;16,"中","高")),IF(N1644&lt;5,"中","高"))))),IF(OR(I1644="EO",I1644="EQ"),IF(OR(X1644="估算法",X1644="算法类"),"中",IF(X1644="无法识别","低",IF(L1644&lt;2,IF(N1644&lt;20,"低","中"),IF(L1644&lt;4,IF(N1644&lt;6,"低",IF(N1644&lt;20,"中","高")),IF(N1644&lt;6,"中","高"))))),IF(OR(I1644="ILF",I1644="EIF"),IF(OR(X1644="估算法",X1644="算法类",X1644="无法识别"),"低",IF(M1644&lt;2,IF(N1644&lt;51,"低","中"),IF(M1644&lt;6,IF(N1644&lt;20,"低",IF(N1644&lt;51,"中","高")),IF(N1644&lt;20,"中","高")))),"不计算")))</f>
        <v/>
      </c>
      <c r="P1644" s="142">
        <f>IFERROR(IF(I1644="EI",IF(O1644="低",3,IF(O1644="中",4,6)),IF(I1644="EO",IF(O1644="低",4,IF(O1644="中",5,7)),IF(I1644="EQ",IF(O1644="低",3,IF(O1644="中",4,6)),IF(I1644="ILF",IF(O1644="低",7,IF(O1644="中",10,15)),IF(I1644="EIF",IF(O1644="低",5,IF(O1644="中",7,10)),"不计算")))))*Q1644,"不计算")</f>
        <v/>
      </c>
      <c r="Q1644" s="142" t="n">
        <v>1</v>
      </c>
      <c r="R1644" s="143">
        <f>调整因子!$F$13</f>
        <v/>
      </c>
      <c r="S1644" s="70" t="n">
        <v>1</v>
      </c>
      <c r="T1644" s="144">
        <f>IFERROR(P1644*R1644,0)</f>
        <v/>
      </c>
      <c r="U1644" s="145">
        <f>T1644*S1644</f>
        <v/>
      </c>
      <c r="V1644" s="96" t="inlineStr">
        <is>
          <t>推送规则表</t>
        </is>
      </c>
      <c r="W1644" s="96" t="inlineStr"/>
      <c r="X1644" s="111" t="inlineStr">
        <is>
          <t>推送规则表{规则ID、规则名称、规则类型、规则条件、创建时间|规则ID、规则名称、规则类型}</t>
        </is>
      </c>
      <c r="Y1644" s="88" t="n"/>
      <c r="Z1644" s="88" t="n"/>
    </row>
    <row r="1645" hidden="1" ht="21.6" customHeight="1">
      <c r="A1645" s="69">
        <f>ROW()-1</f>
        <v/>
      </c>
      <c r="B1645" s="53" t="n"/>
      <c r="C1645" s="117" t="n">
        <v>2026</v>
      </c>
      <c r="E1645" s="53" t="n"/>
      <c r="F1645" s="53" t="n"/>
      <c r="G1645" s="53" t="n"/>
      <c r="H1645" s="96" t="inlineStr">
        <is>
          <t>删除脱敏规则</t>
        </is>
      </c>
      <c r="I1645" s="76" t="inlineStr">
        <is>
          <t>EI</t>
        </is>
      </c>
      <c r="J1645" s="95" t="n"/>
      <c r="K1645" s="95" t="n"/>
      <c r="L1645" s="83">
        <f>IF(OR(X1645="估算法",X1645="算法类",X1645="无法识别"),"",IF(V1645="",IF(OR(I1645="EI",I1645="EO",I1645="EQ"),0,""),LEN(V1645)-LEN(SUBSTITUTE(V1645,"、",""))+1))</f>
        <v/>
      </c>
      <c r="M1645" s="83">
        <f>IF(OR(X1645="估算法",X1645="算法类",X1645="无法识别"),"",IF(W1645="",IF(OR(I1645="ILF",I1645="EIF"),0,""),LEN(W1645)-LEN(SUBSTITUTE(W1645,"、",""))+1))</f>
        <v/>
      </c>
      <c r="N1645" s="83">
        <f>IF(OR(X1645="估算法",X1645="算法类",X1645="无法识别"),"",IF(X1645="",IF(OR(I1645="ILF",I1645="EIF",I1645="EI",I1645="EO",I1645="EQ"),0,""),LEN(X1645)-LEN(SUBSTITUTE(SUBSTITUTE(SUBSTITUTE(SUBSTITUTE(SUBSTITUTE(X1645,"|}","--"),"{|","--"),CHAR(10),""),"、",""),"|",""))+IF(AND(OR(I1645="EI",I1645="EO",I1645="EQ"),$AD$1="NESMA"),2,1)))</f>
        <v/>
      </c>
      <c r="O1645" s="84">
        <f>IF(I1645="EI",IF(OR(X1645="估算法",X1645="算法类"),"中",IF(X1645="无法识别","低",IF(L1645&lt;2,IF(N1645&lt;16,"低","中"),IF(L1645&lt;3,IF(N1645&lt;5,"低",IF(N1645&lt;16,"中","高")),IF(N1645&lt;5,"中","高"))))),IF(OR(I1645="EO",I1645="EQ"),IF(OR(X1645="估算法",X1645="算法类"),"中",IF(X1645="无法识别","低",IF(L1645&lt;2,IF(N1645&lt;20,"低","中"),IF(L1645&lt;4,IF(N1645&lt;6,"低",IF(N1645&lt;20,"中","高")),IF(N1645&lt;6,"中","高"))))),IF(OR(I1645="ILF",I1645="EIF"),IF(OR(X1645="估算法",X1645="算法类",X1645="无法识别"),"低",IF(M1645&lt;2,IF(N1645&lt;51,"低","中"),IF(M1645&lt;6,IF(N1645&lt;20,"低",IF(N1645&lt;51,"中","高")),IF(N1645&lt;20,"中","高")))),"不计算")))</f>
        <v/>
      </c>
      <c r="P1645" s="142">
        <f>IFERROR(IF(I1645="EI",IF(O1645="低",3,IF(O1645="中",4,6)),IF(I1645="EO",IF(O1645="低",4,IF(O1645="中",5,7)),IF(I1645="EQ",IF(O1645="低",3,IF(O1645="中",4,6)),IF(I1645="ILF",IF(O1645="低",7,IF(O1645="中",10,15)),IF(I1645="EIF",IF(O1645="低",5,IF(O1645="中",7,10)),"不计算")))))*Q1645,"不计算")</f>
        <v/>
      </c>
      <c r="Q1645" s="142" t="n">
        <v>0.333333333333333</v>
      </c>
      <c r="R1645" s="143">
        <f>调整因子!$F$13</f>
        <v/>
      </c>
      <c r="S1645" s="70" t="n">
        <v>1</v>
      </c>
      <c r="T1645" s="144">
        <f>IFERROR(P1645*R1645,0)</f>
        <v/>
      </c>
      <c r="U1645" s="145">
        <f>T1645*S1645</f>
        <v/>
      </c>
      <c r="V1645" s="96" t="inlineStr">
        <is>
          <t>推送规则表</t>
        </is>
      </c>
      <c r="W1645" s="96" t="inlineStr"/>
      <c r="X1645" s="111" t="inlineStr">
        <is>
          <t>推送规则表{规则ID、规则名称、规则类型、规则条件、创建时间|规则ID、规则名称、规则类型}</t>
        </is>
      </c>
      <c r="Y1645" s="88" t="n"/>
      <c r="Z1645" s="88" t="n"/>
    </row>
    <row r="1646" hidden="1" ht="21.6" customHeight="1">
      <c r="A1646" s="69">
        <f>ROW()-1</f>
        <v/>
      </c>
      <c r="B1646" s="53" t="n"/>
      <c r="C1646" s="117" t="n">
        <v>2026</v>
      </c>
      <c r="E1646" s="53" t="n"/>
      <c r="F1646" s="53" t="n"/>
      <c r="G1646" s="53" t="n"/>
      <c r="H1646" s="96" t="inlineStr">
        <is>
          <t>启用脱敏规则</t>
        </is>
      </c>
      <c r="I1646" s="76" t="inlineStr">
        <is>
          <t>EI</t>
        </is>
      </c>
      <c r="J1646" s="95" t="n"/>
      <c r="K1646" s="95" t="n"/>
      <c r="L1646" s="83">
        <f>IF(OR(X1646="估算法",X1646="算法类",X1646="无法识别"),"",IF(V1646="",IF(OR(I1646="EI",I1646="EO",I1646="EQ"),0,""),LEN(V1646)-LEN(SUBSTITUTE(V1646,"、",""))+1))</f>
        <v/>
      </c>
      <c r="M1646" s="83">
        <f>IF(OR(X1646="估算法",X1646="算法类",X1646="无法识别"),"",IF(W1646="",IF(OR(I1646="ILF",I1646="EIF"),0,""),LEN(W1646)-LEN(SUBSTITUTE(W1646,"、",""))+1))</f>
        <v/>
      </c>
      <c r="N1646" s="83">
        <f>IF(OR(X1646="估算法",X1646="算法类",X1646="无法识别"),"",IF(X1646="",IF(OR(I1646="ILF",I1646="EIF",I1646="EI",I1646="EO",I1646="EQ"),0,""),LEN(X1646)-LEN(SUBSTITUTE(SUBSTITUTE(SUBSTITUTE(SUBSTITUTE(SUBSTITUTE(X1646,"|}","--"),"{|","--"),CHAR(10),""),"、",""),"|",""))+IF(AND(OR(I1646="EI",I1646="EO",I1646="EQ"),$AD$1="NESMA"),2,1)))</f>
        <v/>
      </c>
      <c r="O1646" s="84">
        <f>IF(I1646="EI",IF(OR(X1646="估算法",X1646="算法类"),"中",IF(X1646="无法识别","低",IF(L1646&lt;2,IF(N1646&lt;16,"低","中"),IF(L1646&lt;3,IF(N1646&lt;5,"低",IF(N1646&lt;16,"中","高")),IF(N1646&lt;5,"中","高"))))),IF(OR(I1646="EO",I1646="EQ"),IF(OR(X1646="估算法",X1646="算法类"),"中",IF(X1646="无法识别","低",IF(L1646&lt;2,IF(N1646&lt;20,"低","中"),IF(L1646&lt;4,IF(N1646&lt;6,"低",IF(N1646&lt;20,"中","高")),IF(N1646&lt;6,"中","高"))))),IF(OR(I1646="ILF",I1646="EIF"),IF(OR(X1646="估算法",X1646="算法类",X1646="无法识别"),"低",IF(M1646&lt;2,IF(N1646&lt;51,"低","中"),IF(M1646&lt;6,IF(N1646&lt;20,"低",IF(N1646&lt;51,"中","高")),IF(N1646&lt;20,"中","高")))),"不计算")))</f>
        <v/>
      </c>
      <c r="P1646" s="142">
        <f>IFERROR(IF(I1646="EI",IF(O1646="低",3,IF(O1646="中",4,6)),IF(I1646="EO",IF(O1646="低",4,IF(O1646="中",5,7)),IF(I1646="EQ",IF(O1646="低",3,IF(O1646="中",4,6)),IF(I1646="ILF",IF(O1646="低",7,IF(O1646="中",10,15)),IF(I1646="EIF",IF(O1646="低",5,IF(O1646="中",7,10)),"不计算")))))*Q1646,"不计算")</f>
        <v/>
      </c>
      <c r="Q1646" s="142" t="n">
        <v>1</v>
      </c>
      <c r="R1646" s="143">
        <f>调整因子!$F$13</f>
        <v/>
      </c>
      <c r="S1646" s="76" t="n">
        <v>1</v>
      </c>
      <c r="T1646" s="144">
        <f>IFERROR(P1646*R1646,0)</f>
        <v/>
      </c>
      <c r="U1646" s="145">
        <f>T1646*S1646</f>
        <v/>
      </c>
      <c r="V1646" s="96" t="inlineStr">
        <is>
          <t>推送规则表</t>
        </is>
      </c>
      <c r="W1646" s="96" t="inlineStr"/>
      <c r="X1646" s="111" t="inlineStr">
        <is>
          <t>推送规则表{规则ID、规则名称、规则类型、规则条件、创建时间|规则ID、规则名称、规则类型}</t>
        </is>
      </c>
      <c r="Y1646" s="88" t="n"/>
      <c r="Z1646" s="88" t="n"/>
    </row>
    <row r="1647" hidden="1" ht="21.6" customHeight="1">
      <c r="A1647" s="69">
        <f>ROW()-1</f>
        <v/>
      </c>
      <c r="B1647" s="53" t="n"/>
      <c r="C1647" s="117" t="n">
        <v>2026</v>
      </c>
      <c r="E1647" s="53" t="n"/>
      <c r="F1647" s="53" t="n"/>
      <c r="G1647" s="53" t="n"/>
      <c r="H1647" s="96" t="inlineStr">
        <is>
          <t>停用脱敏规则</t>
        </is>
      </c>
      <c r="I1647" s="76" t="n"/>
      <c r="J1647" s="95" t="n"/>
      <c r="K1647" s="95" t="inlineStr">
        <is>
          <t>和上行合并，启停为相同功能</t>
        </is>
      </c>
      <c r="L1647" s="83">
        <f>IF(OR(X1647="估算法",X1647="算法类",X1647="无法识别"),"",IF(V1647="",IF(OR(I1647="EI",I1647="EO",I1647="EQ"),0,""),LEN(V1647)-LEN(SUBSTITUTE(V1647,"、",""))+1))</f>
        <v/>
      </c>
      <c r="M1647" s="83">
        <f>IF(OR(X1647="估算法",X1647="算法类",X1647="无法识别"),"",IF(W1647="",IF(OR(I1647="ILF",I1647="EIF"),0,""),LEN(W1647)-LEN(SUBSTITUTE(W1647,"、",""))+1))</f>
        <v/>
      </c>
      <c r="N1647" s="83">
        <f>IF(OR(X1647="估算法",X1647="算法类",X1647="无法识别"),"",IF(X1647="",IF(OR(I1647="ILF",I1647="EIF",I1647="EI",I1647="EO",I1647="EQ"),0,""),LEN(X1647)-LEN(SUBSTITUTE(SUBSTITUTE(SUBSTITUTE(SUBSTITUTE(SUBSTITUTE(X1647,"|}","--"),"{|","--"),CHAR(10),""),"、",""),"|",""))+IF(AND(OR(I1647="EI",I1647="EO",I1647="EQ"),$AD$1="NESMA"),2,1)))</f>
        <v/>
      </c>
      <c r="O1647" s="84">
        <f>IF(I1647="EI",IF(OR(X1647="估算法",X1647="算法类"),"中",IF(X1647="无法识别","低",IF(L1647&lt;2,IF(N1647&lt;16,"低","中"),IF(L1647&lt;3,IF(N1647&lt;5,"低",IF(N1647&lt;16,"中","高")),IF(N1647&lt;5,"中","高"))))),IF(OR(I1647="EO",I1647="EQ"),IF(OR(X1647="估算法",X1647="算法类"),"中",IF(X1647="无法识别","低",IF(L1647&lt;2,IF(N1647&lt;20,"低","中"),IF(L1647&lt;4,IF(N1647&lt;6,"低",IF(N1647&lt;20,"中","高")),IF(N1647&lt;6,"中","高"))))),IF(OR(I1647="ILF",I1647="EIF"),IF(OR(X1647="估算法",X1647="算法类",X1647="无法识别"),"低",IF(M1647&lt;2,IF(N1647&lt;51,"低","中"),IF(M1647&lt;6,IF(N1647&lt;20,"低",IF(N1647&lt;51,"中","高")),IF(N1647&lt;20,"中","高")))),"不计算")))</f>
        <v/>
      </c>
      <c r="P1647" s="142">
        <f>IFERROR(IF(I1647="EI",IF(O1647="低",3,IF(O1647="中",4,6)),IF(I1647="EO",IF(O1647="低",4,IF(O1647="中",5,7)),IF(I1647="EQ",IF(O1647="低",3,IF(O1647="中",4,6)),IF(I1647="ILF",IF(O1647="低",7,IF(O1647="中",10,15)),IF(I1647="EIF",IF(O1647="低",5,IF(O1647="中",7,10)),"不计算")))))*Q1647,"不计算")</f>
        <v/>
      </c>
      <c r="Q1647" s="142" t="n">
        <v>1</v>
      </c>
      <c r="R1647" s="143">
        <f>调整因子!$F$13</f>
        <v/>
      </c>
      <c r="S1647" s="70" t="n">
        <v>1</v>
      </c>
      <c r="T1647" s="144">
        <f>IFERROR(P1647*R1647,0)</f>
        <v/>
      </c>
      <c r="U1647" s="145">
        <f>T1647*S1647</f>
        <v/>
      </c>
      <c r="V1647" s="96" t="inlineStr">
        <is>
          <t>推送规则表</t>
        </is>
      </c>
      <c r="W1647" s="96" t="inlineStr"/>
      <c r="X1647" s="111" t="inlineStr">
        <is>
          <t>推送规则表{规则ID、规则名称、规则类型、规则条件、创建时间|规则ID、规则名称、规则类型}</t>
        </is>
      </c>
      <c r="Y1647" s="88" t="n"/>
      <c r="Z1647" s="88" t="n"/>
    </row>
    <row r="1648" hidden="1" ht="21.6" customHeight="1">
      <c r="A1648" s="69">
        <f>ROW()-1</f>
        <v/>
      </c>
      <c r="B1648" s="53" t="n"/>
      <c r="C1648" s="117" t="n">
        <v>2026</v>
      </c>
      <c r="E1648" s="53" t="n"/>
      <c r="F1648" s="53" t="n"/>
      <c r="G1648" s="53" t="n"/>
      <c r="H1648" s="96" t="inlineStr">
        <is>
          <t>导出脱敏规则</t>
        </is>
      </c>
      <c r="I1648" s="76" t="inlineStr">
        <is>
          <t>EO</t>
        </is>
      </c>
      <c r="J1648" s="95" t="n"/>
      <c r="K1648" s="95" t="n"/>
      <c r="L1648" s="83">
        <f>IF(OR(X1648="估算法",X1648="算法类",X1648="无法识别"),"",IF(V1648="",IF(OR(I1648="EI",I1648="EO",I1648="EQ"),0,""),LEN(V1648)-LEN(SUBSTITUTE(V1648,"、",""))+1))</f>
        <v/>
      </c>
      <c r="M1648" s="83">
        <f>IF(OR(X1648="估算法",X1648="算法类",X1648="无法识别"),"",IF(W1648="",IF(OR(I1648="ILF",I1648="EIF"),0,""),LEN(W1648)-LEN(SUBSTITUTE(W1648,"、",""))+1))</f>
        <v/>
      </c>
      <c r="N1648" s="83">
        <f>IF(OR(X1648="估算法",X1648="算法类",X1648="无法识别"),"",IF(X1648="",IF(OR(I1648="ILF",I1648="EIF",I1648="EI",I1648="EO",I1648="EQ"),0,""),LEN(X1648)-LEN(SUBSTITUTE(SUBSTITUTE(SUBSTITUTE(SUBSTITUTE(SUBSTITUTE(X1648,"|}","--"),"{|","--"),CHAR(10),""),"、",""),"|",""))+IF(AND(OR(I1648="EI",I1648="EO",I1648="EQ"),$AD$1="NESMA"),2,1)))</f>
        <v/>
      </c>
      <c r="O1648" s="84">
        <f>IF(I1648="EI",IF(OR(X1648="估算法",X1648="算法类"),"中",IF(X1648="无法识别","低",IF(L1648&lt;2,IF(N1648&lt;16,"低","中"),IF(L1648&lt;3,IF(N1648&lt;5,"低",IF(N1648&lt;16,"中","高")),IF(N1648&lt;5,"中","高"))))),IF(OR(I1648="EO",I1648="EQ"),IF(OR(X1648="估算法",X1648="算法类"),"中",IF(X1648="无法识别","低",IF(L1648&lt;2,IF(N1648&lt;20,"低","中"),IF(L1648&lt;4,IF(N1648&lt;6,"低",IF(N1648&lt;20,"中","高")),IF(N1648&lt;6,"中","高"))))),IF(OR(I1648="ILF",I1648="EIF"),IF(OR(X1648="估算法",X1648="算法类",X1648="无法识别"),"低",IF(M1648&lt;2,IF(N1648&lt;51,"低","中"),IF(M1648&lt;6,IF(N1648&lt;20,"低",IF(N1648&lt;51,"中","高")),IF(N1648&lt;20,"中","高")))),"不计算")))</f>
        <v/>
      </c>
      <c r="P1648" s="142">
        <f>IFERROR(IF(I1648="EI",IF(O1648="低",3,IF(O1648="中",4,6)),IF(I1648="EO",IF(O1648="低",4,IF(O1648="中",5,7)),IF(I1648="EQ",IF(O1648="低",3,IF(O1648="中",4,6)),IF(I1648="ILF",IF(O1648="低",7,IF(O1648="中",10,15)),IF(I1648="EIF",IF(O1648="低",5,IF(O1648="中",7,10)),"不计算")))))*Q1648,"不计算")</f>
        <v/>
      </c>
      <c r="Q1648" s="142" t="n">
        <v>1</v>
      </c>
      <c r="R1648" s="143">
        <f>调整因子!$F$13</f>
        <v/>
      </c>
      <c r="S1648" s="70" t="n">
        <v>1</v>
      </c>
      <c r="T1648" s="144">
        <f>IFERROR(P1648*R1648,0)</f>
        <v/>
      </c>
      <c r="U1648" s="145">
        <f>T1648*S1648</f>
        <v/>
      </c>
      <c r="V1648" s="96" t="inlineStr">
        <is>
          <t>推送规则表、提醒规则表</t>
        </is>
      </c>
      <c r="W1648" s="96" t="inlineStr"/>
      <c r="X1648" s="111" t="inlineStr">
        <is>
          <t>推送规则表{规则ID、规则名称|规则ID、规则名称、规则类型、规则条件、创建时间}
提醒规则表{规则ID、规则名称|规则ID、规则名称、规则类型、规则条件、创建时间}</t>
        </is>
      </c>
      <c r="Y1648" s="88" t="n"/>
      <c r="Z1648" s="88" t="n"/>
    </row>
    <row r="1649" hidden="1" ht="21.6" customHeight="1">
      <c r="A1649" s="69">
        <f>ROW()-1</f>
        <v/>
      </c>
      <c r="B1649" s="53" t="n"/>
      <c r="C1649" s="117" t="n">
        <v>2026</v>
      </c>
      <c r="E1649" s="53" t="n"/>
      <c r="F1649" s="53" t="n"/>
      <c r="G1649" s="53" t="n"/>
      <c r="H1649" s="96" t="inlineStr">
        <is>
          <t>下载规则模板</t>
        </is>
      </c>
      <c r="I1649" s="76" t="inlineStr">
        <is>
          <t>EO</t>
        </is>
      </c>
      <c r="J1649" s="95" t="n"/>
      <c r="K1649" s="95" t="n"/>
      <c r="L1649" s="83">
        <f>IF(OR(X1649="估算法",X1649="算法类",X1649="无法识别"),"",IF(V1649="",IF(OR(I1649="EI",I1649="EO",I1649="EQ"),0,""),LEN(V1649)-LEN(SUBSTITUTE(V1649,"、",""))+1))</f>
        <v/>
      </c>
      <c r="M1649" s="83">
        <f>IF(OR(X1649="估算法",X1649="算法类",X1649="无法识别"),"",IF(W1649="",IF(OR(I1649="ILF",I1649="EIF"),0,""),LEN(W1649)-LEN(SUBSTITUTE(W1649,"、",""))+1))</f>
        <v/>
      </c>
      <c r="N1649" s="83">
        <f>IF(OR(X1649="估算法",X1649="算法类",X1649="无法识别"),"",IF(X1649="",IF(OR(I1649="ILF",I1649="EIF",I1649="EI",I1649="EO",I1649="EQ"),0,""),LEN(X1649)-LEN(SUBSTITUTE(SUBSTITUTE(SUBSTITUTE(SUBSTITUTE(SUBSTITUTE(X1649,"|}","--"),"{|","--"),CHAR(10),""),"、",""),"|",""))+IF(AND(OR(I1649="EI",I1649="EO",I1649="EQ"),$AD$1="NESMA"),2,1)))</f>
        <v/>
      </c>
      <c r="O1649" s="84">
        <f>IF(I1649="EI",IF(OR(X1649="估算法",X1649="算法类"),"中",IF(X1649="无法识别","低",IF(L1649&lt;2,IF(N1649&lt;16,"低","中"),IF(L1649&lt;3,IF(N1649&lt;5,"低",IF(N1649&lt;16,"中","高")),IF(N1649&lt;5,"中","高"))))),IF(OR(I1649="EO",I1649="EQ"),IF(OR(X1649="估算法",X1649="算法类"),"中",IF(X1649="无法识别","低",IF(L1649&lt;2,IF(N1649&lt;20,"低","中"),IF(L1649&lt;4,IF(N1649&lt;6,"低",IF(N1649&lt;20,"中","高")),IF(N1649&lt;6,"中","高"))))),IF(OR(I1649="ILF",I1649="EIF"),IF(OR(X1649="估算法",X1649="算法类",X1649="无法识别"),"低",IF(M1649&lt;2,IF(N1649&lt;51,"低","中"),IF(M1649&lt;6,IF(N1649&lt;20,"低",IF(N1649&lt;51,"中","高")),IF(N1649&lt;20,"中","高")))),"不计算")))</f>
        <v/>
      </c>
      <c r="P1649" s="142">
        <f>IFERROR(IF(I1649="EI",IF(O1649="低",3,IF(O1649="中",4,6)),IF(I1649="EO",IF(O1649="低",4,IF(O1649="中",5,7)),IF(I1649="EQ",IF(O1649="低",3,IF(O1649="中",4,6)),IF(I1649="ILF",IF(O1649="低",7,IF(O1649="中",10,15)),IF(I1649="EIF",IF(O1649="低",5,IF(O1649="中",7,10)),"不计算")))))*Q1649,"不计算")</f>
        <v/>
      </c>
      <c r="Q1649" s="142" t="n">
        <v>1</v>
      </c>
      <c r="R1649" s="143">
        <f>调整因子!$F$13</f>
        <v/>
      </c>
      <c r="S1649" s="76" t="n">
        <v>1</v>
      </c>
      <c r="T1649" s="144">
        <f>IFERROR(P1649*R1649,0)</f>
        <v/>
      </c>
      <c r="U1649" s="145">
        <f>T1649*S1649</f>
        <v/>
      </c>
      <c r="V1649" s="96" t="inlineStr">
        <is>
          <t>推送规则表、提醒规则表</t>
        </is>
      </c>
      <c r="W1649" s="96" t="inlineStr"/>
      <c r="X1649" s="111" t="inlineStr">
        <is>
          <t>推送规则表{规则ID、规则名称|规则ID、规则名称、规则类型、规则条件、创建时间}
提醒规则表{规则ID、规则名称|规则ID、规则名称、规则类型、规则条件、创建时间}</t>
        </is>
      </c>
      <c r="Y1649" s="88" t="n"/>
      <c r="Z1649" s="88" t="n"/>
    </row>
    <row r="1650" hidden="1" ht="21.6" customHeight="1">
      <c r="A1650" s="69">
        <f>ROW()-1</f>
        <v/>
      </c>
      <c r="B1650" s="53" t="n"/>
      <c r="C1650" s="117" t="n">
        <v>2026</v>
      </c>
      <c r="E1650" s="53" t="n"/>
      <c r="F1650" s="53" t="n"/>
      <c r="G1650" s="53" t="n"/>
      <c r="H1650" s="96" t="inlineStr">
        <is>
          <t>查询脱敏规则</t>
        </is>
      </c>
      <c r="I1650" s="76" t="inlineStr">
        <is>
          <t>EQ</t>
        </is>
      </c>
      <c r="J1650" s="95" t="n"/>
      <c r="K1650" s="95" t="n"/>
      <c r="L1650" s="83">
        <f>IF(OR(X1650="估算法",X1650="算法类",X1650="无法识别"),"",IF(V1650="",IF(OR(I1650="EI",I1650="EO",I1650="EQ"),0,""),LEN(V1650)-LEN(SUBSTITUTE(V1650,"、",""))+1))</f>
        <v/>
      </c>
      <c r="M1650" s="83">
        <f>IF(OR(X1650="估算法",X1650="算法类",X1650="无法识别"),"",IF(W1650="",IF(OR(I1650="ILF",I1650="EIF"),0,""),LEN(W1650)-LEN(SUBSTITUTE(W1650,"、",""))+1))</f>
        <v/>
      </c>
      <c r="N1650" s="83">
        <f>IF(OR(X1650="估算法",X1650="算法类",X1650="无法识别"),"",IF(X1650="",IF(OR(I1650="ILF",I1650="EIF",I1650="EI",I1650="EO",I1650="EQ"),0,""),LEN(X1650)-LEN(SUBSTITUTE(SUBSTITUTE(SUBSTITUTE(SUBSTITUTE(SUBSTITUTE(X1650,"|}","--"),"{|","--"),CHAR(10),""),"、",""),"|",""))+IF(AND(OR(I1650="EI",I1650="EO",I1650="EQ"),$AD$1="NESMA"),2,1)))</f>
        <v/>
      </c>
      <c r="O1650" s="84">
        <f>IF(I1650="EI",IF(OR(X1650="估算法",X1650="算法类"),"中",IF(X1650="无法识别","低",IF(L1650&lt;2,IF(N1650&lt;16,"低","中"),IF(L1650&lt;3,IF(N1650&lt;5,"低",IF(N1650&lt;16,"中","高")),IF(N1650&lt;5,"中","高"))))),IF(OR(I1650="EO",I1650="EQ"),IF(OR(X1650="估算法",X1650="算法类"),"中",IF(X1650="无法识别","低",IF(L1650&lt;2,IF(N1650&lt;20,"低","中"),IF(L1650&lt;4,IF(N1650&lt;6,"低",IF(N1650&lt;20,"中","高")),IF(N1650&lt;6,"中","高"))))),IF(OR(I1650="ILF",I1650="EIF"),IF(OR(X1650="估算法",X1650="算法类",X1650="无法识别"),"低",IF(M1650&lt;2,IF(N1650&lt;51,"低","中"),IF(M1650&lt;6,IF(N1650&lt;20,"低",IF(N1650&lt;51,"中","高")),IF(N1650&lt;20,"中","高")))),"不计算")))</f>
        <v/>
      </c>
      <c r="P1650" s="142">
        <f>IFERROR(IF(I1650="EI",IF(O1650="低",3,IF(O1650="中",4,6)),IF(I1650="EO",IF(O1650="低",4,IF(O1650="中",5,7)),IF(I1650="EQ",IF(O1650="低",3,IF(O1650="中",4,6)),IF(I1650="ILF",IF(O1650="低",7,IF(O1650="中",10,15)),IF(I1650="EIF",IF(O1650="低",5,IF(O1650="中",7,10)),"不计算")))))*Q1650,"不计算")</f>
        <v/>
      </c>
      <c r="Q1650" s="142" t="n">
        <v>1</v>
      </c>
      <c r="R1650" s="143">
        <f>调整因子!$F$13</f>
        <v/>
      </c>
      <c r="S1650" s="76" t="n">
        <v>1</v>
      </c>
      <c r="T1650" s="144">
        <f>IFERROR(P1650*R1650,0)</f>
        <v/>
      </c>
      <c r="U1650" s="145">
        <f>T1650*S1650</f>
        <v/>
      </c>
      <c r="V1650" s="96" t="inlineStr">
        <is>
          <t>推送规则表、提醒规则表</t>
        </is>
      </c>
      <c r="W1650" s="96" t="inlineStr"/>
      <c r="X1650" s="111" t="inlineStr">
        <is>
          <t>推送规则表{规则ID、规则名称|规则ID、规则名称、规则类型、规则条件、创建时间}
提醒规则表{规则ID、规则名称|规则ID、规则名称、规则类型、规则条件、创建时间}</t>
        </is>
      </c>
      <c r="Y1650" s="88" t="n"/>
      <c r="Z1650" s="88" t="n"/>
    </row>
    <row r="1651" hidden="1">
      <c r="A1651" s="69">
        <f>ROW()-1</f>
        <v/>
      </c>
      <c r="B1651" s="53" t="n"/>
      <c r="C1651" s="117" t="n">
        <v>2026</v>
      </c>
      <c r="E1651" s="53" t="n"/>
      <c r="F1651" s="53" t="n"/>
      <c r="G1651" s="54" t="n"/>
      <c r="H1651" s="96" t="inlineStr">
        <is>
          <t>查看规则详情</t>
        </is>
      </c>
      <c r="I1651" s="76" t="inlineStr">
        <is>
          <t>EQ</t>
        </is>
      </c>
      <c r="J1651" s="95" t="n"/>
      <c r="K1651" s="95" t="n"/>
      <c r="L1651" s="83">
        <f>IF(OR(X1651="估算法",X1651="算法类",X1651="无法识别"),"",IF(V1651="",IF(OR(I1651="EI",I1651="EO",I1651="EQ"),0,""),LEN(V1651)-LEN(SUBSTITUTE(V1651,"、",""))+1))</f>
        <v/>
      </c>
      <c r="M1651" s="83">
        <f>IF(OR(X1651="估算法",X1651="算法类",X1651="无法识别"),"",IF(W1651="",IF(OR(I1651="ILF",I1651="EIF"),0,""),LEN(W1651)-LEN(SUBSTITUTE(W1651,"、",""))+1))</f>
        <v/>
      </c>
      <c r="N1651" s="83">
        <f>IF(OR(X1651="估算法",X1651="算法类",X1651="无法识别"),"",IF(X1651="",IF(OR(I1651="ILF",I1651="EIF",I1651="EI",I1651="EO",I1651="EQ"),0,""),LEN(X1651)-LEN(SUBSTITUTE(SUBSTITUTE(SUBSTITUTE(SUBSTITUTE(SUBSTITUTE(X1651,"|}","--"),"{|","--"),CHAR(10),""),"、",""),"|",""))+IF(AND(OR(I1651="EI",I1651="EO",I1651="EQ"),$AD$1="NESMA"),2,1)))</f>
        <v/>
      </c>
      <c r="O1651" s="84">
        <f>IF(I1651="EI",IF(OR(X1651="估算法",X1651="算法类"),"中",IF(X1651="无法识别","低",IF(L1651&lt;2,IF(N1651&lt;16,"低","中"),IF(L1651&lt;3,IF(N1651&lt;5,"低",IF(N1651&lt;16,"中","高")),IF(N1651&lt;5,"中","高"))))),IF(OR(I1651="EO",I1651="EQ"),IF(OR(X1651="估算法",X1651="算法类"),"中",IF(X1651="无法识别","低",IF(L1651&lt;2,IF(N1651&lt;20,"低","中"),IF(L1651&lt;4,IF(N1651&lt;6,"低",IF(N1651&lt;20,"中","高")),IF(N1651&lt;6,"中","高"))))),IF(OR(I1651="ILF",I1651="EIF"),IF(OR(X1651="估算法",X1651="算法类",X1651="无法识别"),"低",IF(M1651&lt;2,IF(N1651&lt;51,"低","中"),IF(M1651&lt;6,IF(N1651&lt;20,"低",IF(N1651&lt;51,"中","高")),IF(N1651&lt;20,"中","高")))),"不计算")))</f>
        <v/>
      </c>
      <c r="P1651" s="142">
        <f>IFERROR(IF(I1651="EI",IF(O1651="低",3,IF(O1651="中",4,6)),IF(I1651="EO",IF(O1651="低",4,IF(O1651="中",5,7)),IF(I1651="EQ",IF(O1651="低",3,IF(O1651="中",4,6)),IF(I1651="ILF",IF(O1651="低",7,IF(O1651="中",10,15)),IF(I1651="EIF",IF(O1651="低",5,IF(O1651="中",7,10)),"不计算")))))*Q1651,"不计算")</f>
        <v/>
      </c>
      <c r="Q1651" s="142" t="n">
        <v>1</v>
      </c>
      <c r="R1651" s="143">
        <f>调整因子!$F$13</f>
        <v/>
      </c>
      <c r="S1651" s="70" t="n">
        <v>1</v>
      </c>
      <c r="T1651" s="144">
        <f>IFERROR(P1651*R1651,0)</f>
        <v/>
      </c>
      <c r="U1651" s="145">
        <f>T1651*S1651</f>
        <v/>
      </c>
      <c r="V1651" s="96" t="inlineStr">
        <is>
          <t>推送规则表</t>
        </is>
      </c>
      <c r="W1651" s="96" t="inlineStr"/>
      <c r="X1651" s="111" t="inlineStr">
        <is>
          <t>推送规则表{规则ID、规则名称|规则ID、规则名称、规则类型、规则条件、创建时间}</t>
        </is>
      </c>
      <c r="Y1651" s="88" t="n"/>
      <c r="Z1651" s="88" t="n"/>
    </row>
    <row r="1652" hidden="1">
      <c r="A1652" s="69">
        <f>ROW()-1</f>
        <v/>
      </c>
      <c r="B1652" s="53" t="n"/>
      <c r="C1652" s="117" t="n">
        <v>2026</v>
      </c>
      <c r="E1652" s="53" t="n"/>
      <c r="F1652" s="53" t="n"/>
      <c r="G1652" s="111" t="inlineStr">
        <is>
          <t>脱敏策略应用管理</t>
        </is>
      </c>
      <c r="H1652" s="96" t="inlineStr">
        <is>
          <t>编辑脱敏应用</t>
        </is>
      </c>
      <c r="I1652" s="76" t="inlineStr">
        <is>
          <t>EI</t>
        </is>
      </c>
      <c r="J1652" s="95" t="n"/>
      <c r="K1652" s="95" t="n"/>
      <c r="L1652" s="83">
        <f>IF(OR(X1652="估算法",X1652="算法类",X1652="无法识别"),"",IF(V1652="",IF(OR(I1652="EI",I1652="EO",I1652="EQ"),0,""),LEN(V1652)-LEN(SUBSTITUTE(V1652,"、",""))+1))</f>
        <v/>
      </c>
      <c r="M1652" s="83">
        <f>IF(OR(X1652="估算法",X1652="算法类",X1652="无法识别"),"",IF(W1652="",IF(OR(I1652="ILF",I1652="EIF"),0,""),LEN(W1652)-LEN(SUBSTITUTE(W1652,"、",""))+1))</f>
        <v/>
      </c>
      <c r="N1652" s="83">
        <f>IF(OR(X1652="估算法",X1652="算法类",X1652="无法识别"),"",IF(X1652="",IF(OR(I1652="ILF",I1652="EIF",I1652="EI",I1652="EO",I1652="EQ"),0,""),LEN(X1652)-LEN(SUBSTITUTE(SUBSTITUTE(SUBSTITUTE(SUBSTITUTE(SUBSTITUTE(X1652,"|}","--"),"{|","--"),CHAR(10),""),"、",""),"|",""))+IF(AND(OR(I1652="EI",I1652="EO",I1652="EQ"),$AD$1="NESMA"),2,1)))</f>
        <v/>
      </c>
      <c r="O1652" s="84">
        <f>IF(I1652="EI",IF(OR(X1652="估算法",X1652="算法类"),"中",IF(X1652="无法识别","低",IF(L1652&lt;2,IF(N1652&lt;16,"低","中"),IF(L1652&lt;3,IF(N1652&lt;5,"低",IF(N1652&lt;16,"中","高")),IF(N1652&lt;5,"中","高"))))),IF(OR(I1652="EO",I1652="EQ"),IF(OR(X1652="估算法",X1652="算法类"),"中",IF(X1652="无法识别","低",IF(L1652&lt;2,IF(N1652&lt;20,"低","中"),IF(L1652&lt;4,IF(N1652&lt;6,"低",IF(N1652&lt;20,"中","高")),IF(N1652&lt;6,"中","高"))))),IF(OR(I1652="ILF",I1652="EIF"),IF(OR(X1652="估算法",X1652="算法类",X1652="无法识别"),"低",IF(M1652&lt;2,IF(N1652&lt;51,"低","中"),IF(M1652&lt;6,IF(N1652&lt;20,"低",IF(N1652&lt;51,"中","高")),IF(N1652&lt;20,"中","高")))),"不计算")))</f>
        <v/>
      </c>
      <c r="P1652" s="142">
        <f>IFERROR(IF(I1652="EI",IF(O1652="低",3,IF(O1652="中",4,6)),IF(I1652="EO",IF(O1652="低",4,IF(O1652="中",5,7)),IF(I1652="EQ",IF(O1652="低",3,IF(O1652="中",4,6)),IF(I1652="ILF",IF(O1652="低",7,IF(O1652="中",10,15)),IF(I1652="EIF",IF(O1652="低",5,IF(O1652="中",7,10)),"不计算")))))*Q1652,"不计算")</f>
        <v/>
      </c>
      <c r="Q1652" s="142" t="n">
        <v>1</v>
      </c>
      <c r="R1652" s="143">
        <f>调整因子!$F$13</f>
        <v/>
      </c>
      <c r="S1652" s="70" t="n">
        <v>1</v>
      </c>
      <c r="T1652" s="144">
        <f>IFERROR(P1652*R1652,0)</f>
        <v/>
      </c>
      <c r="U1652" s="145">
        <f>T1652*S1652</f>
        <v/>
      </c>
      <c r="V1652" s="96" t="inlineStr">
        <is>
          <t>报告导入记录表</t>
        </is>
      </c>
      <c r="W1652" s="96" t="inlineStr"/>
      <c r="X1652" s="111" t="inlineStr">
        <is>
          <t>报告导入记录表{ID、名称、类型、状态、创建时间、更新时间|ID、名称、类型}</t>
        </is>
      </c>
      <c r="Y1652" s="88" t="n"/>
      <c r="Z1652" s="88" t="n"/>
    </row>
    <row r="1653" hidden="1" ht="21.6" customHeight="1">
      <c r="A1653" s="69">
        <f>ROW()-1</f>
        <v/>
      </c>
      <c r="B1653" s="53" t="n"/>
      <c r="C1653" s="117" t="n">
        <v>2026</v>
      </c>
      <c r="E1653" s="53" t="n"/>
      <c r="F1653" s="53" t="n"/>
      <c r="G1653" s="53" t="n"/>
      <c r="H1653" s="96" t="inlineStr">
        <is>
          <t>删除脱敏应用</t>
        </is>
      </c>
      <c r="I1653" s="76" t="inlineStr">
        <is>
          <t>EI</t>
        </is>
      </c>
      <c r="J1653" s="95" t="n"/>
      <c r="K1653" s="95" t="n"/>
      <c r="L1653" s="83">
        <f>IF(OR(X1653="估算法",X1653="算法类",X1653="无法识别"),"",IF(V1653="",IF(OR(I1653="EI",I1653="EO",I1653="EQ"),0,""),LEN(V1653)-LEN(SUBSTITUTE(V1653,"、",""))+1))</f>
        <v/>
      </c>
      <c r="M1653" s="83">
        <f>IF(OR(X1653="估算法",X1653="算法类",X1653="无法识别"),"",IF(W1653="",IF(OR(I1653="ILF",I1653="EIF"),0,""),LEN(W1653)-LEN(SUBSTITUTE(W1653,"、",""))+1))</f>
        <v/>
      </c>
      <c r="N1653" s="83">
        <f>IF(OR(X1653="估算法",X1653="算法类",X1653="无法识别"),"",IF(X1653="",IF(OR(I1653="ILF",I1653="EIF",I1653="EI",I1653="EO",I1653="EQ"),0,""),LEN(X1653)-LEN(SUBSTITUTE(SUBSTITUTE(SUBSTITUTE(SUBSTITUTE(SUBSTITUTE(X1653,"|}","--"),"{|","--"),CHAR(10),""),"、",""),"|",""))+IF(AND(OR(I1653="EI",I1653="EO",I1653="EQ"),$AD$1="NESMA"),2,1)))</f>
        <v/>
      </c>
      <c r="O1653" s="84">
        <f>IF(I1653="EI",IF(OR(X1653="估算法",X1653="算法类"),"中",IF(X1653="无法识别","低",IF(L1653&lt;2,IF(N1653&lt;16,"低","中"),IF(L1653&lt;3,IF(N1653&lt;5,"低",IF(N1653&lt;16,"中","高")),IF(N1653&lt;5,"中","高"))))),IF(OR(I1653="EO",I1653="EQ"),IF(OR(X1653="估算法",X1653="算法类"),"中",IF(X1653="无法识别","低",IF(L1653&lt;2,IF(N1653&lt;20,"低","中"),IF(L1653&lt;4,IF(N1653&lt;6,"低",IF(N1653&lt;20,"中","高")),IF(N1653&lt;6,"中","高"))))),IF(OR(I1653="ILF",I1653="EIF"),IF(OR(X1653="估算法",X1653="算法类",X1653="无法识别"),"低",IF(M1653&lt;2,IF(N1653&lt;51,"低","中"),IF(M1653&lt;6,IF(N1653&lt;20,"低",IF(N1653&lt;51,"中","高")),IF(N1653&lt;20,"中","高")))),"不计算")))</f>
        <v/>
      </c>
      <c r="P1653" s="142">
        <f>IFERROR(IF(I1653="EI",IF(O1653="低",3,IF(O1653="中",4,6)),IF(I1653="EO",IF(O1653="低",4,IF(O1653="中",5,7)),IF(I1653="EQ",IF(O1653="低",3,IF(O1653="中",4,6)),IF(I1653="ILF",IF(O1653="低",7,IF(O1653="中",10,15)),IF(I1653="EIF",IF(O1653="低",5,IF(O1653="中",7,10)),"不计算")))))*Q1653,"不计算")</f>
        <v/>
      </c>
      <c r="Q1653" s="142" t="n">
        <v>0.333333333333333</v>
      </c>
      <c r="R1653" s="143">
        <f>调整因子!$F$13</f>
        <v/>
      </c>
      <c r="S1653" s="76" t="n">
        <v>1</v>
      </c>
      <c r="T1653" s="144">
        <f>IFERROR(P1653*R1653,0)</f>
        <v/>
      </c>
      <c r="U1653" s="145">
        <f>T1653*S1653</f>
        <v/>
      </c>
      <c r="V1653" s="96" t="inlineStr">
        <is>
          <t>任务趋势分析表</t>
        </is>
      </c>
      <c r="W1653" s="96" t="inlineStr"/>
      <c r="X1653" s="111" t="inlineStr">
        <is>
          <t>任务趋势分析表{任务ID、任务名称、任务类型、任务状态、创建时间、执行时间|任务ID、任务名称、任务类型}</t>
        </is>
      </c>
      <c r="Y1653" s="88" t="n"/>
      <c r="Z1653" s="88" t="n"/>
    </row>
    <row r="1654" hidden="1" ht="21.6" customHeight="1">
      <c r="A1654" s="69">
        <f>ROW()-1</f>
        <v/>
      </c>
      <c r="B1654" s="53" t="n"/>
      <c r="C1654" s="117" t="n">
        <v>2026</v>
      </c>
      <c r="E1654" s="53" t="n"/>
      <c r="F1654" s="53" t="n"/>
      <c r="G1654" s="53" t="n"/>
      <c r="H1654" s="96" t="inlineStr">
        <is>
          <t>启用脱敏应用</t>
        </is>
      </c>
      <c r="I1654" s="76" t="inlineStr">
        <is>
          <t>EI</t>
        </is>
      </c>
      <c r="J1654" s="95" t="n"/>
      <c r="K1654" s="95" t="n"/>
      <c r="L1654" s="83">
        <f>IF(OR(X1654="估算法",X1654="算法类",X1654="无法识别"),"",IF(V1654="",IF(OR(I1654="EI",I1654="EO",I1654="EQ"),0,""),LEN(V1654)-LEN(SUBSTITUTE(V1654,"、",""))+1))</f>
        <v/>
      </c>
      <c r="M1654" s="83">
        <f>IF(OR(X1654="估算法",X1654="算法类",X1654="无法识别"),"",IF(W1654="",IF(OR(I1654="ILF",I1654="EIF"),0,""),LEN(W1654)-LEN(SUBSTITUTE(W1654,"、",""))+1))</f>
        <v/>
      </c>
      <c r="N1654" s="83">
        <f>IF(OR(X1654="估算法",X1654="算法类",X1654="无法识别"),"",IF(X1654="",IF(OR(I1654="ILF",I1654="EIF",I1654="EI",I1654="EO",I1654="EQ"),0,""),LEN(X1654)-LEN(SUBSTITUTE(SUBSTITUTE(SUBSTITUTE(SUBSTITUTE(SUBSTITUTE(X1654,"|}","--"),"{|","--"),CHAR(10),""),"、",""),"|",""))+IF(AND(OR(I1654="EI",I1654="EO",I1654="EQ"),$AD$1="NESMA"),2,1)))</f>
        <v/>
      </c>
      <c r="O1654" s="84">
        <f>IF(I1654="EI",IF(OR(X1654="估算法",X1654="算法类"),"中",IF(X1654="无法识别","低",IF(L1654&lt;2,IF(N1654&lt;16,"低","中"),IF(L1654&lt;3,IF(N1654&lt;5,"低",IF(N1654&lt;16,"中","高")),IF(N1654&lt;5,"中","高"))))),IF(OR(I1654="EO",I1654="EQ"),IF(OR(X1654="估算法",X1654="算法类"),"中",IF(X1654="无法识别","低",IF(L1654&lt;2,IF(N1654&lt;20,"低","中"),IF(L1654&lt;4,IF(N1654&lt;6,"低",IF(N1654&lt;20,"中","高")),IF(N1654&lt;6,"中","高"))))),IF(OR(I1654="ILF",I1654="EIF"),IF(OR(X1654="估算法",X1654="算法类",X1654="无法识别"),"低",IF(M1654&lt;2,IF(N1654&lt;51,"低","中"),IF(M1654&lt;6,IF(N1654&lt;20,"低",IF(N1654&lt;51,"中","高")),IF(N1654&lt;20,"中","高")))),"不计算")))</f>
        <v/>
      </c>
      <c r="P1654" s="142">
        <f>IFERROR(IF(I1654="EI",IF(O1654="低",3,IF(O1654="中",4,6)),IF(I1654="EO",IF(O1654="低",4,IF(O1654="中",5,7)),IF(I1654="EQ",IF(O1654="低",3,IF(O1654="中",4,6)),IF(I1654="ILF",IF(O1654="低",7,IF(O1654="中",10,15)),IF(I1654="EIF",IF(O1654="低",5,IF(O1654="中",7,10)),"不计算")))))*Q1654,"不计算")</f>
        <v/>
      </c>
      <c r="Q1654" s="142" t="n">
        <v>1</v>
      </c>
      <c r="R1654" s="143">
        <f>调整因子!$F$13</f>
        <v/>
      </c>
      <c r="S1654" s="70" t="n">
        <v>1</v>
      </c>
      <c r="T1654" s="144">
        <f>IFERROR(P1654*R1654,0)</f>
        <v/>
      </c>
      <c r="U1654" s="145">
        <f>T1654*S1654</f>
        <v/>
      </c>
      <c r="V1654" s="96" t="inlineStr">
        <is>
          <t>扫描任务接口配置表</t>
        </is>
      </c>
      <c r="W1654" s="96" t="inlineStr"/>
      <c r="X1654" s="111" t="inlineStr">
        <is>
          <t>扫描任务接口配置表{任务ID、任务名称、任务状态、扫描器类型、开始时间、结束时间、扫描结果|任务ID、任务名称、任务状态}</t>
        </is>
      </c>
      <c r="Y1654" s="88" t="n"/>
      <c r="Z1654" s="88" t="n"/>
    </row>
    <row r="1655" hidden="1" ht="21.6" customHeight="1">
      <c r="A1655" s="69">
        <f>ROW()-1</f>
        <v/>
      </c>
      <c r="B1655" s="53" t="n"/>
      <c r="C1655" s="117" t="n">
        <v>2026</v>
      </c>
      <c r="E1655" s="53" t="n"/>
      <c r="F1655" s="53" t="n"/>
      <c r="G1655" s="53" t="n"/>
      <c r="H1655" s="96" t="inlineStr">
        <is>
          <t>停用脱敏应用</t>
        </is>
      </c>
      <c r="I1655" s="76" t="n"/>
      <c r="J1655" s="95" t="n"/>
      <c r="K1655" s="95" t="inlineStr">
        <is>
          <t>和上行合并，启停为相同功能</t>
        </is>
      </c>
      <c r="L1655" s="83">
        <f>IF(OR(X1655="估算法",X1655="算法类",X1655="无法识别"),"",IF(V1655="",IF(OR(I1655="EI",I1655="EO",I1655="EQ"),0,""),LEN(V1655)-LEN(SUBSTITUTE(V1655,"、",""))+1))</f>
        <v/>
      </c>
      <c r="M1655" s="83">
        <f>IF(OR(X1655="估算法",X1655="算法类",X1655="无法识别"),"",IF(W1655="",IF(OR(I1655="ILF",I1655="EIF"),0,""),LEN(W1655)-LEN(SUBSTITUTE(W1655,"、",""))+1))</f>
        <v/>
      </c>
      <c r="N1655" s="83">
        <f>IF(OR(X1655="估算法",X1655="算法类",X1655="无法识别"),"",IF(X1655="",IF(OR(I1655="ILF",I1655="EIF",I1655="EI",I1655="EO",I1655="EQ"),0,""),LEN(X1655)-LEN(SUBSTITUTE(SUBSTITUTE(SUBSTITUTE(SUBSTITUTE(SUBSTITUTE(X1655,"|}","--"),"{|","--"),CHAR(10),""),"、",""),"|",""))+IF(AND(OR(I1655="EI",I1655="EO",I1655="EQ"),$AD$1="NESMA"),2,1)))</f>
        <v/>
      </c>
      <c r="O1655" s="84">
        <f>IF(I1655="EI",IF(OR(X1655="估算法",X1655="算法类"),"中",IF(X1655="无法识别","低",IF(L1655&lt;2,IF(N1655&lt;16,"低","中"),IF(L1655&lt;3,IF(N1655&lt;5,"低",IF(N1655&lt;16,"中","高")),IF(N1655&lt;5,"中","高"))))),IF(OR(I1655="EO",I1655="EQ"),IF(OR(X1655="估算法",X1655="算法类"),"中",IF(X1655="无法识别","低",IF(L1655&lt;2,IF(N1655&lt;20,"低","中"),IF(L1655&lt;4,IF(N1655&lt;6,"低",IF(N1655&lt;20,"中","高")),IF(N1655&lt;6,"中","高"))))),IF(OR(I1655="ILF",I1655="EIF"),IF(OR(X1655="估算法",X1655="算法类",X1655="无法识别"),"低",IF(M1655&lt;2,IF(N1655&lt;51,"低","中"),IF(M1655&lt;6,IF(N1655&lt;20,"低",IF(N1655&lt;51,"中","高")),IF(N1655&lt;20,"中","高")))),"不计算")))</f>
        <v/>
      </c>
      <c r="P1655" s="142">
        <f>IFERROR(IF(I1655="EI",IF(O1655="低",3,IF(O1655="中",4,6)),IF(I1655="EO",IF(O1655="低",4,IF(O1655="中",5,7)),IF(I1655="EQ",IF(O1655="低",3,IF(O1655="中",4,6)),IF(I1655="ILF",IF(O1655="低",7,IF(O1655="中",10,15)),IF(I1655="EIF",IF(O1655="低",5,IF(O1655="中",7,10)),"不计算")))))*Q1655,"不计算")</f>
        <v/>
      </c>
      <c r="Q1655" s="142" t="n">
        <v>1</v>
      </c>
      <c r="R1655" s="143">
        <f>调整因子!$F$13</f>
        <v/>
      </c>
      <c r="S1655" s="70" t="n">
        <v>1</v>
      </c>
      <c r="T1655" s="144">
        <f>IFERROR(P1655*R1655,0)</f>
        <v/>
      </c>
      <c r="U1655" s="145">
        <f>T1655*S1655</f>
        <v/>
      </c>
      <c r="V1655" s="96" t="inlineStr">
        <is>
          <t>复测配置表</t>
        </is>
      </c>
      <c r="W1655" s="96" t="inlineStr"/>
      <c r="X1655" s="111" t="inlineStr">
        <is>
          <t>复测配置表{配置ID、配置名称、配置类型、配置值、创建时间|配置ID、配置名称、配置类型}</t>
        </is>
      </c>
      <c r="Y1655" s="88" t="n"/>
      <c r="Z1655" s="88" t="n"/>
    </row>
    <row r="1656" hidden="1" ht="43.2" customHeight="1">
      <c r="A1656" s="69">
        <f>ROW()-1</f>
        <v/>
      </c>
      <c r="B1656" s="53" t="n"/>
      <c r="C1656" s="117" t="n">
        <v>2026</v>
      </c>
      <c r="E1656" s="53" t="n"/>
      <c r="F1656" s="53" t="n"/>
      <c r="G1656" s="53" t="n"/>
      <c r="H1656" s="96" t="inlineStr">
        <is>
          <t>导出应用配置</t>
        </is>
      </c>
      <c r="I1656" s="76" t="inlineStr">
        <is>
          <t>EO</t>
        </is>
      </c>
      <c r="J1656" s="95" t="n"/>
      <c r="K1656" s="95" t="n"/>
      <c r="L1656" s="83">
        <f>IF(OR(X1656="估算法",X1656="算法类",X1656="无法识别"),"",IF(V1656="",IF(OR(I1656="EI",I1656="EO",I1656="EQ"),0,""),LEN(V1656)-LEN(SUBSTITUTE(V1656,"、",""))+1))</f>
        <v/>
      </c>
      <c r="M1656" s="83">
        <f>IF(OR(X1656="估算法",X1656="算法类",X1656="无法识别"),"",IF(W1656="",IF(OR(I1656="ILF",I1656="EIF"),0,""),LEN(W1656)-LEN(SUBSTITUTE(W1656,"、",""))+1))</f>
        <v/>
      </c>
      <c r="N1656" s="83">
        <f>IF(OR(X1656="估算法",X1656="算法类",X1656="无法识别"),"",IF(X1656="",IF(OR(I1656="ILF",I1656="EIF",I1656="EI",I1656="EO",I1656="EQ"),0,""),LEN(X1656)-LEN(SUBSTITUTE(SUBSTITUTE(SUBSTITUTE(SUBSTITUTE(SUBSTITUTE(X1656,"|}","--"),"{|","--"),CHAR(10),""),"、",""),"|",""))+IF(AND(OR(I1656="EI",I1656="EO",I1656="EQ"),$AD$1="NESMA"),2,1)))</f>
        <v/>
      </c>
      <c r="O1656" s="84">
        <f>IF(I1656="EI",IF(OR(X1656="估算法",X1656="算法类"),"中",IF(X1656="无法识别","低",IF(L1656&lt;2,IF(N1656&lt;16,"低","中"),IF(L1656&lt;3,IF(N1656&lt;5,"低",IF(N1656&lt;16,"中","高")),IF(N1656&lt;5,"中","高"))))),IF(OR(I1656="EO",I1656="EQ"),IF(OR(X1656="估算法",X1656="算法类"),"中",IF(X1656="无法识别","低",IF(L1656&lt;2,IF(N1656&lt;20,"低","中"),IF(L1656&lt;4,IF(N1656&lt;6,"低",IF(N1656&lt;20,"中","高")),IF(N1656&lt;6,"中","高"))))),IF(OR(I1656="ILF",I1656="EIF"),IF(OR(X1656="估算法",X1656="算法类",X1656="无法识别"),"低",IF(M1656&lt;2,IF(N1656&lt;51,"低","中"),IF(M1656&lt;6,IF(N1656&lt;20,"低",IF(N1656&lt;51,"中","高")),IF(N1656&lt;20,"中","高")))),"不计算")))</f>
        <v/>
      </c>
      <c r="P1656" s="142">
        <f>IFERROR(IF(I1656="EI",IF(O1656="低",3,IF(O1656="中",4,6)),IF(I1656="EO",IF(O1656="低",4,IF(O1656="中",5,7)),IF(I1656="EQ",IF(O1656="低",3,IF(O1656="中",4,6)),IF(I1656="ILF",IF(O1656="低",7,IF(O1656="中",10,15)),IF(I1656="EIF",IF(O1656="低",5,IF(O1656="中",7,10)),"不计算")))))*Q1656,"不计算")</f>
        <v/>
      </c>
      <c r="Q1656" s="142" t="n">
        <v>1</v>
      </c>
      <c r="R1656" s="143">
        <f>调整因子!$F$13</f>
        <v/>
      </c>
      <c r="S1656" s="76" t="n">
        <v>1</v>
      </c>
      <c r="T1656" s="144">
        <f>IFERROR(P1656*R1656,0)</f>
        <v/>
      </c>
      <c r="U1656" s="145">
        <f>T1656*S1656</f>
        <v/>
      </c>
      <c r="V1656" s="96" t="inlineStr">
        <is>
          <t>任务优先级配置表、模板参数配置表</t>
        </is>
      </c>
      <c r="W1656" s="96" t="inlineStr"/>
      <c r="X1656" s="111" t="inlineStr">
        <is>
          <t>任务优先级配置表{任务ID、任务名称|任务ID、任务名称、任务类型、任务状态、创建时间、执行时间}
模板参数配置表{配置ID、配置名称|配置ID、配置名称、配置类型、配置值、创建时间}</t>
        </is>
      </c>
      <c r="Y1656" s="88" t="n"/>
      <c r="Z1656" s="88" t="n"/>
    </row>
    <row r="1657" hidden="1" ht="21.6" customHeight="1">
      <c r="A1657" s="69">
        <f>ROW()-1</f>
        <v/>
      </c>
      <c r="B1657" s="53" t="n"/>
      <c r="C1657" s="117" t="n">
        <v>2026</v>
      </c>
      <c r="E1657" s="53" t="n"/>
      <c r="F1657" s="53" t="n"/>
      <c r="G1657" s="53" t="n"/>
      <c r="H1657" s="96" t="inlineStr">
        <is>
          <t>查询应用列表</t>
        </is>
      </c>
      <c r="I1657" s="76" t="inlineStr">
        <is>
          <t>EO</t>
        </is>
      </c>
      <c r="J1657" s="95" t="n"/>
      <c r="K1657" s="95" t="n"/>
      <c r="L1657" s="83">
        <f>IF(OR(X1657="估算法",X1657="算法类",X1657="无法识别"),"",IF(V1657="",IF(OR(I1657="EI",I1657="EO",I1657="EQ"),0,""),LEN(V1657)-LEN(SUBSTITUTE(V1657,"、",""))+1))</f>
        <v/>
      </c>
      <c r="M1657" s="83">
        <f>IF(OR(X1657="估算法",X1657="算法类",X1657="无法识别"),"",IF(W1657="",IF(OR(I1657="ILF",I1657="EIF"),0,""),LEN(W1657)-LEN(SUBSTITUTE(W1657,"、",""))+1))</f>
        <v/>
      </c>
      <c r="N1657" s="83">
        <f>IF(OR(X1657="估算法",X1657="算法类",X1657="无法识别"),"",IF(X1657="",IF(OR(I1657="ILF",I1657="EIF",I1657="EI",I1657="EO",I1657="EQ"),0,""),LEN(X1657)-LEN(SUBSTITUTE(SUBSTITUTE(SUBSTITUTE(SUBSTITUTE(SUBSTITUTE(X1657,"|}","--"),"{|","--"),CHAR(10),""),"、",""),"|",""))+IF(AND(OR(I1657="EI",I1657="EO",I1657="EQ"),$AD$1="NESMA"),2,1)))</f>
        <v/>
      </c>
      <c r="O1657" s="84">
        <f>IF(I1657="EI",IF(OR(X1657="估算法",X1657="算法类"),"中",IF(X1657="无法识别","低",IF(L1657&lt;2,IF(N1657&lt;16,"低","中"),IF(L1657&lt;3,IF(N1657&lt;5,"低",IF(N1657&lt;16,"中","高")),IF(N1657&lt;5,"中","高"))))),IF(OR(I1657="EO",I1657="EQ"),IF(OR(X1657="估算法",X1657="算法类"),"中",IF(X1657="无法识别","低",IF(L1657&lt;2,IF(N1657&lt;20,"低","中"),IF(L1657&lt;4,IF(N1657&lt;6,"低",IF(N1657&lt;20,"中","高")),IF(N1657&lt;6,"中","高"))))),IF(OR(I1657="ILF",I1657="EIF"),IF(OR(X1657="估算法",X1657="算法类",X1657="无法识别"),"低",IF(M1657&lt;2,IF(N1657&lt;51,"低","中"),IF(M1657&lt;6,IF(N1657&lt;20,"低",IF(N1657&lt;51,"中","高")),IF(N1657&lt;20,"中","高")))),"不计算")))</f>
        <v/>
      </c>
      <c r="P1657" s="142">
        <f>IFERROR(IF(I1657="EI",IF(O1657="低",3,IF(O1657="中",4,6)),IF(I1657="EO",IF(O1657="低",4,IF(O1657="中",5,7)),IF(I1657="EQ",IF(O1657="低",3,IF(O1657="中",4,6)),IF(I1657="ILF",IF(O1657="低",7,IF(O1657="中",10,15)),IF(I1657="EIF",IF(O1657="低",5,IF(O1657="中",7,10)),"不计算")))))*Q1657,"不计算")</f>
        <v/>
      </c>
      <c r="Q1657" s="142" t="n">
        <v>1</v>
      </c>
      <c r="R1657" s="143">
        <f>调整因子!$F$13</f>
        <v/>
      </c>
      <c r="S1657" s="76" t="n">
        <v>1</v>
      </c>
      <c r="T1657" s="144">
        <f>IFERROR(P1657*R1657,0)</f>
        <v/>
      </c>
      <c r="U1657" s="145">
        <f>T1657*S1657</f>
        <v/>
      </c>
      <c r="V1657" s="96" t="inlineStr">
        <is>
          <t>接口参数配置表</t>
        </is>
      </c>
      <c r="W1657" s="96" t="inlineStr"/>
      <c r="X1657" s="111" t="inlineStr">
        <is>
          <t>接口参数配置表{配置ID、配置名称|配置ID、配置名称、配置类型、配置值、创建时间}</t>
        </is>
      </c>
      <c r="Y1657" s="88" t="n"/>
      <c r="Z1657" s="88" t="n"/>
    </row>
    <row r="1658" hidden="1">
      <c r="A1658" s="69">
        <f>ROW()-1</f>
        <v/>
      </c>
      <c r="B1658" s="53" t="n"/>
      <c r="C1658" s="117" t="n">
        <v>2026</v>
      </c>
      <c r="E1658" s="53" t="n"/>
      <c r="F1658" s="54" t="n"/>
      <c r="G1658" s="54" t="n"/>
      <c r="H1658" s="96" t="inlineStr">
        <is>
          <t>查看应用详情</t>
        </is>
      </c>
      <c r="I1658" s="76" t="inlineStr">
        <is>
          <t>EQ</t>
        </is>
      </c>
      <c r="J1658" s="95" t="n"/>
      <c r="K1658" s="95" t="n"/>
      <c r="L1658" s="83">
        <f>IF(OR(X1658="估算法",X1658="算法类",X1658="无法识别"),"",IF(V1658="",IF(OR(I1658="EI",I1658="EO",I1658="EQ"),0,""),LEN(V1658)-LEN(SUBSTITUTE(V1658,"、",""))+1))</f>
        <v/>
      </c>
      <c r="M1658" s="83">
        <f>IF(OR(X1658="估算法",X1658="算法类",X1658="无法识别"),"",IF(W1658="",IF(OR(I1658="ILF",I1658="EIF"),0,""),LEN(W1658)-LEN(SUBSTITUTE(W1658,"、",""))+1))</f>
        <v/>
      </c>
      <c r="N1658" s="83">
        <f>IF(OR(X1658="估算法",X1658="算法类",X1658="无法识别"),"",IF(X1658="",IF(OR(I1658="ILF",I1658="EIF",I1658="EI",I1658="EO",I1658="EQ"),0,""),LEN(X1658)-LEN(SUBSTITUTE(SUBSTITUTE(SUBSTITUTE(SUBSTITUTE(SUBSTITUTE(X1658,"|}","--"),"{|","--"),CHAR(10),""),"、",""),"|",""))+IF(AND(OR(I1658="EI",I1658="EO",I1658="EQ"),$AD$1="NESMA"),2,1)))</f>
        <v/>
      </c>
      <c r="O1658" s="84">
        <f>IF(I1658="EI",IF(OR(X1658="估算法",X1658="算法类"),"中",IF(X1658="无法识别","低",IF(L1658&lt;2,IF(N1658&lt;16,"低","中"),IF(L1658&lt;3,IF(N1658&lt;5,"低",IF(N1658&lt;16,"中","高")),IF(N1658&lt;5,"中","高"))))),IF(OR(I1658="EO",I1658="EQ"),IF(OR(X1658="估算法",X1658="算法类"),"中",IF(X1658="无法识别","低",IF(L1658&lt;2,IF(N1658&lt;20,"低","中"),IF(L1658&lt;4,IF(N1658&lt;6,"低",IF(N1658&lt;20,"中","高")),IF(N1658&lt;6,"中","高"))))),IF(OR(I1658="ILF",I1658="EIF"),IF(OR(X1658="估算法",X1658="算法类",X1658="无法识别"),"低",IF(M1658&lt;2,IF(N1658&lt;51,"低","中"),IF(M1658&lt;6,IF(N1658&lt;20,"低",IF(N1658&lt;51,"中","高")),IF(N1658&lt;20,"中","高")))),"不计算")))</f>
        <v/>
      </c>
      <c r="P1658" s="142">
        <f>IFERROR(IF(I1658="EI",IF(O1658="低",3,IF(O1658="中",4,6)),IF(I1658="EO",IF(O1658="低",4,IF(O1658="中",5,7)),IF(I1658="EQ",IF(O1658="低",3,IF(O1658="中",4,6)),IF(I1658="ILF",IF(O1658="低",7,IF(O1658="中",10,15)),IF(I1658="EIF",IF(O1658="低",5,IF(O1658="中",7,10)),"不计算")))))*Q1658,"不计算")</f>
        <v/>
      </c>
      <c r="Q1658" s="142" t="n">
        <v>1</v>
      </c>
      <c r="R1658" s="143">
        <f>调整因子!$F$13</f>
        <v/>
      </c>
      <c r="S1658" s="70" t="n">
        <v>1</v>
      </c>
      <c r="T1658" s="144">
        <f>IFERROR(P1658*R1658,0)</f>
        <v/>
      </c>
      <c r="U1658" s="145">
        <f>T1658*S1658</f>
        <v/>
      </c>
      <c r="V1658" s="96" t="inlineStr">
        <is>
          <t>采集记录表</t>
        </is>
      </c>
      <c r="W1658" s="96" t="inlineStr"/>
      <c r="X1658" s="111" t="inlineStr">
        <is>
          <t>采集记录表{ID、名称|ID、名称、类型}</t>
        </is>
      </c>
      <c r="Y1658" s="88" t="n"/>
      <c r="Z1658" s="88" t="n"/>
    </row>
    <row r="1659" hidden="1" ht="21.6" customHeight="1">
      <c r="A1659" s="69">
        <f>ROW()-1</f>
        <v/>
      </c>
      <c r="B1659" s="53" t="n"/>
      <c r="C1659" s="117" t="n">
        <v>2026</v>
      </c>
      <c r="E1659" s="53" t="n"/>
      <c r="F1659" s="111" t="inlineStr">
        <is>
          <t>数据表加密存储</t>
        </is>
      </c>
      <c r="G1659" s="111" t="inlineStr">
        <is>
          <t>加密策略配置管理</t>
        </is>
      </c>
      <c r="H1659" s="96" t="inlineStr">
        <is>
          <t>加密策略表</t>
        </is>
      </c>
      <c r="I1659" s="76" t="inlineStr">
        <is>
          <t>ILF</t>
        </is>
      </c>
      <c r="J1659" s="95" t="n"/>
      <c r="K1659" s="95" t="n"/>
      <c r="L1659" s="83">
        <f>IF(OR(X1659="估算法",X1659="算法类",X1659="无法识别"),"",IF(V1659="",IF(OR(I1659="EI",I1659="EO",I1659="EQ"),0,""),LEN(V1659)-LEN(SUBSTITUTE(V1659,"、",""))+1))</f>
        <v/>
      </c>
      <c r="M1659" s="83">
        <f>IF(OR(X1659="估算法",X1659="算法类",X1659="无法识别"),"",IF(W1659="",IF(OR(I1659="ILF",I1659="EIF"),0,""),LEN(W1659)-LEN(SUBSTITUTE(W1659,"、",""))+1))</f>
        <v/>
      </c>
      <c r="N1659" s="83">
        <f>IF(OR(X1659="估算法",X1659="算法类",X1659="无法识别"),"",IF(X1659="",IF(OR(I1659="ILF",I1659="EIF",I1659="EI",I1659="EO",I1659="EQ"),0,""),LEN(X1659)-LEN(SUBSTITUTE(SUBSTITUTE(SUBSTITUTE(SUBSTITUTE(SUBSTITUTE(X1659,"|}","--"),"{|","--"),CHAR(10),""),"、",""),"|",""))+IF(AND(OR(I1659="EI",I1659="EO",I1659="EQ"),$AD$1="NESMA"),2,1)))</f>
        <v/>
      </c>
      <c r="O1659" s="84">
        <f>IF(I1659="EI",IF(OR(X1659="估算法",X1659="算法类"),"中",IF(X1659="无法识别","低",IF(L1659&lt;2,IF(N1659&lt;16,"低","中"),IF(L1659&lt;3,IF(N1659&lt;5,"低",IF(N1659&lt;16,"中","高")),IF(N1659&lt;5,"中","高"))))),IF(OR(I1659="EO",I1659="EQ"),IF(OR(X1659="估算法",X1659="算法类"),"中",IF(X1659="无法识别","低",IF(L1659&lt;2,IF(N1659&lt;20,"低","中"),IF(L1659&lt;4,IF(N1659&lt;6,"低",IF(N1659&lt;20,"中","高")),IF(N1659&lt;6,"中","高"))))),IF(OR(I1659="ILF",I1659="EIF"),IF(OR(X1659="估算法",X1659="算法类",X1659="无法识别"),"低",IF(M1659&lt;2,IF(N1659&lt;51,"低","中"),IF(M1659&lt;6,IF(N1659&lt;20,"低",IF(N1659&lt;51,"中","高")),IF(N1659&lt;20,"中","高")))),"不计算")))</f>
        <v/>
      </c>
      <c r="P1659" s="142">
        <f>IFERROR(IF(I1659="EI",IF(O1659="低",3,IF(O1659="中",4,6)),IF(I1659="EO",IF(O1659="低",4,IF(O1659="中",5,7)),IF(I1659="EQ",IF(O1659="低",3,IF(O1659="中",4,6)),IF(I1659="ILF",IF(O1659="低",7,IF(O1659="中",10,15)),IF(I1659="EIF",IF(O1659="低",5,IF(O1659="中",7,10)),"不计算")))))*Q1659,"不计算")</f>
        <v/>
      </c>
      <c r="Q1659" s="142" t="n">
        <v>1</v>
      </c>
      <c r="R1659" s="143">
        <f>调整因子!$F$13</f>
        <v/>
      </c>
      <c r="S1659" s="70" t="n">
        <v>1</v>
      </c>
      <c r="T1659" s="144">
        <f>IFERROR(P1659*R1659,0)</f>
        <v/>
      </c>
      <c r="U1659" s="145">
        <f>T1659*S1659</f>
        <v/>
      </c>
      <c r="V1659" s="96" t="inlineStr"/>
      <c r="W1659" s="96" t="inlineStr">
        <is>
          <t>配置项</t>
        </is>
      </c>
      <c r="X1659" s="111" t="inlineStr">
        <is>
          <t>加密策略表{策略ID、策略名称、策略类型|策略ID、策略名称、策略类型、策略内容、生效时间}</t>
        </is>
      </c>
      <c r="Y1659" s="88">
        <f>IF(COUNTIFS(V:V,"*"&amp;H1659&amp;"*")&gt;0,"存在","不存在")</f>
        <v/>
      </c>
      <c r="Z1659" s="88">
        <f>IF(COUNTIFS(AA:AA,"*"&amp;H1659&amp;"*")&gt;0,"存在","不存在")</f>
        <v/>
      </c>
    </row>
    <row r="1660" hidden="1">
      <c r="A1660" s="69">
        <f>ROW()-1</f>
        <v/>
      </c>
      <c r="B1660" s="53" t="n"/>
      <c r="C1660" s="117" t="n">
        <v>2026</v>
      </c>
      <c r="E1660" s="53" t="n"/>
      <c r="F1660" s="53" t="n"/>
      <c r="G1660" s="53" t="n"/>
      <c r="H1660" s="96" t="inlineStr">
        <is>
          <t>加密算法表</t>
        </is>
      </c>
      <c r="I1660" s="76" t="inlineStr">
        <is>
          <t>ILF</t>
        </is>
      </c>
      <c r="J1660" s="95" t="n"/>
      <c r="K1660" s="95" t="n"/>
      <c r="L1660" s="83">
        <f>IF(OR(X1660="估算法",X1660="算法类",X1660="无法识别"),"",IF(V1660="",IF(OR(I1660="EI",I1660="EO",I1660="EQ"),0,""),LEN(V1660)-LEN(SUBSTITUTE(V1660,"、",""))+1))</f>
        <v/>
      </c>
      <c r="M1660" s="83">
        <f>IF(OR(X1660="估算法",X1660="算法类",X1660="无法识别"),"",IF(W1660="",IF(OR(I1660="ILF",I1660="EIF"),0,""),LEN(W1660)-LEN(SUBSTITUTE(W1660,"、",""))+1))</f>
        <v/>
      </c>
      <c r="N1660" s="83">
        <f>IF(OR(X1660="估算法",X1660="算法类",X1660="无法识别"),"",IF(X1660="",IF(OR(I1660="ILF",I1660="EIF",I1660="EI",I1660="EO",I1660="EQ"),0,""),LEN(X1660)-LEN(SUBSTITUTE(SUBSTITUTE(SUBSTITUTE(SUBSTITUTE(SUBSTITUTE(X1660,"|}","--"),"{|","--"),CHAR(10),""),"、",""),"|",""))+IF(AND(OR(I1660="EI",I1660="EO",I1660="EQ"),$AD$1="NESMA"),2,1)))</f>
        <v/>
      </c>
      <c r="O1660" s="84">
        <f>IF(I1660="EI",IF(OR(X1660="估算法",X1660="算法类"),"中",IF(X1660="无法识别","低",IF(L1660&lt;2,IF(N1660&lt;16,"低","中"),IF(L1660&lt;3,IF(N1660&lt;5,"低",IF(N1660&lt;16,"中","高")),IF(N1660&lt;5,"中","高"))))),IF(OR(I1660="EO",I1660="EQ"),IF(OR(X1660="估算法",X1660="算法类"),"中",IF(X1660="无法识别","低",IF(L1660&lt;2,IF(N1660&lt;20,"低","中"),IF(L1660&lt;4,IF(N1660&lt;6,"低",IF(N1660&lt;20,"中","高")),IF(N1660&lt;6,"中","高"))))),IF(OR(I1660="ILF",I1660="EIF"),IF(OR(X1660="估算法",X1660="算法类",X1660="无法识别"),"低",IF(M1660&lt;2,IF(N1660&lt;51,"低","中"),IF(M1660&lt;6,IF(N1660&lt;20,"低",IF(N1660&lt;51,"中","高")),IF(N1660&lt;20,"中","高")))),"不计算")))</f>
        <v/>
      </c>
      <c r="P1660" s="142">
        <f>IFERROR(IF(I1660="EI",IF(O1660="低",3,IF(O1660="中",4,6)),IF(I1660="EO",IF(O1660="低",4,IF(O1660="中",5,7)),IF(I1660="EQ",IF(O1660="低",3,IF(O1660="中",4,6)),IF(I1660="ILF",IF(O1660="低",7,IF(O1660="中",10,15)),IF(I1660="EIF",IF(O1660="低",5,IF(O1660="中",7,10)),"不计算")))))*Q1660,"不计算")</f>
        <v/>
      </c>
      <c r="Q1660" s="142" t="n">
        <v>1</v>
      </c>
      <c r="R1660" s="143">
        <f>调整因子!$F$13</f>
        <v/>
      </c>
      <c r="S1660" s="76" t="n">
        <v>1</v>
      </c>
      <c r="T1660" s="144">
        <f>IFERROR(P1660*R1660,0)</f>
        <v/>
      </c>
      <c r="U1660" s="145">
        <f>T1660*S1660</f>
        <v/>
      </c>
      <c r="V1660" s="96" t="inlineStr"/>
      <c r="W1660" s="96" t="inlineStr">
        <is>
          <t>数据记录</t>
        </is>
      </c>
      <c r="X1660" s="111" t="inlineStr">
        <is>
          <t>加密算法表{ID、名称、类型|ID、名称、类型、状态、创建时间、更新时间}</t>
        </is>
      </c>
      <c r="Y1660" s="88">
        <f>IF(COUNTIFS(V:V,"*"&amp;H1660&amp;"*")&gt;0,"存在","不存在")</f>
        <v/>
      </c>
      <c r="Z1660" s="88">
        <f>IF(COUNTIFS(AA:AA,"*"&amp;H1660&amp;"*")&gt;0,"存在","不存在")</f>
        <v/>
      </c>
    </row>
    <row r="1661" hidden="1" ht="21.6" customHeight="1">
      <c r="A1661" s="69">
        <f>ROW()-1</f>
        <v/>
      </c>
      <c r="B1661" s="53" t="n"/>
      <c r="C1661" s="117" t="n">
        <v>2026</v>
      </c>
      <c r="E1661" s="53" t="n"/>
      <c r="F1661" s="53" t="n"/>
      <c r="G1661" s="53" t="n"/>
      <c r="H1661" s="96" t="inlineStr">
        <is>
          <t>编辑加密策略</t>
        </is>
      </c>
      <c r="I1661" s="76" t="inlineStr">
        <is>
          <t>EI</t>
        </is>
      </c>
      <c r="J1661" s="95" t="n"/>
      <c r="K1661" s="95" t="n"/>
      <c r="L1661" s="83">
        <f>IF(OR(X1661="估算法",X1661="算法类",X1661="无法识别"),"",IF(V1661="",IF(OR(I1661="EI",I1661="EO",I1661="EQ"),0,""),LEN(V1661)-LEN(SUBSTITUTE(V1661,"、",""))+1))</f>
        <v/>
      </c>
      <c r="M1661" s="83">
        <f>IF(OR(X1661="估算法",X1661="算法类",X1661="无法识别"),"",IF(W1661="",IF(OR(I1661="ILF",I1661="EIF"),0,""),LEN(W1661)-LEN(SUBSTITUTE(W1661,"、",""))+1))</f>
        <v/>
      </c>
      <c r="N1661" s="83">
        <f>IF(OR(X1661="估算法",X1661="算法类",X1661="无法识别"),"",IF(X1661="",IF(OR(I1661="ILF",I1661="EIF",I1661="EI",I1661="EO",I1661="EQ"),0,""),LEN(X1661)-LEN(SUBSTITUTE(SUBSTITUTE(SUBSTITUTE(SUBSTITUTE(SUBSTITUTE(X1661,"|}","--"),"{|","--"),CHAR(10),""),"、",""),"|",""))+IF(AND(OR(I1661="EI",I1661="EO",I1661="EQ"),$AD$1="NESMA"),2,1)))</f>
        <v/>
      </c>
      <c r="O1661" s="84">
        <f>IF(I1661="EI",IF(OR(X1661="估算法",X1661="算法类"),"中",IF(X1661="无法识别","低",IF(L1661&lt;2,IF(N1661&lt;16,"低","中"),IF(L1661&lt;3,IF(N1661&lt;5,"低",IF(N1661&lt;16,"中","高")),IF(N1661&lt;5,"中","高"))))),IF(OR(I1661="EO",I1661="EQ"),IF(OR(X1661="估算法",X1661="算法类"),"中",IF(X1661="无法识别","低",IF(L1661&lt;2,IF(N1661&lt;20,"低","中"),IF(L1661&lt;4,IF(N1661&lt;6,"低",IF(N1661&lt;20,"中","高")),IF(N1661&lt;6,"中","高"))))),IF(OR(I1661="ILF",I1661="EIF"),IF(OR(X1661="估算法",X1661="算法类",X1661="无法识别"),"低",IF(M1661&lt;2,IF(N1661&lt;51,"低","中"),IF(M1661&lt;6,IF(N1661&lt;20,"低",IF(N1661&lt;51,"中","高")),IF(N1661&lt;20,"中","高")))),"不计算")))</f>
        <v/>
      </c>
      <c r="P1661" s="142">
        <f>IFERROR(IF(I1661="EI",IF(O1661="低",3,IF(O1661="中",4,6)),IF(I1661="EO",IF(O1661="低",4,IF(O1661="中",5,7)),IF(I1661="EQ",IF(O1661="低",3,IF(O1661="中",4,6)),IF(I1661="ILF",IF(O1661="低",7,IF(O1661="中",10,15)),IF(I1661="EIF",IF(O1661="低",5,IF(O1661="中",7,10)),"不计算")))))*Q1661,"不计算")</f>
        <v/>
      </c>
      <c r="Q1661" s="142" t="n">
        <v>1</v>
      </c>
      <c r="R1661" s="143">
        <f>调整因子!$F$13</f>
        <v/>
      </c>
      <c r="S1661" s="70" t="n">
        <v>1</v>
      </c>
      <c r="T1661" s="144">
        <f>IFERROR(P1661*R1661,0)</f>
        <v/>
      </c>
      <c r="U1661" s="145">
        <f>T1661*S1661</f>
        <v/>
      </c>
      <c r="V1661" s="96" t="inlineStr">
        <is>
          <t>扫描策略模板表</t>
        </is>
      </c>
      <c r="W1661" s="96" t="inlineStr"/>
      <c r="X1661" s="111" t="inlineStr">
        <is>
          <t>扫描策略模板表{任务ID、任务名称、任务状态、扫描器类型、开始时间、结束时间、扫描结果|任务ID、任务名称、任务状态}</t>
        </is>
      </c>
      <c r="Y1661" s="88" t="n"/>
      <c r="Z1661" s="88" t="n"/>
    </row>
    <row r="1662" hidden="1" ht="21.6" customHeight="1">
      <c r="A1662" s="69">
        <f>ROW()-1</f>
        <v/>
      </c>
      <c r="B1662" s="53" t="n"/>
      <c r="C1662" s="117" t="n">
        <v>2026</v>
      </c>
      <c r="E1662" s="53" t="n"/>
      <c r="F1662" s="53" t="n"/>
      <c r="G1662" s="53" t="n"/>
      <c r="H1662" s="96" t="inlineStr">
        <is>
          <t>删除加密策略</t>
        </is>
      </c>
      <c r="I1662" s="76" t="inlineStr">
        <is>
          <t>EI</t>
        </is>
      </c>
      <c r="J1662" s="95" t="n"/>
      <c r="K1662" s="95" t="n"/>
      <c r="L1662" s="83">
        <f>IF(OR(X1662="估算法",X1662="算法类",X1662="无法识别"),"",IF(V1662="",IF(OR(I1662="EI",I1662="EO",I1662="EQ"),0,""),LEN(V1662)-LEN(SUBSTITUTE(V1662,"、",""))+1))</f>
        <v/>
      </c>
      <c r="M1662" s="83">
        <f>IF(OR(X1662="估算法",X1662="算法类",X1662="无法识别"),"",IF(W1662="",IF(OR(I1662="ILF",I1662="EIF"),0,""),LEN(W1662)-LEN(SUBSTITUTE(W1662,"、",""))+1))</f>
        <v/>
      </c>
      <c r="N1662" s="83">
        <f>IF(OR(X1662="估算法",X1662="算法类",X1662="无法识别"),"",IF(X1662="",IF(OR(I1662="ILF",I1662="EIF",I1662="EI",I1662="EO",I1662="EQ"),0,""),LEN(X1662)-LEN(SUBSTITUTE(SUBSTITUTE(SUBSTITUTE(SUBSTITUTE(SUBSTITUTE(X1662,"|}","--"),"{|","--"),CHAR(10),""),"、",""),"|",""))+IF(AND(OR(I1662="EI",I1662="EO",I1662="EQ"),$AD$1="NESMA"),2,1)))</f>
        <v/>
      </c>
      <c r="O1662" s="84">
        <f>IF(I1662="EI",IF(OR(X1662="估算法",X1662="算法类"),"中",IF(X1662="无法识别","低",IF(L1662&lt;2,IF(N1662&lt;16,"低","中"),IF(L1662&lt;3,IF(N1662&lt;5,"低",IF(N1662&lt;16,"中","高")),IF(N1662&lt;5,"中","高"))))),IF(OR(I1662="EO",I1662="EQ"),IF(OR(X1662="估算法",X1662="算法类"),"中",IF(X1662="无法识别","低",IF(L1662&lt;2,IF(N1662&lt;20,"低","中"),IF(L1662&lt;4,IF(N1662&lt;6,"低",IF(N1662&lt;20,"中","高")),IF(N1662&lt;6,"中","高"))))),IF(OR(I1662="ILF",I1662="EIF"),IF(OR(X1662="估算法",X1662="算法类",X1662="无法识别"),"低",IF(M1662&lt;2,IF(N1662&lt;51,"低","中"),IF(M1662&lt;6,IF(N1662&lt;20,"低",IF(N1662&lt;51,"中","高")),IF(N1662&lt;20,"中","高")))),"不计算")))</f>
        <v/>
      </c>
      <c r="P1662" s="142">
        <f>IFERROR(IF(I1662="EI",IF(O1662="低",3,IF(O1662="中",4,6)),IF(I1662="EO",IF(O1662="低",4,IF(O1662="中",5,7)),IF(I1662="EQ",IF(O1662="低",3,IF(O1662="中",4,6)),IF(I1662="ILF",IF(O1662="低",7,IF(O1662="中",10,15)),IF(I1662="EIF",IF(O1662="低",5,IF(O1662="中",7,10)),"不计算")))))*Q1662,"不计算")</f>
        <v/>
      </c>
      <c r="Q1662" s="142" t="n">
        <v>0.333333333333333</v>
      </c>
      <c r="R1662" s="143">
        <f>调整因子!$F$13</f>
        <v/>
      </c>
      <c r="S1662" s="70" t="n">
        <v>1</v>
      </c>
      <c r="T1662" s="144">
        <f>IFERROR(P1662*R1662,0)</f>
        <v/>
      </c>
      <c r="U1662" s="145">
        <f>T1662*S1662</f>
        <v/>
      </c>
      <c r="V1662" s="96" t="inlineStr">
        <is>
          <t>扫描策略模板表</t>
        </is>
      </c>
      <c r="W1662" s="96" t="inlineStr"/>
      <c r="X1662" s="111" t="inlineStr">
        <is>
          <t>扫描策略模板表{任务ID、任务名称、任务状态、扫描器类型、开始时间、结束时间、扫描结果|任务ID、任务名称、任务状态}</t>
        </is>
      </c>
      <c r="Y1662" s="88" t="n"/>
      <c r="Z1662" s="88" t="n"/>
    </row>
    <row r="1663" hidden="1" ht="21.6" customHeight="1">
      <c r="A1663" s="69">
        <f>ROW()-1</f>
        <v/>
      </c>
      <c r="B1663" s="53" t="n"/>
      <c r="C1663" s="117" t="n">
        <v>2026</v>
      </c>
      <c r="E1663" s="53" t="n"/>
      <c r="F1663" s="53" t="n"/>
      <c r="G1663" s="53" t="n"/>
      <c r="H1663" s="96" t="inlineStr">
        <is>
          <t>启用加密策略</t>
        </is>
      </c>
      <c r="I1663" s="76" t="inlineStr">
        <is>
          <t>EI</t>
        </is>
      </c>
      <c r="J1663" s="95" t="n"/>
      <c r="K1663" s="95" t="n"/>
      <c r="L1663" s="83">
        <f>IF(OR(X1663="估算法",X1663="算法类",X1663="无法识别"),"",IF(V1663="",IF(OR(I1663="EI",I1663="EO",I1663="EQ"),0,""),LEN(V1663)-LEN(SUBSTITUTE(V1663,"、",""))+1))</f>
        <v/>
      </c>
      <c r="M1663" s="83">
        <f>IF(OR(X1663="估算法",X1663="算法类",X1663="无法识别"),"",IF(W1663="",IF(OR(I1663="ILF",I1663="EIF"),0,""),LEN(W1663)-LEN(SUBSTITUTE(W1663,"、",""))+1))</f>
        <v/>
      </c>
      <c r="N1663" s="83">
        <f>IF(OR(X1663="估算法",X1663="算法类",X1663="无法识别"),"",IF(X1663="",IF(OR(I1663="ILF",I1663="EIF",I1663="EI",I1663="EO",I1663="EQ"),0,""),LEN(X1663)-LEN(SUBSTITUTE(SUBSTITUTE(SUBSTITUTE(SUBSTITUTE(SUBSTITUTE(X1663,"|}","--"),"{|","--"),CHAR(10),""),"、",""),"|",""))+IF(AND(OR(I1663="EI",I1663="EO",I1663="EQ"),$AD$1="NESMA"),2,1)))</f>
        <v/>
      </c>
      <c r="O1663" s="84">
        <f>IF(I1663="EI",IF(OR(X1663="估算法",X1663="算法类"),"中",IF(X1663="无法识别","低",IF(L1663&lt;2,IF(N1663&lt;16,"低","中"),IF(L1663&lt;3,IF(N1663&lt;5,"低",IF(N1663&lt;16,"中","高")),IF(N1663&lt;5,"中","高"))))),IF(OR(I1663="EO",I1663="EQ"),IF(OR(X1663="估算法",X1663="算法类"),"中",IF(X1663="无法识别","低",IF(L1663&lt;2,IF(N1663&lt;20,"低","中"),IF(L1663&lt;4,IF(N1663&lt;6,"低",IF(N1663&lt;20,"中","高")),IF(N1663&lt;6,"中","高"))))),IF(OR(I1663="ILF",I1663="EIF"),IF(OR(X1663="估算法",X1663="算法类",X1663="无法识别"),"低",IF(M1663&lt;2,IF(N1663&lt;51,"低","中"),IF(M1663&lt;6,IF(N1663&lt;20,"低",IF(N1663&lt;51,"中","高")),IF(N1663&lt;20,"中","高")))),"不计算")))</f>
        <v/>
      </c>
      <c r="P1663" s="142">
        <f>IFERROR(IF(I1663="EI",IF(O1663="低",3,IF(O1663="中",4,6)),IF(I1663="EO",IF(O1663="低",4,IF(O1663="中",5,7)),IF(I1663="EQ",IF(O1663="低",3,IF(O1663="中",4,6)),IF(I1663="ILF",IF(O1663="低",7,IF(O1663="中",10,15)),IF(I1663="EIF",IF(O1663="低",5,IF(O1663="中",7,10)),"不计算")))))*Q1663,"不计算")</f>
        <v/>
      </c>
      <c r="Q1663" s="142" t="n">
        <v>1</v>
      </c>
      <c r="R1663" s="143">
        <f>调整因子!$F$13</f>
        <v/>
      </c>
      <c r="S1663" s="76" t="n">
        <v>1</v>
      </c>
      <c r="T1663" s="144">
        <f>IFERROR(P1663*R1663,0)</f>
        <v/>
      </c>
      <c r="U1663" s="145">
        <f>T1663*S1663</f>
        <v/>
      </c>
      <c r="V1663" s="96" t="inlineStr">
        <is>
          <t>扫描策略模板表</t>
        </is>
      </c>
      <c r="W1663" s="96" t="inlineStr"/>
      <c r="X1663" s="111" t="inlineStr">
        <is>
          <t>扫描策略模板表{任务ID、任务名称、任务状态、扫描器类型、开始时间|任务ID、任务名称、任务状态}</t>
        </is>
      </c>
      <c r="Y1663" s="88" t="n"/>
      <c r="Z1663" s="88" t="n"/>
    </row>
    <row r="1664" hidden="1" ht="21.6" customHeight="1">
      <c r="A1664" s="69">
        <f>ROW()-1</f>
        <v/>
      </c>
      <c r="B1664" s="53" t="n"/>
      <c r="C1664" s="117" t="n">
        <v>2026</v>
      </c>
      <c r="E1664" s="53" t="n"/>
      <c r="F1664" s="53" t="n"/>
      <c r="G1664" s="53" t="n"/>
      <c r="H1664" s="96" t="inlineStr">
        <is>
          <t>停用加密策略</t>
        </is>
      </c>
      <c r="I1664" s="76" t="n"/>
      <c r="J1664" s="95" t="n"/>
      <c r="K1664" s="95" t="inlineStr">
        <is>
          <t>和上行合并，启停为相同功能</t>
        </is>
      </c>
      <c r="L1664" s="83">
        <f>IF(OR(X1664="估算法",X1664="算法类",X1664="无法识别"),"",IF(V1664="",IF(OR(I1664="EI",I1664="EO",I1664="EQ"),0,""),LEN(V1664)-LEN(SUBSTITUTE(V1664,"、",""))+1))</f>
        <v/>
      </c>
      <c r="M1664" s="83">
        <f>IF(OR(X1664="估算法",X1664="算法类",X1664="无法识别"),"",IF(W1664="",IF(OR(I1664="ILF",I1664="EIF"),0,""),LEN(W1664)-LEN(SUBSTITUTE(W1664,"、",""))+1))</f>
        <v/>
      </c>
      <c r="N1664" s="83">
        <f>IF(OR(X1664="估算法",X1664="算法类",X1664="无法识别"),"",IF(X1664="",IF(OR(I1664="ILF",I1664="EIF",I1664="EI",I1664="EO",I1664="EQ"),0,""),LEN(X1664)-LEN(SUBSTITUTE(SUBSTITUTE(SUBSTITUTE(SUBSTITUTE(SUBSTITUTE(X1664,"|}","--"),"{|","--"),CHAR(10),""),"、",""),"|",""))+IF(AND(OR(I1664="EI",I1664="EO",I1664="EQ"),$AD$1="NESMA"),2,1)))</f>
        <v/>
      </c>
      <c r="O1664" s="84">
        <f>IF(I1664="EI",IF(OR(X1664="估算法",X1664="算法类"),"中",IF(X1664="无法识别","低",IF(L1664&lt;2,IF(N1664&lt;16,"低","中"),IF(L1664&lt;3,IF(N1664&lt;5,"低",IF(N1664&lt;16,"中","高")),IF(N1664&lt;5,"中","高"))))),IF(OR(I1664="EO",I1664="EQ"),IF(OR(X1664="估算法",X1664="算法类"),"中",IF(X1664="无法识别","低",IF(L1664&lt;2,IF(N1664&lt;20,"低","中"),IF(L1664&lt;4,IF(N1664&lt;6,"低",IF(N1664&lt;20,"中","高")),IF(N1664&lt;6,"中","高"))))),IF(OR(I1664="ILF",I1664="EIF"),IF(OR(X1664="估算法",X1664="算法类",X1664="无法识别"),"低",IF(M1664&lt;2,IF(N1664&lt;51,"低","中"),IF(M1664&lt;6,IF(N1664&lt;20,"低",IF(N1664&lt;51,"中","高")),IF(N1664&lt;20,"中","高")))),"不计算")))</f>
        <v/>
      </c>
      <c r="P1664" s="142">
        <f>IFERROR(IF(I1664="EI",IF(O1664="低",3,IF(O1664="中",4,6)),IF(I1664="EO",IF(O1664="低",4,IF(O1664="中",5,7)),IF(I1664="EQ",IF(O1664="低",3,IF(O1664="中",4,6)),IF(I1664="ILF",IF(O1664="低",7,IF(O1664="中",10,15)),IF(I1664="EIF",IF(O1664="低",5,IF(O1664="中",7,10)),"不计算")))))*Q1664,"不计算")</f>
        <v/>
      </c>
      <c r="Q1664" s="142" t="n">
        <v>1</v>
      </c>
      <c r="R1664" s="143">
        <f>调整因子!$F$13</f>
        <v/>
      </c>
      <c r="S1664" s="76" t="n">
        <v>1</v>
      </c>
      <c r="T1664" s="144">
        <f>IFERROR(P1664*R1664,0)</f>
        <v/>
      </c>
      <c r="U1664" s="145">
        <f>T1664*S1664</f>
        <v/>
      </c>
      <c r="V1664" s="96" t="inlineStr">
        <is>
          <t>扫描策略模板表</t>
        </is>
      </c>
      <c r="W1664" s="96" t="inlineStr"/>
      <c r="X1664" s="111" t="inlineStr">
        <is>
          <t>扫描策略模板表{任务ID、任务名称、任务状态、扫描器类型、开始时间、结束时间、扫描结果|任务ID、任务名称、任务状态}</t>
        </is>
      </c>
      <c r="Y1664" s="88" t="n"/>
      <c r="Z1664" s="88" t="n"/>
    </row>
    <row r="1665" hidden="1">
      <c r="A1665" s="69">
        <f>ROW()-1</f>
        <v/>
      </c>
      <c r="B1665" s="53" t="n"/>
      <c r="C1665" s="117" t="n">
        <v>2026</v>
      </c>
      <c r="E1665" s="53" t="n"/>
      <c r="F1665" s="53" t="n"/>
      <c r="G1665" s="53" t="n"/>
      <c r="H1665" s="96" t="inlineStr">
        <is>
          <t>导出加密配置</t>
        </is>
      </c>
      <c r="I1665" s="76" t="inlineStr">
        <is>
          <t>EO</t>
        </is>
      </c>
      <c r="J1665" s="95" t="n"/>
      <c r="K1665" s="95" t="n"/>
      <c r="L1665" s="83">
        <f>IF(OR(X1665="估算法",X1665="算法类",X1665="无法识别"),"",IF(V1665="",IF(OR(I1665="EI",I1665="EO",I1665="EQ"),0,""),LEN(V1665)-LEN(SUBSTITUTE(V1665,"、",""))+1))</f>
        <v/>
      </c>
      <c r="M1665" s="83">
        <f>IF(OR(X1665="估算法",X1665="算法类",X1665="无法识别"),"",IF(W1665="",IF(OR(I1665="ILF",I1665="EIF"),0,""),LEN(W1665)-LEN(SUBSTITUTE(W1665,"、",""))+1))</f>
        <v/>
      </c>
      <c r="N1665" s="83">
        <f>IF(OR(X1665="估算法",X1665="算法类",X1665="无法识别"),"",IF(X1665="",IF(OR(I1665="ILF",I1665="EIF",I1665="EI",I1665="EO",I1665="EQ"),0,""),LEN(X1665)-LEN(SUBSTITUTE(SUBSTITUTE(SUBSTITUTE(SUBSTITUTE(SUBSTITUTE(X1665,"|}","--"),"{|","--"),CHAR(10),""),"、",""),"|",""))+IF(AND(OR(I1665="EI",I1665="EO",I1665="EQ"),$AD$1="NESMA"),2,1)))</f>
        <v/>
      </c>
      <c r="O1665" s="84">
        <f>IF(I1665="EI",IF(OR(X1665="估算法",X1665="算法类"),"中",IF(X1665="无法识别","低",IF(L1665&lt;2,IF(N1665&lt;16,"低","中"),IF(L1665&lt;3,IF(N1665&lt;5,"低",IF(N1665&lt;16,"中","高")),IF(N1665&lt;5,"中","高"))))),IF(OR(I1665="EO",I1665="EQ"),IF(OR(X1665="估算法",X1665="算法类"),"中",IF(X1665="无法识别","低",IF(L1665&lt;2,IF(N1665&lt;20,"低","中"),IF(L1665&lt;4,IF(N1665&lt;6,"低",IF(N1665&lt;20,"中","高")),IF(N1665&lt;6,"中","高"))))),IF(OR(I1665="ILF",I1665="EIF"),IF(OR(X1665="估算法",X1665="算法类",X1665="无法识别"),"低",IF(M1665&lt;2,IF(N1665&lt;51,"低","中"),IF(M1665&lt;6,IF(N1665&lt;20,"低",IF(N1665&lt;51,"中","高")),IF(N1665&lt;20,"中","高")))),"不计算")))</f>
        <v/>
      </c>
      <c r="P1665" s="142">
        <f>IFERROR(IF(I1665="EI",IF(O1665="低",3,IF(O1665="中",4,6)),IF(I1665="EO",IF(O1665="低",4,IF(O1665="中",5,7)),IF(I1665="EQ",IF(O1665="低",3,IF(O1665="中",4,6)),IF(I1665="ILF",IF(O1665="低",7,IF(O1665="中",10,15)),IF(I1665="EIF",IF(O1665="低",5,IF(O1665="中",7,10)),"不计算")))))*Q1665,"不计算")</f>
        <v/>
      </c>
      <c r="Q1665" s="142" t="n">
        <v>1</v>
      </c>
      <c r="R1665" s="143">
        <f>调整因子!$F$13</f>
        <v/>
      </c>
      <c r="S1665" s="70" t="n">
        <v>1</v>
      </c>
      <c r="T1665" s="144">
        <f>IFERROR(P1665*R1665,0)</f>
        <v/>
      </c>
      <c r="U1665" s="145">
        <f>T1665*S1665</f>
        <v/>
      </c>
      <c r="V1665" s="96" t="inlineStr">
        <is>
          <t>任务优先级配置表</t>
        </is>
      </c>
      <c r="W1665" s="96" t="inlineStr"/>
      <c r="X1665" s="111" t="inlineStr">
        <is>
          <t>任务优先级配置表{任务ID、任务名称|任务ID、任务名称、任务类型、任务状态}</t>
        </is>
      </c>
      <c r="Y1665" s="88" t="n"/>
      <c r="Z1665" s="88" t="n"/>
    </row>
    <row r="1666" hidden="1">
      <c r="A1666" s="69">
        <f>ROW()-1</f>
        <v/>
      </c>
      <c r="B1666" s="53" t="n"/>
      <c r="C1666" s="117" t="n">
        <v>2026</v>
      </c>
      <c r="E1666" s="53" t="n"/>
      <c r="F1666" s="53" t="n"/>
      <c r="G1666" s="53" t="n"/>
      <c r="H1666" s="96" t="inlineStr">
        <is>
          <t>查询加密策略</t>
        </is>
      </c>
      <c r="I1666" s="76" t="inlineStr">
        <is>
          <t>EQ</t>
        </is>
      </c>
      <c r="J1666" s="95" t="n"/>
      <c r="K1666" s="95" t="n"/>
      <c r="L1666" s="83">
        <f>IF(OR(X1666="估算法",X1666="算法类",X1666="无法识别"),"",IF(V1666="",IF(OR(I1666="EI",I1666="EO",I1666="EQ"),0,""),LEN(V1666)-LEN(SUBSTITUTE(V1666,"、",""))+1))</f>
        <v/>
      </c>
      <c r="M1666" s="83">
        <f>IF(OR(X1666="估算法",X1666="算法类",X1666="无法识别"),"",IF(W1666="",IF(OR(I1666="ILF",I1666="EIF"),0,""),LEN(W1666)-LEN(SUBSTITUTE(W1666,"、",""))+1))</f>
        <v/>
      </c>
      <c r="N1666" s="83">
        <f>IF(OR(X1666="估算法",X1666="算法类",X1666="无法识别"),"",IF(X1666="",IF(OR(I1666="ILF",I1666="EIF",I1666="EI",I1666="EO",I1666="EQ"),0,""),LEN(X1666)-LEN(SUBSTITUTE(SUBSTITUTE(SUBSTITUTE(SUBSTITUTE(SUBSTITUTE(X1666,"|}","--"),"{|","--"),CHAR(10),""),"、",""),"|",""))+IF(AND(OR(I1666="EI",I1666="EO",I1666="EQ"),$AD$1="NESMA"),2,1)))</f>
        <v/>
      </c>
      <c r="O1666" s="84">
        <f>IF(I1666="EI",IF(OR(X1666="估算法",X1666="算法类"),"中",IF(X1666="无法识别","低",IF(L1666&lt;2,IF(N1666&lt;16,"低","中"),IF(L1666&lt;3,IF(N1666&lt;5,"低",IF(N1666&lt;16,"中","高")),IF(N1666&lt;5,"中","高"))))),IF(OR(I1666="EO",I1666="EQ"),IF(OR(X1666="估算法",X1666="算法类"),"中",IF(X1666="无法识别","低",IF(L1666&lt;2,IF(N1666&lt;20,"低","中"),IF(L1666&lt;4,IF(N1666&lt;6,"低",IF(N1666&lt;20,"中","高")),IF(N1666&lt;6,"中","高"))))),IF(OR(I1666="ILF",I1666="EIF"),IF(OR(X1666="估算法",X1666="算法类",X1666="无法识别"),"低",IF(M1666&lt;2,IF(N1666&lt;51,"低","中"),IF(M1666&lt;6,IF(N1666&lt;20,"低",IF(N1666&lt;51,"中","高")),IF(N1666&lt;20,"中","高")))),"不计算")))</f>
        <v/>
      </c>
      <c r="P1666" s="142">
        <f>IFERROR(IF(I1666="EI",IF(O1666="低",3,IF(O1666="中",4,6)),IF(I1666="EO",IF(O1666="低",4,IF(O1666="中",5,7)),IF(I1666="EQ",IF(O1666="低",3,IF(O1666="中",4,6)),IF(I1666="ILF",IF(O1666="低",7,IF(O1666="中",10,15)),IF(I1666="EIF",IF(O1666="低",5,IF(O1666="中",7,10)),"不计算")))))*Q1666,"不计算")</f>
        <v/>
      </c>
      <c r="Q1666" s="142" t="n">
        <v>1</v>
      </c>
      <c r="R1666" s="143">
        <f>调整因子!$F$13</f>
        <v/>
      </c>
      <c r="S1666" s="70" t="n">
        <v>1</v>
      </c>
      <c r="T1666" s="144">
        <f>IFERROR(P1666*R1666,0)</f>
        <v/>
      </c>
      <c r="U1666" s="145">
        <f>T1666*S1666</f>
        <v/>
      </c>
      <c r="V1666" s="96" t="inlineStr">
        <is>
          <t>扫描策略模板表</t>
        </is>
      </c>
      <c r="W1666" s="96" t="inlineStr"/>
      <c r="X1666" s="111" t="inlineStr">
        <is>
          <t>扫描策略模板表{任务ID、任务名称|任务ID、任务名称、任务状态、扫描器类型}</t>
        </is>
      </c>
      <c r="Y1666" s="88" t="n"/>
      <c r="Z1666" s="88" t="n"/>
    </row>
    <row r="1667" hidden="1">
      <c r="A1667" s="69">
        <f>ROW()-1</f>
        <v/>
      </c>
      <c r="B1667" s="53" t="n"/>
      <c r="C1667" s="117" t="n">
        <v>2026</v>
      </c>
      <c r="E1667" s="53" t="n"/>
      <c r="F1667" s="53" t="n"/>
      <c r="G1667" s="54" t="n"/>
      <c r="H1667" s="96" t="inlineStr">
        <is>
          <t>查看加密详情</t>
        </is>
      </c>
      <c r="I1667" s="76" t="inlineStr">
        <is>
          <t>EQ</t>
        </is>
      </c>
      <c r="J1667" s="95" t="n"/>
      <c r="K1667" s="95" t="n"/>
      <c r="L1667" s="83">
        <f>IF(OR(X1667="估算法",X1667="算法类",X1667="无法识别"),"",IF(V1667="",IF(OR(I1667="EI",I1667="EO",I1667="EQ"),0,""),LEN(V1667)-LEN(SUBSTITUTE(V1667,"、",""))+1))</f>
        <v/>
      </c>
      <c r="M1667" s="83">
        <f>IF(OR(X1667="估算法",X1667="算法类",X1667="无法识别"),"",IF(W1667="",IF(OR(I1667="ILF",I1667="EIF"),0,""),LEN(W1667)-LEN(SUBSTITUTE(W1667,"、",""))+1))</f>
        <v/>
      </c>
      <c r="N1667" s="83">
        <f>IF(OR(X1667="估算法",X1667="算法类",X1667="无法识别"),"",IF(X1667="",IF(OR(I1667="ILF",I1667="EIF",I1667="EI",I1667="EO",I1667="EQ"),0,""),LEN(X1667)-LEN(SUBSTITUTE(SUBSTITUTE(SUBSTITUTE(SUBSTITUTE(SUBSTITUTE(X1667,"|}","--"),"{|","--"),CHAR(10),""),"、",""),"|",""))+IF(AND(OR(I1667="EI",I1667="EO",I1667="EQ"),$AD$1="NESMA"),2,1)))</f>
        <v/>
      </c>
      <c r="O1667" s="84">
        <f>IF(I1667="EI",IF(OR(X1667="估算法",X1667="算法类"),"中",IF(X1667="无法识别","低",IF(L1667&lt;2,IF(N1667&lt;16,"低","中"),IF(L1667&lt;3,IF(N1667&lt;5,"低",IF(N1667&lt;16,"中","高")),IF(N1667&lt;5,"中","高"))))),IF(OR(I1667="EO",I1667="EQ"),IF(OR(X1667="估算法",X1667="算法类"),"中",IF(X1667="无法识别","低",IF(L1667&lt;2,IF(N1667&lt;20,"低","中"),IF(L1667&lt;4,IF(N1667&lt;6,"低",IF(N1667&lt;20,"中","高")),IF(N1667&lt;6,"中","高"))))),IF(OR(I1667="ILF",I1667="EIF"),IF(OR(X1667="估算法",X1667="算法类",X1667="无法识别"),"低",IF(M1667&lt;2,IF(N1667&lt;51,"低","中"),IF(M1667&lt;6,IF(N1667&lt;20,"低",IF(N1667&lt;51,"中","高")),IF(N1667&lt;20,"中","高")))),"不计算")))</f>
        <v/>
      </c>
      <c r="P1667" s="142">
        <f>IFERROR(IF(I1667="EI",IF(O1667="低",3,IF(O1667="中",4,6)),IF(I1667="EO",IF(O1667="低",4,IF(O1667="中",5,7)),IF(I1667="EQ",IF(O1667="低",3,IF(O1667="中",4,6)),IF(I1667="ILF",IF(O1667="低",7,IF(O1667="中",10,15)),IF(I1667="EIF",IF(O1667="低",5,IF(O1667="中",7,10)),"不计算")))))*Q1667,"不计算")</f>
        <v/>
      </c>
      <c r="Q1667" s="142" t="n">
        <v>1</v>
      </c>
      <c r="R1667" s="143">
        <f>调整因子!$F$13</f>
        <v/>
      </c>
      <c r="S1667" s="76" t="n">
        <v>1</v>
      </c>
      <c r="T1667" s="144">
        <f>IFERROR(P1667*R1667,0)</f>
        <v/>
      </c>
      <c r="U1667" s="145">
        <f>T1667*S1667</f>
        <v/>
      </c>
      <c r="V1667" s="96" t="inlineStr">
        <is>
          <t>日志查询记录表</t>
        </is>
      </c>
      <c r="W1667" s="96" t="inlineStr"/>
      <c r="X1667" s="111" t="inlineStr">
        <is>
          <t>日志查询记录表{日志ID、操作人|日志ID、操作人、操作类型、操作时间}</t>
        </is>
      </c>
      <c r="Y1667" s="88" t="n"/>
      <c r="Z1667" s="88" t="n"/>
    </row>
    <row r="1668" hidden="1">
      <c r="A1668" s="69">
        <f>ROW()-1</f>
        <v/>
      </c>
      <c r="B1668" s="53" t="n"/>
      <c r="C1668" s="117" t="n">
        <v>2026</v>
      </c>
      <c r="E1668" s="53" t="n"/>
      <c r="F1668" s="53" t="n"/>
      <c r="G1668" s="111" t="inlineStr">
        <is>
          <t>密钥管理</t>
        </is>
      </c>
      <c r="H1668" s="96" t="inlineStr">
        <is>
          <t>编辑加密密钥</t>
        </is>
      </c>
      <c r="I1668" s="76" t="inlineStr">
        <is>
          <t>EI</t>
        </is>
      </c>
      <c r="J1668" s="95" t="n"/>
      <c r="K1668" s="95" t="n"/>
      <c r="L1668" s="83">
        <f>IF(OR(X1668="估算法",X1668="算法类",X1668="无法识别"),"",IF(V1668="",IF(OR(I1668="EI",I1668="EO",I1668="EQ"),0,""),LEN(V1668)-LEN(SUBSTITUTE(V1668,"、",""))+1))</f>
        <v/>
      </c>
      <c r="M1668" s="83">
        <f>IF(OR(X1668="估算法",X1668="算法类",X1668="无法识别"),"",IF(W1668="",IF(OR(I1668="ILF",I1668="EIF"),0,""),LEN(W1668)-LEN(SUBSTITUTE(W1668,"、",""))+1))</f>
        <v/>
      </c>
      <c r="N1668" s="83">
        <f>IF(OR(X1668="估算法",X1668="算法类",X1668="无法识别"),"",IF(X1668="",IF(OR(I1668="ILF",I1668="EIF",I1668="EI",I1668="EO",I1668="EQ"),0,""),LEN(X1668)-LEN(SUBSTITUTE(SUBSTITUTE(SUBSTITUTE(SUBSTITUTE(SUBSTITUTE(X1668,"|}","--"),"{|","--"),CHAR(10),""),"、",""),"|",""))+IF(AND(OR(I1668="EI",I1668="EO",I1668="EQ"),$AD$1="NESMA"),2,1)))</f>
        <v/>
      </c>
      <c r="O1668" s="84">
        <f>IF(I1668="EI",IF(OR(X1668="估算法",X1668="算法类"),"中",IF(X1668="无法识别","低",IF(L1668&lt;2,IF(N1668&lt;16,"低","中"),IF(L1668&lt;3,IF(N1668&lt;5,"低",IF(N1668&lt;16,"中","高")),IF(N1668&lt;5,"中","高"))))),IF(OR(I1668="EO",I1668="EQ"),IF(OR(X1668="估算法",X1668="算法类"),"中",IF(X1668="无法识别","低",IF(L1668&lt;2,IF(N1668&lt;20,"低","中"),IF(L1668&lt;4,IF(N1668&lt;6,"低",IF(N1668&lt;20,"中","高")),IF(N1668&lt;6,"中","高"))))),IF(OR(I1668="ILF",I1668="EIF"),IF(OR(X1668="估算法",X1668="算法类",X1668="无法识别"),"低",IF(M1668&lt;2,IF(N1668&lt;51,"低","中"),IF(M1668&lt;6,IF(N1668&lt;20,"低",IF(N1668&lt;51,"中","高")),IF(N1668&lt;20,"中","高")))),"不计算")))</f>
        <v/>
      </c>
      <c r="P1668" s="142">
        <f>IFERROR(IF(I1668="EI",IF(O1668="低",3,IF(O1668="中",4,6)),IF(I1668="EO",IF(O1668="低",4,IF(O1668="中",5,7)),IF(I1668="EQ",IF(O1668="低",3,IF(O1668="中",4,6)),IF(I1668="ILF",IF(O1668="低",7,IF(O1668="中",10,15)),IF(I1668="EIF",IF(O1668="低",5,IF(O1668="中",7,10)),"不计算")))))*Q1668,"不计算")</f>
        <v/>
      </c>
      <c r="Q1668" s="142" t="n">
        <v>1</v>
      </c>
      <c r="R1668" s="143">
        <f>调整因子!$F$13</f>
        <v/>
      </c>
      <c r="S1668" s="70" t="n">
        <v>1</v>
      </c>
      <c r="T1668" s="144">
        <f>IFERROR(P1668*R1668,0)</f>
        <v/>
      </c>
      <c r="U1668" s="145">
        <f>T1668*S1668</f>
        <v/>
      </c>
      <c r="V1668" s="96" t="inlineStr">
        <is>
          <t>调用统计表</t>
        </is>
      </c>
      <c r="W1668" s="96" t="inlineStr"/>
      <c r="X1668" s="111" t="inlineStr">
        <is>
          <t>调用统计表{ID、名称、类型、状态、创建时间、更新时间|ID、名称、类型}</t>
        </is>
      </c>
      <c r="Y1668" s="88" t="n"/>
      <c r="Z1668" s="88" t="n"/>
    </row>
    <row r="1669" hidden="1" ht="21.6" customHeight="1">
      <c r="A1669" s="69">
        <f>ROW()-1</f>
        <v/>
      </c>
      <c r="B1669" s="53" t="n"/>
      <c r="C1669" s="117" t="n">
        <v>2026</v>
      </c>
      <c r="E1669" s="53" t="n"/>
      <c r="F1669" s="53" t="n"/>
      <c r="G1669" s="53" t="n"/>
      <c r="H1669" s="96" t="inlineStr">
        <is>
          <t>删除加密密钥</t>
        </is>
      </c>
      <c r="I1669" s="76" t="inlineStr">
        <is>
          <t>EI</t>
        </is>
      </c>
      <c r="J1669" s="95" t="n"/>
      <c r="K1669" s="95" t="n"/>
      <c r="L1669" s="83">
        <f>IF(OR(X1669="估算法",X1669="算法类",X1669="无法识别"),"",IF(V1669="",IF(OR(I1669="EI",I1669="EO",I1669="EQ"),0,""),LEN(V1669)-LEN(SUBSTITUTE(V1669,"、",""))+1))</f>
        <v/>
      </c>
      <c r="M1669" s="83">
        <f>IF(OR(X1669="估算法",X1669="算法类",X1669="无法识别"),"",IF(W1669="",IF(OR(I1669="ILF",I1669="EIF"),0,""),LEN(W1669)-LEN(SUBSTITUTE(W1669,"、",""))+1))</f>
        <v/>
      </c>
      <c r="N1669" s="83">
        <f>IF(OR(X1669="估算法",X1669="算法类",X1669="无法识别"),"",IF(X1669="",IF(OR(I1669="ILF",I1669="EIF",I1669="EI",I1669="EO",I1669="EQ"),0,""),LEN(X1669)-LEN(SUBSTITUTE(SUBSTITUTE(SUBSTITUTE(SUBSTITUTE(SUBSTITUTE(X1669,"|}","--"),"{|","--"),CHAR(10),""),"、",""),"|",""))+IF(AND(OR(I1669="EI",I1669="EO",I1669="EQ"),$AD$1="NESMA"),2,1)))</f>
        <v/>
      </c>
      <c r="O1669" s="84">
        <f>IF(I1669="EI",IF(OR(X1669="估算法",X1669="算法类"),"中",IF(X1669="无法识别","低",IF(L1669&lt;2,IF(N1669&lt;16,"低","中"),IF(L1669&lt;3,IF(N1669&lt;5,"低",IF(N1669&lt;16,"中","高")),IF(N1669&lt;5,"中","高"))))),IF(OR(I1669="EO",I1669="EQ"),IF(OR(X1669="估算法",X1669="算法类"),"中",IF(X1669="无法识别","低",IF(L1669&lt;2,IF(N1669&lt;20,"低","中"),IF(L1669&lt;4,IF(N1669&lt;6,"低",IF(N1669&lt;20,"中","高")),IF(N1669&lt;6,"中","高"))))),IF(OR(I1669="ILF",I1669="EIF"),IF(OR(X1669="估算法",X1669="算法类",X1669="无法识别"),"低",IF(M1669&lt;2,IF(N1669&lt;51,"低","中"),IF(M1669&lt;6,IF(N1669&lt;20,"低",IF(N1669&lt;51,"中","高")),IF(N1669&lt;20,"中","高")))),"不计算")))</f>
        <v/>
      </c>
      <c r="P1669" s="142">
        <f>IFERROR(IF(I1669="EI",IF(O1669="低",3,IF(O1669="中",4,6)),IF(I1669="EO",IF(O1669="低",4,IF(O1669="中",5,7)),IF(I1669="EQ",IF(O1669="低",3,IF(O1669="中",4,6)),IF(I1669="ILF",IF(O1669="低",7,IF(O1669="中",10,15)),IF(I1669="EIF",IF(O1669="低",5,IF(O1669="中",7,10)),"不计算")))))*Q1669,"不计算")</f>
        <v/>
      </c>
      <c r="Q1669" s="142" t="n">
        <v>0.333333333333333</v>
      </c>
      <c r="R1669" s="143">
        <f>调整因子!$F$13</f>
        <v/>
      </c>
      <c r="S1669" s="70" t="n">
        <v>1</v>
      </c>
      <c r="T1669" s="144">
        <f>IFERROR(P1669*R1669,0)</f>
        <v/>
      </c>
      <c r="U1669" s="145">
        <f>T1669*S1669</f>
        <v/>
      </c>
      <c r="V1669" s="96" t="inlineStr">
        <is>
          <t>资产查询接口配置表</t>
        </is>
      </c>
      <c r="W1669" s="96" t="inlineStr"/>
      <c r="X1669" s="111" t="inlineStr">
        <is>
          <t>资产查询接口配置表{资产ID、资产名称、IP地址、资产类型、资产状态、创建时间、更新时间|资产ID、资产名称、IP地址}</t>
        </is>
      </c>
      <c r="Y1669" s="88" t="n"/>
      <c r="Z1669" s="88" t="n"/>
    </row>
    <row r="1670" hidden="1" ht="21.6" customHeight="1">
      <c r="A1670" s="69">
        <f>ROW()-1</f>
        <v/>
      </c>
      <c r="B1670" s="53" t="n"/>
      <c r="C1670" s="117" t="n">
        <v>2026</v>
      </c>
      <c r="E1670" s="53" t="n"/>
      <c r="F1670" s="53" t="n"/>
      <c r="G1670" s="53" t="n"/>
      <c r="H1670" s="96" t="inlineStr">
        <is>
          <t>启用加密密钥</t>
        </is>
      </c>
      <c r="I1670" s="76" t="inlineStr">
        <is>
          <t>EI</t>
        </is>
      </c>
      <c r="J1670" s="95" t="n"/>
      <c r="K1670" s="95" t="n"/>
      <c r="L1670" s="83">
        <f>IF(OR(X1670="估算法",X1670="算法类",X1670="无法识别"),"",IF(V1670="",IF(OR(I1670="EI",I1670="EO",I1670="EQ"),0,""),LEN(V1670)-LEN(SUBSTITUTE(V1670,"、",""))+1))</f>
        <v/>
      </c>
      <c r="M1670" s="83">
        <f>IF(OR(X1670="估算法",X1670="算法类",X1670="无法识别"),"",IF(W1670="",IF(OR(I1670="ILF",I1670="EIF"),0,""),LEN(W1670)-LEN(SUBSTITUTE(W1670,"、",""))+1))</f>
        <v/>
      </c>
      <c r="N1670" s="83">
        <f>IF(OR(X1670="估算法",X1670="算法类",X1670="无法识别"),"",IF(X1670="",IF(OR(I1670="ILF",I1670="EIF",I1670="EI",I1670="EO",I1670="EQ"),0,""),LEN(X1670)-LEN(SUBSTITUTE(SUBSTITUTE(SUBSTITUTE(SUBSTITUTE(SUBSTITUTE(X1670,"|}","--"),"{|","--"),CHAR(10),""),"、",""),"|",""))+IF(AND(OR(I1670="EI",I1670="EO",I1670="EQ"),$AD$1="NESMA"),2,1)))</f>
        <v/>
      </c>
      <c r="O1670" s="84">
        <f>IF(I1670="EI",IF(OR(X1670="估算法",X1670="算法类"),"中",IF(X1670="无法识别","低",IF(L1670&lt;2,IF(N1670&lt;16,"低","中"),IF(L1670&lt;3,IF(N1670&lt;5,"低",IF(N1670&lt;16,"中","高")),IF(N1670&lt;5,"中","高"))))),IF(OR(I1670="EO",I1670="EQ"),IF(OR(X1670="估算法",X1670="算法类"),"中",IF(X1670="无法识别","低",IF(L1670&lt;2,IF(N1670&lt;20,"低","中"),IF(L1670&lt;4,IF(N1670&lt;6,"低",IF(N1670&lt;20,"中","高")),IF(N1670&lt;6,"中","高"))))),IF(OR(I1670="ILF",I1670="EIF"),IF(OR(X1670="估算法",X1670="算法类",X1670="无法识别"),"低",IF(M1670&lt;2,IF(N1670&lt;51,"低","中"),IF(M1670&lt;6,IF(N1670&lt;20,"低",IF(N1670&lt;51,"中","高")),IF(N1670&lt;20,"中","高")))),"不计算")))</f>
        <v/>
      </c>
      <c r="P1670" s="142">
        <f>IFERROR(IF(I1670="EI",IF(O1670="低",3,IF(O1670="中",4,6)),IF(I1670="EO",IF(O1670="低",4,IF(O1670="中",5,7)),IF(I1670="EQ",IF(O1670="低",3,IF(O1670="中",4,6)),IF(I1670="ILF",IF(O1670="低",7,IF(O1670="中",10,15)),IF(I1670="EIF",IF(O1670="低",5,IF(O1670="中",7,10)),"不计算")))))*Q1670,"不计算")</f>
        <v/>
      </c>
      <c r="Q1670" s="142" t="n">
        <v>1</v>
      </c>
      <c r="R1670" s="143">
        <f>调整因子!$F$13</f>
        <v/>
      </c>
      <c r="S1670" s="76" t="n">
        <v>1</v>
      </c>
      <c r="T1670" s="144">
        <f>IFERROR(P1670*R1670,0)</f>
        <v/>
      </c>
      <c r="U1670" s="145">
        <f>T1670*S1670</f>
        <v/>
      </c>
      <c r="V1670" s="96" t="inlineStr">
        <is>
          <t>漏洞查询接口配置表</t>
        </is>
      </c>
      <c r="W1670" s="96" t="inlineStr"/>
      <c r="X1670" s="111" t="inlineStr">
        <is>
          <t>漏洞查询接口配置表{漏洞ID、漏洞名称、漏洞等级、漏洞类型、CVE编号、发现时间、修复状态|漏洞ID、漏洞名称、漏洞等级}</t>
        </is>
      </c>
      <c r="Y1670" s="88" t="n"/>
      <c r="Z1670" s="88" t="n"/>
    </row>
    <row r="1671" hidden="1" ht="21.6" customHeight="1">
      <c r="A1671" s="69">
        <f>ROW()-1</f>
        <v/>
      </c>
      <c r="B1671" s="53" t="n"/>
      <c r="C1671" s="117" t="n">
        <v>2026</v>
      </c>
      <c r="E1671" s="53" t="n"/>
      <c r="F1671" s="53" t="n"/>
      <c r="G1671" s="53" t="n"/>
      <c r="H1671" s="96" t="inlineStr">
        <is>
          <t>停用加密密钥</t>
        </is>
      </c>
      <c r="I1671" s="76" t="n"/>
      <c r="J1671" s="95" t="n"/>
      <c r="K1671" s="95" t="inlineStr">
        <is>
          <t>和上行合并，启停为相同功能</t>
        </is>
      </c>
      <c r="L1671" s="83">
        <f>IF(OR(X1671="估算法",X1671="算法类",X1671="无法识别"),"",IF(V1671="",IF(OR(I1671="EI",I1671="EO",I1671="EQ"),0,""),LEN(V1671)-LEN(SUBSTITUTE(V1671,"、",""))+1))</f>
        <v/>
      </c>
      <c r="M1671" s="83">
        <f>IF(OR(X1671="估算法",X1671="算法类",X1671="无法识别"),"",IF(W1671="",IF(OR(I1671="ILF",I1671="EIF"),0,""),LEN(W1671)-LEN(SUBSTITUTE(W1671,"、",""))+1))</f>
        <v/>
      </c>
      <c r="N1671" s="83">
        <f>IF(OR(X1671="估算法",X1671="算法类",X1671="无法识别"),"",IF(X1671="",IF(OR(I1671="ILF",I1671="EIF",I1671="EI",I1671="EO",I1671="EQ"),0,""),LEN(X1671)-LEN(SUBSTITUTE(SUBSTITUTE(SUBSTITUTE(SUBSTITUTE(SUBSTITUTE(X1671,"|}","--"),"{|","--"),CHAR(10),""),"、",""),"|",""))+IF(AND(OR(I1671="EI",I1671="EO",I1671="EQ"),$AD$1="NESMA"),2,1)))</f>
        <v/>
      </c>
      <c r="O1671" s="84">
        <f>IF(I1671="EI",IF(OR(X1671="估算法",X1671="算法类"),"中",IF(X1671="无法识别","低",IF(L1671&lt;2,IF(N1671&lt;16,"低","中"),IF(L1671&lt;3,IF(N1671&lt;5,"低",IF(N1671&lt;16,"中","高")),IF(N1671&lt;5,"中","高"))))),IF(OR(I1671="EO",I1671="EQ"),IF(OR(X1671="估算法",X1671="算法类"),"中",IF(X1671="无法识别","低",IF(L1671&lt;2,IF(N1671&lt;20,"低","中"),IF(L1671&lt;4,IF(N1671&lt;6,"低",IF(N1671&lt;20,"中","高")),IF(N1671&lt;6,"中","高"))))),IF(OR(I1671="ILF",I1671="EIF"),IF(OR(X1671="估算法",X1671="算法类",X1671="无法识别"),"低",IF(M1671&lt;2,IF(N1671&lt;51,"低","中"),IF(M1671&lt;6,IF(N1671&lt;20,"低",IF(N1671&lt;51,"中","高")),IF(N1671&lt;20,"中","高")))),"不计算")))</f>
        <v/>
      </c>
      <c r="P1671" s="142">
        <f>IFERROR(IF(I1671="EI",IF(O1671="低",3,IF(O1671="中",4,6)),IF(I1671="EO",IF(O1671="低",4,IF(O1671="中",5,7)),IF(I1671="EQ",IF(O1671="低",3,IF(O1671="中",4,6)),IF(I1671="ILF",IF(O1671="低",7,IF(O1671="中",10,15)),IF(I1671="EIF",IF(O1671="低",5,IF(O1671="中",7,10)),"不计算")))))*Q1671,"不计算")</f>
        <v/>
      </c>
      <c r="Q1671" s="142" t="n">
        <v>1</v>
      </c>
      <c r="R1671" s="143">
        <f>调整因子!$F$13</f>
        <v/>
      </c>
      <c r="S1671" s="76" t="n">
        <v>1</v>
      </c>
      <c r="T1671" s="144">
        <f>IFERROR(P1671*R1671,0)</f>
        <v/>
      </c>
      <c r="U1671" s="145">
        <f>T1671*S1671</f>
        <v/>
      </c>
      <c r="V1671" s="96" t="inlineStr">
        <is>
          <t>离线扫描报告表</t>
        </is>
      </c>
      <c r="W1671" s="96" t="inlineStr"/>
      <c r="X1671" s="111" t="inlineStr">
        <is>
          <t>离线扫描报告表{任务ID、任务名称、任务状态、扫描器类型、开始时间、结束时间、扫描结果|任务ID、任务名称、任务状态}</t>
        </is>
      </c>
      <c r="Y1671" s="88" t="n"/>
      <c r="Z1671" s="88" t="n"/>
    </row>
    <row r="1672" hidden="1">
      <c r="A1672" s="69">
        <f>ROW()-1</f>
        <v/>
      </c>
      <c r="B1672" s="53" t="n"/>
      <c r="C1672" s="117" t="n">
        <v>2026</v>
      </c>
      <c r="E1672" s="53" t="n"/>
      <c r="F1672" s="53" t="n"/>
      <c r="G1672" s="53" t="n"/>
      <c r="H1672" s="96" t="inlineStr">
        <is>
          <t>导出密钥配置</t>
        </is>
      </c>
      <c r="I1672" s="76" t="inlineStr">
        <is>
          <t>EO</t>
        </is>
      </c>
      <c r="J1672" s="95" t="n"/>
      <c r="K1672" s="95" t="n"/>
      <c r="L1672" s="83">
        <f>IF(OR(X1672="估算法",X1672="算法类",X1672="无法识别"),"",IF(V1672="",IF(OR(I1672="EI",I1672="EO",I1672="EQ"),0,""),LEN(V1672)-LEN(SUBSTITUTE(V1672,"、",""))+1))</f>
        <v/>
      </c>
      <c r="M1672" s="83">
        <f>IF(OR(X1672="估算法",X1672="算法类",X1672="无法识别"),"",IF(W1672="",IF(OR(I1672="ILF",I1672="EIF"),0,""),LEN(W1672)-LEN(SUBSTITUTE(W1672,"、",""))+1))</f>
        <v/>
      </c>
      <c r="N1672" s="83">
        <f>IF(OR(X1672="估算法",X1672="算法类",X1672="无法识别"),"",IF(X1672="",IF(OR(I1672="ILF",I1672="EIF",I1672="EI",I1672="EO",I1672="EQ"),0,""),LEN(X1672)-LEN(SUBSTITUTE(SUBSTITUTE(SUBSTITUTE(SUBSTITUTE(SUBSTITUTE(X1672,"|}","--"),"{|","--"),CHAR(10),""),"、",""),"|",""))+IF(AND(OR(I1672="EI",I1672="EO",I1672="EQ"),$AD$1="NESMA"),2,1)))</f>
        <v/>
      </c>
      <c r="O1672" s="84">
        <f>IF(I1672="EI",IF(OR(X1672="估算法",X1672="算法类"),"中",IF(X1672="无法识别","低",IF(L1672&lt;2,IF(N1672&lt;16,"低","中"),IF(L1672&lt;3,IF(N1672&lt;5,"低",IF(N1672&lt;16,"中","高")),IF(N1672&lt;5,"中","高"))))),IF(OR(I1672="EO",I1672="EQ"),IF(OR(X1672="估算法",X1672="算法类"),"中",IF(X1672="无法识别","低",IF(L1672&lt;2,IF(N1672&lt;20,"低","中"),IF(L1672&lt;4,IF(N1672&lt;6,"低",IF(N1672&lt;20,"中","高")),IF(N1672&lt;6,"中","高"))))),IF(OR(I1672="ILF",I1672="EIF"),IF(OR(X1672="估算法",X1672="算法类",X1672="无法识别"),"低",IF(M1672&lt;2,IF(N1672&lt;51,"低","中"),IF(M1672&lt;6,IF(N1672&lt;20,"低",IF(N1672&lt;51,"中","高")),IF(N1672&lt;20,"中","高")))),"不计算")))</f>
        <v/>
      </c>
      <c r="P1672" s="142">
        <f>IFERROR(IF(I1672="EI",IF(O1672="低",3,IF(O1672="中",4,6)),IF(I1672="EO",IF(O1672="低",4,IF(O1672="中",5,7)),IF(I1672="EQ",IF(O1672="低",3,IF(O1672="中",4,6)),IF(I1672="ILF",IF(O1672="低",7,IF(O1672="中",10,15)),IF(I1672="EIF",IF(O1672="低",5,IF(O1672="中",7,10)),"不计算")))))*Q1672,"不计算")</f>
        <v/>
      </c>
      <c r="Q1672" s="142" t="n">
        <v>1</v>
      </c>
      <c r="R1672" s="143">
        <f>调整因子!$F$13</f>
        <v/>
      </c>
      <c r="S1672" s="70" t="n">
        <v>1</v>
      </c>
      <c r="T1672" s="144">
        <f>IFERROR(P1672*R1672,0)</f>
        <v/>
      </c>
      <c r="U1672" s="145">
        <f>T1672*S1672</f>
        <v/>
      </c>
      <c r="V1672" s="96" t="inlineStr">
        <is>
          <t>任务优先级配置表</t>
        </is>
      </c>
      <c r="W1672" s="96" t="inlineStr"/>
      <c r="X1672" s="111" t="inlineStr">
        <is>
          <t>任务优先级配置表{任务ID、任务名称|任务ID、任务名称、任务类型、任务状态}</t>
        </is>
      </c>
      <c r="Y1672" s="88" t="n"/>
      <c r="Z1672" s="88" t="n"/>
    </row>
    <row r="1673" hidden="1">
      <c r="A1673" s="69">
        <f>ROW()-1</f>
        <v/>
      </c>
      <c r="B1673" s="53" t="n"/>
      <c r="C1673" s="117" t="n">
        <v>2026</v>
      </c>
      <c r="E1673" s="53" t="n"/>
      <c r="F1673" s="53" t="n"/>
      <c r="G1673" s="53" t="n"/>
      <c r="H1673" s="96" t="inlineStr">
        <is>
          <t>查询密钥列表</t>
        </is>
      </c>
      <c r="I1673" s="76" t="inlineStr">
        <is>
          <t>EO</t>
        </is>
      </c>
      <c r="J1673" s="95" t="n"/>
      <c r="K1673" s="95" t="n"/>
      <c r="L1673" s="83">
        <f>IF(OR(X1673="估算法",X1673="算法类",X1673="无法识别"),"",IF(V1673="",IF(OR(I1673="EI",I1673="EO",I1673="EQ"),0,""),LEN(V1673)-LEN(SUBSTITUTE(V1673,"、",""))+1))</f>
        <v/>
      </c>
      <c r="M1673" s="83">
        <f>IF(OR(X1673="估算法",X1673="算法类",X1673="无法识别"),"",IF(W1673="",IF(OR(I1673="ILF",I1673="EIF"),0,""),LEN(W1673)-LEN(SUBSTITUTE(W1673,"、",""))+1))</f>
        <v/>
      </c>
      <c r="N1673" s="83">
        <f>IF(OR(X1673="估算法",X1673="算法类",X1673="无法识别"),"",IF(X1673="",IF(OR(I1673="ILF",I1673="EIF",I1673="EI",I1673="EO",I1673="EQ"),0,""),LEN(X1673)-LEN(SUBSTITUTE(SUBSTITUTE(SUBSTITUTE(SUBSTITUTE(SUBSTITUTE(X1673,"|}","--"),"{|","--"),CHAR(10),""),"、",""),"|",""))+IF(AND(OR(I1673="EI",I1673="EO",I1673="EQ"),$AD$1="NESMA"),2,1)))</f>
        <v/>
      </c>
      <c r="O1673" s="84">
        <f>IF(I1673="EI",IF(OR(X1673="估算法",X1673="算法类"),"中",IF(X1673="无法识别","低",IF(L1673&lt;2,IF(N1673&lt;16,"低","中"),IF(L1673&lt;3,IF(N1673&lt;5,"低",IF(N1673&lt;16,"中","高")),IF(N1673&lt;5,"中","高"))))),IF(OR(I1673="EO",I1673="EQ"),IF(OR(X1673="估算法",X1673="算法类"),"中",IF(X1673="无法识别","低",IF(L1673&lt;2,IF(N1673&lt;20,"低","中"),IF(L1673&lt;4,IF(N1673&lt;6,"低",IF(N1673&lt;20,"中","高")),IF(N1673&lt;6,"中","高"))))),IF(OR(I1673="ILF",I1673="EIF"),IF(OR(X1673="估算法",X1673="算法类",X1673="无法识别"),"低",IF(M1673&lt;2,IF(N1673&lt;51,"低","中"),IF(M1673&lt;6,IF(N1673&lt;20,"低",IF(N1673&lt;51,"中","高")),IF(N1673&lt;20,"中","高")))),"不计算")))</f>
        <v/>
      </c>
      <c r="P1673" s="142">
        <f>IFERROR(IF(I1673="EI",IF(O1673="低",3,IF(O1673="中",4,6)),IF(I1673="EO",IF(O1673="低",4,IF(O1673="中",5,7)),IF(I1673="EQ",IF(O1673="低",3,IF(O1673="中",4,6)),IF(I1673="ILF",IF(O1673="低",7,IF(O1673="中",10,15)),IF(I1673="EIF",IF(O1673="低",5,IF(O1673="中",7,10)),"不计算")))))*Q1673,"不计算")</f>
        <v/>
      </c>
      <c r="Q1673" s="142" t="n">
        <v>1</v>
      </c>
      <c r="R1673" s="143">
        <f>调整因子!$F$13</f>
        <v/>
      </c>
      <c r="S1673" s="70" t="n">
        <v>1</v>
      </c>
      <c r="T1673" s="144">
        <f>IFERROR(P1673*R1673,0)</f>
        <v/>
      </c>
      <c r="U1673" s="145">
        <f>T1673*S1673</f>
        <v/>
      </c>
      <c r="V1673" s="96" t="inlineStr">
        <is>
          <t>指标权重表</t>
        </is>
      </c>
      <c r="W1673" s="96" t="inlineStr"/>
      <c r="X1673" s="111" t="inlineStr">
        <is>
          <t>指标权重表{ID、名称|ID、名称、类型}</t>
        </is>
      </c>
      <c r="Y1673" s="88" t="n"/>
      <c r="Z1673" s="88" t="n"/>
    </row>
    <row r="1674" hidden="1">
      <c r="A1674" s="69">
        <f>ROW()-1</f>
        <v/>
      </c>
      <c r="B1674" s="53" t="n"/>
      <c r="C1674" s="117" t="n">
        <v>2026</v>
      </c>
      <c r="E1674" s="53" t="n"/>
      <c r="F1674" s="54" t="n"/>
      <c r="G1674" s="54" t="n"/>
      <c r="H1674" s="96" t="inlineStr">
        <is>
          <t>查看密钥详情</t>
        </is>
      </c>
      <c r="I1674" s="76" t="inlineStr">
        <is>
          <t>EQ</t>
        </is>
      </c>
      <c r="J1674" s="95" t="n"/>
      <c r="K1674" s="95" t="n"/>
      <c r="L1674" s="83">
        <f>IF(OR(X1674="估算法",X1674="算法类",X1674="无法识别"),"",IF(V1674="",IF(OR(I1674="EI",I1674="EO",I1674="EQ"),0,""),LEN(V1674)-LEN(SUBSTITUTE(V1674,"、",""))+1))</f>
        <v/>
      </c>
      <c r="M1674" s="83">
        <f>IF(OR(X1674="估算法",X1674="算法类",X1674="无法识别"),"",IF(W1674="",IF(OR(I1674="ILF",I1674="EIF"),0,""),LEN(W1674)-LEN(SUBSTITUTE(W1674,"、",""))+1))</f>
        <v/>
      </c>
      <c r="N1674" s="83">
        <f>IF(OR(X1674="估算法",X1674="算法类",X1674="无法识别"),"",IF(X1674="",IF(OR(I1674="ILF",I1674="EIF",I1674="EI",I1674="EO",I1674="EQ"),0,""),LEN(X1674)-LEN(SUBSTITUTE(SUBSTITUTE(SUBSTITUTE(SUBSTITUTE(SUBSTITUTE(X1674,"|}","--"),"{|","--"),CHAR(10),""),"、",""),"|",""))+IF(AND(OR(I1674="EI",I1674="EO",I1674="EQ"),$AD$1="NESMA"),2,1)))</f>
        <v/>
      </c>
      <c r="O1674" s="84">
        <f>IF(I1674="EI",IF(OR(X1674="估算法",X1674="算法类"),"中",IF(X1674="无法识别","低",IF(L1674&lt;2,IF(N1674&lt;16,"低","中"),IF(L1674&lt;3,IF(N1674&lt;5,"低",IF(N1674&lt;16,"中","高")),IF(N1674&lt;5,"中","高"))))),IF(OR(I1674="EO",I1674="EQ"),IF(OR(X1674="估算法",X1674="算法类"),"中",IF(X1674="无法识别","低",IF(L1674&lt;2,IF(N1674&lt;20,"低","中"),IF(L1674&lt;4,IF(N1674&lt;6,"低",IF(N1674&lt;20,"中","高")),IF(N1674&lt;6,"中","高"))))),IF(OR(I1674="ILF",I1674="EIF"),IF(OR(X1674="估算法",X1674="算法类",X1674="无法识别"),"低",IF(M1674&lt;2,IF(N1674&lt;51,"低","中"),IF(M1674&lt;6,IF(N1674&lt;20,"低",IF(N1674&lt;51,"中","高")),IF(N1674&lt;20,"中","高")))),"不计算")))</f>
        <v/>
      </c>
      <c r="P1674" s="142">
        <f>IFERROR(IF(I1674="EI",IF(O1674="低",3,IF(O1674="中",4,6)),IF(I1674="EO",IF(O1674="低",4,IF(O1674="中",5,7)),IF(I1674="EQ",IF(O1674="低",3,IF(O1674="中",4,6)),IF(I1674="ILF",IF(O1674="低",7,IF(O1674="中",10,15)),IF(I1674="EIF",IF(O1674="低",5,IF(O1674="中",7,10)),"不计算")))))*Q1674,"不计算")</f>
        <v/>
      </c>
      <c r="Q1674" s="142" t="n">
        <v>1</v>
      </c>
      <c r="R1674" s="143">
        <f>调整因子!$F$13</f>
        <v/>
      </c>
      <c r="S1674" s="76" t="n">
        <v>1</v>
      </c>
      <c r="T1674" s="144">
        <f>IFERROR(P1674*R1674,0)</f>
        <v/>
      </c>
      <c r="U1674" s="145">
        <f>T1674*S1674</f>
        <v/>
      </c>
      <c r="V1674" s="96" t="inlineStr">
        <is>
          <t>模板参数配置表</t>
        </is>
      </c>
      <c r="W1674" s="96" t="inlineStr"/>
      <c r="X1674" s="111" t="inlineStr">
        <is>
          <t>模板参数配置表{配置ID、配置名称|配置ID、配置名称、配置类型}</t>
        </is>
      </c>
      <c r="Y1674" s="88" t="n"/>
      <c r="Z1674" s="88" t="n"/>
    </row>
    <row r="1675" hidden="1" ht="21.6" customHeight="1">
      <c r="A1675" s="69">
        <f>ROW()-1</f>
        <v/>
      </c>
      <c r="B1675" s="53" t="n"/>
      <c r="C1675" s="117" t="n">
        <v>2026</v>
      </c>
      <c r="E1675" s="53" t="n"/>
      <c r="F1675" s="111" t="inlineStr">
        <is>
          <t>日志账号口令加密留存</t>
        </is>
      </c>
      <c r="G1675" s="111" t="inlineStr">
        <is>
          <t>日志加密配置管理</t>
        </is>
      </c>
      <c r="H1675" s="96" t="inlineStr">
        <is>
          <t>日志加密配置表</t>
        </is>
      </c>
      <c r="I1675" s="76" t="n"/>
      <c r="J1675" s="95" t="n"/>
      <c r="K1675" s="95" t="inlineStr">
        <is>
          <t>非ILF - 日志表</t>
        </is>
      </c>
      <c r="L1675" s="83">
        <f>IF(OR(X1675="估算法",X1675="算法类",X1675="无法识别"),"",IF(V1675="",IF(OR(I1675="EI",I1675="EO",I1675="EQ"),0,""),LEN(V1675)-LEN(SUBSTITUTE(V1675,"、",""))+1))</f>
        <v/>
      </c>
      <c r="M1675" s="83">
        <f>IF(OR(X1675="估算法",X1675="算法类",X1675="无法识别"),"",IF(W1675="",IF(OR(I1675="ILF",I1675="EIF"),0,""),LEN(W1675)-LEN(SUBSTITUTE(W1675,"、",""))+1))</f>
        <v/>
      </c>
      <c r="N1675" s="83">
        <f>IF(OR(X1675="估算法",X1675="算法类",X1675="无法识别"),"",IF(X1675="",IF(OR(I1675="ILF",I1675="EIF",I1675="EI",I1675="EO",I1675="EQ"),0,""),LEN(X1675)-LEN(SUBSTITUTE(SUBSTITUTE(SUBSTITUTE(SUBSTITUTE(SUBSTITUTE(X1675,"|}","--"),"{|","--"),CHAR(10),""),"、",""),"|",""))+IF(AND(OR(I1675="EI",I1675="EO",I1675="EQ"),$AD$1="NESMA"),2,1)))</f>
        <v/>
      </c>
      <c r="O1675" s="84">
        <f>IF(I1675="EI",IF(OR(X1675="估算法",X1675="算法类"),"中",IF(X1675="无法识别","低",IF(L1675&lt;2,IF(N1675&lt;16,"低","中"),IF(L1675&lt;3,IF(N1675&lt;5,"低",IF(N1675&lt;16,"中","高")),IF(N1675&lt;5,"中","高"))))),IF(OR(I1675="EO",I1675="EQ"),IF(OR(X1675="估算法",X1675="算法类"),"中",IF(X1675="无法识别","低",IF(L1675&lt;2,IF(N1675&lt;20,"低","中"),IF(L1675&lt;4,IF(N1675&lt;6,"低",IF(N1675&lt;20,"中","高")),IF(N1675&lt;6,"中","高"))))),IF(OR(I1675="ILF",I1675="EIF"),IF(OR(X1675="估算法",X1675="算法类",X1675="无法识别"),"低",IF(M1675&lt;2,IF(N1675&lt;51,"低","中"),IF(M1675&lt;6,IF(N1675&lt;20,"低",IF(N1675&lt;51,"中","高")),IF(N1675&lt;20,"中","高")))),"不计算")))</f>
        <v/>
      </c>
      <c r="P1675" s="142">
        <f>IFERROR(IF(I1675="EI",IF(O1675="低",3,IF(O1675="中",4,6)),IF(I1675="EO",IF(O1675="低",4,IF(O1675="中",5,7)),IF(I1675="EQ",IF(O1675="低",3,IF(O1675="中",4,6)),IF(I1675="ILF",IF(O1675="低",7,IF(O1675="中",10,15)),IF(I1675="EIF",IF(O1675="低",5,IF(O1675="中",7,10)),"不计算")))))*Q1675,"不计算")</f>
        <v/>
      </c>
      <c r="Q1675" s="142" t="n">
        <v>1</v>
      </c>
      <c r="R1675" s="143">
        <f>调整因子!$F$13</f>
        <v/>
      </c>
      <c r="S1675" s="70" t="n">
        <v>1</v>
      </c>
      <c r="T1675" s="144">
        <f>IFERROR(P1675*R1675,0)</f>
        <v/>
      </c>
      <c r="U1675" s="145">
        <f>T1675*S1675</f>
        <v/>
      </c>
      <c r="V1675" s="96" t="inlineStr"/>
      <c r="W1675" s="96" t="inlineStr">
        <is>
          <t>配置项</t>
        </is>
      </c>
      <c r="X1675" s="111" t="inlineStr">
        <is>
          <t>日志加密配置表{配置ID、配置名称、配置类型|配置ID、配置名称、配置类型、配置值、创建时间}</t>
        </is>
      </c>
      <c r="Y1675" s="88">
        <f>IF(COUNTIFS(V:V,"*"&amp;H1675&amp;"*")&gt;0,"存在","不存在")</f>
        <v/>
      </c>
      <c r="Z1675" s="88">
        <f>IF(COUNTIFS(AA:AA,"*"&amp;H1675&amp;"*")&gt;0,"存在","不存在")</f>
        <v/>
      </c>
    </row>
    <row r="1676" hidden="1" ht="21.6" customHeight="1">
      <c r="A1676" s="69">
        <f>ROW()-1</f>
        <v/>
      </c>
      <c r="B1676" s="53" t="n"/>
      <c r="C1676" s="117" t="n">
        <v>2026</v>
      </c>
      <c r="E1676" s="53" t="n"/>
      <c r="F1676" s="53" t="n"/>
      <c r="G1676" s="53" t="n"/>
      <c r="H1676" s="96" t="inlineStr">
        <is>
          <t>加密规则表</t>
        </is>
      </c>
      <c r="I1676" s="76" t="inlineStr">
        <is>
          <t>ILF</t>
        </is>
      </c>
      <c r="J1676" s="95" t="n"/>
      <c r="K1676" s="95" t="n"/>
      <c r="L1676" s="83">
        <f>IF(OR(X1676="估算法",X1676="算法类",X1676="无法识别"),"",IF(V1676="",IF(OR(I1676="EI",I1676="EO",I1676="EQ"),0,""),LEN(V1676)-LEN(SUBSTITUTE(V1676,"、",""))+1))</f>
        <v/>
      </c>
      <c r="M1676" s="83">
        <f>IF(OR(X1676="估算法",X1676="算法类",X1676="无法识别"),"",IF(W1676="",IF(OR(I1676="ILF",I1676="EIF"),0,""),LEN(W1676)-LEN(SUBSTITUTE(W1676,"、",""))+1))</f>
        <v/>
      </c>
      <c r="N1676" s="83">
        <f>IF(OR(X1676="估算法",X1676="算法类",X1676="无法识别"),"",IF(X1676="",IF(OR(I1676="ILF",I1676="EIF",I1676="EI",I1676="EO",I1676="EQ"),0,""),LEN(X1676)-LEN(SUBSTITUTE(SUBSTITUTE(SUBSTITUTE(SUBSTITUTE(SUBSTITUTE(X1676,"|}","--"),"{|","--"),CHAR(10),""),"、",""),"|",""))+IF(AND(OR(I1676="EI",I1676="EO",I1676="EQ"),$AD$1="NESMA"),2,1)))</f>
        <v/>
      </c>
      <c r="O1676" s="84">
        <f>IF(I1676="EI",IF(OR(X1676="估算法",X1676="算法类"),"中",IF(X1676="无法识别","低",IF(L1676&lt;2,IF(N1676&lt;16,"低","中"),IF(L1676&lt;3,IF(N1676&lt;5,"低",IF(N1676&lt;16,"中","高")),IF(N1676&lt;5,"中","高"))))),IF(OR(I1676="EO",I1676="EQ"),IF(OR(X1676="估算法",X1676="算法类"),"中",IF(X1676="无法识别","低",IF(L1676&lt;2,IF(N1676&lt;20,"低","中"),IF(L1676&lt;4,IF(N1676&lt;6,"低",IF(N1676&lt;20,"中","高")),IF(N1676&lt;6,"中","高"))))),IF(OR(I1676="ILF",I1676="EIF"),IF(OR(X1676="估算法",X1676="算法类",X1676="无法识别"),"低",IF(M1676&lt;2,IF(N1676&lt;51,"低","中"),IF(M1676&lt;6,IF(N1676&lt;20,"低",IF(N1676&lt;51,"中","高")),IF(N1676&lt;20,"中","高")))),"不计算")))</f>
        <v/>
      </c>
      <c r="P1676" s="142">
        <f>IFERROR(IF(I1676="EI",IF(O1676="低",3,IF(O1676="中",4,6)),IF(I1676="EO",IF(O1676="低",4,IF(O1676="中",5,7)),IF(I1676="EQ",IF(O1676="低",3,IF(O1676="中",4,6)),IF(I1676="ILF",IF(O1676="低",7,IF(O1676="中",10,15)),IF(I1676="EIF",IF(O1676="低",5,IF(O1676="中",7,10)),"不计算")))))*Q1676,"不计算")</f>
        <v/>
      </c>
      <c r="Q1676" s="142" t="n">
        <v>1</v>
      </c>
      <c r="R1676" s="143">
        <f>调整因子!$F$13</f>
        <v/>
      </c>
      <c r="S1676" s="70" t="n">
        <v>1</v>
      </c>
      <c r="T1676" s="144">
        <f>IFERROR(P1676*R1676,0)</f>
        <v/>
      </c>
      <c r="U1676" s="145">
        <f>T1676*S1676</f>
        <v/>
      </c>
      <c r="V1676" s="96" t="inlineStr"/>
      <c r="W1676" s="96" t="inlineStr">
        <is>
          <t>数据记录</t>
        </is>
      </c>
      <c r="X1676" s="111" t="inlineStr">
        <is>
          <t>加密规则表{规则ID、规则名称、规则类型|规则ID、规则名称、规则类型、规则条件、创建时间}</t>
        </is>
      </c>
      <c r="Y1676" s="88">
        <f>IF(COUNTIFS(V:V,"*"&amp;H1676&amp;"*")&gt;0,"存在","不存在")</f>
        <v/>
      </c>
      <c r="Z1676" s="88">
        <f>IF(COUNTIFS(AA:AA,"*"&amp;H1676&amp;"*")&gt;0,"存在","不存在")</f>
        <v/>
      </c>
    </row>
    <row r="1677" hidden="1" ht="21.6" customHeight="1">
      <c r="A1677" s="69">
        <f>ROW()-1</f>
        <v/>
      </c>
      <c r="B1677" s="53" t="n"/>
      <c r="C1677" s="117" t="n">
        <v>2026</v>
      </c>
      <c r="E1677" s="53" t="n"/>
      <c r="F1677" s="53" t="n"/>
      <c r="G1677" s="53" t="n"/>
      <c r="H1677" s="96" t="inlineStr">
        <is>
          <t>配置日志加密</t>
        </is>
      </c>
      <c r="I1677" s="76" t="inlineStr">
        <is>
          <t>EI</t>
        </is>
      </c>
      <c r="J1677" s="95" t="n"/>
      <c r="K1677" s="95" t="n"/>
      <c r="L1677" s="83">
        <f>IF(OR(X1677="估算法",X1677="算法类",X1677="无法识别"),"",IF(V1677="",IF(OR(I1677="EI",I1677="EO",I1677="EQ"),0,""),LEN(V1677)-LEN(SUBSTITUTE(V1677,"、",""))+1))</f>
        <v/>
      </c>
      <c r="M1677" s="83">
        <f>IF(OR(X1677="估算法",X1677="算法类",X1677="无法识别"),"",IF(W1677="",IF(OR(I1677="ILF",I1677="EIF"),0,""),LEN(W1677)-LEN(SUBSTITUTE(W1677,"、",""))+1))</f>
        <v/>
      </c>
      <c r="N1677" s="83">
        <f>IF(OR(X1677="估算法",X1677="算法类",X1677="无法识别"),"",IF(X1677="",IF(OR(I1677="ILF",I1677="EIF",I1677="EI",I1677="EO",I1677="EQ"),0,""),LEN(X1677)-LEN(SUBSTITUTE(SUBSTITUTE(SUBSTITUTE(SUBSTITUTE(SUBSTITUTE(X1677,"|}","--"),"{|","--"),CHAR(10),""),"、",""),"|",""))+IF(AND(OR(I1677="EI",I1677="EO",I1677="EQ"),$AD$1="NESMA"),2,1)))</f>
        <v/>
      </c>
      <c r="O1677" s="84">
        <f>IF(I1677="EI",IF(OR(X1677="估算法",X1677="算法类"),"中",IF(X1677="无法识别","低",IF(L1677&lt;2,IF(N1677&lt;16,"低","中"),IF(L1677&lt;3,IF(N1677&lt;5,"低",IF(N1677&lt;16,"中","高")),IF(N1677&lt;5,"中","高"))))),IF(OR(I1677="EO",I1677="EQ"),IF(OR(X1677="估算法",X1677="算法类"),"中",IF(X1677="无法识别","低",IF(L1677&lt;2,IF(N1677&lt;20,"低","中"),IF(L1677&lt;4,IF(N1677&lt;6,"低",IF(N1677&lt;20,"中","高")),IF(N1677&lt;6,"中","高"))))),IF(OR(I1677="ILF",I1677="EIF"),IF(OR(X1677="估算法",X1677="算法类",X1677="无法识别"),"低",IF(M1677&lt;2,IF(N1677&lt;51,"低","中"),IF(M1677&lt;6,IF(N1677&lt;20,"低",IF(N1677&lt;51,"中","高")),IF(N1677&lt;20,"中","高")))),"不计算")))</f>
        <v/>
      </c>
      <c r="P1677" s="142">
        <f>IFERROR(IF(I1677="EI",IF(O1677="低",3,IF(O1677="中",4,6)),IF(I1677="EO",IF(O1677="低",4,IF(O1677="中",5,7)),IF(I1677="EQ",IF(O1677="低",3,IF(O1677="中",4,6)),IF(I1677="ILF",IF(O1677="低",7,IF(O1677="中",10,15)),IF(I1677="EIF",IF(O1677="低",5,IF(O1677="中",7,10)),"不计算")))))*Q1677,"不计算")</f>
        <v/>
      </c>
      <c r="Q1677" s="142" t="n">
        <v>1</v>
      </c>
      <c r="R1677" s="143">
        <f>调整因子!$F$13</f>
        <v/>
      </c>
      <c r="S1677" s="76" t="n">
        <v>1</v>
      </c>
      <c r="T1677" s="144">
        <f>IFERROR(P1677*R1677,0)</f>
        <v/>
      </c>
      <c r="U1677" s="145">
        <f>T1677*S1677</f>
        <v/>
      </c>
      <c r="V1677" s="96" t="inlineStr">
        <is>
          <t>任务日志表</t>
        </is>
      </c>
      <c r="W1677" s="96" t="inlineStr"/>
      <c r="X1677" s="111" t="inlineStr">
        <is>
          <t>任务日志表{任务ID、任务名称、任务类型、任务状态、创建时间、执行时间|任务ID、任务名称、任务类型}</t>
        </is>
      </c>
      <c r="Y1677" s="88" t="n"/>
      <c r="Z1677" s="88" t="n"/>
    </row>
    <row r="1678" hidden="1" ht="21.6" customHeight="1">
      <c r="A1678" s="69">
        <f>ROW()-1</f>
        <v/>
      </c>
      <c r="B1678" s="53" t="n"/>
      <c r="C1678" s="117" t="n">
        <v>2026</v>
      </c>
      <c r="E1678" s="53" t="n"/>
      <c r="F1678" s="53" t="n"/>
      <c r="G1678" s="53" t="n"/>
      <c r="H1678" s="96" t="inlineStr">
        <is>
          <t>编辑日志加密</t>
        </is>
      </c>
      <c r="I1678" s="76" t="inlineStr">
        <is>
          <t>EI</t>
        </is>
      </c>
      <c r="J1678" s="95" t="n"/>
      <c r="K1678" s="95" t="n"/>
      <c r="L1678" s="83">
        <f>IF(OR(X1678="估算法",X1678="算法类",X1678="无法识别"),"",IF(V1678="",IF(OR(I1678="EI",I1678="EO",I1678="EQ"),0,""),LEN(V1678)-LEN(SUBSTITUTE(V1678,"、",""))+1))</f>
        <v/>
      </c>
      <c r="M1678" s="83">
        <f>IF(OR(X1678="估算法",X1678="算法类",X1678="无法识别"),"",IF(W1678="",IF(OR(I1678="ILF",I1678="EIF"),0,""),LEN(W1678)-LEN(SUBSTITUTE(W1678,"、",""))+1))</f>
        <v/>
      </c>
      <c r="N1678" s="83">
        <f>IF(OR(X1678="估算法",X1678="算法类",X1678="无法识别"),"",IF(X1678="",IF(OR(I1678="ILF",I1678="EIF",I1678="EI",I1678="EO",I1678="EQ"),0,""),LEN(X1678)-LEN(SUBSTITUTE(SUBSTITUTE(SUBSTITUTE(SUBSTITUTE(SUBSTITUTE(X1678,"|}","--"),"{|","--"),CHAR(10),""),"、",""),"|",""))+IF(AND(OR(I1678="EI",I1678="EO",I1678="EQ"),$AD$1="NESMA"),2,1)))</f>
        <v/>
      </c>
      <c r="O1678" s="84">
        <f>IF(I1678="EI",IF(OR(X1678="估算法",X1678="算法类"),"中",IF(X1678="无法识别","低",IF(L1678&lt;2,IF(N1678&lt;16,"低","中"),IF(L1678&lt;3,IF(N1678&lt;5,"低",IF(N1678&lt;16,"中","高")),IF(N1678&lt;5,"中","高"))))),IF(OR(I1678="EO",I1678="EQ"),IF(OR(X1678="估算法",X1678="算法类"),"中",IF(X1678="无法识别","低",IF(L1678&lt;2,IF(N1678&lt;20,"低","中"),IF(L1678&lt;4,IF(N1678&lt;6,"低",IF(N1678&lt;20,"中","高")),IF(N1678&lt;6,"中","高"))))),IF(OR(I1678="ILF",I1678="EIF"),IF(OR(X1678="估算法",X1678="算法类",X1678="无法识别"),"低",IF(M1678&lt;2,IF(N1678&lt;51,"低","中"),IF(M1678&lt;6,IF(N1678&lt;20,"低",IF(N1678&lt;51,"中","高")),IF(N1678&lt;20,"中","高")))),"不计算")))</f>
        <v/>
      </c>
      <c r="P1678" s="142">
        <f>IFERROR(IF(I1678="EI",IF(O1678="低",3,IF(O1678="中",4,6)),IF(I1678="EO",IF(O1678="低",4,IF(O1678="中",5,7)),IF(I1678="EQ",IF(O1678="低",3,IF(O1678="中",4,6)),IF(I1678="ILF",IF(O1678="低",7,IF(O1678="中",10,15)),IF(I1678="EIF",IF(O1678="低",5,IF(O1678="中",7,10)),"不计算")))))*Q1678,"不计算")</f>
        <v/>
      </c>
      <c r="Q1678" s="142" t="n">
        <v>1</v>
      </c>
      <c r="R1678" s="143">
        <f>调整因子!$F$13</f>
        <v/>
      </c>
      <c r="S1678" s="76" t="n">
        <v>1</v>
      </c>
      <c r="T1678" s="144">
        <f>IFERROR(P1678*R1678,0)</f>
        <v/>
      </c>
      <c r="U1678" s="145">
        <f>T1678*S1678</f>
        <v/>
      </c>
      <c r="V1678" s="96" t="inlineStr">
        <is>
          <t>任务日志表</t>
        </is>
      </c>
      <c r="W1678" s="96" t="inlineStr"/>
      <c r="X1678" s="111" t="inlineStr">
        <is>
          <t>任务日志表{任务ID、任务名称、任务类型、任务状态、创建时间、执行时间|任务ID、任务名称、任务类型}</t>
        </is>
      </c>
      <c r="Y1678" s="88" t="n"/>
      <c r="Z1678" s="88" t="n"/>
    </row>
    <row r="1679" hidden="1" ht="21.6" customHeight="1">
      <c r="A1679" s="69">
        <f>ROW()-1</f>
        <v/>
      </c>
      <c r="B1679" s="53" t="n"/>
      <c r="C1679" s="117" t="n">
        <v>2026</v>
      </c>
      <c r="E1679" s="53" t="n"/>
      <c r="F1679" s="53" t="n"/>
      <c r="G1679" s="53" t="n"/>
      <c r="H1679" s="96" t="inlineStr">
        <is>
          <t>删除日志加密</t>
        </is>
      </c>
      <c r="I1679" s="76" t="inlineStr">
        <is>
          <t>EI</t>
        </is>
      </c>
      <c r="J1679" s="95" t="n"/>
      <c r="K1679" s="95" t="n"/>
      <c r="L1679" s="83">
        <f>IF(OR(X1679="估算法",X1679="算法类",X1679="无法识别"),"",IF(V1679="",IF(OR(I1679="EI",I1679="EO",I1679="EQ"),0,""),LEN(V1679)-LEN(SUBSTITUTE(V1679,"、",""))+1))</f>
        <v/>
      </c>
      <c r="M1679" s="83">
        <f>IF(OR(X1679="估算法",X1679="算法类",X1679="无法识别"),"",IF(W1679="",IF(OR(I1679="ILF",I1679="EIF"),0,""),LEN(W1679)-LEN(SUBSTITUTE(W1679,"、",""))+1))</f>
        <v/>
      </c>
      <c r="N1679" s="83">
        <f>IF(OR(X1679="估算法",X1679="算法类",X1679="无法识别"),"",IF(X1679="",IF(OR(I1679="ILF",I1679="EIF",I1679="EI",I1679="EO",I1679="EQ"),0,""),LEN(X1679)-LEN(SUBSTITUTE(SUBSTITUTE(SUBSTITUTE(SUBSTITUTE(SUBSTITUTE(X1679,"|}","--"),"{|","--"),CHAR(10),""),"、",""),"|",""))+IF(AND(OR(I1679="EI",I1679="EO",I1679="EQ"),$AD$1="NESMA"),2,1)))</f>
        <v/>
      </c>
      <c r="O1679" s="84">
        <f>IF(I1679="EI",IF(OR(X1679="估算法",X1679="算法类"),"中",IF(X1679="无法识别","低",IF(L1679&lt;2,IF(N1679&lt;16,"低","中"),IF(L1679&lt;3,IF(N1679&lt;5,"低",IF(N1679&lt;16,"中","高")),IF(N1679&lt;5,"中","高"))))),IF(OR(I1679="EO",I1679="EQ"),IF(OR(X1679="估算法",X1679="算法类"),"中",IF(X1679="无法识别","低",IF(L1679&lt;2,IF(N1679&lt;20,"低","中"),IF(L1679&lt;4,IF(N1679&lt;6,"低",IF(N1679&lt;20,"中","高")),IF(N1679&lt;6,"中","高"))))),IF(OR(I1679="ILF",I1679="EIF"),IF(OR(X1679="估算法",X1679="算法类",X1679="无法识别"),"低",IF(M1679&lt;2,IF(N1679&lt;51,"低","中"),IF(M1679&lt;6,IF(N1679&lt;20,"低",IF(N1679&lt;51,"中","高")),IF(N1679&lt;20,"中","高")))),"不计算")))</f>
        <v/>
      </c>
      <c r="P1679" s="142">
        <f>IFERROR(IF(I1679="EI",IF(O1679="低",3,IF(O1679="中",4,6)),IF(I1679="EO",IF(O1679="低",4,IF(O1679="中",5,7)),IF(I1679="EQ",IF(O1679="低",3,IF(O1679="中",4,6)),IF(I1679="ILF",IF(O1679="低",7,IF(O1679="中",10,15)),IF(I1679="EIF",IF(O1679="低",5,IF(O1679="中",7,10)),"不计算")))))*Q1679,"不计算")</f>
        <v/>
      </c>
      <c r="Q1679" s="142" t="n">
        <v>0.333333333333333</v>
      </c>
      <c r="R1679" s="143">
        <f>调整因子!$F$13</f>
        <v/>
      </c>
      <c r="S1679" s="70" t="n">
        <v>1</v>
      </c>
      <c r="T1679" s="144">
        <f>IFERROR(P1679*R1679,0)</f>
        <v/>
      </c>
      <c r="U1679" s="145">
        <f>T1679*S1679</f>
        <v/>
      </c>
      <c r="V1679" s="96" t="inlineStr">
        <is>
          <t>任务日志表</t>
        </is>
      </c>
      <c r="W1679" s="96" t="inlineStr"/>
      <c r="X1679" s="111" t="inlineStr">
        <is>
          <t>任务日志表{任务ID、任务名称、任务类型、任务状态、创建时间、执行时间|任务ID、任务名称、任务类型}</t>
        </is>
      </c>
      <c r="Y1679" s="88" t="n"/>
      <c r="Z1679" s="88" t="n"/>
    </row>
    <row r="1680" hidden="1" ht="21.6" customHeight="1">
      <c r="A1680" s="69">
        <f>ROW()-1</f>
        <v/>
      </c>
      <c r="B1680" s="53" t="n"/>
      <c r="C1680" s="117" t="n">
        <v>2026</v>
      </c>
      <c r="E1680" s="53" t="n"/>
      <c r="F1680" s="53" t="n"/>
      <c r="G1680" s="53" t="n"/>
      <c r="H1680" s="96" t="inlineStr">
        <is>
          <t>启用日志加密</t>
        </is>
      </c>
      <c r="I1680" s="76" t="inlineStr">
        <is>
          <t>EI</t>
        </is>
      </c>
      <c r="J1680" s="95" t="n"/>
      <c r="K1680" s="95" t="n"/>
      <c r="L1680" s="83">
        <f>IF(OR(X1680="估算法",X1680="算法类",X1680="无法识别"),"",IF(V1680="",IF(OR(I1680="EI",I1680="EO",I1680="EQ"),0,""),LEN(V1680)-LEN(SUBSTITUTE(V1680,"、",""))+1))</f>
        <v/>
      </c>
      <c r="M1680" s="83">
        <f>IF(OR(X1680="估算法",X1680="算法类",X1680="无法识别"),"",IF(W1680="",IF(OR(I1680="ILF",I1680="EIF"),0,""),LEN(W1680)-LEN(SUBSTITUTE(W1680,"、",""))+1))</f>
        <v/>
      </c>
      <c r="N1680" s="83">
        <f>IF(OR(X1680="估算法",X1680="算法类",X1680="无法识别"),"",IF(X1680="",IF(OR(I1680="ILF",I1680="EIF",I1680="EI",I1680="EO",I1680="EQ"),0,""),LEN(X1680)-LEN(SUBSTITUTE(SUBSTITUTE(SUBSTITUTE(SUBSTITUTE(SUBSTITUTE(X1680,"|}","--"),"{|","--"),CHAR(10),""),"、",""),"|",""))+IF(AND(OR(I1680="EI",I1680="EO",I1680="EQ"),$AD$1="NESMA"),2,1)))</f>
        <v/>
      </c>
      <c r="O1680" s="84">
        <f>IF(I1680="EI",IF(OR(X1680="估算法",X1680="算法类"),"中",IF(X1680="无法识别","低",IF(L1680&lt;2,IF(N1680&lt;16,"低","中"),IF(L1680&lt;3,IF(N1680&lt;5,"低",IF(N1680&lt;16,"中","高")),IF(N1680&lt;5,"中","高"))))),IF(OR(I1680="EO",I1680="EQ"),IF(OR(X1680="估算法",X1680="算法类"),"中",IF(X1680="无法识别","低",IF(L1680&lt;2,IF(N1680&lt;20,"低","中"),IF(L1680&lt;4,IF(N1680&lt;6,"低",IF(N1680&lt;20,"中","高")),IF(N1680&lt;6,"中","高"))))),IF(OR(I1680="ILF",I1680="EIF"),IF(OR(X1680="估算法",X1680="算法类",X1680="无法识别"),"低",IF(M1680&lt;2,IF(N1680&lt;51,"低","中"),IF(M1680&lt;6,IF(N1680&lt;20,"低",IF(N1680&lt;51,"中","高")),IF(N1680&lt;20,"中","高")))),"不计算")))</f>
        <v/>
      </c>
      <c r="P1680" s="142">
        <f>IFERROR(IF(I1680="EI",IF(O1680="低",3,IF(O1680="中",4,6)),IF(I1680="EO",IF(O1680="低",4,IF(O1680="中",5,7)),IF(I1680="EQ",IF(O1680="低",3,IF(O1680="中",4,6)),IF(I1680="ILF",IF(O1680="低",7,IF(O1680="中",10,15)),IF(I1680="EIF",IF(O1680="低",5,IF(O1680="中",7,10)),"不计算")))))*Q1680,"不计算")</f>
        <v/>
      </c>
      <c r="Q1680" s="142" t="n">
        <v>1</v>
      </c>
      <c r="R1680" s="143">
        <f>调整因子!$F$13</f>
        <v/>
      </c>
      <c r="S1680" s="70" t="n">
        <v>1</v>
      </c>
      <c r="T1680" s="144">
        <f>IFERROR(P1680*R1680,0)</f>
        <v/>
      </c>
      <c r="U1680" s="145">
        <f>T1680*S1680</f>
        <v/>
      </c>
      <c r="V1680" s="96" t="inlineStr">
        <is>
          <t>任务日志表</t>
        </is>
      </c>
      <c r="W1680" s="96" t="inlineStr"/>
      <c r="X1680" s="111" t="inlineStr">
        <is>
          <t>任务日志表{任务ID、任务名称、任务类型、任务状态、创建时间、执行时间|任务ID、任务名称、任务类型}</t>
        </is>
      </c>
      <c r="Y1680" s="88" t="n"/>
      <c r="Z1680" s="88" t="n"/>
    </row>
    <row r="1681" hidden="1" ht="21.6" customHeight="1">
      <c r="A1681" s="69">
        <f>ROW()-1</f>
        <v/>
      </c>
      <c r="B1681" s="53" t="n"/>
      <c r="C1681" s="117" t="n">
        <v>2026</v>
      </c>
      <c r="E1681" s="53" t="n"/>
      <c r="F1681" s="53" t="n"/>
      <c r="G1681" s="53" t="n"/>
      <c r="H1681" s="96" t="inlineStr">
        <is>
          <t>停用日志加密</t>
        </is>
      </c>
      <c r="I1681" s="76" t="n"/>
      <c r="J1681" s="95" t="n"/>
      <c r="K1681" s="95" t="inlineStr">
        <is>
          <t>和上行合并，启停为相同功能</t>
        </is>
      </c>
      <c r="L1681" s="83">
        <f>IF(OR(X1681="估算法",X1681="算法类",X1681="无法识别"),"",IF(V1681="",IF(OR(I1681="EI",I1681="EO",I1681="EQ"),0,""),LEN(V1681)-LEN(SUBSTITUTE(V1681,"、",""))+1))</f>
        <v/>
      </c>
      <c r="M1681" s="83">
        <f>IF(OR(X1681="估算法",X1681="算法类",X1681="无法识别"),"",IF(W1681="",IF(OR(I1681="ILF",I1681="EIF"),0,""),LEN(W1681)-LEN(SUBSTITUTE(W1681,"、",""))+1))</f>
        <v/>
      </c>
      <c r="N1681" s="83">
        <f>IF(OR(X1681="估算法",X1681="算法类",X1681="无法识别"),"",IF(X1681="",IF(OR(I1681="ILF",I1681="EIF",I1681="EI",I1681="EO",I1681="EQ"),0,""),LEN(X1681)-LEN(SUBSTITUTE(SUBSTITUTE(SUBSTITUTE(SUBSTITUTE(SUBSTITUTE(X1681,"|}","--"),"{|","--"),CHAR(10),""),"、",""),"|",""))+IF(AND(OR(I1681="EI",I1681="EO",I1681="EQ"),$AD$1="NESMA"),2,1)))</f>
        <v/>
      </c>
      <c r="O1681" s="84">
        <f>IF(I1681="EI",IF(OR(X1681="估算法",X1681="算法类"),"中",IF(X1681="无法识别","低",IF(L1681&lt;2,IF(N1681&lt;16,"低","中"),IF(L1681&lt;3,IF(N1681&lt;5,"低",IF(N1681&lt;16,"中","高")),IF(N1681&lt;5,"中","高"))))),IF(OR(I1681="EO",I1681="EQ"),IF(OR(X1681="估算法",X1681="算法类"),"中",IF(X1681="无法识别","低",IF(L1681&lt;2,IF(N1681&lt;20,"低","中"),IF(L1681&lt;4,IF(N1681&lt;6,"低",IF(N1681&lt;20,"中","高")),IF(N1681&lt;6,"中","高"))))),IF(OR(I1681="ILF",I1681="EIF"),IF(OR(X1681="估算法",X1681="算法类",X1681="无法识别"),"低",IF(M1681&lt;2,IF(N1681&lt;51,"低","中"),IF(M1681&lt;6,IF(N1681&lt;20,"低",IF(N1681&lt;51,"中","高")),IF(N1681&lt;20,"中","高")))),"不计算")))</f>
        <v/>
      </c>
      <c r="P1681" s="142">
        <f>IFERROR(IF(I1681="EI",IF(O1681="低",3,IF(O1681="中",4,6)),IF(I1681="EO",IF(O1681="低",4,IF(O1681="中",5,7)),IF(I1681="EQ",IF(O1681="低",3,IF(O1681="中",4,6)),IF(I1681="ILF",IF(O1681="低",7,IF(O1681="中",10,15)),IF(I1681="EIF",IF(O1681="低",5,IF(O1681="中",7,10)),"不计算")))))*Q1681,"不计算")</f>
        <v/>
      </c>
      <c r="Q1681" s="142" t="n">
        <v>1</v>
      </c>
      <c r="R1681" s="143">
        <f>调整因子!$F$13</f>
        <v/>
      </c>
      <c r="S1681" s="76" t="n">
        <v>1</v>
      </c>
      <c r="T1681" s="144">
        <f>IFERROR(P1681*R1681,0)</f>
        <v/>
      </c>
      <c r="U1681" s="145">
        <f>T1681*S1681</f>
        <v/>
      </c>
      <c r="V1681" s="96" t="inlineStr">
        <is>
          <t>任务日志表</t>
        </is>
      </c>
      <c r="W1681" s="96" t="inlineStr"/>
      <c r="X1681" s="111" t="inlineStr">
        <is>
          <t>任务日志表{任务ID、任务名称、任务类型、任务状态、创建时间、执行时间|任务ID、任务名称、任务类型}</t>
        </is>
      </c>
      <c r="Y1681" s="88" t="n"/>
      <c r="Z1681" s="88" t="n"/>
    </row>
    <row r="1682" hidden="1">
      <c r="A1682" s="69">
        <f>ROW()-1</f>
        <v/>
      </c>
      <c r="B1682" s="53" t="n"/>
      <c r="C1682" s="117" t="n">
        <v>2026</v>
      </c>
      <c r="E1682" s="53" t="n"/>
      <c r="F1682" s="53" t="n"/>
      <c r="G1682" s="53" t="n"/>
      <c r="H1682" s="96" t="inlineStr">
        <is>
          <t>导出加密配置</t>
        </is>
      </c>
      <c r="I1682" s="76" t="inlineStr">
        <is>
          <t>EO</t>
        </is>
      </c>
      <c r="J1682" s="95" t="n"/>
      <c r="K1682" s="95" t="n"/>
      <c r="L1682" s="83">
        <f>IF(OR(X1682="估算法",X1682="算法类",X1682="无法识别"),"",IF(V1682="",IF(OR(I1682="EI",I1682="EO",I1682="EQ"),0,""),LEN(V1682)-LEN(SUBSTITUTE(V1682,"、",""))+1))</f>
        <v/>
      </c>
      <c r="M1682" s="83">
        <f>IF(OR(X1682="估算法",X1682="算法类",X1682="无法识别"),"",IF(W1682="",IF(OR(I1682="ILF",I1682="EIF"),0,""),LEN(W1682)-LEN(SUBSTITUTE(W1682,"、",""))+1))</f>
        <v/>
      </c>
      <c r="N1682" s="83">
        <f>IF(OR(X1682="估算法",X1682="算法类",X1682="无法识别"),"",IF(X1682="",IF(OR(I1682="ILF",I1682="EIF",I1682="EI",I1682="EO",I1682="EQ"),0,""),LEN(X1682)-LEN(SUBSTITUTE(SUBSTITUTE(SUBSTITUTE(SUBSTITUTE(SUBSTITUTE(X1682,"|}","--"),"{|","--"),CHAR(10),""),"、",""),"|",""))+IF(AND(OR(I1682="EI",I1682="EO",I1682="EQ"),$AD$1="NESMA"),2,1)))</f>
        <v/>
      </c>
      <c r="O1682" s="84">
        <f>IF(I1682="EI",IF(OR(X1682="估算法",X1682="算法类"),"中",IF(X1682="无法识别","低",IF(L1682&lt;2,IF(N1682&lt;16,"低","中"),IF(L1682&lt;3,IF(N1682&lt;5,"低",IF(N1682&lt;16,"中","高")),IF(N1682&lt;5,"中","高"))))),IF(OR(I1682="EO",I1682="EQ"),IF(OR(X1682="估算法",X1682="算法类"),"中",IF(X1682="无法识别","低",IF(L1682&lt;2,IF(N1682&lt;20,"低","中"),IF(L1682&lt;4,IF(N1682&lt;6,"低",IF(N1682&lt;20,"中","高")),IF(N1682&lt;6,"中","高"))))),IF(OR(I1682="ILF",I1682="EIF"),IF(OR(X1682="估算法",X1682="算法类",X1682="无法识别"),"低",IF(M1682&lt;2,IF(N1682&lt;51,"低","中"),IF(M1682&lt;6,IF(N1682&lt;20,"低",IF(N1682&lt;51,"中","高")),IF(N1682&lt;20,"中","高")))),"不计算")))</f>
        <v/>
      </c>
      <c r="P1682" s="142">
        <f>IFERROR(IF(I1682="EI",IF(O1682="低",3,IF(O1682="中",4,6)),IF(I1682="EO",IF(O1682="低",4,IF(O1682="中",5,7)),IF(I1682="EQ",IF(O1682="低",3,IF(O1682="中",4,6)),IF(I1682="ILF",IF(O1682="低",7,IF(O1682="中",10,15)),IF(I1682="EIF",IF(O1682="低",5,IF(O1682="中",7,10)),"不计算")))))*Q1682,"不计算")</f>
        <v/>
      </c>
      <c r="Q1682" s="142" t="n">
        <v>1</v>
      </c>
      <c r="R1682" s="143">
        <f>调整因子!$F$13</f>
        <v/>
      </c>
      <c r="S1682" s="70" t="n">
        <v>1</v>
      </c>
      <c r="T1682" s="144">
        <f>IFERROR(P1682*R1682,0)</f>
        <v/>
      </c>
      <c r="U1682" s="145">
        <f>T1682*S1682</f>
        <v/>
      </c>
      <c r="V1682" s="96" t="inlineStr">
        <is>
          <t>任务优先级配置表</t>
        </is>
      </c>
      <c r="W1682" s="96" t="inlineStr"/>
      <c r="X1682" s="111" t="inlineStr">
        <is>
          <t>任务优先级配置表{任务ID、任务名称|任务ID、任务名称、任务类型}</t>
        </is>
      </c>
      <c r="Y1682" s="88" t="n"/>
      <c r="Z1682" s="88" t="n"/>
    </row>
    <row r="1683" hidden="1">
      <c r="A1683" s="69">
        <f>ROW()-1</f>
        <v/>
      </c>
      <c r="B1683" s="53" t="n"/>
      <c r="C1683" s="117" t="n">
        <v>2026</v>
      </c>
      <c r="E1683" s="53" t="n"/>
      <c r="F1683" s="53" t="n"/>
      <c r="G1683" s="53" t="n"/>
      <c r="H1683" s="96" t="inlineStr">
        <is>
          <t>查询加密规则</t>
        </is>
      </c>
      <c r="I1683" s="76" t="inlineStr">
        <is>
          <t>EQ</t>
        </is>
      </c>
      <c r="J1683" s="95" t="n"/>
      <c r="K1683" s="95" t="n"/>
      <c r="L1683" s="83">
        <f>IF(OR(X1683="估算法",X1683="算法类",X1683="无法识别"),"",IF(V1683="",IF(OR(I1683="EI",I1683="EO",I1683="EQ"),0,""),LEN(V1683)-LEN(SUBSTITUTE(V1683,"、",""))+1))</f>
        <v/>
      </c>
      <c r="M1683" s="83">
        <f>IF(OR(X1683="估算法",X1683="算法类",X1683="无法识别"),"",IF(W1683="",IF(OR(I1683="ILF",I1683="EIF"),0,""),LEN(W1683)-LEN(SUBSTITUTE(W1683,"、",""))+1))</f>
        <v/>
      </c>
      <c r="N1683" s="83">
        <f>IF(OR(X1683="估算法",X1683="算法类",X1683="无法识别"),"",IF(X1683="",IF(OR(I1683="ILF",I1683="EIF",I1683="EI",I1683="EO",I1683="EQ"),0,""),LEN(X1683)-LEN(SUBSTITUTE(SUBSTITUTE(SUBSTITUTE(SUBSTITUTE(SUBSTITUTE(X1683,"|}","--"),"{|","--"),CHAR(10),""),"、",""),"|",""))+IF(AND(OR(I1683="EI",I1683="EO",I1683="EQ"),$AD$1="NESMA"),2,1)))</f>
        <v/>
      </c>
      <c r="O1683" s="84">
        <f>IF(I1683="EI",IF(OR(X1683="估算法",X1683="算法类"),"中",IF(X1683="无法识别","低",IF(L1683&lt;2,IF(N1683&lt;16,"低","中"),IF(L1683&lt;3,IF(N1683&lt;5,"低",IF(N1683&lt;16,"中","高")),IF(N1683&lt;5,"中","高"))))),IF(OR(I1683="EO",I1683="EQ"),IF(OR(X1683="估算法",X1683="算法类"),"中",IF(X1683="无法识别","低",IF(L1683&lt;2,IF(N1683&lt;20,"低","中"),IF(L1683&lt;4,IF(N1683&lt;6,"低",IF(N1683&lt;20,"中","高")),IF(N1683&lt;6,"中","高"))))),IF(OR(I1683="ILF",I1683="EIF"),IF(OR(X1683="估算法",X1683="算法类",X1683="无法识别"),"低",IF(M1683&lt;2,IF(N1683&lt;51,"低","中"),IF(M1683&lt;6,IF(N1683&lt;20,"低",IF(N1683&lt;51,"中","高")),IF(N1683&lt;20,"中","高")))),"不计算")))</f>
        <v/>
      </c>
      <c r="P1683" s="142">
        <f>IFERROR(IF(I1683="EI",IF(O1683="低",3,IF(O1683="中",4,6)),IF(I1683="EO",IF(O1683="低",4,IF(O1683="中",5,7)),IF(I1683="EQ",IF(O1683="低",3,IF(O1683="中",4,6)),IF(I1683="ILF",IF(O1683="低",7,IF(O1683="中",10,15)),IF(I1683="EIF",IF(O1683="低",5,IF(O1683="中",7,10)),"不计算")))))*Q1683,"不计算")</f>
        <v/>
      </c>
      <c r="Q1683" s="142" t="n">
        <v>1</v>
      </c>
      <c r="R1683" s="143">
        <f>调整因子!$F$13</f>
        <v/>
      </c>
      <c r="S1683" s="70" t="n">
        <v>1</v>
      </c>
      <c r="T1683" s="144">
        <f>IFERROR(P1683*R1683,0)</f>
        <v/>
      </c>
      <c r="U1683" s="145">
        <f>T1683*S1683</f>
        <v/>
      </c>
      <c r="V1683" s="96" t="inlineStr">
        <is>
          <t>推送规则表</t>
        </is>
      </c>
      <c r="W1683" s="96" t="inlineStr"/>
      <c r="X1683" s="111" t="inlineStr">
        <is>
          <t>推送规则表{规则ID、规则名称|规则ID、规则名称、规则类型、规则条件}</t>
        </is>
      </c>
      <c r="Y1683" s="88" t="n"/>
      <c r="Z1683" s="88" t="n"/>
    </row>
    <row r="1684" hidden="1">
      <c r="A1684" s="69">
        <f>ROW()-1</f>
        <v/>
      </c>
      <c r="B1684" s="53" t="n"/>
      <c r="C1684" s="117" t="n">
        <v>2026</v>
      </c>
      <c r="E1684" s="53" t="n"/>
      <c r="F1684" s="53" t="n"/>
      <c r="G1684" s="54" t="n"/>
      <c r="H1684" s="96" t="inlineStr">
        <is>
          <t>查看加密详情</t>
        </is>
      </c>
      <c r="I1684" s="76" t="inlineStr">
        <is>
          <t>EQ</t>
        </is>
      </c>
      <c r="J1684" s="95" t="n"/>
      <c r="K1684" s="95" t="n"/>
      <c r="L1684" s="83">
        <f>IF(OR(X1684="估算法",X1684="算法类",X1684="无法识别"),"",IF(V1684="",IF(OR(I1684="EI",I1684="EO",I1684="EQ"),0,""),LEN(V1684)-LEN(SUBSTITUTE(V1684,"、",""))+1))</f>
        <v/>
      </c>
      <c r="M1684" s="83">
        <f>IF(OR(X1684="估算法",X1684="算法类",X1684="无法识别"),"",IF(W1684="",IF(OR(I1684="ILF",I1684="EIF"),0,""),LEN(W1684)-LEN(SUBSTITUTE(W1684,"、",""))+1))</f>
        <v/>
      </c>
      <c r="N1684" s="83">
        <f>IF(OR(X1684="估算法",X1684="算法类",X1684="无法识别"),"",IF(X1684="",IF(OR(I1684="ILF",I1684="EIF",I1684="EI",I1684="EO",I1684="EQ"),0,""),LEN(X1684)-LEN(SUBSTITUTE(SUBSTITUTE(SUBSTITUTE(SUBSTITUTE(SUBSTITUTE(X1684,"|}","--"),"{|","--"),CHAR(10),""),"、",""),"|",""))+IF(AND(OR(I1684="EI",I1684="EO",I1684="EQ"),$AD$1="NESMA"),2,1)))</f>
        <v/>
      </c>
      <c r="O1684" s="84">
        <f>IF(I1684="EI",IF(OR(X1684="估算法",X1684="算法类"),"中",IF(X1684="无法识别","低",IF(L1684&lt;2,IF(N1684&lt;16,"低","中"),IF(L1684&lt;3,IF(N1684&lt;5,"低",IF(N1684&lt;16,"中","高")),IF(N1684&lt;5,"中","高"))))),IF(OR(I1684="EO",I1684="EQ"),IF(OR(X1684="估算法",X1684="算法类"),"中",IF(X1684="无法识别","低",IF(L1684&lt;2,IF(N1684&lt;20,"低","中"),IF(L1684&lt;4,IF(N1684&lt;6,"低",IF(N1684&lt;20,"中","高")),IF(N1684&lt;6,"中","高"))))),IF(OR(I1684="ILF",I1684="EIF"),IF(OR(X1684="估算法",X1684="算法类",X1684="无法识别"),"低",IF(M1684&lt;2,IF(N1684&lt;51,"低","中"),IF(M1684&lt;6,IF(N1684&lt;20,"低",IF(N1684&lt;51,"中","高")),IF(N1684&lt;20,"中","高")))),"不计算")))</f>
        <v/>
      </c>
      <c r="P1684" s="142">
        <f>IFERROR(IF(I1684="EI",IF(O1684="低",3,IF(O1684="中",4,6)),IF(I1684="EO",IF(O1684="低",4,IF(O1684="中",5,7)),IF(I1684="EQ",IF(O1684="低",3,IF(O1684="中",4,6)),IF(I1684="ILF",IF(O1684="低",7,IF(O1684="中",10,15)),IF(I1684="EIF",IF(O1684="低",5,IF(O1684="中",7,10)),"不计算")))))*Q1684,"不计算")</f>
        <v/>
      </c>
      <c r="Q1684" s="142" t="n">
        <v>1</v>
      </c>
      <c r="R1684" s="143">
        <f>调整因子!$F$13</f>
        <v/>
      </c>
      <c r="S1684" s="76" t="n">
        <v>1</v>
      </c>
      <c r="T1684" s="144">
        <f>IFERROR(P1684*R1684,0)</f>
        <v/>
      </c>
      <c r="U1684" s="145">
        <f>T1684*S1684</f>
        <v/>
      </c>
      <c r="V1684" s="96" t="inlineStr">
        <is>
          <t>漏洞处置单表</t>
        </is>
      </c>
      <c r="W1684" s="96" t="inlineStr"/>
      <c r="X1684" s="111" t="inlineStr">
        <is>
          <t>漏洞处置单表{漏洞ID、漏洞名称|漏洞ID、漏洞名称、漏洞等级、漏洞类型}</t>
        </is>
      </c>
      <c r="Y1684" s="88" t="n"/>
      <c r="Z1684" s="88" t="n"/>
    </row>
    <row r="1685" hidden="1" ht="21.6" customHeight="1">
      <c r="A1685" s="69">
        <f>ROW()-1</f>
        <v/>
      </c>
      <c r="B1685" s="53" t="n"/>
      <c r="C1685" s="117" t="n">
        <v>2026</v>
      </c>
      <c r="E1685" s="53" t="n"/>
      <c r="F1685" s="53" t="n"/>
      <c r="G1685" s="111" t="inlineStr">
        <is>
          <t>日志加密存储管理</t>
        </is>
      </c>
      <c r="H1685" s="96" t="inlineStr">
        <is>
          <t>查询加密日志</t>
        </is>
      </c>
      <c r="I1685" s="76" t="inlineStr">
        <is>
          <t>EI</t>
        </is>
      </c>
      <c r="J1685" s="95" t="n"/>
      <c r="K1685" s="95" t="n"/>
      <c r="L1685" s="83">
        <f>IF(OR(X1685="估算法",X1685="算法类",X1685="无法识别"),"",IF(V1685="",IF(OR(I1685="EI",I1685="EO",I1685="EQ"),0,""),LEN(V1685)-LEN(SUBSTITUTE(V1685,"、",""))+1))</f>
        <v/>
      </c>
      <c r="M1685" s="83">
        <f>IF(OR(X1685="估算法",X1685="算法类",X1685="无法识别"),"",IF(W1685="",IF(OR(I1685="ILF",I1685="EIF"),0,""),LEN(W1685)-LEN(SUBSTITUTE(W1685,"、",""))+1))</f>
        <v/>
      </c>
      <c r="N1685" s="83">
        <f>IF(OR(X1685="估算法",X1685="算法类",X1685="无法识别"),"",IF(X1685="",IF(OR(I1685="ILF",I1685="EIF",I1685="EI",I1685="EO",I1685="EQ"),0,""),LEN(X1685)-LEN(SUBSTITUTE(SUBSTITUTE(SUBSTITUTE(SUBSTITUTE(SUBSTITUTE(X1685,"|}","--"),"{|","--"),CHAR(10),""),"、",""),"|",""))+IF(AND(OR(I1685="EI",I1685="EO",I1685="EQ"),$AD$1="NESMA"),2,1)))</f>
        <v/>
      </c>
      <c r="O1685" s="84">
        <f>IF(I1685="EI",IF(OR(X1685="估算法",X1685="算法类"),"中",IF(X1685="无法识别","低",IF(L1685&lt;2,IF(N1685&lt;16,"低","中"),IF(L1685&lt;3,IF(N1685&lt;5,"低",IF(N1685&lt;16,"中","高")),IF(N1685&lt;5,"中","高"))))),IF(OR(I1685="EO",I1685="EQ"),IF(OR(X1685="估算法",X1685="算法类"),"中",IF(X1685="无法识别","低",IF(L1685&lt;2,IF(N1685&lt;20,"低","中"),IF(L1685&lt;4,IF(N1685&lt;6,"低",IF(N1685&lt;20,"中","高")),IF(N1685&lt;6,"中","高"))))),IF(OR(I1685="ILF",I1685="EIF"),IF(OR(X1685="估算法",X1685="算法类",X1685="无法识别"),"低",IF(M1685&lt;2,IF(N1685&lt;51,"低","中"),IF(M1685&lt;6,IF(N1685&lt;20,"低",IF(N1685&lt;51,"中","高")),IF(N1685&lt;20,"中","高")))),"不计算")))</f>
        <v/>
      </c>
      <c r="P1685" s="142">
        <f>IFERROR(IF(I1685="EI",IF(O1685="低",3,IF(O1685="中",4,6)),IF(I1685="EO",IF(O1685="低",4,IF(O1685="中",5,7)),IF(I1685="EQ",IF(O1685="低",3,IF(O1685="中",4,6)),IF(I1685="ILF",IF(O1685="低",7,IF(O1685="中",10,15)),IF(I1685="EIF",IF(O1685="低",5,IF(O1685="中",7,10)),"不计算")))))*Q1685,"不计算")</f>
        <v/>
      </c>
      <c r="Q1685" s="142" t="n">
        <v>1</v>
      </c>
      <c r="R1685" s="143">
        <f>调整因子!$F$13</f>
        <v/>
      </c>
      <c r="S1685" s="76" t="n">
        <v>1</v>
      </c>
      <c r="T1685" s="144">
        <f>IFERROR(P1685*R1685,0)</f>
        <v/>
      </c>
      <c r="U1685" s="145">
        <f>T1685*S1685</f>
        <v/>
      </c>
      <c r="V1685" s="96" t="inlineStr">
        <is>
          <t>任务日志表</t>
        </is>
      </c>
      <c r="W1685" s="96" t="inlineStr"/>
      <c r="X1685" s="111" t="inlineStr">
        <is>
          <t>任务日志表{任务ID、任务名称、任务类型、任务状态、创建时间、执行时间|任务ID、任务名称、任务类型}</t>
        </is>
      </c>
      <c r="Y1685" s="88" t="n"/>
      <c r="Z1685" s="88" t="n"/>
    </row>
    <row r="1686" hidden="1" ht="21.6" customHeight="1">
      <c r="A1686" s="69">
        <f>ROW()-1</f>
        <v/>
      </c>
      <c r="B1686" s="53" t="n"/>
      <c r="C1686" s="117" t="n">
        <v>2026</v>
      </c>
      <c r="E1686" s="53" t="n"/>
      <c r="F1686" s="53" t="n"/>
      <c r="G1686" s="53" t="n"/>
      <c r="H1686" s="96" t="inlineStr">
        <is>
          <t>导出加密日志</t>
        </is>
      </c>
      <c r="I1686" s="76" t="inlineStr">
        <is>
          <t>EI</t>
        </is>
      </c>
      <c r="J1686" s="95" t="n"/>
      <c r="K1686" s="95" t="n"/>
      <c r="L1686" s="83">
        <f>IF(OR(X1686="估算法",X1686="算法类",X1686="无法识别"),"",IF(V1686="",IF(OR(I1686="EI",I1686="EO",I1686="EQ"),0,""),LEN(V1686)-LEN(SUBSTITUTE(V1686,"、",""))+1))</f>
        <v/>
      </c>
      <c r="M1686" s="83">
        <f>IF(OR(X1686="估算法",X1686="算法类",X1686="无法识别"),"",IF(W1686="",IF(OR(I1686="ILF",I1686="EIF"),0,""),LEN(W1686)-LEN(SUBSTITUTE(W1686,"、",""))+1))</f>
        <v/>
      </c>
      <c r="N1686" s="83">
        <f>IF(OR(X1686="估算法",X1686="算法类",X1686="无法识别"),"",IF(X1686="",IF(OR(I1686="ILF",I1686="EIF",I1686="EI",I1686="EO",I1686="EQ"),0,""),LEN(X1686)-LEN(SUBSTITUTE(SUBSTITUTE(SUBSTITUTE(SUBSTITUTE(SUBSTITUTE(X1686,"|}","--"),"{|","--"),CHAR(10),""),"、",""),"|",""))+IF(AND(OR(I1686="EI",I1686="EO",I1686="EQ"),$AD$1="NESMA"),2,1)))</f>
        <v/>
      </c>
      <c r="O1686" s="84">
        <f>IF(I1686="EI",IF(OR(X1686="估算法",X1686="算法类"),"中",IF(X1686="无法识别","低",IF(L1686&lt;2,IF(N1686&lt;16,"低","中"),IF(L1686&lt;3,IF(N1686&lt;5,"低",IF(N1686&lt;16,"中","高")),IF(N1686&lt;5,"中","高"))))),IF(OR(I1686="EO",I1686="EQ"),IF(OR(X1686="估算法",X1686="算法类"),"中",IF(X1686="无法识别","低",IF(L1686&lt;2,IF(N1686&lt;20,"低","中"),IF(L1686&lt;4,IF(N1686&lt;6,"低",IF(N1686&lt;20,"中","高")),IF(N1686&lt;6,"中","高"))))),IF(OR(I1686="ILF",I1686="EIF"),IF(OR(X1686="估算法",X1686="算法类",X1686="无法识别"),"低",IF(M1686&lt;2,IF(N1686&lt;51,"低","中"),IF(M1686&lt;6,IF(N1686&lt;20,"低",IF(N1686&lt;51,"中","高")),IF(N1686&lt;20,"中","高")))),"不计算")))</f>
        <v/>
      </c>
      <c r="P1686" s="142">
        <f>IFERROR(IF(I1686="EI",IF(O1686="低",3,IF(O1686="中",4,6)),IF(I1686="EO",IF(O1686="低",4,IF(O1686="中",5,7)),IF(I1686="EQ",IF(O1686="低",3,IF(O1686="中",4,6)),IF(I1686="ILF",IF(O1686="低",7,IF(O1686="中",10,15)),IF(I1686="EIF",IF(O1686="低",5,IF(O1686="中",7,10)),"不计算")))))*Q1686,"不计算")</f>
        <v/>
      </c>
      <c r="Q1686" s="142" t="n">
        <v>1</v>
      </c>
      <c r="R1686" s="143">
        <f>调整因子!$F$13</f>
        <v/>
      </c>
      <c r="S1686" s="70" t="n">
        <v>1</v>
      </c>
      <c r="T1686" s="144">
        <f>IFERROR(P1686*R1686,0)</f>
        <v/>
      </c>
      <c r="U1686" s="145">
        <f>T1686*S1686</f>
        <v/>
      </c>
      <c r="V1686" s="96" t="inlineStr">
        <is>
          <t>任务日志表</t>
        </is>
      </c>
      <c r="W1686" s="96" t="inlineStr"/>
      <c r="X1686" s="111" t="inlineStr">
        <is>
          <t>任务日志表{任务ID、任务名称、任务类型、任务状态、创建时间、执行时间|任务ID、任务名称、任务类型}</t>
        </is>
      </c>
      <c r="Y1686" s="88" t="n"/>
      <c r="Z1686" s="88" t="n"/>
    </row>
    <row r="1687" hidden="1">
      <c r="A1687" s="69">
        <f>ROW()-1</f>
        <v/>
      </c>
      <c r="B1687" s="53" t="n"/>
      <c r="C1687" s="117" t="n">
        <v>2026</v>
      </c>
      <c r="E1687" s="53" t="n"/>
      <c r="F1687" s="53" t="n"/>
      <c r="G1687" s="53" t="n"/>
      <c r="H1687" s="96" t="inlineStr">
        <is>
          <t>下载解密日志</t>
        </is>
      </c>
      <c r="I1687" s="76" t="inlineStr">
        <is>
          <t>EO</t>
        </is>
      </c>
      <c r="J1687" s="95" t="n"/>
      <c r="K1687" s="95" t="n"/>
      <c r="L1687" s="83">
        <f>IF(OR(X1687="估算法",X1687="算法类",X1687="无法识别"),"",IF(V1687="",IF(OR(I1687="EI",I1687="EO",I1687="EQ"),0,""),LEN(V1687)-LEN(SUBSTITUTE(V1687,"、",""))+1))</f>
        <v/>
      </c>
      <c r="M1687" s="83">
        <f>IF(OR(X1687="估算法",X1687="算法类",X1687="无法识别"),"",IF(W1687="",IF(OR(I1687="ILF",I1687="EIF"),0,""),LEN(W1687)-LEN(SUBSTITUTE(W1687,"、",""))+1))</f>
        <v/>
      </c>
      <c r="N1687" s="83">
        <f>IF(OR(X1687="估算法",X1687="算法类",X1687="无法识别"),"",IF(X1687="",IF(OR(I1687="ILF",I1687="EIF",I1687="EI",I1687="EO",I1687="EQ"),0,""),LEN(X1687)-LEN(SUBSTITUTE(SUBSTITUTE(SUBSTITUTE(SUBSTITUTE(SUBSTITUTE(X1687,"|}","--"),"{|","--"),CHAR(10),""),"、",""),"|",""))+IF(AND(OR(I1687="EI",I1687="EO",I1687="EQ"),$AD$1="NESMA"),2,1)))</f>
        <v/>
      </c>
      <c r="O1687" s="84">
        <f>IF(I1687="EI",IF(OR(X1687="估算法",X1687="算法类"),"中",IF(X1687="无法识别","低",IF(L1687&lt;2,IF(N1687&lt;16,"低","中"),IF(L1687&lt;3,IF(N1687&lt;5,"低",IF(N1687&lt;16,"中","高")),IF(N1687&lt;5,"中","高"))))),IF(OR(I1687="EO",I1687="EQ"),IF(OR(X1687="估算法",X1687="算法类"),"中",IF(X1687="无法识别","低",IF(L1687&lt;2,IF(N1687&lt;20,"低","中"),IF(L1687&lt;4,IF(N1687&lt;6,"低",IF(N1687&lt;20,"中","高")),IF(N1687&lt;6,"中","高"))))),IF(OR(I1687="ILF",I1687="EIF"),IF(OR(X1687="估算法",X1687="算法类",X1687="无法识别"),"低",IF(M1687&lt;2,IF(N1687&lt;51,"低","中"),IF(M1687&lt;6,IF(N1687&lt;20,"低",IF(N1687&lt;51,"中","高")),IF(N1687&lt;20,"中","高")))),"不计算")))</f>
        <v/>
      </c>
      <c r="P1687" s="142">
        <f>IFERROR(IF(I1687="EI",IF(O1687="低",3,IF(O1687="中",4,6)),IF(I1687="EO",IF(O1687="低",4,IF(O1687="中",5,7)),IF(I1687="EQ",IF(O1687="低",3,IF(O1687="中",4,6)),IF(I1687="ILF",IF(O1687="低",7,IF(O1687="中",10,15)),IF(I1687="EIF",IF(O1687="低",5,IF(O1687="中",7,10)),"不计算")))))*Q1687,"不计算")</f>
        <v/>
      </c>
      <c r="Q1687" s="142" t="n">
        <v>1</v>
      </c>
      <c r="R1687" s="143">
        <f>调整因子!$F$13</f>
        <v/>
      </c>
      <c r="S1687" s="70" t="n">
        <v>1</v>
      </c>
      <c r="T1687" s="144">
        <f>IFERROR(P1687*R1687,0)</f>
        <v/>
      </c>
      <c r="U1687" s="145">
        <f>T1687*S1687</f>
        <v/>
      </c>
      <c r="V1687" s="96" t="inlineStr">
        <is>
          <t>任务日志表</t>
        </is>
      </c>
      <c r="W1687" s="96" t="inlineStr"/>
      <c r="X1687" s="111" t="inlineStr">
        <is>
          <t>任务日志表{任务ID、任务名称|任务ID、任务名称、任务类型、任务状态}</t>
        </is>
      </c>
      <c r="Y1687" s="88" t="n"/>
      <c r="Z1687" s="88" t="n"/>
    </row>
    <row r="1688" hidden="1">
      <c r="A1688" s="69">
        <f>ROW()-1</f>
        <v/>
      </c>
      <c r="B1688" s="53" t="n"/>
      <c r="C1688" s="117" t="n">
        <v>2026</v>
      </c>
      <c r="E1688" s="53" t="n"/>
      <c r="F1688" s="53" t="n"/>
      <c r="G1688" s="53" t="n"/>
      <c r="H1688" s="96" t="inlineStr">
        <is>
          <t>推送加密日志</t>
        </is>
      </c>
      <c r="I1688" s="76" t="inlineStr">
        <is>
          <t>EO</t>
        </is>
      </c>
      <c r="J1688" s="95" t="n"/>
      <c r="K1688" s="95" t="n"/>
      <c r="L1688" s="83">
        <f>IF(OR(X1688="估算法",X1688="算法类",X1688="无法识别"),"",IF(V1688="",IF(OR(I1688="EI",I1688="EO",I1688="EQ"),0,""),LEN(V1688)-LEN(SUBSTITUTE(V1688,"、",""))+1))</f>
        <v/>
      </c>
      <c r="M1688" s="83">
        <f>IF(OR(X1688="估算法",X1688="算法类",X1688="无法识别"),"",IF(W1688="",IF(OR(I1688="ILF",I1688="EIF"),0,""),LEN(W1688)-LEN(SUBSTITUTE(W1688,"、",""))+1))</f>
        <v/>
      </c>
      <c r="N1688" s="83">
        <f>IF(OR(X1688="估算法",X1688="算法类",X1688="无法识别"),"",IF(X1688="",IF(OR(I1688="ILF",I1688="EIF",I1688="EI",I1688="EO",I1688="EQ"),0,""),LEN(X1688)-LEN(SUBSTITUTE(SUBSTITUTE(SUBSTITUTE(SUBSTITUTE(SUBSTITUTE(X1688,"|}","--"),"{|","--"),CHAR(10),""),"、",""),"|",""))+IF(AND(OR(I1688="EI",I1688="EO",I1688="EQ"),$AD$1="NESMA"),2,1)))</f>
        <v/>
      </c>
      <c r="O1688" s="84">
        <f>IF(I1688="EI",IF(OR(X1688="估算法",X1688="算法类"),"中",IF(X1688="无法识别","低",IF(L1688&lt;2,IF(N1688&lt;16,"低","中"),IF(L1688&lt;3,IF(N1688&lt;5,"低",IF(N1688&lt;16,"中","高")),IF(N1688&lt;5,"中","高"))))),IF(OR(I1688="EO",I1688="EQ"),IF(OR(X1688="估算法",X1688="算法类"),"中",IF(X1688="无法识别","低",IF(L1688&lt;2,IF(N1688&lt;20,"低","中"),IF(L1688&lt;4,IF(N1688&lt;6,"低",IF(N1688&lt;20,"中","高")),IF(N1688&lt;6,"中","高"))))),IF(OR(I1688="ILF",I1688="EIF"),IF(OR(X1688="估算法",X1688="算法类",X1688="无法识别"),"低",IF(M1688&lt;2,IF(N1688&lt;51,"低","中"),IF(M1688&lt;6,IF(N1688&lt;20,"低",IF(N1688&lt;51,"中","高")),IF(N1688&lt;20,"中","高")))),"不计算")))</f>
        <v/>
      </c>
      <c r="P1688" s="142">
        <f>IFERROR(IF(I1688="EI",IF(O1688="低",3,IF(O1688="中",4,6)),IF(I1688="EO",IF(O1688="低",4,IF(O1688="中",5,7)),IF(I1688="EQ",IF(O1688="低",3,IF(O1688="中",4,6)),IF(I1688="ILF",IF(O1688="低",7,IF(O1688="中",10,15)),IF(I1688="EIF",IF(O1688="低",5,IF(O1688="中",7,10)),"不计算")))))*Q1688,"不计算")</f>
        <v/>
      </c>
      <c r="Q1688" s="142" t="n">
        <v>1</v>
      </c>
      <c r="R1688" s="143">
        <f>调整因子!$F$13</f>
        <v/>
      </c>
      <c r="S1688" s="76" t="n">
        <v>1</v>
      </c>
      <c r="T1688" s="144">
        <f>IFERROR(P1688*R1688,0)</f>
        <v/>
      </c>
      <c r="U1688" s="145">
        <f>T1688*S1688</f>
        <v/>
      </c>
      <c r="V1688" s="96" t="inlineStr">
        <is>
          <t>任务日志表</t>
        </is>
      </c>
      <c r="W1688" s="96" t="inlineStr"/>
      <c r="X1688" s="111" t="inlineStr">
        <is>
          <t>任务日志表{任务ID、任务名称|任务ID、任务名称、任务类型、任务状态、创建时间}</t>
        </is>
      </c>
      <c r="Y1688" s="88" t="n"/>
      <c r="Z1688" s="88" t="n"/>
    </row>
    <row r="1689" hidden="1">
      <c r="A1689" s="69">
        <f>ROW()-1</f>
        <v/>
      </c>
      <c r="B1689" s="53" t="n"/>
      <c r="C1689" s="117" t="n">
        <v>2026</v>
      </c>
      <c r="E1689" s="53" t="n"/>
      <c r="F1689" s="53" t="n"/>
      <c r="G1689" s="53" t="n"/>
      <c r="H1689" s="96" t="inlineStr">
        <is>
          <t>查询日志状态</t>
        </is>
      </c>
      <c r="I1689" s="76" t="inlineStr">
        <is>
          <t>EQ</t>
        </is>
      </c>
      <c r="J1689" s="95" t="n"/>
      <c r="K1689" s="95" t="n"/>
      <c r="L1689" s="83">
        <f>IF(OR(X1689="估算法",X1689="算法类",X1689="无法识别"),"",IF(V1689="",IF(OR(I1689="EI",I1689="EO",I1689="EQ"),0,""),LEN(V1689)-LEN(SUBSTITUTE(V1689,"、",""))+1))</f>
        <v/>
      </c>
      <c r="M1689" s="83">
        <f>IF(OR(X1689="估算法",X1689="算法类",X1689="无法识别"),"",IF(W1689="",IF(OR(I1689="ILF",I1689="EIF"),0,""),LEN(W1689)-LEN(SUBSTITUTE(W1689,"、",""))+1))</f>
        <v/>
      </c>
      <c r="N1689" s="83">
        <f>IF(OR(X1689="估算法",X1689="算法类",X1689="无法识别"),"",IF(X1689="",IF(OR(I1689="ILF",I1689="EIF",I1689="EI",I1689="EO",I1689="EQ"),0,""),LEN(X1689)-LEN(SUBSTITUTE(SUBSTITUTE(SUBSTITUTE(SUBSTITUTE(SUBSTITUTE(X1689,"|}","--"),"{|","--"),CHAR(10),""),"、",""),"|",""))+IF(AND(OR(I1689="EI",I1689="EO",I1689="EQ"),$AD$1="NESMA"),2,1)))</f>
        <v/>
      </c>
      <c r="O1689" s="84">
        <f>IF(I1689="EI",IF(OR(X1689="估算法",X1689="算法类"),"中",IF(X1689="无法识别","低",IF(L1689&lt;2,IF(N1689&lt;16,"低","中"),IF(L1689&lt;3,IF(N1689&lt;5,"低",IF(N1689&lt;16,"中","高")),IF(N1689&lt;5,"中","高"))))),IF(OR(I1689="EO",I1689="EQ"),IF(OR(X1689="估算法",X1689="算法类"),"中",IF(X1689="无法识别","低",IF(L1689&lt;2,IF(N1689&lt;20,"低","中"),IF(L1689&lt;4,IF(N1689&lt;6,"低",IF(N1689&lt;20,"中","高")),IF(N1689&lt;6,"中","高"))))),IF(OR(I1689="ILF",I1689="EIF"),IF(OR(X1689="估算法",X1689="算法类",X1689="无法识别"),"低",IF(M1689&lt;2,IF(N1689&lt;51,"低","中"),IF(M1689&lt;6,IF(N1689&lt;20,"低",IF(N1689&lt;51,"中","高")),IF(N1689&lt;20,"中","高")))),"不计算")))</f>
        <v/>
      </c>
      <c r="P1689" s="142">
        <f>IFERROR(IF(I1689="EI",IF(O1689="低",3,IF(O1689="中",4,6)),IF(I1689="EO",IF(O1689="低",4,IF(O1689="中",5,7)),IF(I1689="EQ",IF(O1689="低",3,IF(O1689="中",4,6)),IF(I1689="ILF",IF(O1689="低",7,IF(O1689="中",10,15)),IF(I1689="EIF",IF(O1689="低",5,IF(O1689="中",7,10)),"不计算")))))*Q1689,"不计算")</f>
        <v/>
      </c>
      <c r="Q1689" s="142" t="n">
        <v>1</v>
      </c>
      <c r="R1689" s="143">
        <f>调整因子!$F$13</f>
        <v/>
      </c>
      <c r="S1689" s="70" t="n">
        <v>1</v>
      </c>
      <c r="T1689" s="144">
        <f>IFERROR(P1689*R1689,0)</f>
        <v/>
      </c>
      <c r="U1689" s="145">
        <f>T1689*S1689</f>
        <v/>
      </c>
      <c r="V1689" s="96" t="inlineStr">
        <is>
          <t>任务日志表</t>
        </is>
      </c>
      <c r="W1689" s="96" t="inlineStr"/>
      <c r="X1689" s="111" t="inlineStr">
        <is>
          <t>任务日志表{任务ID、任务名称|任务ID、任务名称、任务类型、任务状态、创建时间}</t>
        </is>
      </c>
      <c r="Y1689" s="88" t="n"/>
      <c r="Z1689" s="88" t="n"/>
    </row>
    <row r="1690" hidden="1">
      <c r="A1690" s="69">
        <f>ROW()-1</f>
        <v/>
      </c>
      <c r="B1690" s="53" t="n"/>
      <c r="C1690" s="117" t="n">
        <v>2026</v>
      </c>
      <c r="E1690" s="53" t="n"/>
      <c r="F1690" s="54" t="n"/>
      <c r="G1690" s="54" t="n"/>
      <c r="H1690" s="96" t="inlineStr">
        <is>
          <t>查看日志详情</t>
        </is>
      </c>
      <c r="I1690" s="76" t="inlineStr">
        <is>
          <t>EQ</t>
        </is>
      </c>
      <c r="J1690" s="95" t="n"/>
      <c r="K1690" s="95" t="n"/>
      <c r="L1690" s="83">
        <f>IF(OR(X1690="估算法",X1690="算法类",X1690="无法识别"),"",IF(V1690="",IF(OR(I1690="EI",I1690="EO",I1690="EQ"),0,""),LEN(V1690)-LEN(SUBSTITUTE(V1690,"、",""))+1))</f>
        <v/>
      </c>
      <c r="M1690" s="83">
        <f>IF(OR(X1690="估算法",X1690="算法类",X1690="无法识别"),"",IF(W1690="",IF(OR(I1690="ILF",I1690="EIF"),0,""),LEN(W1690)-LEN(SUBSTITUTE(W1690,"、",""))+1))</f>
        <v/>
      </c>
      <c r="N1690" s="83">
        <f>IF(OR(X1690="估算法",X1690="算法类",X1690="无法识别"),"",IF(X1690="",IF(OR(I1690="ILF",I1690="EIF",I1690="EI",I1690="EO",I1690="EQ"),0,""),LEN(X1690)-LEN(SUBSTITUTE(SUBSTITUTE(SUBSTITUTE(SUBSTITUTE(SUBSTITUTE(X1690,"|}","--"),"{|","--"),CHAR(10),""),"、",""),"|",""))+IF(AND(OR(I1690="EI",I1690="EO",I1690="EQ"),$AD$1="NESMA"),2,1)))</f>
        <v/>
      </c>
      <c r="O1690" s="84">
        <f>IF(I1690="EI",IF(OR(X1690="估算法",X1690="算法类"),"中",IF(X1690="无法识别","低",IF(L1690&lt;2,IF(N1690&lt;16,"低","中"),IF(L1690&lt;3,IF(N1690&lt;5,"低",IF(N1690&lt;16,"中","高")),IF(N1690&lt;5,"中","高"))))),IF(OR(I1690="EO",I1690="EQ"),IF(OR(X1690="估算法",X1690="算法类"),"中",IF(X1690="无法识别","低",IF(L1690&lt;2,IF(N1690&lt;20,"低","中"),IF(L1690&lt;4,IF(N1690&lt;6,"低",IF(N1690&lt;20,"中","高")),IF(N1690&lt;6,"中","高"))))),IF(OR(I1690="ILF",I1690="EIF"),IF(OR(X1690="估算法",X1690="算法类",X1690="无法识别"),"低",IF(M1690&lt;2,IF(N1690&lt;51,"低","中"),IF(M1690&lt;6,IF(N1690&lt;20,"低",IF(N1690&lt;51,"中","高")),IF(N1690&lt;20,"中","高")))),"不计算")))</f>
        <v/>
      </c>
      <c r="P1690" s="142">
        <f>IFERROR(IF(I1690="EI",IF(O1690="低",3,IF(O1690="中",4,6)),IF(I1690="EO",IF(O1690="低",4,IF(O1690="中",5,7)),IF(I1690="EQ",IF(O1690="低",3,IF(O1690="中",4,6)),IF(I1690="ILF",IF(O1690="低",7,IF(O1690="中",10,15)),IF(I1690="EIF",IF(O1690="低",5,IF(O1690="中",7,10)),"不计算")))))*Q1690,"不计算")</f>
        <v/>
      </c>
      <c r="Q1690" s="142" t="n">
        <v>1</v>
      </c>
      <c r="R1690" s="143">
        <f>调整因子!$F$13</f>
        <v/>
      </c>
      <c r="S1690" s="70" t="n">
        <v>1</v>
      </c>
      <c r="T1690" s="144">
        <f>IFERROR(P1690*R1690,0)</f>
        <v/>
      </c>
      <c r="U1690" s="145">
        <f>T1690*S1690</f>
        <v/>
      </c>
      <c r="V1690" s="96" t="inlineStr">
        <is>
          <t>任务日志表</t>
        </is>
      </c>
      <c r="W1690" s="96" t="inlineStr"/>
      <c r="X1690" s="111" t="inlineStr">
        <is>
          <t>任务日志表{任务ID、任务名称|任务ID、任务名称、任务类型}</t>
        </is>
      </c>
      <c r="Y1690" s="88" t="n"/>
      <c r="Z1690" s="88" t="n"/>
    </row>
    <row r="1691" hidden="1" ht="21.6" customHeight="1">
      <c r="A1691" s="69">
        <f>ROW()-1</f>
        <v/>
      </c>
      <c r="B1691" s="53" t="n"/>
      <c r="C1691" s="117" t="n">
        <v>2026</v>
      </c>
      <c r="E1691" s="53" t="n"/>
      <c r="F1691" s="111" t="inlineStr">
        <is>
          <t>审计日志管理</t>
        </is>
      </c>
      <c r="G1691" s="111" t="inlineStr">
        <is>
          <t>日志采集管理</t>
        </is>
      </c>
      <c r="H1691" s="96" t="inlineStr">
        <is>
          <t>审计日志表</t>
        </is>
      </c>
      <c r="I1691" s="76" t="n"/>
      <c r="J1691" s="95" t="n"/>
      <c r="K1691" s="95" t="inlineStr">
        <is>
          <t>非ILF - 日志表</t>
        </is>
      </c>
      <c r="L1691" s="83">
        <f>IF(OR(X1691="估算法",X1691="算法类",X1691="无法识别"),"",IF(V1691="",IF(OR(I1691="EI",I1691="EO",I1691="EQ"),0,""),LEN(V1691)-LEN(SUBSTITUTE(V1691,"、",""))+1))</f>
        <v/>
      </c>
      <c r="M1691" s="83">
        <f>IF(OR(X1691="估算法",X1691="算法类",X1691="无法识别"),"",IF(W1691="",IF(OR(I1691="ILF",I1691="EIF"),0,""),LEN(W1691)-LEN(SUBSTITUTE(W1691,"、",""))+1))</f>
        <v/>
      </c>
      <c r="N1691" s="83">
        <f>IF(OR(X1691="估算法",X1691="算法类",X1691="无法识别"),"",IF(X1691="",IF(OR(I1691="ILF",I1691="EIF",I1691="EI",I1691="EO",I1691="EQ"),0,""),LEN(X1691)-LEN(SUBSTITUTE(SUBSTITUTE(SUBSTITUTE(SUBSTITUTE(SUBSTITUTE(X1691,"|}","--"),"{|","--"),CHAR(10),""),"、",""),"|",""))+IF(AND(OR(I1691="EI",I1691="EO",I1691="EQ"),$AD$1="NESMA"),2,1)))</f>
        <v/>
      </c>
      <c r="O1691" s="84">
        <f>IF(I1691="EI",IF(OR(X1691="估算法",X1691="算法类"),"中",IF(X1691="无法识别","低",IF(L1691&lt;2,IF(N1691&lt;16,"低","中"),IF(L1691&lt;3,IF(N1691&lt;5,"低",IF(N1691&lt;16,"中","高")),IF(N1691&lt;5,"中","高"))))),IF(OR(I1691="EO",I1691="EQ"),IF(OR(X1691="估算法",X1691="算法类"),"中",IF(X1691="无法识别","低",IF(L1691&lt;2,IF(N1691&lt;20,"低","中"),IF(L1691&lt;4,IF(N1691&lt;6,"低",IF(N1691&lt;20,"中","高")),IF(N1691&lt;6,"中","高"))))),IF(OR(I1691="ILF",I1691="EIF"),IF(OR(X1691="估算法",X1691="算法类",X1691="无法识别"),"低",IF(M1691&lt;2,IF(N1691&lt;51,"低","中"),IF(M1691&lt;6,IF(N1691&lt;20,"低",IF(N1691&lt;51,"中","高")),IF(N1691&lt;20,"中","高")))),"不计算")))</f>
        <v/>
      </c>
      <c r="P1691" s="142">
        <f>IFERROR(IF(I1691="EI",IF(O1691="低",3,IF(O1691="中",4,6)),IF(I1691="EO",IF(O1691="低",4,IF(O1691="中",5,7)),IF(I1691="EQ",IF(O1691="低",3,IF(O1691="中",4,6)),IF(I1691="ILF",IF(O1691="低",7,IF(O1691="中",10,15)),IF(I1691="EIF",IF(O1691="低",5,IF(O1691="中",7,10)),"不计算")))))*Q1691,"不计算")</f>
        <v/>
      </c>
      <c r="Q1691" s="142" t="n">
        <v>1</v>
      </c>
      <c r="R1691" s="143">
        <f>调整因子!$F$13</f>
        <v/>
      </c>
      <c r="S1691" s="76" t="n">
        <v>1</v>
      </c>
      <c r="T1691" s="144">
        <f>IFERROR(P1691*R1691,0)</f>
        <v/>
      </c>
      <c r="U1691" s="145">
        <f>T1691*S1691</f>
        <v/>
      </c>
      <c r="V1691" s="96" t="inlineStr"/>
      <c r="W1691" s="96" t="inlineStr">
        <is>
          <t>操作日志</t>
        </is>
      </c>
      <c r="X1691" s="111" t="inlineStr">
        <is>
          <t>审计日志表{日志ID、操作人、操作类型|日志ID、操作人、操作类型、操作时间、操作内容}</t>
        </is>
      </c>
      <c r="Y1691" s="88">
        <f>IF(COUNTIFS(V:V,"*"&amp;H1691&amp;"*")&gt;0,"存在","不存在")</f>
        <v/>
      </c>
      <c r="Z1691" s="88">
        <f>IF(COUNTIFS(AA:AA,"*"&amp;H1691&amp;"*")&gt;0,"存在","不存在")</f>
        <v/>
      </c>
    </row>
    <row r="1692" hidden="1" ht="21.6" customHeight="1">
      <c r="A1692" s="69">
        <f>ROW()-1</f>
        <v/>
      </c>
      <c r="B1692" s="53" t="n"/>
      <c r="C1692" s="117" t="n">
        <v>2026</v>
      </c>
      <c r="E1692" s="53" t="n"/>
      <c r="F1692" s="53" t="n"/>
      <c r="G1692" s="53" t="n"/>
      <c r="H1692" s="96" t="inlineStr">
        <is>
          <t>日志采集配置表</t>
        </is>
      </c>
      <c r="I1692" s="76" t="n"/>
      <c r="J1692" s="95" t="n"/>
      <c r="K1692" s="95" t="inlineStr">
        <is>
          <t>非ILF - 日志表</t>
        </is>
      </c>
      <c r="L1692" s="83">
        <f>IF(OR(X1692="估算法",X1692="算法类",X1692="无法识别"),"",IF(V1692="",IF(OR(I1692="EI",I1692="EO",I1692="EQ"),0,""),LEN(V1692)-LEN(SUBSTITUTE(V1692,"、",""))+1))</f>
        <v/>
      </c>
      <c r="M1692" s="83">
        <f>IF(OR(X1692="估算法",X1692="算法类",X1692="无法识别"),"",IF(W1692="",IF(OR(I1692="ILF",I1692="EIF"),0,""),LEN(W1692)-LEN(SUBSTITUTE(W1692,"、",""))+1))</f>
        <v/>
      </c>
      <c r="N1692" s="83">
        <f>IF(OR(X1692="估算法",X1692="算法类",X1692="无法识别"),"",IF(X1692="",IF(OR(I1692="ILF",I1692="EIF",I1692="EI",I1692="EO",I1692="EQ"),0,""),LEN(X1692)-LEN(SUBSTITUTE(SUBSTITUTE(SUBSTITUTE(SUBSTITUTE(SUBSTITUTE(X1692,"|}","--"),"{|","--"),CHAR(10),""),"、",""),"|",""))+IF(AND(OR(I1692="EI",I1692="EO",I1692="EQ"),$AD$1="NESMA"),2,1)))</f>
        <v/>
      </c>
      <c r="O1692" s="84">
        <f>IF(I1692="EI",IF(OR(X1692="估算法",X1692="算法类"),"中",IF(X1692="无法识别","低",IF(L1692&lt;2,IF(N1692&lt;16,"低","中"),IF(L1692&lt;3,IF(N1692&lt;5,"低",IF(N1692&lt;16,"中","高")),IF(N1692&lt;5,"中","高"))))),IF(OR(I1692="EO",I1692="EQ"),IF(OR(X1692="估算法",X1692="算法类"),"中",IF(X1692="无法识别","低",IF(L1692&lt;2,IF(N1692&lt;20,"低","中"),IF(L1692&lt;4,IF(N1692&lt;6,"低",IF(N1692&lt;20,"中","高")),IF(N1692&lt;6,"中","高"))))),IF(OR(I1692="ILF",I1692="EIF"),IF(OR(X1692="估算法",X1692="算法类",X1692="无法识别"),"低",IF(M1692&lt;2,IF(N1692&lt;51,"低","中"),IF(M1692&lt;6,IF(N1692&lt;20,"低",IF(N1692&lt;51,"中","高")),IF(N1692&lt;20,"中","高")))),"不计算")))</f>
        <v/>
      </c>
      <c r="P1692" s="142">
        <f>IFERROR(IF(I1692="EI",IF(O1692="低",3,IF(O1692="中",4,6)),IF(I1692="EO",IF(O1692="低",4,IF(O1692="中",5,7)),IF(I1692="EQ",IF(O1692="低",3,IF(O1692="中",4,6)),IF(I1692="ILF",IF(O1692="低",7,IF(O1692="中",10,15)),IF(I1692="EIF",IF(O1692="低",5,IF(O1692="中",7,10)),"不计算")))))*Q1692,"不计算")</f>
        <v/>
      </c>
      <c r="Q1692" s="142" t="n">
        <v>1</v>
      </c>
      <c r="R1692" s="143">
        <f>调整因子!$F$13</f>
        <v/>
      </c>
      <c r="S1692" s="76" t="n">
        <v>1</v>
      </c>
      <c r="T1692" s="144">
        <f>IFERROR(P1692*R1692,0)</f>
        <v/>
      </c>
      <c r="U1692" s="145">
        <f>T1692*S1692</f>
        <v/>
      </c>
      <c r="V1692" s="96" t="inlineStr"/>
      <c r="W1692" s="96" t="inlineStr">
        <is>
          <t>配置项</t>
        </is>
      </c>
      <c r="X1692" s="111" t="inlineStr">
        <is>
          <t>日志采集配置表{配置ID、配置名称、配置类型|配置ID、配置名称、配置类型、配置值、创建时间}</t>
        </is>
      </c>
      <c r="Y1692" s="88">
        <f>IF(COUNTIFS(V:V,"*"&amp;H1692&amp;"*")&gt;0,"存在","不存在")</f>
        <v/>
      </c>
      <c r="Z1692" s="88">
        <f>IF(COUNTIFS(AA:AA,"*"&amp;H1692&amp;"*")&gt;0,"存在","不存在")</f>
        <v/>
      </c>
    </row>
    <row r="1693" hidden="1" ht="21.6" customHeight="1">
      <c r="A1693" s="69">
        <f>ROW()-1</f>
        <v/>
      </c>
      <c r="B1693" s="53" t="n"/>
      <c r="C1693" s="117" t="n">
        <v>2026</v>
      </c>
      <c r="E1693" s="53" t="n"/>
      <c r="F1693" s="53" t="n"/>
      <c r="G1693" s="53" t="n"/>
      <c r="H1693" s="96" t="inlineStr">
        <is>
          <t>编辑日志采集</t>
        </is>
      </c>
      <c r="I1693" s="76" t="inlineStr">
        <is>
          <t>EI</t>
        </is>
      </c>
      <c r="J1693" s="95" t="n"/>
      <c r="K1693" s="95" t="n"/>
      <c r="L1693" s="83">
        <f>IF(OR(X1693="估算法",X1693="算法类",X1693="无法识别"),"",IF(V1693="",IF(OR(I1693="EI",I1693="EO",I1693="EQ"),0,""),LEN(V1693)-LEN(SUBSTITUTE(V1693,"、",""))+1))</f>
        <v/>
      </c>
      <c r="M1693" s="83">
        <f>IF(OR(X1693="估算法",X1693="算法类",X1693="无法识别"),"",IF(W1693="",IF(OR(I1693="ILF",I1693="EIF"),0,""),LEN(W1693)-LEN(SUBSTITUTE(W1693,"、",""))+1))</f>
        <v/>
      </c>
      <c r="N1693" s="83">
        <f>IF(OR(X1693="估算法",X1693="算法类",X1693="无法识别"),"",IF(X1693="",IF(OR(I1693="ILF",I1693="EIF",I1693="EI",I1693="EO",I1693="EQ"),0,""),LEN(X1693)-LEN(SUBSTITUTE(SUBSTITUTE(SUBSTITUTE(SUBSTITUTE(SUBSTITUTE(X1693,"|}","--"),"{|","--"),CHAR(10),""),"、",""),"|",""))+IF(AND(OR(I1693="EI",I1693="EO",I1693="EQ"),$AD$1="NESMA"),2,1)))</f>
        <v/>
      </c>
      <c r="O1693" s="84">
        <f>IF(I1693="EI",IF(OR(X1693="估算法",X1693="算法类"),"中",IF(X1693="无法识别","低",IF(L1693&lt;2,IF(N1693&lt;16,"低","中"),IF(L1693&lt;3,IF(N1693&lt;5,"低",IF(N1693&lt;16,"中","高")),IF(N1693&lt;5,"中","高"))))),IF(OR(I1693="EO",I1693="EQ"),IF(OR(X1693="估算法",X1693="算法类"),"中",IF(X1693="无法识别","低",IF(L1693&lt;2,IF(N1693&lt;20,"低","中"),IF(L1693&lt;4,IF(N1693&lt;6,"低",IF(N1693&lt;20,"中","高")),IF(N1693&lt;6,"中","高"))))),IF(OR(I1693="ILF",I1693="EIF"),IF(OR(X1693="估算法",X1693="算法类",X1693="无法识别"),"低",IF(M1693&lt;2,IF(N1693&lt;51,"低","中"),IF(M1693&lt;6,IF(N1693&lt;20,"低",IF(N1693&lt;51,"中","高")),IF(N1693&lt;20,"中","高")))),"不计算")))</f>
        <v/>
      </c>
      <c r="P1693" s="142">
        <f>IFERROR(IF(I1693="EI",IF(O1693="低",3,IF(O1693="中",4,6)),IF(I1693="EO",IF(O1693="低",4,IF(O1693="中",5,7)),IF(I1693="EQ",IF(O1693="低",3,IF(O1693="中",4,6)),IF(I1693="ILF",IF(O1693="低",7,IF(O1693="中",10,15)),IF(I1693="EIF",IF(O1693="低",5,IF(O1693="中",7,10)),"不计算")))))*Q1693,"不计算")</f>
        <v/>
      </c>
      <c r="Q1693" s="142" t="n">
        <v>1</v>
      </c>
      <c r="R1693" s="143">
        <f>调整因子!$F$13</f>
        <v/>
      </c>
      <c r="S1693" s="70" t="n">
        <v>1</v>
      </c>
      <c r="T1693" s="144">
        <f>IFERROR(P1693*R1693,0)</f>
        <v/>
      </c>
      <c r="U1693" s="145">
        <f>T1693*S1693</f>
        <v/>
      </c>
      <c r="V1693" s="96" t="inlineStr">
        <is>
          <t>任务日志表</t>
        </is>
      </c>
      <c r="W1693" s="96" t="inlineStr"/>
      <c r="X1693" s="111" t="inlineStr">
        <is>
          <t>任务日志表{任务ID、任务名称、任务类型、任务状态、创建时间、执行时间|任务ID、任务名称、任务类型}</t>
        </is>
      </c>
      <c r="Y1693" s="88" t="n"/>
      <c r="Z1693" s="88" t="n"/>
    </row>
    <row r="1694" hidden="1" ht="21.6" customHeight="1">
      <c r="A1694" s="69">
        <f>ROW()-1</f>
        <v/>
      </c>
      <c r="B1694" s="53" t="n"/>
      <c r="C1694" s="117" t="n">
        <v>2026</v>
      </c>
      <c r="E1694" s="53" t="n"/>
      <c r="F1694" s="53" t="n"/>
      <c r="G1694" s="53" t="n"/>
      <c r="H1694" s="96" t="inlineStr">
        <is>
          <t>删除日志采集</t>
        </is>
      </c>
      <c r="I1694" s="76" t="inlineStr">
        <is>
          <t>EI</t>
        </is>
      </c>
      <c r="J1694" s="95" t="n"/>
      <c r="K1694" s="95" t="n"/>
      <c r="L1694" s="83">
        <f>IF(OR(X1694="估算法",X1694="算法类",X1694="无法识别"),"",IF(V1694="",IF(OR(I1694="EI",I1694="EO",I1694="EQ"),0,""),LEN(V1694)-LEN(SUBSTITUTE(V1694,"、",""))+1))</f>
        <v/>
      </c>
      <c r="M1694" s="83">
        <f>IF(OR(X1694="估算法",X1694="算法类",X1694="无法识别"),"",IF(W1694="",IF(OR(I1694="ILF",I1694="EIF"),0,""),LEN(W1694)-LEN(SUBSTITUTE(W1694,"、",""))+1))</f>
        <v/>
      </c>
      <c r="N1694" s="83">
        <f>IF(OR(X1694="估算法",X1694="算法类",X1694="无法识别"),"",IF(X1694="",IF(OR(I1694="ILF",I1694="EIF",I1694="EI",I1694="EO",I1694="EQ"),0,""),LEN(X1694)-LEN(SUBSTITUTE(SUBSTITUTE(SUBSTITUTE(SUBSTITUTE(SUBSTITUTE(X1694,"|}","--"),"{|","--"),CHAR(10),""),"、",""),"|",""))+IF(AND(OR(I1694="EI",I1694="EO",I1694="EQ"),$AD$1="NESMA"),2,1)))</f>
        <v/>
      </c>
      <c r="O1694" s="84">
        <f>IF(I1694="EI",IF(OR(X1694="估算法",X1694="算法类"),"中",IF(X1694="无法识别","低",IF(L1694&lt;2,IF(N1694&lt;16,"低","中"),IF(L1694&lt;3,IF(N1694&lt;5,"低",IF(N1694&lt;16,"中","高")),IF(N1694&lt;5,"中","高"))))),IF(OR(I1694="EO",I1694="EQ"),IF(OR(X1694="估算法",X1694="算法类"),"中",IF(X1694="无法识别","低",IF(L1694&lt;2,IF(N1694&lt;20,"低","中"),IF(L1694&lt;4,IF(N1694&lt;6,"低",IF(N1694&lt;20,"中","高")),IF(N1694&lt;6,"中","高"))))),IF(OR(I1694="ILF",I1694="EIF"),IF(OR(X1694="估算法",X1694="算法类",X1694="无法识别"),"低",IF(M1694&lt;2,IF(N1694&lt;51,"低","中"),IF(M1694&lt;6,IF(N1694&lt;20,"低",IF(N1694&lt;51,"中","高")),IF(N1694&lt;20,"中","高")))),"不计算")))</f>
        <v/>
      </c>
      <c r="P1694" s="142">
        <f>IFERROR(IF(I1694="EI",IF(O1694="低",3,IF(O1694="中",4,6)),IF(I1694="EO",IF(O1694="低",4,IF(O1694="中",5,7)),IF(I1694="EQ",IF(O1694="低",3,IF(O1694="中",4,6)),IF(I1694="ILF",IF(O1694="低",7,IF(O1694="中",10,15)),IF(I1694="EIF",IF(O1694="低",5,IF(O1694="中",7,10)),"不计算")))))*Q1694,"不计算")</f>
        <v/>
      </c>
      <c r="Q1694" s="142" t="n">
        <v>0.333333333333333</v>
      </c>
      <c r="R1694" s="143">
        <f>调整因子!$F$13</f>
        <v/>
      </c>
      <c r="S1694" s="70" t="n">
        <v>1</v>
      </c>
      <c r="T1694" s="144">
        <f>IFERROR(P1694*R1694,0)</f>
        <v/>
      </c>
      <c r="U1694" s="145">
        <f>T1694*S1694</f>
        <v/>
      </c>
      <c r="V1694" s="96" t="inlineStr">
        <is>
          <t>任务日志表</t>
        </is>
      </c>
      <c r="W1694" s="96" t="inlineStr"/>
      <c r="X1694" s="111" t="inlineStr">
        <is>
          <t>任务日志表{任务ID、任务名称、任务类型、任务状态、创建时间、执行时间|任务ID、任务名称、任务类型}</t>
        </is>
      </c>
      <c r="Y1694" s="88" t="n"/>
      <c r="Z1694" s="88" t="n"/>
    </row>
    <row r="1695" hidden="1" ht="21.6" customHeight="1">
      <c r="A1695" s="69">
        <f>ROW()-1</f>
        <v/>
      </c>
      <c r="B1695" s="53" t="n"/>
      <c r="C1695" s="117" t="n">
        <v>2026</v>
      </c>
      <c r="E1695" s="53" t="n"/>
      <c r="F1695" s="53" t="n"/>
      <c r="G1695" s="53" t="n"/>
      <c r="H1695" s="96" t="inlineStr">
        <is>
          <t>启用日志采集</t>
        </is>
      </c>
      <c r="I1695" s="76" t="inlineStr">
        <is>
          <t>EI</t>
        </is>
      </c>
      <c r="J1695" s="95" t="n"/>
      <c r="K1695" s="95" t="n"/>
      <c r="L1695" s="83">
        <f>IF(OR(X1695="估算法",X1695="算法类",X1695="无法识别"),"",IF(V1695="",IF(OR(I1695="EI",I1695="EO",I1695="EQ"),0,""),LEN(V1695)-LEN(SUBSTITUTE(V1695,"、",""))+1))</f>
        <v/>
      </c>
      <c r="M1695" s="83">
        <f>IF(OR(X1695="估算法",X1695="算法类",X1695="无法识别"),"",IF(W1695="",IF(OR(I1695="ILF",I1695="EIF"),0,""),LEN(W1695)-LEN(SUBSTITUTE(W1695,"、",""))+1))</f>
        <v/>
      </c>
      <c r="N1695" s="83">
        <f>IF(OR(X1695="估算法",X1695="算法类",X1695="无法识别"),"",IF(X1695="",IF(OR(I1695="ILF",I1695="EIF",I1695="EI",I1695="EO",I1695="EQ"),0,""),LEN(X1695)-LEN(SUBSTITUTE(SUBSTITUTE(SUBSTITUTE(SUBSTITUTE(SUBSTITUTE(X1695,"|}","--"),"{|","--"),CHAR(10),""),"、",""),"|",""))+IF(AND(OR(I1695="EI",I1695="EO",I1695="EQ"),$AD$1="NESMA"),2,1)))</f>
        <v/>
      </c>
      <c r="O1695" s="84">
        <f>IF(I1695="EI",IF(OR(X1695="估算法",X1695="算法类"),"中",IF(X1695="无法识别","低",IF(L1695&lt;2,IF(N1695&lt;16,"低","中"),IF(L1695&lt;3,IF(N1695&lt;5,"低",IF(N1695&lt;16,"中","高")),IF(N1695&lt;5,"中","高"))))),IF(OR(I1695="EO",I1695="EQ"),IF(OR(X1695="估算法",X1695="算法类"),"中",IF(X1695="无法识别","低",IF(L1695&lt;2,IF(N1695&lt;20,"低","中"),IF(L1695&lt;4,IF(N1695&lt;6,"低",IF(N1695&lt;20,"中","高")),IF(N1695&lt;6,"中","高"))))),IF(OR(I1695="ILF",I1695="EIF"),IF(OR(X1695="估算法",X1695="算法类",X1695="无法识别"),"低",IF(M1695&lt;2,IF(N1695&lt;51,"低","中"),IF(M1695&lt;6,IF(N1695&lt;20,"低",IF(N1695&lt;51,"中","高")),IF(N1695&lt;20,"中","高")))),"不计算")))</f>
        <v/>
      </c>
      <c r="P1695" s="142">
        <f>IFERROR(IF(I1695="EI",IF(O1695="低",3,IF(O1695="中",4,6)),IF(I1695="EO",IF(O1695="低",4,IF(O1695="中",5,7)),IF(I1695="EQ",IF(O1695="低",3,IF(O1695="中",4,6)),IF(I1695="ILF",IF(O1695="低",7,IF(O1695="中",10,15)),IF(I1695="EIF",IF(O1695="低",5,IF(O1695="中",7,10)),"不计算")))))*Q1695,"不计算")</f>
        <v/>
      </c>
      <c r="Q1695" s="142" t="n">
        <v>1</v>
      </c>
      <c r="R1695" s="143">
        <f>调整因子!$F$13</f>
        <v/>
      </c>
      <c r="S1695" s="76" t="n">
        <v>1</v>
      </c>
      <c r="T1695" s="144">
        <f>IFERROR(P1695*R1695,0)</f>
        <v/>
      </c>
      <c r="U1695" s="145">
        <f>T1695*S1695</f>
        <v/>
      </c>
      <c r="V1695" s="96" t="inlineStr">
        <is>
          <t>任务日志表</t>
        </is>
      </c>
      <c r="W1695" s="96" t="inlineStr"/>
      <c r="X1695" s="111" t="inlineStr">
        <is>
          <t>任务日志表{任务ID、任务名称、任务类型、任务状态、创建时间、执行时间|任务ID、任务名称、任务类型}</t>
        </is>
      </c>
      <c r="Y1695" s="88" t="n"/>
      <c r="Z1695" s="88" t="n"/>
    </row>
    <row r="1696" hidden="1" ht="21.6" customHeight="1">
      <c r="A1696" s="69">
        <f>ROW()-1</f>
        <v/>
      </c>
      <c r="B1696" s="53" t="n"/>
      <c r="C1696" s="117" t="n">
        <v>2026</v>
      </c>
      <c r="E1696" s="53" t="n"/>
      <c r="F1696" s="53" t="n"/>
      <c r="G1696" s="53" t="n"/>
      <c r="H1696" s="96" t="inlineStr">
        <is>
          <t>停用日志采集</t>
        </is>
      </c>
      <c r="I1696" s="76" t="n"/>
      <c r="J1696" s="95" t="n"/>
      <c r="K1696" s="95" t="inlineStr">
        <is>
          <t>和上行合并，启停为相同功能</t>
        </is>
      </c>
      <c r="L1696" s="83">
        <f>IF(OR(X1696="估算法",X1696="算法类",X1696="无法识别"),"",IF(V1696="",IF(OR(I1696="EI",I1696="EO",I1696="EQ"),0,""),LEN(V1696)-LEN(SUBSTITUTE(V1696,"、",""))+1))</f>
        <v/>
      </c>
      <c r="M1696" s="83">
        <f>IF(OR(X1696="估算法",X1696="算法类",X1696="无法识别"),"",IF(W1696="",IF(OR(I1696="ILF",I1696="EIF"),0,""),LEN(W1696)-LEN(SUBSTITUTE(W1696,"、",""))+1))</f>
        <v/>
      </c>
      <c r="N1696" s="83">
        <f>IF(OR(X1696="估算法",X1696="算法类",X1696="无法识别"),"",IF(X1696="",IF(OR(I1696="ILF",I1696="EIF",I1696="EI",I1696="EO",I1696="EQ"),0,""),LEN(X1696)-LEN(SUBSTITUTE(SUBSTITUTE(SUBSTITUTE(SUBSTITUTE(SUBSTITUTE(X1696,"|}","--"),"{|","--"),CHAR(10),""),"、",""),"|",""))+IF(AND(OR(I1696="EI",I1696="EO",I1696="EQ"),$AD$1="NESMA"),2,1)))</f>
        <v/>
      </c>
      <c r="O1696" s="84">
        <f>IF(I1696="EI",IF(OR(X1696="估算法",X1696="算法类"),"中",IF(X1696="无法识别","低",IF(L1696&lt;2,IF(N1696&lt;16,"低","中"),IF(L1696&lt;3,IF(N1696&lt;5,"低",IF(N1696&lt;16,"中","高")),IF(N1696&lt;5,"中","高"))))),IF(OR(I1696="EO",I1696="EQ"),IF(OR(X1696="估算法",X1696="算法类"),"中",IF(X1696="无法识别","低",IF(L1696&lt;2,IF(N1696&lt;20,"低","中"),IF(L1696&lt;4,IF(N1696&lt;6,"低",IF(N1696&lt;20,"中","高")),IF(N1696&lt;6,"中","高"))))),IF(OR(I1696="ILF",I1696="EIF"),IF(OR(X1696="估算法",X1696="算法类",X1696="无法识别"),"低",IF(M1696&lt;2,IF(N1696&lt;51,"低","中"),IF(M1696&lt;6,IF(N1696&lt;20,"低",IF(N1696&lt;51,"中","高")),IF(N1696&lt;20,"中","高")))),"不计算")))</f>
        <v/>
      </c>
      <c r="P1696" s="142">
        <f>IFERROR(IF(I1696="EI",IF(O1696="低",3,IF(O1696="中",4,6)),IF(I1696="EO",IF(O1696="低",4,IF(O1696="中",5,7)),IF(I1696="EQ",IF(O1696="低",3,IF(O1696="中",4,6)),IF(I1696="ILF",IF(O1696="低",7,IF(O1696="中",10,15)),IF(I1696="EIF",IF(O1696="低",5,IF(O1696="中",7,10)),"不计算")))))*Q1696,"不计算")</f>
        <v/>
      </c>
      <c r="Q1696" s="142" t="n">
        <v>1</v>
      </c>
      <c r="R1696" s="143">
        <f>调整因子!$F$13</f>
        <v/>
      </c>
      <c r="S1696" s="70" t="n">
        <v>1</v>
      </c>
      <c r="T1696" s="144">
        <f>IFERROR(P1696*R1696,0)</f>
        <v/>
      </c>
      <c r="U1696" s="145">
        <f>T1696*S1696</f>
        <v/>
      </c>
      <c r="V1696" s="96" t="inlineStr">
        <is>
          <t>任务日志表</t>
        </is>
      </c>
      <c r="W1696" s="96" t="inlineStr"/>
      <c r="X1696" s="111" t="inlineStr">
        <is>
          <t>任务日志表{任务ID、任务名称、任务类型、任务状态、创建时间、执行时间|任务ID、任务名称、任务类型}</t>
        </is>
      </c>
      <c r="Y1696" s="88" t="n"/>
      <c r="Z1696" s="88" t="n"/>
    </row>
    <row r="1697" hidden="1">
      <c r="A1697" s="69">
        <f>ROW()-1</f>
        <v/>
      </c>
      <c r="B1697" s="53" t="n"/>
      <c r="C1697" s="117" t="n">
        <v>2026</v>
      </c>
      <c r="E1697" s="53" t="n"/>
      <c r="F1697" s="53" t="n"/>
      <c r="G1697" s="53" t="n"/>
      <c r="H1697" s="96" t="inlineStr">
        <is>
          <t>导出日志配置</t>
        </is>
      </c>
      <c r="I1697" s="76" t="inlineStr">
        <is>
          <t>EO</t>
        </is>
      </c>
      <c r="J1697" s="95" t="n"/>
      <c r="K1697" s="95" t="n"/>
      <c r="L1697" s="83">
        <f>IF(OR(X1697="估算法",X1697="算法类",X1697="无法识别"),"",IF(V1697="",IF(OR(I1697="EI",I1697="EO",I1697="EQ"),0,""),LEN(V1697)-LEN(SUBSTITUTE(V1697,"、",""))+1))</f>
        <v/>
      </c>
      <c r="M1697" s="83">
        <f>IF(OR(X1697="估算法",X1697="算法类",X1697="无法识别"),"",IF(W1697="",IF(OR(I1697="ILF",I1697="EIF"),0,""),LEN(W1697)-LEN(SUBSTITUTE(W1697,"、",""))+1))</f>
        <v/>
      </c>
      <c r="N1697" s="83">
        <f>IF(OR(X1697="估算法",X1697="算法类",X1697="无法识别"),"",IF(X1697="",IF(OR(I1697="ILF",I1697="EIF",I1697="EI",I1697="EO",I1697="EQ"),0,""),LEN(X1697)-LEN(SUBSTITUTE(SUBSTITUTE(SUBSTITUTE(SUBSTITUTE(SUBSTITUTE(X1697,"|}","--"),"{|","--"),CHAR(10),""),"、",""),"|",""))+IF(AND(OR(I1697="EI",I1697="EO",I1697="EQ"),$AD$1="NESMA"),2,1)))</f>
        <v/>
      </c>
      <c r="O1697" s="84">
        <f>IF(I1697="EI",IF(OR(X1697="估算法",X1697="算法类"),"中",IF(X1697="无法识别","低",IF(L1697&lt;2,IF(N1697&lt;16,"低","中"),IF(L1697&lt;3,IF(N1697&lt;5,"低",IF(N1697&lt;16,"中","高")),IF(N1697&lt;5,"中","高"))))),IF(OR(I1697="EO",I1697="EQ"),IF(OR(X1697="估算法",X1697="算法类"),"中",IF(X1697="无法识别","低",IF(L1697&lt;2,IF(N1697&lt;20,"低","中"),IF(L1697&lt;4,IF(N1697&lt;6,"低",IF(N1697&lt;20,"中","高")),IF(N1697&lt;6,"中","高"))))),IF(OR(I1697="ILF",I1697="EIF"),IF(OR(X1697="估算法",X1697="算法类",X1697="无法识别"),"低",IF(M1697&lt;2,IF(N1697&lt;51,"低","中"),IF(M1697&lt;6,IF(N1697&lt;20,"低",IF(N1697&lt;51,"中","高")),IF(N1697&lt;20,"中","高")))),"不计算")))</f>
        <v/>
      </c>
      <c r="P1697" s="142">
        <f>IFERROR(IF(I1697="EI",IF(O1697="低",3,IF(O1697="中",4,6)),IF(I1697="EO",IF(O1697="低",4,IF(O1697="中",5,7)),IF(I1697="EQ",IF(O1697="低",3,IF(O1697="中",4,6)),IF(I1697="ILF",IF(O1697="低",7,IF(O1697="中",10,15)),IF(I1697="EIF",IF(O1697="低",5,IF(O1697="中",7,10)),"不计算")))))*Q1697,"不计算")</f>
        <v/>
      </c>
      <c r="Q1697" s="142" t="n">
        <v>1</v>
      </c>
      <c r="R1697" s="143">
        <f>调整因子!$F$13</f>
        <v/>
      </c>
      <c r="S1697" s="70" t="n">
        <v>1</v>
      </c>
      <c r="T1697" s="144">
        <f>IFERROR(P1697*R1697,0)</f>
        <v/>
      </c>
      <c r="U1697" s="145">
        <f>T1697*S1697</f>
        <v/>
      </c>
      <c r="V1697" s="96" t="inlineStr">
        <is>
          <t>任务日志表</t>
        </is>
      </c>
      <c r="W1697" s="96" t="inlineStr"/>
      <c r="X1697" s="111" t="inlineStr">
        <is>
          <t>任务日志表{任务ID、任务名称|任务ID、任务名称、任务类型}</t>
        </is>
      </c>
      <c r="Y1697" s="88" t="n"/>
      <c r="Z1697" s="88" t="n"/>
    </row>
    <row r="1698" hidden="1">
      <c r="A1698" s="69">
        <f>ROW()-1</f>
        <v/>
      </c>
      <c r="B1698" s="53" t="n"/>
      <c r="C1698" s="117" t="n">
        <v>2026</v>
      </c>
      <c r="E1698" s="53" t="n"/>
      <c r="F1698" s="53" t="n"/>
      <c r="G1698" s="53" t="n"/>
      <c r="H1698" s="96" t="inlineStr">
        <is>
          <t>查询日志状态</t>
        </is>
      </c>
      <c r="I1698" s="76" t="inlineStr">
        <is>
          <t>EQ</t>
        </is>
      </c>
      <c r="J1698" s="95" t="n"/>
      <c r="K1698" s="95" t="n"/>
      <c r="L1698" s="83">
        <f>IF(OR(X1698="估算法",X1698="算法类",X1698="无法识别"),"",IF(V1698="",IF(OR(I1698="EI",I1698="EO",I1698="EQ"),0,""),LEN(V1698)-LEN(SUBSTITUTE(V1698,"、",""))+1))</f>
        <v/>
      </c>
      <c r="M1698" s="83">
        <f>IF(OR(X1698="估算法",X1698="算法类",X1698="无法识别"),"",IF(W1698="",IF(OR(I1698="ILF",I1698="EIF"),0,""),LEN(W1698)-LEN(SUBSTITUTE(W1698,"、",""))+1))</f>
        <v/>
      </c>
      <c r="N1698" s="83">
        <f>IF(OR(X1698="估算法",X1698="算法类",X1698="无法识别"),"",IF(X1698="",IF(OR(I1698="ILF",I1698="EIF",I1698="EI",I1698="EO",I1698="EQ"),0,""),LEN(X1698)-LEN(SUBSTITUTE(SUBSTITUTE(SUBSTITUTE(SUBSTITUTE(SUBSTITUTE(X1698,"|}","--"),"{|","--"),CHAR(10),""),"、",""),"|",""))+IF(AND(OR(I1698="EI",I1698="EO",I1698="EQ"),$AD$1="NESMA"),2,1)))</f>
        <v/>
      </c>
      <c r="O1698" s="84">
        <f>IF(I1698="EI",IF(OR(X1698="估算法",X1698="算法类"),"中",IF(X1698="无法识别","低",IF(L1698&lt;2,IF(N1698&lt;16,"低","中"),IF(L1698&lt;3,IF(N1698&lt;5,"低",IF(N1698&lt;16,"中","高")),IF(N1698&lt;5,"中","高"))))),IF(OR(I1698="EO",I1698="EQ"),IF(OR(X1698="估算法",X1698="算法类"),"中",IF(X1698="无法识别","低",IF(L1698&lt;2,IF(N1698&lt;20,"低","中"),IF(L1698&lt;4,IF(N1698&lt;6,"低",IF(N1698&lt;20,"中","高")),IF(N1698&lt;6,"中","高"))))),IF(OR(I1698="ILF",I1698="EIF"),IF(OR(X1698="估算法",X1698="算法类",X1698="无法识别"),"低",IF(M1698&lt;2,IF(N1698&lt;51,"低","中"),IF(M1698&lt;6,IF(N1698&lt;20,"低",IF(N1698&lt;51,"中","高")),IF(N1698&lt;20,"中","高")))),"不计算")))</f>
        <v/>
      </c>
      <c r="P1698" s="142">
        <f>IFERROR(IF(I1698="EI",IF(O1698="低",3,IF(O1698="中",4,6)),IF(I1698="EO",IF(O1698="低",4,IF(O1698="中",5,7)),IF(I1698="EQ",IF(O1698="低",3,IF(O1698="中",4,6)),IF(I1698="ILF",IF(O1698="低",7,IF(O1698="中",10,15)),IF(I1698="EIF",IF(O1698="低",5,IF(O1698="中",7,10)),"不计算")))))*Q1698,"不计算")</f>
        <v/>
      </c>
      <c r="Q1698" s="142" t="n">
        <v>1</v>
      </c>
      <c r="R1698" s="143">
        <f>调整因子!$F$13</f>
        <v/>
      </c>
      <c r="S1698" s="76" t="n">
        <v>1</v>
      </c>
      <c r="T1698" s="144">
        <f>IFERROR(P1698*R1698,0)</f>
        <v/>
      </c>
      <c r="U1698" s="145">
        <f>T1698*S1698</f>
        <v/>
      </c>
      <c r="V1698" s="96" t="inlineStr">
        <is>
          <t>任务日志表</t>
        </is>
      </c>
      <c r="W1698" s="96" t="inlineStr"/>
      <c r="X1698" s="111" t="inlineStr">
        <is>
          <t>任务日志表{任务ID、任务名称|任务ID、任务名称、任务类型、任务状态、创建时间}</t>
        </is>
      </c>
      <c r="Y1698" s="88" t="n"/>
      <c r="Z1698" s="88" t="n"/>
    </row>
    <row r="1699" hidden="1">
      <c r="A1699" s="69">
        <f>ROW()-1</f>
        <v/>
      </c>
      <c r="B1699" s="53" t="n"/>
      <c r="C1699" s="117" t="n">
        <v>2026</v>
      </c>
      <c r="E1699" s="53" t="n"/>
      <c r="F1699" s="53" t="n"/>
      <c r="G1699" s="54" t="n"/>
      <c r="H1699" s="96" t="inlineStr">
        <is>
          <t>查看日志详情</t>
        </is>
      </c>
      <c r="I1699" s="76" t="inlineStr">
        <is>
          <t>EQ</t>
        </is>
      </c>
      <c r="J1699" s="95" t="n"/>
      <c r="K1699" s="95" t="n"/>
      <c r="L1699" s="83">
        <f>IF(OR(X1699="估算法",X1699="算法类",X1699="无法识别"),"",IF(V1699="",IF(OR(I1699="EI",I1699="EO",I1699="EQ"),0,""),LEN(V1699)-LEN(SUBSTITUTE(V1699,"、",""))+1))</f>
        <v/>
      </c>
      <c r="M1699" s="83">
        <f>IF(OR(X1699="估算法",X1699="算法类",X1699="无法识别"),"",IF(W1699="",IF(OR(I1699="ILF",I1699="EIF"),0,""),LEN(W1699)-LEN(SUBSTITUTE(W1699,"、",""))+1))</f>
        <v/>
      </c>
      <c r="N1699" s="83">
        <f>IF(OR(X1699="估算法",X1699="算法类",X1699="无法识别"),"",IF(X1699="",IF(OR(I1699="ILF",I1699="EIF",I1699="EI",I1699="EO",I1699="EQ"),0,""),LEN(X1699)-LEN(SUBSTITUTE(SUBSTITUTE(SUBSTITUTE(SUBSTITUTE(SUBSTITUTE(X1699,"|}","--"),"{|","--"),CHAR(10),""),"、",""),"|",""))+IF(AND(OR(I1699="EI",I1699="EO",I1699="EQ"),$AD$1="NESMA"),2,1)))</f>
        <v/>
      </c>
      <c r="O1699" s="84">
        <f>IF(I1699="EI",IF(OR(X1699="估算法",X1699="算法类"),"中",IF(X1699="无法识别","低",IF(L1699&lt;2,IF(N1699&lt;16,"低","中"),IF(L1699&lt;3,IF(N1699&lt;5,"低",IF(N1699&lt;16,"中","高")),IF(N1699&lt;5,"中","高"))))),IF(OR(I1699="EO",I1699="EQ"),IF(OR(X1699="估算法",X1699="算法类"),"中",IF(X1699="无法识别","低",IF(L1699&lt;2,IF(N1699&lt;20,"低","中"),IF(L1699&lt;4,IF(N1699&lt;6,"低",IF(N1699&lt;20,"中","高")),IF(N1699&lt;6,"中","高"))))),IF(OR(I1699="ILF",I1699="EIF"),IF(OR(X1699="估算法",X1699="算法类",X1699="无法识别"),"低",IF(M1699&lt;2,IF(N1699&lt;51,"低","中"),IF(M1699&lt;6,IF(N1699&lt;20,"低",IF(N1699&lt;51,"中","高")),IF(N1699&lt;20,"中","高")))),"不计算")))</f>
        <v/>
      </c>
      <c r="P1699" s="142">
        <f>IFERROR(IF(I1699="EI",IF(O1699="低",3,IF(O1699="中",4,6)),IF(I1699="EO",IF(O1699="低",4,IF(O1699="中",5,7)),IF(I1699="EQ",IF(O1699="低",3,IF(O1699="中",4,6)),IF(I1699="ILF",IF(O1699="低",7,IF(O1699="中",10,15)),IF(I1699="EIF",IF(O1699="低",5,IF(O1699="中",7,10)),"不计算")))))*Q1699,"不计算")</f>
        <v/>
      </c>
      <c r="Q1699" s="142" t="n">
        <v>1</v>
      </c>
      <c r="R1699" s="143">
        <f>调整因子!$F$13</f>
        <v/>
      </c>
      <c r="S1699" s="76" t="n">
        <v>1</v>
      </c>
      <c r="T1699" s="144">
        <f>IFERROR(P1699*R1699,0)</f>
        <v/>
      </c>
      <c r="U1699" s="145">
        <f>T1699*S1699</f>
        <v/>
      </c>
      <c r="V1699" s="96" t="inlineStr">
        <is>
          <t>任务日志表</t>
        </is>
      </c>
      <c r="W1699" s="96" t="inlineStr"/>
      <c r="X1699" s="111" t="inlineStr">
        <is>
          <t>任务日志表{任务ID、任务名称|任务ID、任务名称、任务类型、任务状态}</t>
        </is>
      </c>
      <c r="Y1699" s="88" t="n"/>
      <c r="Z1699" s="88" t="n"/>
    </row>
    <row r="1700" hidden="1" ht="21.6" customHeight="1">
      <c r="A1700" s="69">
        <f>ROW()-1</f>
        <v/>
      </c>
      <c r="B1700" s="53" t="n"/>
      <c r="C1700" s="117" t="n">
        <v>2026</v>
      </c>
      <c r="E1700" s="53" t="n"/>
      <c r="F1700" s="53" t="n"/>
      <c r="G1700" s="111" t="inlineStr">
        <is>
          <t>日志查询分析管理</t>
        </is>
      </c>
      <c r="H1700" s="96" t="inlineStr">
        <is>
          <t>日志查询记录表</t>
        </is>
      </c>
      <c r="I1700" s="76" t="n"/>
      <c r="J1700" s="95" t="n"/>
      <c r="K1700" s="95" t="inlineStr">
        <is>
          <t>非ILF - 日志表</t>
        </is>
      </c>
      <c r="L1700" s="83">
        <f>IF(OR(X1700="估算法",X1700="算法类",X1700="无法识别"),"",IF(V1700="",IF(OR(I1700="EI",I1700="EO",I1700="EQ"),0,""),LEN(V1700)-LEN(SUBSTITUTE(V1700,"、",""))+1))</f>
        <v/>
      </c>
      <c r="M1700" s="83">
        <f>IF(OR(X1700="估算法",X1700="算法类",X1700="无法识别"),"",IF(W1700="",IF(OR(I1700="ILF",I1700="EIF"),0,""),LEN(W1700)-LEN(SUBSTITUTE(W1700,"、",""))+1))</f>
        <v/>
      </c>
      <c r="N1700" s="83">
        <f>IF(OR(X1700="估算法",X1700="算法类",X1700="无法识别"),"",IF(X1700="",IF(OR(I1700="ILF",I1700="EIF",I1700="EI",I1700="EO",I1700="EQ"),0,""),LEN(X1700)-LEN(SUBSTITUTE(SUBSTITUTE(SUBSTITUTE(SUBSTITUTE(SUBSTITUTE(X1700,"|}","--"),"{|","--"),CHAR(10),""),"、",""),"|",""))+IF(AND(OR(I1700="EI",I1700="EO",I1700="EQ"),$AD$1="NESMA"),2,1)))</f>
        <v/>
      </c>
      <c r="O1700" s="84">
        <f>IF(I1700="EI",IF(OR(X1700="估算法",X1700="算法类"),"中",IF(X1700="无法识别","低",IF(L1700&lt;2,IF(N1700&lt;16,"低","中"),IF(L1700&lt;3,IF(N1700&lt;5,"低",IF(N1700&lt;16,"中","高")),IF(N1700&lt;5,"中","高"))))),IF(OR(I1700="EO",I1700="EQ"),IF(OR(X1700="估算法",X1700="算法类"),"中",IF(X1700="无法识别","低",IF(L1700&lt;2,IF(N1700&lt;20,"低","中"),IF(L1700&lt;4,IF(N1700&lt;6,"低",IF(N1700&lt;20,"中","高")),IF(N1700&lt;6,"中","高"))))),IF(OR(I1700="ILF",I1700="EIF"),IF(OR(X1700="估算法",X1700="算法类",X1700="无法识别"),"低",IF(M1700&lt;2,IF(N1700&lt;51,"低","中"),IF(M1700&lt;6,IF(N1700&lt;20,"低",IF(N1700&lt;51,"中","高")),IF(N1700&lt;20,"中","高")))),"不计算")))</f>
        <v/>
      </c>
      <c r="P1700" s="142">
        <f>IFERROR(IF(I1700="EI",IF(O1700="低",3,IF(O1700="中",4,6)),IF(I1700="EO",IF(O1700="低",4,IF(O1700="中",5,7)),IF(I1700="EQ",IF(O1700="低",3,IF(O1700="中",4,6)),IF(I1700="ILF",IF(O1700="低",7,IF(O1700="中",10,15)),IF(I1700="EIF",IF(O1700="低",5,IF(O1700="中",7,10)),"不计算")))))*Q1700,"不计算")</f>
        <v/>
      </c>
      <c r="Q1700" s="142" t="n">
        <v>1</v>
      </c>
      <c r="R1700" s="143">
        <f>调整因子!$F$13</f>
        <v/>
      </c>
      <c r="S1700" s="70" t="n">
        <v>1</v>
      </c>
      <c r="T1700" s="144">
        <f>IFERROR(P1700*R1700,0)</f>
        <v/>
      </c>
      <c r="U1700" s="145">
        <f>T1700*S1700</f>
        <v/>
      </c>
      <c r="V1700" s="96" t="inlineStr"/>
      <c r="W1700" s="96" t="inlineStr">
        <is>
          <t>操作日志</t>
        </is>
      </c>
      <c r="X1700" s="111" t="inlineStr">
        <is>
          <t>日志查询记录表{日志ID、操作人、操作类型|日志ID、操作人、操作类型、操作时间、操作内容}</t>
        </is>
      </c>
      <c r="Y1700" s="88">
        <f>IF(COUNTIFS(V:V,"*"&amp;H1700&amp;"*")&gt;0,"存在","不存在")</f>
        <v/>
      </c>
      <c r="Z1700" s="88">
        <f>IF(COUNTIFS(AA:AA,"*"&amp;H1700&amp;"*")&gt;0,"存在","不存在")</f>
        <v/>
      </c>
    </row>
    <row r="1701" hidden="1" ht="21.6" customHeight="1">
      <c r="A1701" s="69">
        <f>ROW()-1</f>
        <v/>
      </c>
      <c r="B1701" s="53" t="n"/>
      <c r="C1701" s="117" t="n">
        <v>2026</v>
      </c>
      <c r="E1701" s="53" t="n"/>
      <c r="F1701" s="53" t="n"/>
      <c r="G1701" s="53" t="n"/>
      <c r="H1701" s="96" t="inlineStr">
        <is>
          <t>查询操作日志</t>
        </is>
      </c>
      <c r="I1701" s="76" t="inlineStr">
        <is>
          <t>EI</t>
        </is>
      </c>
      <c r="J1701" s="95" t="n"/>
      <c r="K1701" s="95" t="n"/>
      <c r="L1701" s="83">
        <f>IF(OR(X1701="估算法",X1701="算法类",X1701="无法识别"),"",IF(V1701="",IF(OR(I1701="EI",I1701="EO",I1701="EQ"),0,""),LEN(V1701)-LEN(SUBSTITUTE(V1701,"、",""))+1))</f>
        <v/>
      </c>
      <c r="M1701" s="83">
        <f>IF(OR(X1701="估算法",X1701="算法类",X1701="无法识别"),"",IF(W1701="",IF(OR(I1701="ILF",I1701="EIF"),0,""),LEN(W1701)-LEN(SUBSTITUTE(W1701,"、",""))+1))</f>
        <v/>
      </c>
      <c r="N1701" s="83">
        <f>IF(OR(X1701="估算法",X1701="算法类",X1701="无法识别"),"",IF(X1701="",IF(OR(I1701="ILF",I1701="EIF",I1701="EI",I1701="EO",I1701="EQ"),0,""),LEN(X1701)-LEN(SUBSTITUTE(SUBSTITUTE(SUBSTITUTE(SUBSTITUTE(SUBSTITUTE(X1701,"|}","--"),"{|","--"),CHAR(10),""),"、",""),"|",""))+IF(AND(OR(I1701="EI",I1701="EO",I1701="EQ"),$AD$1="NESMA"),2,1)))</f>
        <v/>
      </c>
      <c r="O1701" s="84">
        <f>IF(I1701="EI",IF(OR(X1701="估算法",X1701="算法类"),"中",IF(X1701="无法识别","低",IF(L1701&lt;2,IF(N1701&lt;16,"低","中"),IF(L1701&lt;3,IF(N1701&lt;5,"低",IF(N1701&lt;16,"中","高")),IF(N1701&lt;5,"中","高"))))),IF(OR(I1701="EO",I1701="EQ"),IF(OR(X1701="估算法",X1701="算法类"),"中",IF(X1701="无法识别","低",IF(L1701&lt;2,IF(N1701&lt;20,"低","中"),IF(L1701&lt;4,IF(N1701&lt;6,"低",IF(N1701&lt;20,"中","高")),IF(N1701&lt;6,"中","高"))))),IF(OR(I1701="ILF",I1701="EIF"),IF(OR(X1701="估算法",X1701="算法类",X1701="无法识别"),"低",IF(M1701&lt;2,IF(N1701&lt;51,"低","中"),IF(M1701&lt;6,IF(N1701&lt;20,"低",IF(N1701&lt;51,"中","高")),IF(N1701&lt;20,"中","高")))),"不计算")))</f>
        <v/>
      </c>
      <c r="P1701" s="142">
        <f>IFERROR(IF(I1701="EI",IF(O1701="低",3,IF(O1701="中",4,6)),IF(I1701="EO",IF(O1701="低",4,IF(O1701="中",5,7)),IF(I1701="EQ",IF(O1701="低",3,IF(O1701="中",4,6)),IF(I1701="ILF",IF(O1701="低",7,IF(O1701="中",10,15)),IF(I1701="EIF",IF(O1701="低",5,IF(O1701="中",7,10)),"不计算")))))*Q1701,"不计算")</f>
        <v/>
      </c>
      <c r="Q1701" s="142" t="n">
        <v>1</v>
      </c>
      <c r="R1701" s="143">
        <f>调整因子!$F$13</f>
        <v/>
      </c>
      <c r="S1701" s="70" t="n">
        <v>1</v>
      </c>
      <c r="T1701" s="144">
        <f>IFERROR(P1701*R1701,0)</f>
        <v/>
      </c>
      <c r="U1701" s="145">
        <f>T1701*S1701</f>
        <v/>
      </c>
      <c r="V1701" s="96" t="inlineStr">
        <is>
          <t>任务日志表</t>
        </is>
      </c>
      <c r="W1701" s="96" t="inlineStr"/>
      <c r="X1701" s="111" t="inlineStr">
        <is>
          <t>任务日志表{任务ID、任务名称、任务类型、任务状态、创建时间、执行时间|任务ID、任务名称、任务类型}</t>
        </is>
      </c>
      <c r="Y1701" s="88" t="n"/>
      <c r="Z1701" s="88" t="n"/>
    </row>
    <row r="1702" hidden="1">
      <c r="A1702" s="69">
        <f>ROW()-1</f>
        <v/>
      </c>
      <c r="B1702" s="53" t="n"/>
      <c r="C1702" s="117" t="n">
        <v>2026</v>
      </c>
      <c r="E1702" s="53" t="n"/>
      <c r="F1702" s="53" t="n"/>
      <c r="G1702" s="53" t="n"/>
      <c r="H1702" s="96" t="inlineStr">
        <is>
          <t>导出日志记录</t>
        </is>
      </c>
      <c r="I1702" s="76" t="inlineStr">
        <is>
          <t>EO</t>
        </is>
      </c>
      <c r="J1702" s="95" t="n"/>
      <c r="K1702" s="95" t="n"/>
      <c r="L1702" s="83">
        <f>IF(OR(X1702="估算法",X1702="算法类",X1702="无法识别"),"",IF(V1702="",IF(OR(I1702="EI",I1702="EO",I1702="EQ"),0,""),LEN(V1702)-LEN(SUBSTITUTE(V1702,"、",""))+1))</f>
        <v/>
      </c>
      <c r="M1702" s="83">
        <f>IF(OR(X1702="估算法",X1702="算法类",X1702="无法识别"),"",IF(W1702="",IF(OR(I1702="ILF",I1702="EIF"),0,""),LEN(W1702)-LEN(SUBSTITUTE(W1702,"、",""))+1))</f>
        <v/>
      </c>
      <c r="N1702" s="83">
        <f>IF(OR(X1702="估算法",X1702="算法类",X1702="无法识别"),"",IF(X1702="",IF(OR(I1702="ILF",I1702="EIF",I1702="EI",I1702="EO",I1702="EQ"),0,""),LEN(X1702)-LEN(SUBSTITUTE(SUBSTITUTE(SUBSTITUTE(SUBSTITUTE(SUBSTITUTE(X1702,"|}","--"),"{|","--"),CHAR(10),""),"、",""),"|",""))+IF(AND(OR(I1702="EI",I1702="EO",I1702="EQ"),$AD$1="NESMA"),2,1)))</f>
        <v/>
      </c>
      <c r="O1702" s="84">
        <f>IF(I1702="EI",IF(OR(X1702="估算法",X1702="算法类"),"中",IF(X1702="无法识别","低",IF(L1702&lt;2,IF(N1702&lt;16,"低","中"),IF(L1702&lt;3,IF(N1702&lt;5,"低",IF(N1702&lt;16,"中","高")),IF(N1702&lt;5,"中","高"))))),IF(OR(I1702="EO",I1702="EQ"),IF(OR(X1702="估算法",X1702="算法类"),"中",IF(X1702="无法识别","低",IF(L1702&lt;2,IF(N1702&lt;20,"低","中"),IF(L1702&lt;4,IF(N1702&lt;6,"低",IF(N1702&lt;20,"中","高")),IF(N1702&lt;6,"中","高"))))),IF(OR(I1702="ILF",I1702="EIF"),IF(OR(X1702="估算法",X1702="算法类",X1702="无法识别"),"低",IF(M1702&lt;2,IF(N1702&lt;51,"低","中"),IF(M1702&lt;6,IF(N1702&lt;20,"低",IF(N1702&lt;51,"中","高")),IF(N1702&lt;20,"中","高")))),"不计算")))</f>
        <v/>
      </c>
      <c r="P1702" s="142">
        <f>IFERROR(IF(I1702="EI",IF(O1702="低",3,IF(O1702="中",4,6)),IF(I1702="EO",IF(O1702="低",4,IF(O1702="中",5,7)),IF(I1702="EQ",IF(O1702="低",3,IF(O1702="中",4,6)),IF(I1702="ILF",IF(O1702="低",7,IF(O1702="中",10,15)),IF(I1702="EIF",IF(O1702="低",5,IF(O1702="中",7,10)),"不计算")))))*Q1702,"不计算")</f>
        <v/>
      </c>
      <c r="Q1702" s="142" t="n">
        <v>1</v>
      </c>
      <c r="R1702" s="143">
        <f>调整因子!$F$13</f>
        <v/>
      </c>
      <c r="S1702" s="76" t="n">
        <v>1</v>
      </c>
      <c r="T1702" s="144">
        <f>IFERROR(P1702*R1702,0)</f>
        <v/>
      </c>
      <c r="U1702" s="145">
        <f>T1702*S1702</f>
        <v/>
      </c>
      <c r="V1702" s="96" t="inlineStr">
        <is>
          <t>任务日志表</t>
        </is>
      </c>
      <c r="W1702" s="96" t="inlineStr"/>
      <c r="X1702" s="111" t="inlineStr">
        <is>
          <t>任务日志表{任务ID、任务名称|任务ID、任务名称、任务类型}</t>
        </is>
      </c>
      <c r="Y1702" s="88" t="n"/>
      <c r="Z1702" s="88" t="n"/>
    </row>
    <row r="1703" hidden="1">
      <c r="A1703" s="69">
        <f>ROW()-1</f>
        <v/>
      </c>
      <c r="B1703" s="53" t="n"/>
      <c r="C1703" s="117" t="n">
        <v>2026</v>
      </c>
      <c r="E1703" s="53" t="n"/>
      <c r="F1703" s="53" t="n"/>
      <c r="G1703" s="53" t="n"/>
      <c r="H1703" s="96" t="inlineStr">
        <is>
          <t>下载审计报表</t>
        </is>
      </c>
      <c r="I1703" s="76" t="inlineStr">
        <is>
          <t>EO</t>
        </is>
      </c>
      <c r="J1703" s="95" t="n"/>
      <c r="K1703" s="95" t="n"/>
      <c r="L1703" s="83">
        <f>IF(OR(X1703="估算法",X1703="算法类",X1703="无法识别"),"",IF(V1703="",IF(OR(I1703="EI",I1703="EO",I1703="EQ"),0,""),LEN(V1703)-LEN(SUBSTITUTE(V1703,"、",""))+1))</f>
        <v/>
      </c>
      <c r="M1703" s="83">
        <f>IF(OR(X1703="估算法",X1703="算法类",X1703="无法识别"),"",IF(W1703="",IF(OR(I1703="ILF",I1703="EIF"),0,""),LEN(W1703)-LEN(SUBSTITUTE(W1703,"、",""))+1))</f>
        <v/>
      </c>
      <c r="N1703" s="83">
        <f>IF(OR(X1703="估算法",X1703="算法类",X1703="无法识别"),"",IF(X1703="",IF(OR(I1703="ILF",I1703="EIF",I1703="EI",I1703="EO",I1703="EQ"),0,""),LEN(X1703)-LEN(SUBSTITUTE(SUBSTITUTE(SUBSTITUTE(SUBSTITUTE(SUBSTITUTE(X1703,"|}","--"),"{|","--"),CHAR(10),""),"、",""),"|",""))+IF(AND(OR(I1703="EI",I1703="EO",I1703="EQ"),$AD$1="NESMA"),2,1)))</f>
        <v/>
      </c>
      <c r="O1703" s="84">
        <f>IF(I1703="EI",IF(OR(X1703="估算法",X1703="算法类"),"中",IF(X1703="无法识别","低",IF(L1703&lt;2,IF(N1703&lt;16,"低","中"),IF(L1703&lt;3,IF(N1703&lt;5,"低",IF(N1703&lt;16,"中","高")),IF(N1703&lt;5,"中","高"))))),IF(OR(I1703="EO",I1703="EQ"),IF(OR(X1703="估算法",X1703="算法类"),"中",IF(X1703="无法识别","低",IF(L1703&lt;2,IF(N1703&lt;20,"低","中"),IF(L1703&lt;4,IF(N1703&lt;6,"低",IF(N1703&lt;20,"中","高")),IF(N1703&lt;6,"中","高"))))),IF(OR(I1703="ILF",I1703="EIF"),IF(OR(X1703="估算法",X1703="算法类",X1703="无法识别"),"低",IF(M1703&lt;2,IF(N1703&lt;51,"低","中"),IF(M1703&lt;6,IF(N1703&lt;20,"低",IF(N1703&lt;51,"中","高")),IF(N1703&lt;20,"中","高")))),"不计算")))</f>
        <v/>
      </c>
      <c r="P1703" s="142">
        <f>IFERROR(IF(I1703="EI",IF(O1703="低",3,IF(O1703="中",4,6)),IF(I1703="EO",IF(O1703="低",4,IF(O1703="中",5,7)),IF(I1703="EQ",IF(O1703="低",3,IF(O1703="中",4,6)),IF(I1703="ILF",IF(O1703="低",7,IF(O1703="中",10,15)),IF(I1703="EIF",IF(O1703="低",5,IF(O1703="中",7,10)),"不计算")))))*Q1703,"不计算")</f>
        <v/>
      </c>
      <c r="Q1703" s="142" t="n">
        <v>1</v>
      </c>
      <c r="R1703" s="143">
        <f>调整因子!$F$13</f>
        <v/>
      </c>
      <c r="S1703" s="70" t="n">
        <v>1</v>
      </c>
      <c r="T1703" s="144">
        <f>IFERROR(P1703*R1703,0)</f>
        <v/>
      </c>
      <c r="U1703" s="145">
        <f>T1703*S1703</f>
        <v/>
      </c>
      <c r="V1703" s="96" t="inlineStr">
        <is>
          <t>报表模板表</t>
        </is>
      </c>
      <c r="W1703" s="96" t="inlineStr"/>
      <c r="X1703" s="111" t="inlineStr">
        <is>
          <t>报表模板表{报表ID、报表名称|报表ID、报表名称、报表类型}</t>
        </is>
      </c>
      <c r="Y1703" s="88" t="n"/>
      <c r="Z1703" s="88" t="n"/>
    </row>
    <row r="1704" hidden="1" ht="21.6" customHeight="1">
      <c r="A1704" s="69">
        <f>ROW()-1</f>
        <v/>
      </c>
      <c r="B1704" s="53" t="n"/>
      <c r="C1704" s="117" t="n">
        <v>2026</v>
      </c>
      <c r="E1704" s="53" t="n"/>
      <c r="F1704" s="53" t="n"/>
      <c r="G1704" s="53" t="n"/>
      <c r="H1704" s="96" t="inlineStr">
        <is>
          <t>推送审计告警</t>
        </is>
      </c>
      <c r="I1704" s="76" t="inlineStr">
        <is>
          <t>EO</t>
        </is>
      </c>
      <c r="J1704" s="95" t="n"/>
      <c r="K1704" s="95" t="n"/>
      <c r="L1704" s="83">
        <f>IF(OR(X1704="估算法",X1704="算法类",X1704="无法识别"),"",IF(V1704="",IF(OR(I1704="EI",I1704="EO",I1704="EQ"),0,""),LEN(V1704)-LEN(SUBSTITUTE(V1704,"、",""))+1))</f>
        <v/>
      </c>
      <c r="M1704" s="83">
        <f>IF(OR(X1704="估算法",X1704="算法类",X1704="无法识别"),"",IF(W1704="",IF(OR(I1704="ILF",I1704="EIF"),0,""),LEN(W1704)-LEN(SUBSTITUTE(W1704,"、",""))+1))</f>
        <v/>
      </c>
      <c r="N1704" s="83">
        <f>IF(OR(X1704="估算法",X1704="算法类",X1704="无法识别"),"",IF(X1704="",IF(OR(I1704="ILF",I1704="EIF",I1704="EI",I1704="EO",I1704="EQ"),0,""),LEN(X1704)-LEN(SUBSTITUTE(SUBSTITUTE(SUBSTITUTE(SUBSTITUTE(SUBSTITUTE(X1704,"|}","--"),"{|","--"),CHAR(10),""),"、",""),"|",""))+IF(AND(OR(I1704="EI",I1704="EO",I1704="EQ"),$AD$1="NESMA"),2,1)))</f>
        <v/>
      </c>
      <c r="O1704" s="84">
        <f>IF(I1704="EI",IF(OR(X1704="估算法",X1704="算法类"),"中",IF(X1704="无法识别","低",IF(L1704&lt;2,IF(N1704&lt;16,"低","中"),IF(L1704&lt;3,IF(N1704&lt;5,"低",IF(N1704&lt;16,"中","高")),IF(N1704&lt;5,"中","高"))))),IF(OR(I1704="EO",I1704="EQ"),IF(OR(X1704="估算法",X1704="算法类"),"中",IF(X1704="无法识别","低",IF(L1704&lt;2,IF(N1704&lt;20,"低","中"),IF(L1704&lt;4,IF(N1704&lt;6,"低",IF(N1704&lt;20,"中","高")),IF(N1704&lt;6,"中","高"))))),IF(OR(I1704="ILF",I1704="EIF"),IF(OR(X1704="估算法",X1704="算法类",X1704="无法识别"),"低",IF(M1704&lt;2,IF(N1704&lt;51,"低","中"),IF(M1704&lt;6,IF(N1704&lt;20,"低",IF(N1704&lt;51,"中","高")),IF(N1704&lt;20,"中","高")))),"不计算")))</f>
        <v/>
      </c>
      <c r="P1704" s="142">
        <f>IFERROR(IF(I1704="EI",IF(O1704="低",3,IF(O1704="中",4,6)),IF(I1704="EO",IF(O1704="低",4,IF(O1704="中",5,7)),IF(I1704="EQ",IF(O1704="低",3,IF(O1704="中",4,6)),IF(I1704="ILF",IF(O1704="低",7,IF(O1704="中",10,15)),IF(I1704="EIF",IF(O1704="低",5,IF(O1704="中",7,10)),"不计算")))))*Q1704,"不计算")</f>
        <v/>
      </c>
      <c r="Q1704" s="142" t="n">
        <v>1</v>
      </c>
      <c r="R1704" s="143">
        <f>调整因子!$F$13</f>
        <v/>
      </c>
      <c r="S1704" s="70" t="n">
        <v>1</v>
      </c>
      <c r="T1704" s="144">
        <f>IFERROR(P1704*R1704,0)</f>
        <v/>
      </c>
      <c r="U1704" s="145">
        <f>T1704*S1704</f>
        <v/>
      </c>
      <c r="V1704" s="96" t="inlineStr">
        <is>
          <t>漏洞处置单表</t>
        </is>
      </c>
      <c r="W1704" s="96" t="inlineStr"/>
      <c r="X1704" s="111" t="inlineStr">
        <is>
          <t>漏洞处置单表{漏洞ID、漏洞名称|漏洞ID、漏洞名称、漏洞等级、漏洞类型、CVE编号}</t>
        </is>
      </c>
      <c r="Y1704" s="88" t="n"/>
      <c r="Z1704" s="88" t="n"/>
    </row>
    <row r="1705" hidden="1">
      <c r="A1705" s="69">
        <f>ROW()-1</f>
        <v/>
      </c>
      <c r="B1705" s="53" t="n"/>
      <c r="C1705" s="117" t="n">
        <v>2026</v>
      </c>
      <c r="E1705" s="53" t="n"/>
      <c r="F1705" s="53" t="n"/>
      <c r="G1705" s="53" t="n"/>
      <c r="H1705" s="96" t="inlineStr">
        <is>
          <t>查看日志详情</t>
        </is>
      </c>
      <c r="I1705" s="76" t="inlineStr">
        <is>
          <t>EQ</t>
        </is>
      </c>
      <c r="J1705" s="95" t="n"/>
      <c r="K1705" s="95" t="n"/>
      <c r="L1705" s="83">
        <f>IF(OR(X1705="估算法",X1705="算法类",X1705="无法识别"),"",IF(V1705="",IF(OR(I1705="EI",I1705="EO",I1705="EQ"),0,""),LEN(V1705)-LEN(SUBSTITUTE(V1705,"、",""))+1))</f>
        <v/>
      </c>
      <c r="M1705" s="83">
        <f>IF(OR(X1705="估算法",X1705="算法类",X1705="无法识别"),"",IF(W1705="",IF(OR(I1705="ILF",I1705="EIF"),0,""),LEN(W1705)-LEN(SUBSTITUTE(W1705,"、",""))+1))</f>
        <v/>
      </c>
      <c r="N1705" s="83">
        <f>IF(OR(X1705="估算法",X1705="算法类",X1705="无法识别"),"",IF(X1705="",IF(OR(I1705="ILF",I1705="EIF",I1705="EI",I1705="EO",I1705="EQ"),0,""),LEN(X1705)-LEN(SUBSTITUTE(SUBSTITUTE(SUBSTITUTE(SUBSTITUTE(SUBSTITUTE(X1705,"|}","--"),"{|","--"),CHAR(10),""),"、",""),"|",""))+IF(AND(OR(I1705="EI",I1705="EO",I1705="EQ"),$AD$1="NESMA"),2,1)))</f>
        <v/>
      </c>
      <c r="O1705" s="84">
        <f>IF(I1705="EI",IF(OR(X1705="估算法",X1705="算法类"),"中",IF(X1705="无法识别","低",IF(L1705&lt;2,IF(N1705&lt;16,"低","中"),IF(L1705&lt;3,IF(N1705&lt;5,"低",IF(N1705&lt;16,"中","高")),IF(N1705&lt;5,"中","高"))))),IF(OR(I1705="EO",I1705="EQ"),IF(OR(X1705="估算法",X1705="算法类"),"中",IF(X1705="无法识别","低",IF(L1705&lt;2,IF(N1705&lt;20,"低","中"),IF(L1705&lt;4,IF(N1705&lt;6,"低",IF(N1705&lt;20,"中","高")),IF(N1705&lt;6,"中","高"))))),IF(OR(I1705="ILF",I1705="EIF"),IF(OR(X1705="估算法",X1705="算法类",X1705="无法识别"),"低",IF(M1705&lt;2,IF(N1705&lt;51,"低","中"),IF(M1705&lt;6,IF(N1705&lt;20,"低",IF(N1705&lt;51,"中","高")),IF(N1705&lt;20,"中","高")))),"不计算")))</f>
        <v/>
      </c>
      <c r="P1705" s="142">
        <f>IFERROR(IF(I1705="EI",IF(O1705="低",3,IF(O1705="中",4,6)),IF(I1705="EO",IF(O1705="低",4,IF(O1705="中",5,7)),IF(I1705="EQ",IF(O1705="低",3,IF(O1705="中",4,6)),IF(I1705="ILF",IF(O1705="低",7,IF(O1705="中",10,15)),IF(I1705="EIF",IF(O1705="低",5,IF(O1705="中",7,10)),"不计算")))))*Q1705,"不计算")</f>
        <v/>
      </c>
      <c r="Q1705" s="142" t="n">
        <v>1</v>
      </c>
      <c r="R1705" s="143">
        <f>调整因子!$F$13</f>
        <v/>
      </c>
      <c r="S1705" s="76" t="n">
        <v>1</v>
      </c>
      <c r="T1705" s="144">
        <f>IFERROR(P1705*R1705,0)</f>
        <v/>
      </c>
      <c r="U1705" s="145">
        <f>T1705*S1705</f>
        <v/>
      </c>
      <c r="V1705" s="96" t="inlineStr">
        <is>
          <t>任务日志表</t>
        </is>
      </c>
      <c r="W1705" s="96" t="inlineStr"/>
      <c r="X1705" s="111" t="inlineStr">
        <is>
          <t>任务日志表{任务ID、任务名称|任务ID、任务名称、任务类型、任务状态、创建时间}</t>
        </is>
      </c>
      <c r="Y1705" s="88" t="n"/>
      <c r="Z1705" s="88" t="n"/>
    </row>
    <row r="1706" hidden="1">
      <c r="A1706" s="69">
        <f>ROW()-1</f>
        <v/>
      </c>
      <c r="B1706" s="53" t="n"/>
      <c r="C1706" s="117" t="n">
        <v>2026</v>
      </c>
      <c r="E1706" s="53" t="n"/>
      <c r="F1706" s="54" t="n"/>
      <c r="G1706" s="54" t="n"/>
      <c r="H1706" s="96" t="inlineStr">
        <is>
          <t>查看分析结果</t>
        </is>
      </c>
      <c r="I1706" s="76" t="inlineStr">
        <is>
          <t>EQ</t>
        </is>
      </c>
      <c r="J1706" s="95" t="n"/>
      <c r="K1706" s="95" t="n"/>
      <c r="L1706" s="83">
        <f>IF(OR(X1706="估算法",X1706="算法类",X1706="无法识别"),"",IF(V1706="",IF(OR(I1706="EI",I1706="EO",I1706="EQ"),0,""),LEN(V1706)-LEN(SUBSTITUTE(V1706,"、",""))+1))</f>
        <v/>
      </c>
      <c r="M1706" s="83">
        <f>IF(OR(X1706="估算法",X1706="算法类",X1706="无法识别"),"",IF(W1706="",IF(OR(I1706="ILF",I1706="EIF"),0,""),LEN(W1706)-LEN(SUBSTITUTE(W1706,"、",""))+1))</f>
        <v/>
      </c>
      <c r="N1706" s="83">
        <f>IF(OR(X1706="估算法",X1706="算法类",X1706="无法识别"),"",IF(X1706="",IF(OR(I1706="ILF",I1706="EIF",I1706="EI",I1706="EO",I1706="EQ"),0,""),LEN(X1706)-LEN(SUBSTITUTE(SUBSTITUTE(SUBSTITUTE(SUBSTITUTE(SUBSTITUTE(X1706,"|}","--"),"{|","--"),CHAR(10),""),"、",""),"|",""))+IF(AND(OR(I1706="EI",I1706="EO",I1706="EQ"),$AD$1="NESMA"),2,1)))</f>
        <v/>
      </c>
      <c r="O1706" s="84">
        <f>IF(I1706="EI",IF(OR(X1706="估算法",X1706="算法类"),"中",IF(X1706="无法识别","低",IF(L1706&lt;2,IF(N1706&lt;16,"低","中"),IF(L1706&lt;3,IF(N1706&lt;5,"低",IF(N1706&lt;16,"中","高")),IF(N1706&lt;5,"中","高"))))),IF(OR(I1706="EO",I1706="EQ"),IF(OR(X1706="估算法",X1706="算法类"),"中",IF(X1706="无法识别","低",IF(L1706&lt;2,IF(N1706&lt;20,"低","中"),IF(L1706&lt;4,IF(N1706&lt;6,"低",IF(N1706&lt;20,"中","高")),IF(N1706&lt;6,"中","高"))))),IF(OR(I1706="ILF",I1706="EIF"),IF(OR(X1706="估算法",X1706="算法类",X1706="无法识别"),"低",IF(M1706&lt;2,IF(N1706&lt;51,"低","中"),IF(M1706&lt;6,IF(N1706&lt;20,"低",IF(N1706&lt;51,"中","高")),IF(N1706&lt;20,"中","高")))),"不计算")))</f>
        <v/>
      </c>
      <c r="P1706" s="142">
        <f>IFERROR(IF(I1706="EI",IF(O1706="低",3,IF(O1706="中",4,6)),IF(I1706="EO",IF(O1706="低",4,IF(O1706="中",5,7)),IF(I1706="EQ",IF(O1706="低",3,IF(O1706="中",4,6)),IF(I1706="ILF",IF(O1706="低",7,IF(O1706="中",10,15)),IF(I1706="EIF",IF(O1706="低",5,IF(O1706="中",7,10)),"不计算")))))*Q1706,"不计算")</f>
        <v/>
      </c>
      <c r="Q1706" s="142" t="n">
        <v>1</v>
      </c>
      <c r="R1706" s="143">
        <f>调整因子!$F$13</f>
        <v/>
      </c>
      <c r="S1706" s="76" t="n">
        <v>1</v>
      </c>
      <c r="T1706" s="144">
        <f>IFERROR(P1706*R1706,0)</f>
        <v/>
      </c>
      <c r="U1706" s="145">
        <f>T1706*S1706</f>
        <v/>
      </c>
      <c r="V1706" s="96" t="inlineStr">
        <is>
          <t>报告解析结果表</t>
        </is>
      </c>
      <c r="W1706" s="96" t="inlineStr"/>
      <c r="X1706" s="111" t="inlineStr">
        <is>
          <t>报告解析结果表{ID、名称|ID、名称、类型、状态}</t>
        </is>
      </c>
      <c r="Y1706" s="88" t="n"/>
      <c r="Z1706" s="88" t="n"/>
    </row>
    <row r="1707" hidden="1" ht="21.6" customHeight="1">
      <c r="A1707" s="69">
        <f>ROW()-1</f>
        <v/>
      </c>
      <c r="B1707" s="53" t="n"/>
      <c r="C1707" s="117" t="n">
        <v>2026</v>
      </c>
      <c r="E1707" s="53" t="n"/>
      <c r="F1707" s="111" t="inlineStr">
        <is>
          <t>OceanBase数据库适配</t>
        </is>
      </c>
      <c r="G1707" s="111" t="inlineStr">
        <is>
          <t>数据库配置管理</t>
        </is>
      </c>
      <c r="H1707" s="96" t="inlineStr">
        <is>
          <t>编辑数据库配置</t>
        </is>
      </c>
      <c r="I1707" s="76" t="inlineStr">
        <is>
          <t>EI</t>
        </is>
      </c>
      <c r="J1707" s="95" t="n"/>
      <c r="K1707" s="95" t="n"/>
      <c r="L1707" s="83">
        <f>IF(OR(X1707="估算法",X1707="算法类",X1707="无法识别"),"",IF(V1707="",IF(OR(I1707="EI",I1707="EO",I1707="EQ"),0,""),LEN(V1707)-LEN(SUBSTITUTE(V1707,"、",""))+1))</f>
        <v/>
      </c>
      <c r="M1707" s="83">
        <f>IF(OR(X1707="估算法",X1707="算法类",X1707="无法识别"),"",IF(W1707="",IF(OR(I1707="ILF",I1707="EIF"),0,""),LEN(W1707)-LEN(SUBSTITUTE(W1707,"、",""))+1))</f>
        <v/>
      </c>
      <c r="N1707" s="83">
        <f>IF(OR(X1707="估算法",X1707="算法类",X1707="无法识别"),"",IF(X1707="",IF(OR(I1707="ILF",I1707="EIF",I1707="EI",I1707="EO",I1707="EQ"),0,""),LEN(X1707)-LEN(SUBSTITUTE(SUBSTITUTE(SUBSTITUTE(SUBSTITUTE(SUBSTITUTE(X1707,"|}","--"),"{|","--"),CHAR(10),""),"、",""),"|",""))+IF(AND(OR(I1707="EI",I1707="EO",I1707="EQ"),$AD$1="NESMA"),2,1)))</f>
        <v/>
      </c>
      <c r="O1707" s="84">
        <f>IF(I1707="EI",IF(OR(X1707="估算法",X1707="算法类"),"中",IF(X1707="无法识别","低",IF(L1707&lt;2,IF(N1707&lt;16,"低","中"),IF(L1707&lt;3,IF(N1707&lt;5,"低",IF(N1707&lt;16,"中","高")),IF(N1707&lt;5,"中","高"))))),IF(OR(I1707="EO",I1707="EQ"),IF(OR(X1707="估算法",X1707="算法类"),"中",IF(X1707="无法识别","低",IF(L1707&lt;2,IF(N1707&lt;20,"低","中"),IF(L1707&lt;4,IF(N1707&lt;6,"低",IF(N1707&lt;20,"中","高")),IF(N1707&lt;6,"中","高"))))),IF(OR(I1707="ILF",I1707="EIF"),IF(OR(X1707="估算法",X1707="算法类",X1707="无法识别"),"低",IF(M1707&lt;2,IF(N1707&lt;51,"低","中"),IF(M1707&lt;6,IF(N1707&lt;20,"低",IF(N1707&lt;51,"中","高")),IF(N1707&lt;20,"中","高")))),"不计算")))</f>
        <v/>
      </c>
      <c r="P1707" s="142">
        <f>IFERROR(IF(I1707="EI",IF(O1707="低",3,IF(O1707="中",4,6)),IF(I1707="EO",IF(O1707="低",4,IF(O1707="中",5,7)),IF(I1707="EQ",IF(O1707="低",3,IF(O1707="中",4,6)),IF(I1707="ILF",IF(O1707="低",7,IF(O1707="中",10,15)),IF(I1707="EIF",IF(O1707="低",5,IF(O1707="中",7,10)),"不计算")))))*Q1707,"不计算")</f>
        <v/>
      </c>
      <c r="Q1707" s="142" t="n">
        <v>1</v>
      </c>
      <c r="R1707" s="143">
        <f>调整因子!$F$13</f>
        <v/>
      </c>
      <c r="S1707" s="70" t="n">
        <v>1</v>
      </c>
      <c r="T1707" s="144">
        <f>IFERROR(P1707*R1707,0)</f>
        <v/>
      </c>
      <c r="U1707" s="145">
        <f>T1707*S1707</f>
        <v/>
      </c>
      <c r="V1707" s="96" t="inlineStr">
        <is>
          <t>任务优先级配置表</t>
        </is>
      </c>
      <c r="W1707" s="96" t="inlineStr"/>
      <c r="X1707" s="111" t="inlineStr">
        <is>
          <t>任务优先级配置表{任务ID、任务名称、任务类型、任务状态、创建时间、执行时间|任务ID、任务名称、任务类型}</t>
        </is>
      </c>
      <c r="Y1707" s="88" t="n"/>
      <c r="Z1707" s="88" t="n"/>
    </row>
    <row r="1708" hidden="1" ht="21.6" customHeight="1">
      <c r="A1708" s="69">
        <f>ROW()-1</f>
        <v/>
      </c>
      <c r="B1708" s="53" t="n"/>
      <c r="C1708" s="117" t="n">
        <v>2026</v>
      </c>
      <c r="E1708" s="53" t="n"/>
      <c r="F1708" s="53" t="n"/>
      <c r="G1708" s="53" t="n"/>
      <c r="H1708" s="96" t="inlineStr">
        <is>
          <t>删除数据库配置</t>
        </is>
      </c>
      <c r="I1708" s="76" t="inlineStr">
        <is>
          <t>EI</t>
        </is>
      </c>
      <c r="J1708" s="95" t="n"/>
      <c r="K1708" s="95" t="n"/>
      <c r="L1708" s="83">
        <f>IF(OR(X1708="估算法",X1708="算法类",X1708="无法识别"),"",IF(V1708="",IF(OR(I1708="EI",I1708="EO",I1708="EQ"),0,""),LEN(V1708)-LEN(SUBSTITUTE(V1708,"、",""))+1))</f>
        <v/>
      </c>
      <c r="M1708" s="83">
        <f>IF(OR(X1708="估算法",X1708="算法类",X1708="无法识别"),"",IF(W1708="",IF(OR(I1708="ILF",I1708="EIF"),0,""),LEN(W1708)-LEN(SUBSTITUTE(W1708,"、",""))+1))</f>
        <v/>
      </c>
      <c r="N1708" s="83">
        <f>IF(OR(X1708="估算法",X1708="算法类",X1708="无法识别"),"",IF(X1708="",IF(OR(I1708="ILF",I1708="EIF",I1708="EI",I1708="EO",I1708="EQ"),0,""),LEN(X1708)-LEN(SUBSTITUTE(SUBSTITUTE(SUBSTITUTE(SUBSTITUTE(SUBSTITUTE(X1708,"|}","--"),"{|","--"),CHAR(10),""),"、",""),"|",""))+IF(AND(OR(I1708="EI",I1708="EO",I1708="EQ"),$AD$1="NESMA"),2,1)))</f>
        <v/>
      </c>
      <c r="O1708" s="84">
        <f>IF(I1708="EI",IF(OR(X1708="估算法",X1708="算法类"),"中",IF(X1708="无法识别","低",IF(L1708&lt;2,IF(N1708&lt;16,"低","中"),IF(L1708&lt;3,IF(N1708&lt;5,"低",IF(N1708&lt;16,"中","高")),IF(N1708&lt;5,"中","高"))))),IF(OR(I1708="EO",I1708="EQ"),IF(OR(X1708="估算法",X1708="算法类"),"中",IF(X1708="无法识别","低",IF(L1708&lt;2,IF(N1708&lt;20,"低","中"),IF(L1708&lt;4,IF(N1708&lt;6,"低",IF(N1708&lt;20,"中","高")),IF(N1708&lt;6,"中","高"))))),IF(OR(I1708="ILF",I1708="EIF"),IF(OR(X1708="估算法",X1708="算法类",X1708="无法识别"),"低",IF(M1708&lt;2,IF(N1708&lt;51,"低","中"),IF(M1708&lt;6,IF(N1708&lt;20,"低",IF(N1708&lt;51,"中","高")),IF(N1708&lt;20,"中","高")))),"不计算")))</f>
        <v/>
      </c>
      <c r="P1708" s="142">
        <f>IFERROR(IF(I1708="EI",IF(O1708="低",3,IF(O1708="中",4,6)),IF(I1708="EO",IF(O1708="低",4,IF(O1708="中",5,7)),IF(I1708="EQ",IF(O1708="低",3,IF(O1708="中",4,6)),IF(I1708="ILF",IF(O1708="低",7,IF(O1708="中",10,15)),IF(I1708="EIF",IF(O1708="低",5,IF(O1708="中",7,10)),"不计算")))))*Q1708,"不计算")</f>
        <v/>
      </c>
      <c r="Q1708" s="142" t="n">
        <v>0.333333333333333</v>
      </c>
      <c r="R1708" s="143">
        <f>调整因子!$F$13</f>
        <v/>
      </c>
      <c r="S1708" s="70" t="n">
        <v>1</v>
      </c>
      <c r="T1708" s="144">
        <f>IFERROR(P1708*R1708,0)</f>
        <v/>
      </c>
      <c r="U1708" s="145">
        <f>T1708*S1708</f>
        <v/>
      </c>
      <c r="V1708" s="96" t="inlineStr">
        <is>
          <t>任务优先级配置表</t>
        </is>
      </c>
      <c r="W1708" s="96" t="inlineStr"/>
      <c r="X1708" s="111" t="inlineStr">
        <is>
          <t>任务优先级配置表{任务ID、任务名称、任务类型、任务状态、创建时间、执行时间|任务ID、任务名称、任务类型}</t>
        </is>
      </c>
      <c r="Y1708" s="88" t="n"/>
      <c r="Z1708" s="88" t="n"/>
    </row>
    <row r="1709" hidden="1" ht="21.6" customHeight="1">
      <c r="A1709" s="69">
        <f>ROW()-1</f>
        <v/>
      </c>
      <c r="B1709" s="53" t="n"/>
      <c r="C1709" s="117" t="n">
        <v>2026</v>
      </c>
      <c r="E1709" s="53" t="n"/>
      <c r="F1709" s="53" t="n"/>
      <c r="G1709" s="53" t="n"/>
      <c r="H1709" s="96" t="inlineStr">
        <is>
          <t>启用数据库配置</t>
        </is>
      </c>
      <c r="I1709" s="76" t="inlineStr">
        <is>
          <t>EI</t>
        </is>
      </c>
      <c r="J1709" s="95" t="n"/>
      <c r="K1709" s="95" t="n"/>
      <c r="L1709" s="83">
        <f>IF(OR(X1709="估算法",X1709="算法类",X1709="无法识别"),"",IF(V1709="",IF(OR(I1709="EI",I1709="EO",I1709="EQ"),0,""),LEN(V1709)-LEN(SUBSTITUTE(V1709,"、",""))+1))</f>
        <v/>
      </c>
      <c r="M1709" s="83">
        <f>IF(OR(X1709="估算法",X1709="算法类",X1709="无法识别"),"",IF(W1709="",IF(OR(I1709="ILF",I1709="EIF"),0,""),LEN(W1709)-LEN(SUBSTITUTE(W1709,"、",""))+1))</f>
        <v/>
      </c>
      <c r="N1709" s="83">
        <f>IF(OR(X1709="估算法",X1709="算法类",X1709="无法识别"),"",IF(X1709="",IF(OR(I1709="ILF",I1709="EIF",I1709="EI",I1709="EO",I1709="EQ"),0,""),LEN(X1709)-LEN(SUBSTITUTE(SUBSTITUTE(SUBSTITUTE(SUBSTITUTE(SUBSTITUTE(X1709,"|}","--"),"{|","--"),CHAR(10),""),"、",""),"|",""))+IF(AND(OR(I1709="EI",I1709="EO",I1709="EQ"),$AD$1="NESMA"),2,1)))</f>
        <v/>
      </c>
      <c r="O1709" s="84">
        <f>IF(I1709="EI",IF(OR(X1709="估算法",X1709="算法类"),"中",IF(X1709="无法识别","低",IF(L1709&lt;2,IF(N1709&lt;16,"低","中"),IF(L1709&lt;3,IF(N1709&lt;5,"低",IF(N1709&lt;16,"中","高")),IF(N1709&lt;5,"中","高"))))),IF(OR(I1709="EO",I1709="EQ"),IF(OR(X1709="估算法",X1709="算法类"),"中",IF(X1709="无法识别","低",IF(L1709&lt;2,IF(N1709&lt;20,"低","中"),IF(L1709&lt;4,IF(N1709&lt;6,"低",IF(N1709&lt;20,"中","高")),IF(N1709&lt;6,"中","高"))))),IF(OR(I1709="ILF",I1709="EIF"),IF(OR(X1709="估算法",X1709="算法类",X1709="无法识别"),"低",IF(M1709&lt;2,IF(N1709&lt;51,"低","中"),IF(M1709&lt;6,IF(N1709&lt;20,"低",IF(N1709&lt;51,"中","高")),IF(N1709&lt;20,"中","高")))),"不计算")))</f>
        <v/>
      </c>
      <c r="P1709" s="142">
        <f>IFERROR(IF(I1709="EI",IF(O1709="低",3,IF(O1709="中",4,6)),IF(I1709="EO",IF(O1709="低",4,IF(O1709="中",5,7)),IF(I1709="EQ",IF(O1709="低",3,IF(O1709="中",4,6)),IF(I1709="ILF",IF(O1709="低",7,IF(O1709="中",10,15)),IF(I1709="EIF",IF(O1709="低",5,IF(O1709="中",7,10)),"不计算")))))*Q1709,"不计算")</f>
        <v/>
      </c>
      <c r="Q1709" s="142" t="n">
        <v>1</v>
      </c>
      <c r="R1709" s="143">
        <f>调整因子!$F$13</f>
        <v/>
      </c>
      <c r="S1709" s="76" t="n">
        <v>1</v>
      </c>
      <c r="T1709" s="144">
        <f>IFERROR(P1709*R1709,0)</f>
        <v/>
      </c>
      <c r="U1709" s="145">
        <f>T1709*S1709</f>
        <v/>
      </c>
      <c r="V1709" s="96" t="inlineStr">
        <is>
          <t>任务优先级配置表</t>
        </is>
      </c>
      <c r="W1709" s="96" t="inlineStr"/>
      <c r="X1709" s="111" t="inlineStr">
        <is>
          <t>任务优先级配置表{任务ID、任务名称、任务类型、任务状态、创建时间、执行时间|任务ID、任务名称、任务类型}</t>
        </is>
      </c>
      <c r="Y1709" s="88" t="n"/>
      <c r="Z1709" s="88" t="n"/>
    </row>
    <row r="1710" hidden="1" ht="21.6" customHeight="1">
      <c r="A1710" s="69">
        <f>ROW()-1</f>
        <v/>
      </c>
      <c r="B1710" s="53" t="n"/>
      <c r="C1710" s="117" t="n">
        <v>2026</v>
      </c>
      <c r="E1710" s="53" t="n"/>
      <c r="F1710" s="53" t="n"/>
      <c r="G1710" s="53" t="n"/>
      <c r="H1710" s="96" t="inlineStr">
        <is>
          <t>停用数据库配置</t>
        </is>
      </c>
      <c r="I1710" s="76" t="n"/>
      <c r="J1710" s="95" t="n"/>
      <c r="K1710" s="95" t="inlineStr">
        <is>
          <t>和上行合并，启停为相同功能</t>
        </is>
      </c>
      <c r="L1710" s="83">
        <f>IF(OR(X1710="估算法",X1710="算法类",X1710="无法识别"),"",IF(V1710="",IF(OR(I1710="EI",I1710="EO",I1710="EQ"),0,""),LEN(V1710)-LEN(SUBSTITUTE(V1710,"、",""))+1))</f>
        <v/>
      </c>
      <c r="M1710" s="83">
        <f>IF(OR(X1710="估算法",X1710="算法类",X1710="无法识别"),"",IF(W1710="",IF(OR(I1710="ILF",I1710="EIF"),0,""),LEN(W1710)-LEN(SUBSTITUTE(W1710,"、",""))+1))</f>
        <v/>
      </c>
      <c r="N1710" s="83">
        <f>IF(OR(X1710="估算法",X1710="算法类",X1710="无法识别"),"",IF(X1710="",IF(OR(I1710="ILF",I1710="EIF",I1710="EI",I1710="EO",I1710="EQ"),0,""),LEN(X1710)-LEN(SUBSTITUTE(SUBSTITUTE(SUBSTITUTE(SUBSTITUTE(SUBSTITUTE(X1710,"|}","--"),"{|","--"),CHAR(10),""),"、",""),"|",""))+IF(AND(OR(I1710="EI",I1710="EO",I1710="EQ"),$AD$1="NESMA"),2,1)))</f>
        <v/>
      </c>
      <c r="O1710" s="84">
        <f>IF(I1710="EI",IF(OR(X1710="估算法",X1710="算法类"),"中",IF(X1710="无法识别","低",IF(L1710&lt;2,IF(N1710&lt;16,"低","中"),IF(L1710&lt;3,IF(N1710&lt;5,"低",IF(N1710&lt;16,"中","高")),IF(N1710&lt;5,"中","高"))))),IF(OR(I1710="EO",I1710="EQ"),IF(OR(X1710="估算法",X1710="算法类"),"中",IF(X1710="无法识别","低",IF(L1710&lt;2,IF(N1710&lt;20,"低","中"),IF(L1710&lt;4,IF(N1710&lt;6,"低",IF(N1710&lt;20,"中","高")),IF(N1710&lt;6,"中","高"))))),IF(OR(I1710="ILF",I1710="EIF"),IF(OR(X1710="估算法",X1710="算法类",X1710="无法识别"),"低",IF(M1710&lt;2,IF(N1710&lt;51,"低","中"),IF(M1710&lt;6,IF(N1710&lt;20,"低",IF(N1710&lt;51,"中","高")),IF(N1710&lt;20,"中","高")))),"不计算")))</f>
        <v/>
      </c>
      <c r="P1710" s="142">
        <f>IFERROR(IF(I1710="EI",IF(O1710="低",3,IF(O1710="中",4,6)),IF(I1710="EO",IF(O1710="低",4,IF(O1710="中",5,7)),IF(I1710="EQ",IF(O1710="低",3,IF(O1710="中",4,6)),IF(I1710="ILF",IF(O1710="低",7,IF(O1710="中",10,15)),IF(I1710="EIF",IF(O1710="低",5,IF(O1710="中",7,10)),"不计算")))))*Q1710,"不计算")</f>
        <v/>
      </c>
      <c r="Q1710" s="142" t="n">
        <v>1</v>
      </c>
      <c r="R1710" s="143">
        <f>调整因子!$F$13</f>
        <v/>
      </c>
      <c r="S1710" s="70" t="n">
        <v>1</v>
      </c>
      <c r="T1710" s="144">
        <f>IFERROR(P1710*R1710,0)</f>
        <v/>
      </c>
      <c r="U1710" s="145">
        <f>T1710*S1710</f>
        <v/>
      </c>
      <c r="V1710" s="96" t="inlineStr">
        <is>
          <t>任务优先级配置表</t>
        </is>
      </c>
      <c r="W1710" s="96" t="inlineStr"/>
      <c r="X1710" s="111" t="inlineStr">
        <is>
          <t>任务优先级配置表{任务ID、任务名称、任务类型、任务状态、创建时间、执行时间|任务ID、任务名称、任务类型}</t>
        </is>
      </c>
      <c r="Y1710" s="88" t="n"/>
      <c r="Z1710" s="88" t="n"/>
    </row>
    <row r="1711" hidden="1" ht="21.6" customHeight="1">
      <c r="A1711" s="69">
        <f>ROW()-1</f>
        <v/>
      </c>
      <c r="B1711" s="53" t="n"/>
      <c r="C1711" s="117" t="n">
        <v>2026</v>
      </c>
      <c r="E1711" s="53" t="n"/>
      <c r="F1711" s="53" t="n"/>
      <c r="G1711" s="53" t="n"/>
      <c r="H1711" s="96" t="inlineStr">
        <is>
          <t>导出数据库配置</t>
        </is>
      </c>
      <c r="I1711" s="76" t="inlineStr">
        <is>
          <t>EO</t>
        </is>
      </c>
      <c r="J1711" s="95" t="n"/>
      <c r="K1711" s="95" t="n"/>
      <c r="L1711" s="83">
        <f>IF(OR(X1711="估算法",X1711="算法类",X1711="无法识别"),"",IF(V1711="",IF(OR(I1711="EI",I1711="EO",I1711="EQ"),0,""),LEN(V1711)-LEN(SUBSTITUTE(V1711,"、",""))+1))</f>
        <v/>
      </c>
      <c r="M1711" s="83">
        <f>IF(OR(X1711="估算法",X1711="算法类",X1711="无法识别"),"",IF(W1711="",IF(OR(I1711="ILF",I1711="EIF"),0,""),LEN(W1711)-LEN(SUBSTITUTE(W1711,"、",""))+1))</f>
        <v/>
      </c>
      <c r="N1711" s="83">
        <f>IF(OR(X1711="估算法",X1711="算法类",X1711="无法识别"),"",IF(X1711="",IF(OR(I1711="ILF",I1711="EIF",I1711="EI",I1711="EO",I1711="EQ"),0,""),LEN(X1711)-LEN(SUBSTITUTE(SUBSTITUTE(SUBSTITUTE(SUBSTITUTE(SUBSTITUTE(X1711,"|}","--"),"{|","--"),CHAR(10),""),"、",""),"|",""))+IF(AND(OR(I1711="EI",I1711="EO",I1711="EQ"),$AD$1="NESMA"),2,1)))</f>
        <v/>
      </c>
      <c r="O1711" s="84">
        <f>IF(I1711="EI",IF(OR(X1711="估算法",X1711="算法类"),"中",IF(X1711="无法识别","低",IF(L1711&lt;2,IF(N1711&lt;16,"低","中"),IF(L1711&lt;3,IF(N1711&lt;5,"低",IF(N1711&lt;16,"中","高")),IF(N1711&lt;5,"中","高"))))),IF(OR(I1711="EO",I1711="EQ"),IF(OR(X1711="估算法",X1711="算法类"),"中",IF(X1711="无法识别","低",IF(L1711&lt;2,IF(N1711&lt;20,"低","中"),IF(L1711&lt;4,IF(N1711&lt;6,"低",IF(N1711&lt;20,"中","高")),IF(N1711&lt;6,"中","高"))))),IF(OR(I1711="ILF",I1711="EIF"),IF(OR(X1711="估算法",X1711="算法类",X1711="无法识别"),"低",IF(M1711&lt;2,IF(N1711&lt;51,"低","中"),IF(M1711&lt;6,IF(N1711&lt;20,"低",IF(N1711&lt;51,"中","高")),IF(N1711&lt;20,"中","高")))),"不计算")))</f>
        <v/>
      </c>
      <c r="P1711" s="142">
        <f>IFERROR(IF(I1711="EI",IF(O1711="低",3,IF(O1711="中",4,6)),IF(I1711="EO",IF(O1711="低",4,IF(O1711="中",5,7)),IF(I1711="EQ",IF(O1711="低",3,IF(O1711="中",4,6)),IF(I1711="ILF",IF(O1711="低",7,IF(O1711="中",10,15)),IF(I1711="EIF",IF(O1711="低",5,IF(O1711="中",7,10)),"不计算")))))*Q1711,"不计算")</f>
        <v/>
      </c>
      <c r="Q1711" s="142" t="n">
        <v>1</v>
      </c>
      <c r="R1711" s="143">
        <f>调整因子!$F$13</f>
        <v/>
      </c>
      <c r="S1711" s="70" t="n">
        <v>1</v>
      </c>
      <c r="T1711" s="144">
        <f>IFERROR(P1711*R1711,0)</f>
        <v/>
      </c>
      <c r="U1711" s="145">
        <f>T1711*S1711</f>
        <v/>
      </c>
      <c r="V1711" s="96" t="inlineStr">
        <is>
          <t>任务优先级配置表</t>
        </is>
      </c>
      <c r="W1711" s="96" t="inlineStr"/>
      <c r="X1711" s="111" t="inlineStr">
        <is>
          <t>任务优先级配置表{任务ID、任务名称|任务ID、任务名称、任务类型、任务状态、创建时间}</t>
        </is>
      </c>
      <c r="Y1711" s="88" t="n"/>
      <c r="Z1711" s="88" t="n"/>
    </row>
    <row r="1712" hidden="1">
      <c r="A1712" s="69">
        <f>ROW()-1</f>
        <v/>
      </c>
      <c r="B1712" s="53" t="n"/>
      <c r="C1712" s="117" t="n">
        <v>2026</v>
      </c>
      <c r="E1712" s="53" t="n"/>
      <c r="F1712" s="53" t="n"/>
      <c r="G1712" s="53" t="n"/>
      <c r="H1712" s="96" t="inlineStr">
        <is>
          <t>查询数据库列表</t>
        </is>
      </c>
      <c r="I1712" s="76" t="inlineStr">
        <is>
          <t>EQ</t>
        </is>
      </c>
      <c r="J1712" s="95" t="n"/>
      <c r="K1712" s="95" t="n"/>
      <c r="L1712" s="83">
        <f>IF(OR(X1712="估算法",X1712="算法类",X1712="无法识别"),"",IF(V1712="",IF(OR(I1712="EI",I1712="EO",I1712="EQ"),0,""),LEN(V1712)-LEN(SUBSTITUTE(V1712,"、",""))+1))</f>
        <v/>
      </c>
      <c r="M1712" s="83">
        <f>IF(OR(X1712="估算法",X1712="算法类",X1712="无法识别"),"",IF(W1712="",IF(OR(I1712="ILF",I1712="EIF"),0,""),LEN(W1712)-LEN(SUBSTITUTE(W1712,"、",""))+1))</f>
        <v/>
      </c>
      <c r="N1712" s="83">
        <f>IF(OR(X1712="估算法",X1712="算法类",X1712="无法识别"),"",IF(X1712="",IF(OR(I1712="ILF",I1712="EIF",I1712="EI",I1712="EO",I1712="EQ"),0,""),LEN(X1712)-LEN(SUBSTITUTE(SUBSTITUTE(SUBSTITUTE(SUBSTITUTE(SUBSTITUTE(X1712,"|}","--"),"{|","--"),CHAR(10),""),"、",""),"|",""))+IF(AND(OR(I1712="EI",I1712="EO",I1712="EQ"),$AD$1="NESMA"),2,1)))</f>
        <v/>
      </c>
      <c r="O1712" s="84">
        <f>IF(I1712="EI",IF(OR(X1712="估算法",X1712="算法类"),"中",IF(X1712="无法识别","低",IF(L1712&lt;2,IF(N1712&lt;16,"低","中"),IF(L1712&lt;3,IF(N1712&lt;5,"低",IF(N1712&lt;16,"中","高")),IF(N1712&lt;5,"中","高"))))),IF(OR(I1712="EO",I1712="EQ"),IF(OR(X1712="估算法",X1712="算法类"),"中",IF(X1712="无法识别","低",IF(L1712&lt;2,IF(N1712&lt;20,"低","中"),IF(L1712&lt;4,IF(N1712&lt;6,"低",IF(N1712&lt;20,"中","高")),IF(N1712&lt;6,"中","高"))))),IF(OR(I1712="ILF",I1712="EIF"),IF(OR(X1712="估算法",X1712="算法类",X1712="无法识别"),"低",IF(M1712&lt;2,IF(N1712&lt;51,"低","中"),IF(M1712&lt;6,IF(N1712&lt;20,"低",IF(N1712&lt;51,"中","高")),IF(N1712&lt;20,"中","高")))),"不计算")))</f>
        <v/>
      </c>
      <c r="P1712" s="142">
        <f>IFERROR(IF(I1712="EI",IF(O1712="低",3,IF(O1712="中",4,6)),IF(I1712="EO",IF(O1712="低",4,IF(O1712="中",5,7)),IF(I1712="EQ",IF(O1712="低",3,IF(O1712="中",4,6)),IF(I1712="ILF",IF(O1712="低",7,IF(O1712="中",10,15)),IF(I1712="EIF",IF(O1712="低",5,IF(O1712="中",7,10)),"不计算")))))*Q1712,"不计算")</f>
        <v/>
      </c>
      <c r="Q1712" s="142" t="n">
        <v>1</v>
      </c>
      <c r="R1712" s="143">
        <f>调整因子!$F$13</f>
        <v/>
      </c>
      <c r="S1712" s="76" t="n">
        <v>1</v>
      </c>
      <c r="T1712" s="144">
        <f>IFERROR(P1712*R1712,0)</f>
        <v/>
      </c>
      <c r="U1712" s="145">
        <f>T1712*S1712</f>
        <v/>
      </c>
      <c r="V1712" s="96" t="inlineStr">
        <is>
          <t>考核指标配置表</t>
        </is>
      </c>
      <c r="W1712" s="96" t="inlineStr"/>
      <c r="X1712" s="111" t="inlineStr">
        <is>
          <t>考核指标配置表{配置ID、配置名称|配置ID、配置名称、配置类型}</t>
        </is>
      </c>
      <c r="Y1712" s="88" t="n"/>
      <c r="Z1712" s="88" t="n"/>
    </row>
    <row r="1713" hidden="1" ht="21.6" customHeight="1">
      <c r="A1713" s="69">
        <f>ROW()-1</f>
        <v/>
      </c>
      <c r="B1713" s="53" t="n"/>
      <c r="C1713" s="117" t="n">
        <v>2026</v>
      </c>
      <c r="E1713" s="53" t="n"/>
      <c r="F1713" s="53" t="n"/>
      <c r="G1713" s="54" t="n"/>
      <c r="H1713" s="96" t="inlineStr">
        <is>
          <t>查看数据库详情</t>
        </is>
      </c>
      <c r="I1713" s="76" t="inlineStr">
        <is>
          <t>EQ</t>
        </is>
      </c>
      <c r="J1713" s="95" t="n"/>
      <c r="K1713" s="95" t="n"/>
      <c r="L1713" s="83">
        <f>IF(OR(X1713="估算法",X1713="算法类",X1713="无法识别"),"",IF(V1713="",IF(OR(I1713="EI",I1713="EO",I1713="EQ"),0,""),LEN(V1713)-LEN(SUBSTITUTE(V1713,"、",""))+1))</f>
        <v/>
      </c>
      <c r="M1713" s="83">
        <f>IF(OR(X1713="估算法",X1713="算法类",X1713="无法识别"),"",IF(W1713="",IF(OR(I1713="ILF",I1713="EIF"),0,""),LEN(W1713)-LEN(SUBSTITUTE(W1713,"、",""))+1))</f>
        <v/>
      </c>
      <c r="N1713" s="83">
        <f>IF(OR(X1713="估算法",X1713="算法类",X1713="无法识别"),"",IF(X1713="",IF(OR(I1713="ILF",I1713="EIF",I1713="EI",I1713="EO",I1713="EQ"),0,""),LEN(X1713)-LEN(SUBSTITUTE(SUBSTITUTE(SUBSTITUTE(SUBSTITUTE(SUBSTITUTE(X1713,"|}","--"),"{|","--"),CHAR(10),""),"、",""),"|",""))+IF(AND(OR(I1713="EI",I1713="EO",I1713="EQ"),$AD$1="NESMA"),2,1)))</f>
        <v/>
      </c>
      <c r="O1713" s="84">
        <f>IF(I1713="EI",IF(OR(X1713="估算法",X1713="算法类"),"中",IF(X1713="无法识别","低",IF(L1713&lt;2,IF(N1713&lt;16,"低","中"),IF(L1713&lt;3,IF(N1713&lt;5,"低",IF(N1713&lt;16,"中","高")),IF(N1713&lt;5,"中","高"))))),IF(OR(I1713="EO",I1713="EQ"),IF(OR(X1713="估算法",X1713="算法类"),"中",IF(X1713="无法识别","低",IF(L1713&lt;2,IF(N1713&lt;20,"低","中"),IF(L1713&lt;4,IF(N1713&lt;6,"低",IF(N1713&lt;20,"中","高")),IF(N1713&lt;6,"中","高"))))),IF(OR(I1713="ILF",I1713="EIF"),IF(OR(X1713="估算法",X1713="算法类",X1713="无法识别"),"低",IF(M1713&lt;2,IF(N1713&lt;51,"低","中"),IF(M1713&lt;6,IF(N1713&lt;20,"低",IF(N1713&lt;51,"中","高")),IF(N1713&lt;20,"中","高")))),"不计算")))</f>
        <v/>
      </c>
      <c r="P1713" s="142">
        <f>IFERROR(IF(I1713="EI",IF(O1713="低",3,IF(O1713="中",4,6)),IF(I1713="EO",IF(O1713="低",4,IF(O1713="中",5,7)),IF(I1713="EQ",IF(O1713="低",3,IF(O1713="中",4,6)),IF(I1713="ILF",IF(O1713="低",7,IF(O1713="中",10,15)),IF(I1713="EIF",IF(O1713="低",5,IF(O1713="中",7,10)),"不计算")))))*Q1713,"不计算")</f>
        <v/>
      </c>
      <c r="Q1713" s="142" t="n">
        <v>1</v>
      </c>
      <c r="R1713" s="143">
        <f>调整因子!$F$13</f>
        <v/>
      </c>
      <c r="S1713" s="76" t="n">
        <v>1</v>
      </c>
      <c r="T1713" s="144">
        <f>IFERROR(P1713*R1713,0)</f>
        <v/>
      </c>
      <c r="U1713" s="145">
        <f>T1713*S1713</f>
        <v/>
      </c>
      <c r="V1713" s="96" t="inlineStr">
        <is>
          <t>漏洞处置推送接口配置表</t>
        </is>
      </c>
      <c r="W1713" s="96" t="inlineStr"/>
      <c r="X1713" s="111" t="inlineStr">
        <is>
          <t>漏洞处置推送接口配置表{漏洞ID、漏洞名称|漏洞ID、漏洞名称、漏洞等级、漏洞类型}</t>
        </is>
      </c>
      <c r="Y1713" s="88" t="n"/>
      <c r="Z1713" s="88" t="n"/>
    </row>
    <row r="1714" hidden="1" ht="21.6" customHeight="1">
      <c r="A1714" s="69">
        <f>ROW()-1</f>
        <v/>
      </c>
      <c r="B1714" s="53" t="n"/>
      <c r="C1714" s="117" t="n">
        <v>2026</v>
      </c>
      <c r="E1714" s="53" t="n"/>
      <c r="F1714" s="53" t="n"/>
      <c r="G1714" s="111" t="inlineStr">
        <is>
          <t>数据库迁移管理</t>
        </is>
      </c>
      <c r="H1714" s="96" t="inlineStr">
        <is>
          <t>编辑迁移任务</t>
        </is>
      </c>
      <c r="I1714" s="76" t="inlineStr">
        <is>
          <t>EI</t>
        </is>
      </c>
      <c r="J1714" s="95" t="n"/>
      <c r="K1714" s="95" t="n"/>
      <c r="L1714" s="83">
        <f>IF(OR(X1714="估算法",X1714="算法类",X1714="无法识别"),"",IF(V1714="",IF(OR(I1714="EI",I1714="EO",I1714="EQ"),0,""),LEN(V1714)-LEN(SUBSTITUTE(V1714,"、",""))+1))</f>
        <v/>
      </c>
      <c r="M1714" s="83">
        <f>IF(OR(X1714="估算法",X1714="算法类",X1714="无法识别"),"",IF(W1714="",IF(OR(I1714="ILF",I1714="EIF"),0,""),LEN(W1714)-LEN(SUBSTITUTE(W1714,"、",""))+1))</f>
        <v/>
      </c>
      <c r="N1714" s="83">
        <f>IF(OR(X1714="估算法",X1714="算法类",X1714="无法识别"),"",IF(X1714="",IF(OR(I1714="ILF",I1714="EIF",I1714="EI",I1714="EO",I1714="EQ"),0,""),LEN(X1714)-LEN(SUBSTITUTE(SUBSTITUTE(SUBSTITUTE(SUBSTITUTE(SUBSTITUTE(X1714,"|}","--"),"{|","--"),CHAR(10),""),"、",""),"|",""))+IF(AND(OR(I1714="EI",I1714="EO",I1714="EQ"),$AD$1="NESMA"),2,1)))</f>
        <v/>
      </c>
      <c r="O1714" s="84">
        <f>IF(I1714="EI",IF(OR(X1714="估算法",X1714="算法类"),"中",IF(X1714="无法识别","低",IF(L1714&lt;2,IF(N1714&lt;16,"低","中"),IF(L1714&lt;3,IF(N1714&lt;5,"低",IF(N1714&lt;16,"中","高")),IF(N1714&lt;5,"中","高"))))),IF(OR(I1714="EO",I1714="EQ"),IF(OR(X1714="估算法",X1714="算法类"),"中",IF(X1714="无法识别","低",IF(L1714&lt;2,IF(N1714&lt;20,"低","中"),IF(L1714&lt;4,IF(N1714&lt;6,"低",IF(N1714&lt;20,"中","高")),IF(N1714&lt;6,"中","高"))))),IF(OR(I1714="ILF",I1714="EIF"),IF(OR(X1714="估算法",X1714="算法类",X1714="无法识别"),"低",IF(M1714&lt;2,IF(N1714&lt;51,"低","中"),IF(M1714&lt;6,IF(N1714&lt;20,"低",IF(N1714&lt;51,"中","高")),IF(N1714&lt;20,"中","高")))),"不计算")))</f>
        <v/>
      </c>
      <c r="P1714" s="142">
        <f>IFERROR(IF(I1714="EI",IF(O1714="低",3,IF(O1714="中",4,6)),IF(I1714="EO",IF(O1714="低",4,IF(O1714="中",5,7)),IF(I1714="EQ",IF(O1714="低",3,IF(O1714="中",4,6)),IF(I1714="ILF",IF(O1714="低",7,IF(O1714="中",10,15)),IF(I1714="EIF",IF(O1714="低",5,IF(O1714="中",7,10)),"不计算")))))*Q1714,"不计算")</f>
        <v/>
      </c>
      <c r="Q1714" s="142" t="n">
        <v>1</v>
      </c>
      <c r="R1714" s="143">
        <f>调整因子!$F$13</f>
        <v/>
      </c>
      <c r="S1714" s="70" t="n">
        <v>1</v>
      </c>
      <c r="T1714" s="144">
        <f>IFERROR(P1714*R1714,0)</f>
        <v/>
      </c>
      <c r="U1714" s="145">
        <f>T1714*S1714</f>
        <v/>
      </c>
      <c r="V1714" s="96" t="inlineStr">
        <is>
          <t>数据清洗任务表</t>
        </is>
      </c>
      <c r="W1714" s="96" t="inlineStr"/>
      <c r="X1714" s="111" t="inlineStr">
        <is>
          <t>数据清洗任务表{任务ID、任务名称、任务类型、任务状态、创建时间|任务ID、任务名称、任务类型}</t>
        </is>
      </c>
      <c r="Y1714" s="88" t="n"/>
      <c r="Z1714" s="88" t="n"/>
    </row>
    <row r="1715" hidden="1" ht="21.6" customHeight="1">
      <c r="A1715" s="69">
        <f>ROW()-1</f>
        <v/>
      </c>
      <c r="B1715" s="53" t="n"/>
      <c r="C1715" s="117" t="n">
        <v>2026</v>
      </c>
      <c r="E1715" s="53" t="n"/>
      <c r="F1715" s="53" t="n"/>
      <c r="G1715" s="53" t="n"/>
      <c r="H1715" s="96" t="inlineStr">
        <is>
          <t>删除迁移任务</t>
        </is>
      </c>
      <c r="I1715" s="76" t="inlineStr">
        <is>
          <t>EI</t>
        </is>
      </c>
      <c r="J1715" s="95" t="n"/>
      <c r="K1715" s="95" t="n"/>
      <c r="L1715" s="83">
        <f>IF(OR(X1715="估算法",X1715="算法类",X1715="无法识别"),"",IF(V1715="",IF(OR(I1715="EI",I1715="EO",I1715="EQ"),0,""),LEN(V1715)-LEN(SUBSTITUTE(V1715,"、",""))+1))</f>
        <v/>
      </c>
      <c r="M1715" s="83">
        <f>IF(OR(X1715="估算法",X1715="算法类",X1715="无法识别"),"",IF(W1715="",IF(OR(I1715="ILF",I1715="EIF"),0,""),LEN(W1715)-LEN(SUBSTITUTE(W1715,"、",""))+1))</f>
        <v/>
      </c>
      <c r="N1715" s="83">
        <f>IF(OR(X1715="估算法",X1715="算法类",X1715="无法识别"),"",IF(X1715="",IF(OR(I1715="ILF",I1715="EIF",I1715="EI",I1715="EO",I1715="EQ"),0,""),LEN(X1715)-LEN(SUBSTITUTE(SUBSTITUTE(SUBSTITUTE(SUBSTITUTE(SUBSTITUTE(X1715,"|}","--"),"{|","--"),CHAR(10),""),"、",""),"|",""))+IF(AND(OR(I1715="EI",I1715="EO",I1715="EQ"),$AD$1="NESMA"),2,1)))</f>
        <v/>
      </c>
      <c r="O1715" s="84">
        <f>IF(I1715="EI",IF(OR(X1715="估算法",X1715="算法类"),"中",IF(X1715="无法识别","低",IF(L1715&lt;2,IF(N1715&lt;16,"低","中"),IF(L1715&lt;3,IF(N1715&lt;5,"低",IF(N1715&lt;16,"中","高")),IF(N1715&lt;5,"中","高"))))),IF(OR(I1715="EO",I1715="EQ"),IF(OR(X1715="估算法",X1715="算法类"),"中",IF(X1715="无法识别","低",IF(L1715&lt;2,IF(N1715&lt;20,"低","中"),IF(L1715&lt;4,IF(N1715&lt;6,"低",IF(N1715&lt;20,"中","高")),IF(N1715&lt;6,"中","高"))))),IF(OR(I1715="ILF",I1715="EIF"),IF(OR(X1715="估算法",X1715="算法类",X1715="无法识别"),"低",IF(M1715&lt;2,IF(N1715&lt;51,"低","中"),IF(M1715&lt;6,IF(N1715&lt;20,"低",IF(N1715&lt;51,"中","高")),IF(N1715&lt;20,"中","高")))),"不计算")))</f>
        <v/>
      </c>
      <c r="P1715" s="142">
        <f>IFERROR(IF(I1715="EI",IF(O1715="低",3,IF(O1715="中",4,6)),IF(I1715="EO",IF(O1715="低",4,IF(O1715="中",5,7)),IF(I1715="EQ",IF(O1715="低",3,IF(O1715="中",4,6)),IF(I1715="ILF",IF(O1715="低",7,IF(O1715="中",10,15)),IF(I1715="EIF",IF(O1715="低",5,IF(O1715="中",7,10)),"不计算")))))*Q1715,"不计算")</f>
        <v/>
      </c>
      <c r="Q1715" s="142" t="n">
        <v>0.333333333333333</v>
      </c>
      <c r="R1715" s="143">
        <f>调整因子!$F$13</f>
        <v/>
      </c>
      <c r="S1715" s="70" t="n">
        <v>1</v>
      </c>
      <c r="T1715" s="144">
        <f>IFERROR(P1715*R1715,0)</f>
        <v/>
      </c>
      <c r="U1715" s="145">
        <f>T1715*S1715</f>
        <v/>
      </c>
      <c r="V1715" s="96" t="inlineStr">
        <is>
          <t>数据清洗任务表</t>
        </is>
      </c>
      <c r="W1715" s="96" t="inlineStr"/>
      <c r="X1715" s="111" t="inlineStr">
        <is>
          <t>数据清洗任务表{任务ID、任务名称、任务类型、任务状态、创建时间|任务ID、任务名称、任务类型}</t>
        </is>
      </c>
      <c r="Y1715" s="88" t="n"/>
      <c r="Z1715" s="88" t="n"/>
    </row>
    <row r="1716" hidden="1">
      <c r="A1716" s="69">
        <f>ROW()-1</f>
        <v/>
      </c>
      <c r="B1716" s="53" t="n"/>
      <c r="C1716" s="117" t="n">
        <v>2026</v>
      </c>
      <c r="E1716" s="53" t="n"/>
      <c r="F1716" s="53" t="n"/>
      <c r="G1716" s="53" t="n"/>
      <c r="H1716" s="96" t="inlineStr">
        <is>
          <t>导出迁移记录</t>
        </is>
      </c>
      <c r="I1716" s="76" t="inlineStr">
        <is>
          <t>EO</t>
        </is>
      </c>
      <c r="J1716" s="95" t="n"/>
      <c r="K1716" s="95" t="n"/>
      <c r="L1716" s="83">
        <f>IF(OR(X1716="估算法",X1716="算法类",X1716="无法识别"),"",IF(V1716="",IF(OR(I1716="EI",I1716="EO",I1716="EQ"),0,""),LEN(V1716)-LEN(SUBSTITUTE(V1716,"、",""))+1))</f>
        <v/>
      </c>
      <c r="M1716" s="83">
        <f>IF(OR(X1716="估算法",X1716="算法类",X1716="无法识别"),"",IF(W1716="",IF(OR(I1716="ILF",I1716="EIF"),0,""),LEN(W1716)-LEN(SUBSTITUTE(W1716,"、",""))+1))</f>
        <v/>
      </c>
      <c r="N1716" s="83">
        <f>IF(OR(X1716="估算法",X1716="算法类",X1716="无法识别"),"",IF(X1716="",IF(OR(I1716="ILF",I1716="EIF",I1716="EI",I1716="EO",I1716="EQ"),0,""),LEN(X1716)-LEN(SUBSTITUTE(SUBSTITUTE(SUBSTITUTE(SUBSTITUTE(SUBSTITUTE(X1716,"|}","--"),"{|","--"),CHAR(10),""),"、",""),"|",""))+IF(AND(OR(I1716="EI",I1716="EO",I1716="EQ"),$AD$1="NESMA"),2,1)))</f>
        <v/>
      </c>
      <c r="O1716" s="84">
        <f>IF(I1716="EI",IF(OR(X1716="估算法",X1716="算法类"),"中",IF(X1716="无法识别","低",IF(L1716&lt;2,IF(N1716&lt;16,"低","中"),IF(L1716&lt;3,IF(N1716&lt;5,"低",IF(N1716&lt;16,"中","高")),IF(N1716&lt;5,"中","高"))))),IF(OR(I1716="EO",I1716="EQ"),IF(OR(X1716="估算法",X1716="算法类"),"中",IF(X1716="无法识别","低",IF(L1716&lt;2,IF(N1716&lt;20,"低","中"),IF(L1716&lt;4,IF(N1716&lt;6,"低",IF(N1716&lt;20,"中","高")),IF(N1716&lt;6,"中","高"))))),IF(OR(I1716="ILF",I1716="EIF"),IF(OR(X1716="估算法",X1716="算法类",X1716="无法识别"),"低",IF(M1716&lt;2,IF(N1716&lt;51,"低","中"),IF(M1716&lt;6,IF(N1716&lt;20,"低",IF(N1716&lt;51,"中","高")),IF(N1716&lt;20,"中","高")))),"不计算")))</f>
        <v/>
      </c>
      <c r="P1716" s="142">
        <f>IFERROR(IF(I1716="EI",IF(O1716="低",3,IF(O1716="中",4,6)),IF(I1716="EO",IF(O1716="低",4,IF(O1716="中",5,7)),IF(I1716="EQ",IF(O1716="低",3,IF(O1716="中",4,6)),IF(I1716="ILF",IF(O1716="低",7,IF(O1716="中",10,15)),IF(I1716="EIF",IF(O1716="低",5,IF(O1716="中",7,10)),"不计算")))))*Q1716,"不计算")</f>
        <v/>
      </c>
      <c r="Q1716" s="142" t="n">
        <v>1</v>
      </c>
      <c r="R1716" s="143">
        <f>调整因子!$F$13</f>
        <v/>
      </c>
      <c r="S1716" s="76" t="n">
        <v>1</v>
      </c>
      <c r="T1716" s="144">
        <f>IFERROR(P1716*R1716,0)</f>
        <v/>
      </c>
      <c r="U1716" s="145">
        <f>T1716*S1716</f>
        <v/>
      </c>
      <c r="V1716" s="96" t="inlineStr">
        <is>
          <t>态势数据采集表</t>
        </is>
      </c>
      <c r="W1716" s="96" t="inlineStr"/>
      <c r="X1716" s="111" t="inlineStr">
        <is>
          <t>态势数据采集表{ID、名称|ID、名称、类型、状态、创建时间}</t>
        </is>
      </c>
      <c r="Y1716" s="88" t="n"/>
      <c r="Z1716" s="88" t="n"/>
    </row>
    <row r="1717" hidden="1">
      <c r="A1717" s="69">
        <f>ROW()-1</f>
        <v/>
      </c>
      <c r="B1717" s="53" t="n"/>
      <c r="C1717" s="117" t="n">
        <v>2026</v>
      </c>
      <c r="E1717" s="53" t="n"/>
      <c r="F1717" s="53" t="n"/>
      <c r="G1717" s="53" t="n"/>
      <c r="H1717" s="96" t="inlineStr">
        <is>
          <t>下载迁移报告</t>
        </is>
      </c>
      <c r="I1717" s="76" t="inlineStr">
        <is>
          <t>EO</t>
        </is>
      </c>
      <c r="J1717" s="95" t="n"/>
      <c r="K1717" s="95" t="n"/>
      <c r="L1717" s="83">
        <f>IF(OR(X1717="估算法",X1717="算法类",X1717="无法识别"),"",IF(V1717="",IF(OR(I1717="EI",I1717="EO",I1717="EQ"),0,""),LEN(V1717)-LEN(SUBSTITUTE(V1717,"、",""))+1))</f>
        <v/>
      </c>
      <c r="M1717" s="83">
        <f>IF(OR(X1717="估算法",X1717="算法类",X1717="无法识别"),"",IF(W1717="",IF(OR(I1717="ILF",I1717="EIF"),0,""),LEN(W1717)-LEN(SUBSTITUTE(W1717,"、",""))+1))</f>
        <v/>
      </c>
      <c r="N1717" s="83">
        <f>IF(OR(X1717="估算法",X1717="算法类",X1717="无法识别"),"",IF(X1717="",IF(OR(I1717="ILF",I1717="EIF",I1717="EI",I1717="EO",I1717="EQ"),0,""),LEN(X1717)-LEN(SUBSTITUTE(SUBSTITUTE(SUBSTITUTE(SUBSTITUTE(SUBSTITUTE(X1717,"|}","--"),"{|","--"),CHAR(10),""),"、",""),"|",""))+IF(AND(OR(I1717="EI",I1717="EO",I1717="EQ"),$AD$1="NESMA"),2,1)))</f>
        <v/>
      </c>
      <c r="O1717" s="84">
        <f>IF(I1717="EI",IF(OR(X1717="估算法",X1717="算法类"),"中",IF(X1717="无法识别","低",IF(L1717&lt;2,IF(N1717&lt;16,"低","中"),IF(L1717&lt;3,IF(N1717&lt;5,"低",IF(N1717&lt;16,"中","高")),IF(N1717&lt;5,"中","高"))))),IF(OR(I1717="EO",I1717="EQ"),IF(OR(X1717="估算法",X1717="算法类"),"中",IF(X1717="无法识别","低",IF(L1717&lt;2,IF(N1717&lt;20,"低","中"),IF(L1717&lt;4,IF(N1717&lt;6,"低",IF(N1717&lt;20,"中","高")),IF(N1717&lt;6,"中","高"))))),IF(OR(I1717="ILF",I1717="EIF"),IF(OR(X1717="估算法",X1717="算法类",X1717="无法识别"),"低",IF(M1717&lt;2,IF(N1717&lt;51,"低","中"),IF(M1717&lt;6,IF(N1717&lt;20,"低",IF(N1717&lt;51,"中","高")),IF(N1717&lt;20,"中","高")))),"不计算")))</f>
        <v/>
      </c>
      <c r="P1717" s="142">
        <f>IFERROR(IF(I1717="EI",IF(O1717="低",3,IF(O1717="中",4,6)),IF(I1717="EO",IF(O1717="低",4,IF(O1717="中",5,7)),IF(I1717="EQ",IF(O1717="低",3,IF(O1717="中",4,6)),IF(I1717="ILF",IF(O1717="低",7,IF(O1717="中",10,15)),IF(I1717="EIF",IF(O1717="低",5,IF(O1717="中",7,10)),"不计算")))))*Q1717,"不计算")</f>
        <v/>
      </c>
      <c r="Q1717" s="142" t="n">
        <v>1</v>
      </c>
      <c r="R1717" s="143">
        <f>调整因子!$F$13</f>
        <v/>
      </c>
      <c r="S1717" s="70" t="n">
        <v>1</v>
      </c>
      <c r="T1717" s="144">
        <f>IFERROR(P1717*R1717,0)</f>
        <v/>
      </c>
      <c r="U1717" s="145">
        <f>T1717*S1717</f>
        <v/>
      </c>
      <c r="V1717" s="96" t="inlineStr">
        <is>
          <t>性能数据表</t>
        </is>
      </c>
      <c r="W1717" s="96" t="inlineStr"/>
      <c r="X1717" s="111" t="inlineStr">
        <is>
          <t>性能数据表{ID、名称|ID、名称、类型、状态}</t>
        </is>
      </c>
      <c r="Y1717" s="88" t="n"/>
      <c r="Z1717" s="88" t="n"/>
    </row>
    <row r="1718" hidden="1">
      <c r="A1718" s="69">
        <f>ROW()-1</f>
        <v/>
      </c>
      <c r="B1718" s="53" t="n"/>
      <c r="C1718" s="117" t="n">
        <v>2026</v>
      </c>
      <c r="E1718" s="53" t="n"/>
      <c r="F1718" s="53" t="n"/>
      <c r="G1718" s="53" t="n"/>
      <c r="H1718" s="96" t="inlineStr">
        <is>
          <t>查询迁移进度</t>
        </is>
      </c>
      <c r="I1718" s="76" t="inlineStr">
        <is>
          <t>EQ</t>
        </is>
      </c>
      <c r="J1718" s="95" t="n"/>
      <c r="K1718" s="95" t="n"/>
      <c r="L1718" s="83">
        <f>IF(OR(X1718="估算法",X1718="算法类",X1718="无法识别"),"",IF(V1718="",IF(OR(I1718="EI",I1718="EO",I1718="EQ"),0,""),LEN(V1718)-LEN(SUBSTITUTE(V1718,"、",""))+1))</f>
        <v/>
      </c>
      <c r="M1718" s="83">
        <f>IF(OR(X1718="估算法",X1718="算法类",X1718="无法识别"),"",IF(W1718="",IF(OR(I1718="ILF",I1718="EIF"),0,""),LEN(W1718)-LEN(SUBSTITUTE(W1718,"、",""))+1))</f>
        <v/>
      </c>
      <c r="N1718" s="83">
        <f>IF(OR(X1718="估算法",X1718="算法类",X1718="无法识别"),"",IF(X1718="",IF(OR(I1718="ILF",I1718="EIF",I1718="EI",I1718="EO",I1718="EQ"),0,""),LEN(X1718)-LEN(SUBSTITUTE(SUBSTITUTE(SUBSTITUTE(SUBSTITUTE(SUBSTITUTE(X1718,"|}","--"),"{|","--"),CHAR(10),""),"、",""),"|",""))+IF(AND(OR(I1718="EI",I1718="EO",I1718="EQ"),$AD$1="NESMA"),2,1)))</f>
        <v/>
      </c>
      <c r="O1718" s="84">
        <f>IF(I1718="EI",IF(OR(X1718="估算法",X1718="算法类"),"中",IF(X1718="无法识别","低",IF(L1718&lt;2,IF(N1718&lt;16,"低","中"),IF(L1718&lt;3,IF(N1718&lt;5,"低",IF(N1718&lt;16,"中","高")),IF(N1718&lt;5,"中","高"))))),IF(OR(I1718="EO",I1718="EQ"),IF(OR(X1718="估算法",X1718="算法类"),"中",IF(X1718="无法识别","低",IF(L1718&lt;2,IF(N1718&lt;20,"低","中"),IF(L1718&lt;4,IF(N1718&lt;6,"低",IF(N1718&lt;20,"中","高")),IF(N1718&lt;6,"中","高"))))),IF(OR(I1718="ILF",I1718="EIF"),IF(OR(X1718="估算法",X1718="算法类",X1718="无法识别"),"低",IF(M1718&lt;2,IF(N1718&lt;51,"低","中"),IF(M1718&lt;6,IF(N1718&lt;20,"低",IF(N1718&lt;51,"中","高")),IF(N1718&lt;20,"中","高")))),"不计算")))</f>
        <v/>
      </c>
      <c r="P1718" s="142">
        <f>IFERROR(IF(I1718="EI",IF(O1718="低",3,IF(O1718="中",4,6)),IF(I1718="EO",IF(O1718="低",4,IF(O1718="中",5,7)),IF(I1718="EQ",IF(O1718="低",3,IF(O1718="中",4,6)),IF(I1718="ILF",IF(O1718="低",7,IF(O1718="中",10,15)),IF(I1718="EIF",IF(O1718="低",5,IF(O1718="中",7,10)),"不计算")))))*Q1718,"不计算")</f>
        <v/>
      </c>
      <c r="Q1718" s="142" t="n">
        <v>1</v>
      </c>
      <c r="R1718" s="143">
        <f>调整因子!$F$13</f>
        <v/>
      </c>
      <c r="S1718" s="70" t="n">
        <v>1</v>
      </c>
      <c r="T1718" s="144">
        <f>IFERROR(P1718*R1718,0)</f>
        <v/>
      </c>
      <c r="U1718" s="145">
        <f>T1718*S1718</f>
        <v/>
      </c>
      <c r="V1718" s="96" t="inlineStr">
        <is>
          <t>调用统计表</t>
        </is>
      </c>
      <c r="W1718" s="96" t="inlineStr"/>
      <c r="X1718" s="111" t="inlineStr">
        <is>
          <t>调用统计表{ID、名称|ID、名称、类型、状态、创建时间}</t>
        </is>
      </c>
      <c r="Y1718" s="88" t="n"/>
      <c r="Z1718" s="88" t="n"/>
    </row>
    <row r="1719" hidden="1" ht="21.6" customHeight="1">
      <c r="A1719" s="69">
        <f>ROW()-1</f>
        <v/>
      </c>
      <c r="B1719" s="53" t="n"/>
      <c r="C1719" s="117" t="n">
        <v>2026</v>
      </c>
      <c r="E1719" s="53" t="n"/>
      <c r="F1719" s="53" t="n"/>
      <c r="G1719" s="54" t="n"/>
      <c r="H1719" s="96" t="inlineStr">
        <is>
          <t>查看迁移详情</t>
        </is>
      </c>
      <c r="I1719" s="76" t="inlineStr">
        <is>
          <t>EQ</t>
        </is>
      </c>
      <c r="J1719" s="95" t="n"/>
      <c r="K1719" s="95" t="n"/>
      <c r="L1719" s="83">
        <f>IF(OR(X1719="估算法",X1719="算法类",X1719="无法识别"),"",IF(V1719="",IF(OR(I1719="EI",I1719="EO",I1719="EQ"),0,""),LEN(V1719)-LEN(SUBSTITUTE(V1719,"、",""))+1))</f>
        <v/>
      </c>
      <c r="M1719" s="83">
        <f>IF(OR(X1719="估算法",X1719="算法类",X1719="无法识别"),"",IF(W1719="",IF(OR(I1719="ILF",I1719="EIF"),0,""),LEN(W1719)-LEN(SUBSTITUTE(W1719,"、",""))+1))</f>
        <v/>
      </c>
      <c r="N1719" s="83">
        <f>IF(OR(X1719="估算法",X1719="算法类",X1719="无法识别"),"",IF(X1719="",IF(OR(I1719="ILF",I1719="EIF",I1719="EI",I1719="EO",I1719="EQ"),0,""),LEN(X1719)-LEN(SUBSTITUTE(SUBSTITUTE(SUBSTITUTE(SUBSTITUTE(SUBSTITUTE(X1719,"|}","--"),"{|","--"),CHAR(10),""),"、",""),"|",""))+IF(AND(OR(I1719="EI",I1719="EO",I1719="EQ"),$AD$1="NESMA"),2,1)))</f>
        <v/>
      </c>
      <c r="O1719" s="84">
        <f>IF(I1719="EI",IF(OR(X1719="估算法",X1719="算法类"),"中",IF(X1719="无法识别","低",IF(L1719&lt;2,IF(N1719&lt;16,"低","中"),IF(L1719&lt;3,IF(N1719&lt;5,"低",IF(N1719&lt;16,"中","高")),IF(N1719&lt;5,"中","高"))))),IF(OR(I1719="EO",I1719="EQ"),IF(OR(X1719="估算法",X1719="算法类"),"中",IF(X1719="无法识别","低",IF(L1719&lt;2,IF(N1719&lt;20,"低","中"),IF(L1719&lt;4,IF(N1719&lt;6,"低",IF(N1719&lt;20,"中","高")),IF(N1719&lt;6,"中","高"))))),IF(OR(I1719="ILF",I1719="EIF"),IF(OR(X1719="估算法",X1719="算法类",X1719="无法识别"),"低",IF(M1719&lt;2,IF(N1719&lt;51,"低","中"),IF(M1719&lt;6,IF(N1719&lt;20,"低",IF(N1719&lt;51,"中","高")),IF(N1719&lt;20,"中","高")))),"不计算")))</f>
        <v/>
      </c>
      <c r="P1719" s="142">
        <f>IFERROR(IF(I1719="EI",IF(O1719="低",3,IF(O1719="中",4,6)),IF(I1719="EO",IF(O1719="低",4,IF(O1719="中",5,7)),IF(I1719="EQ",IF(O1719="低",3,IF(O1719="中",4,6)),IF(I1719="ILF",IF(O1719="低",7,IF(O1719="中",10,15)),IF(I1719="EIF",IF(O1719="低",5,IF(O1719="中",7,10)),"不计算")))))*Q1719,"不计算")</f>
        <v/>
      </c>
      <c r="Q1719" s="142" t="n">
        <v>1</v>
      </c>
      <c r="R1719" s="143">
        <f>调整因子!$F$13</f>
        <v/>
      </c>
      <c r="S1719" s="76" t="n">
        <v>1</v>
      </c>
      <c r="T1719" s="144">
        <f>IFERROR(P1719*R1719,0)</f>
        <v/>
      </c>
      <c r="U1719" s="145">
        <f>T1719*S1719</f>
        <v/>
      </c>
      <c r="V1719" s="96" t="inlineStr">
        <is>
          <t>日志加密配置表</t>
        </is>
      </c>
      <c r="W1719" s="96" t="inlineStr"/>
      <c r="X1719" s="111" t="inlineStr">
        <is>
          <t>日志加密配置表{配置ID、配置名称|配置ID、配置名称、配置类型、配置值、创建时间}</t>
        </is>
      </c>
      <c r="Y1719" s="88" t="n"/>
      <c r="Z1719" s="88" t="n"/>
    </row>
    <row r="1720" hidden="1">
      <c r="A1720" s="69">
        <f>ROW()-1</f>
        <v/>
      </c>
      <c r="B1720" s="53" t="n"/>
      <c r="C1720" s="117" t="n">
        <v>2026</v>
      </c>
      <c r="E1720" s="53" t="n"/>
      <c r="F1720" s="53" t="n"/>
      <c r="G1720" s="111" t="inlineStr">
        <is>
          <t>数据库优化管理</t>
        </is>
      </c>
      <c r="H1720" s="96" t="inlineStr">
        <is>
          <t>导出优化报告</t>
        </is>
      </c>
      <c r="I1720" s="76" t="inlineStr">
        <is>
          <t>EO</t>
        </is>
      </c>
      <c r="J1720" s="95" t="n"/>
      <c r="K1720" s="95" t="n"/>
      <c r="L1720" s="83">
        <f>IF(OR(X1720="估算法",X1720="算法类",X1720="无法识别"),"",IF(V1720="",IF(OR(I1720="EI",I1720="EO",I1720="EQ"),0,""),LEN(V1720)-LEN(SUBSTITUTE(V1720,"、",""))+1))</f>
        <v/>
      </c>
      <c r="M1720" s="83">
        <f>IF(OR(X1720="估算法",X1720="算法类",X1720="无法识别"),"",IF(W1720="",IF(OR(I1720="ILF",I1720="EIF"),0,""),LEN(W1720)-LEN(SUBSTITUTE(W1720,"、",""))+1))</f>
        <v/>
      </c>
      <c r="N1720" s="83">
        <f>IF(OR(X1720="估算法",X1720="算法类",X1720="无法识别"),"",IF(X1720="",IF(OR(I1720="ILF",I1720="EIF",I1720="EI",I1720="EO",I1720="EQ"),0,""),LEN(X1720)-LEN(SUBSTITUTE(SUBSTITUTE(SUBSTITUTE(SUBSTITUTE(SUBSTITUTE(X1720,"|}","--"),"{|","--"),CHAR(10),""),"、",""),"|",""))+IF(AND(OR(I1720="EI",I1720="EO",I1720="EQ"),$AD$1="NESMA"),2,1)))</f>
        <v/>
      </c>
      <c r="O1720" s="84">
        <f>IF(I1720="EI",IF(OR(X1720="估算法",X1720="算法类"),"中",IF(X1720="无法识别","低",IF(L1720&lt;2,IF(N1720&lt;16,"低","中"),IF(L1720&lt;3,IF(N1720&lt;5,"低",IF(N1720&lt;16,"中","高")),IF(N1720&lt;5,"中","高"))))),IF(OR(I1720="EO",I1720="EQ"),IF(OR(X1720="估算法",X1720="算法类"),"中",IF(X1720="无法识别","低",IF(L1720&lt;2,IF(N1720&lt;20,"低","中"),IF(L1720&lt;4,IF(N1720&lt;6,"低",IF(N1720&lt;20,"中","高")),IF(N1720&lt;6,"中","高"))))),IF(OR(I1720="ILF",I1720="EIF"),IF(OR(X1720="估算法",X1720="算法类",X1720="无法识别"),"低",IF(M1720&lt;2,IF(N1720&lt;51,"低","中"),IF(M1720&lt;6,IF(N1720&lt;20,"低",IF(N1720&lt;51,"中","高")),IF(N1720&lt;20,"中","高")))),"不计算")))</f>
        <v/>
      </c>
      <c r="P1720" s="142">
        <f>IFERROR(IF(I1720="EI",IF(O1720="低",3,IF(O1720="中",4,6)),IF(I1720="EO",IF(O1720="低",4,IF(O1720="中",5,7)),IF(I1720="EQ",IF(O1720="低",3,IF(O1720="中",4,6)),IF(I1720="ILF",IF(O1720="低",7,IF(O1720="中",10,15)),IF(I1720="EIF",IF(O1720="低",5,IF(O1720="中",7,10)),"不计算")))))*Q1720,"不计算")</f>
        <v/>
      </c>
      <c r="Q1720" s="142" t="n">
        <v>1</v>
      </c>
      <c r="R1720" s="143">
        <f>调整因子!$F$13</f>
        <v/>
      </c>
      <c r="S1720" s="76" t="n">
        <v>1</v>
      </c>
      <c r="T1720" s="144">
        <f>IFERROR(P1720*R1720,0)</f>
        <v/>
      </c>
      <c r="U1720" s="145">
        <f>T1720*S1720</f>
        <v/>
      </c>
      <c r="V1720" s="96" t="inlineStr">
        <is>
          <t>加密策略表</t>
        </is>
      </c>
      <c r="W1720" s="96" t="inlineStr"/>
      <c r="X1720" s="111" t="inlineStr">
        <is>
          <t>加密策略表{策略ID、策略名称|策略ID、策略名称、策略类型}</t>
        </is>
      </c>
      <c r="Y1720" s="88" t="n"/>
      <c r="Z1720" s="88" t="n"/>
    </row>
    <row r="1721" hidden="1">
      <c r="A1721" s="69">
        <f>ROW()-1</f>
        <v/>
      </c>
      <c r="B1721" s="53" t="n"/>
      <c r="C1721" s="117" t="n">
        <v>2026</v>
      </c>
      <c r="E1721" s="53" t="n"/>
      <c r="F1721" s="53" t="n"/>
      <c r="G1721" s="53" t="n"/>
      <c r="H1721" s="96" t="inlineStr">
        <is>
          <t>下载性能报告</t>
        </is>
      </c>
      <c r="I1721" s="76" t="inlineStr">
        <is>
          <t>EO</t>
        </is>
      </c>
      <c r="J1721" s="95" t="n"/>
      <c r="K1721" s="95" t="n"/>
      <c r="L1721" s="83">
        <f>IF(OR(X1721="估算法",X1721="算法类",X1721="无法识别"),"",IF(V1721="",IF(OR(I1721="EI",I1721="EO",I1721="EQ"),0,""),LEN(V1721)-LEN(SUBSTITUTE(V1721,"、",""))+1))</f>
        <v/>
      </c>
      <c r="M1721" s="83">
        <f>IF(OR(X1721="估算法",X1721="算法类",X1721="无法识别"),"",IF(W1721="",IF(OR(I1721="ILF",I1721="EIF"),0,""),LEN(W1721)-LEN(SUBSTITUTE(W1721,"、",""))+1))</f>
        <v/>
      </c>
      <c r="N1721" s="83">
        <f>IF(OR(X1721="估算法",X1721="算法类",X1721="无法识别"),"",IF(X1721="",IF(OR(I1721="ILF",I1721="EIF",I1721="EI",I1721="EO",I1721="EQ"),0,""),LEN(X1721)-LEN(SUBSTITUTE(SUBSTITUTE(SUBSTITUTE(SUBSTITUTE(SUBSTITUTE(X1721,"|}","--"),"{|","--"),CHAR(10),""),"、",""),"|",""))+IF(AND(OR(I1721="EI",I1721="EO",I1721="EQ"),$AD$1="NESMA"),2,1)))</f>
        <v/>
      </c>
      <c r="O1721" s="84">
        <f>IF(I1721="EI",IF(OR(X1721="估算法",X1721="算法类"),"中",IF(X1721="无法识别","低",IF(L1721&lt;2,IF(N1721&lt;16,"低","中"),IF(L1721&lt;3,IF(N1721&lt;5,"低",IF(N1721&lt;16,"中","高")),IF(N1721&lt;5,"中","高"))))),IF(OR(I1721="EO",I1721="EQ"),IF(OR(X1721="估算法",X1721="算法类"),"中",IF(X1721="无法识别","低",IF(L1721&lt;2,IF(N1721&lt;20,"低","中"),IF(L1721&lt;4,IF(N1721&lt;6,"低",IF(N1721&lt;20,"中","高")),IF(N1721&lt;6,"中","高"))))),IF(OR(I1721="ILF",I1721="EIF"),IF(OR(X1721="估算法",X1721="算法类",X1721="无法识别"),"低",IF(M1721&lt;2,IF(N1721&lt;51,"低","中"),IF(M1721&lt;6,IF(N1721&lt;20,"低",IF(N1721&lt;51,"中","高")),IF(N1721&lt;20,"中","高")))),"不计算")))</f>
        <v/>
      </c>
      <c r="P1721" s="142">
        <f>IFERROR(IF(I1721="EI",IF(O1721="低",3,IF(O1721="中",4,6)),IF(I1721="EO",IF(O1721="低",4,IF(O1721="中",5,7)),IF(I1721="EQ",IF(O1721="低",3,IF(O1721="中",4,6)),IF(I1721="ILF",IF(O1721="低",7,IF(O1721="中",10,15)),IF(I1721="EIF",IF(O1721="低",5,IF(O1721="中",7,10)),"不计算")))))*Q1721,"不计算")</f>
        <v/>
      </c>
      <c r="Q1721" s="142" t="n">
        <v>1</v>
      </c>
      <c r="R1721" s="143">
        <f>调整因子!$F$13</f>
        <v/>
      </c>
      <c r="S1721" s="70" t="n">
        <v>1</v>
      </c>
      <c r="T1721" s="144">
        <f>IFERROR(P1721*R1721,0)</f>
        <v/>
      </c>
      <c r="U1721" s="145">
        <f>T1721*S1721</f>
        <v/>
      </c>
      <c r="V1721" s="96" t="inlineStr">
        <is>
          <t>分类层级关系表</t>
        </is>
      </c>
      <c r="W1721" s="96" t="inlineStr"/>
      <c r="X1721" s="111" t="inlineStr">
        <is>
          <t>分类层级关系表{ID、名称|ID、名称、类型、状态、创建时间}</t>
        </is>
      </c>
      <c r="Y1721" s="88" t="n"/>
      <c r="Z1721" s="88" t="n"/>
    </row>
    <row r="1722" hidden="1">
      <c r="A1722" s="69">
        <f>ROW()-1</f>
        <v/>
      </c>
      <c r="B1722" s="53" t="n"/>
      <c r="C1722" s="117" t="n">
        <v>2026</v>
      </c>
      <c r="E1722" s="53" t="n"/>
      <c r="F1722" s="53" t="n"/>
      <c r="G1722" s="53" t="n"/>
      <c r="H1722" s="96" t="inlineStr">
        <is>
          <t>查询优化记录</t>
        </is>
      </c>
      <c r="I1722" s="76" t="inlineStr">
        <is>
          <t>EQ</t>
        </is>
      </c>
      <c r="J1722" s="95" t="n"/>
      <c r="K1722" s="95" t="n"/>
      <c r="L1722" s="83">
        <f>IF(OR(X1722="估算法",X1722="算法类",X1722="无法识别"),"",IF(V1722="",IF(OR(I1722="EI",I1722="EO",I1722="EQ"),0,""),LEN(V1722)-LEN(SUBSTITUTE(V1722,"、",""))+1))</f>
        <v/>
      </c>
      <c r="M1722" s="83">
        <f>IF(OR(X1722="估算法",X1722="算法类",X1722="无法识别"),"",IF(W1722="",IF(OR(I1722="ILF",I1722="EIF"),0,""),LEN(W1722)-LEN(SUBSTITUTE(W1722,"、",""))+1))</f>
        <v/>
      </c>
      <c r="N1722" s="83">
        <f>IF(OR(X1722="估算法",X1722="算法类",X1722="无法识别"),"",IF(X1722="",IF(OR(I1722="ILF",I1722="EIF",I1722="EI",I1722="EO",I1722="EQ"),0,""),LEN(X1722)-LEN(SUBSTITUTE(SUBSTITUTE(SUBSTITUTE(SUBSTITUTE(SUBSTITUTE(X1722,"|}","--"),"{|","--"),CHAR(10),""),"、",""),"|",""))+IF(AND(OR(I1722="EI",I1722="EO",I1722="EQ"),$AD$1="NESMA"),2,1)))</f>
        <v/>
      </c>
      <c r="O1722" s="84">
        <f>IF(I1722="EI",IF(OR(X1722="估算法",X1722="算法类"),"中",IF(X1722="无法识别","低",IF(L1722&lt;2,IF(N1722&lt;16,"低","中"),IF(L1722&lt;3,IF(N1722&lt;5,"低",IF(N1722&lt;16,"中","高")),IF(N1722&lt;5,"中","高"))))),IF(OR(I1722="EO",I1722="EQ"),IF(OR(X1722="估算法",X1722="算法类"),"中",IF(X1722="无法识别","低",IF(L1722&lt;2,IF(N1722&lt;20,"低","中"),IF(L1722&lt;4,IF(N1722&lt;6,"低",IF(N1722&lt;20,"中","高")),IF(N1722&lt;6,"中","高"))))),IF(OR(I1722="ILF",I1722="EIF"),IF(OR(X1722="估算法",X1722="算法类",X1722="无法识别"),"低",IF(M1722&lt;2,IF(N1722&lt;51,"低","中"),IF(M1722&lt;6,IF(N1722&lt;20,"低",IF(N1722&lt;51,"中","高")),IF(N1722&lt;20,"中","高")))),"不计算")))</f>
        <v/>
      </c>
      <c r="P1722" s="142">
        <f>IFERROR(IF(I1722="EI",IF(O1722="低",3,IF(O1722="中",4,6)),IF(I1722="EO",IF(O1722="低",4,IF(O1722="中",5,7)),IF(I1722="EQ",IF(O1722="低",3,IF(O1722="中",4,6)),IF(I1722="ILF",IF(O1722="低",7,IF(O1722="中",10,15)),IF(I1722="EIF",IF(O1722="低",5,IF(O1722="中",7,10)),"不计算")))))*Q1722,"不计算")</f>
        <v/>
      </c>
      <c r="Q1722" s="142" t="n">
        <v>1</v>
      </c>
      <c r="R1722" s="143">
        <f>调整因子!$F$13</f>
        <v/>
      </c>
      <c r="S1722" s="70" t="n">
        <v>1</v>
      </c>
      <c r="T1722" s="144">
        <f>IFERROR(P1722*R1722,0)</f>
        <v/>
      </c>
      <c r="U1722" s="145">
        <f>T1722*S1722</f>
        <v/>
      </c>
      <c r="V1722" s="96" t="inlineStr">
        <is>
          <t>方案审批表</t>
        </is>
      </c>
      <c r="W1722" s="96" t="inlineStr"/>
      <c r="X1722" s="111" t="inlineStr">
        <is>
          <t>方案审批表{ID、名称|ID、名称、类型、状态}</t>
        </is>
      </c>
      <c r="Y1722" s="88" t="n"/>
      <c r="Z1722" s="88" t="n"/>
    </row>
    <row r="1723" hidden="1">
      <c r="A1723" s="69">
        <f>ROW()-1</f>
        <v/>
      </c>
      <c r="B1723" s="53" t="n"/>
      <c r="C1723" s="117" t="n">
        <v>2026</v>
      </c>
      <c r="E1723" s="53" t="n"/>
      <c r="F1723" s="53" t="n"/>
      <c r="G1723" s="54" t="n"/>
      <c r="H1723" s="96" t="inlineStr">
        <is>
          <t>查看优化详情</t>
        </is>
      </c>
      <c r="I1723" s="76" t="inlineStr">
        <is>
          <t>EQ</t>
        </is>
      </c>
      <c r="J1723" s="95" t="n"/>
      <c r="K1723" s="95" t="n"/>
      <c r="L1723" s="83">
        <f>IF(OR(X1723="估算法",X1723="算法类",X1723="无法识别"),"",IF(V1723="",IF(OR(I1723="EI",I1723="EO",I1723="EQ"),0,""),LEN(V1723)-LEN(SUBSTITUTE(V1723,"、",""))+1))</f>
        <v/>
      </c>
      <c r="M1723" s="83">
        <f>IF(OR(X1723="估算法",X1723="算法类",X1723="无法识别"),"",IF(W1723="",IF(OR(I1723="ILF",I1723="EIF"),0,""),LEN(W1723)-LEN(SUBSTITUTE(W1723,"、",""))+1))</f>
        <v/>
      </c>
      <c r="N1723" s="83">
        <f>IF(OR(X1723="估算法",X1723="算法类",X1723="无法识别"),"",IF(X1723="",IF(OR(I1723="ILF",I1723="EIF",I1723="EI",I1723="EO",I1723="EQ"),0,""),LEN(X1723)-LEN(SUBSTITUTE(SUBSTITUTE(SUBSTITUTE(SUBSTITUTE(SUBSTITUTE(X1723,"|}","--"),"{|","--"),CHAR(10),""),"、",""),"|",""))+IF(AND(OR(I1723="EI",I1723="EO",I1723="EQ"),$AD$1="NESMA"),2,1)))</f>
        <v/>
      </c>
      <c r="O1723" s="84">
        <f>IF(I1723="EI",IF(OR(X1723="估算法",X1723="算法类"),"中",IF(X1723="无法识别","低",IF(L1723&lt;2,IF(N1723&lt;16,"低","中"),IF(L1723&lt;3,IF(N1723&lt;5,"低",IF(N1723&lt;16,"中","高")),IF(N1723&lt;5,"中","高"))))),IF(OR(I1723="EO",I1723="EQ"),IF(OR(X1723="估算法",X1723="算法类"),"中",IF(X1723="无法识别","低",IF(L1723&lt;2,IF(N1723&lt;20,"低","中"),IF(L1723&lt;4,IF(N1723&lt;6,"低",IF(N1723&lt;20,"中","高")),IF(N1723&lt;6,"中","高"))))),IF(OR(I1723="ILF",I1723="EIF"),IF(OR(X1723="估算法",X1723="算法类",X1723="无法识别"),"低",IF(M1723&lt;2,IF(N1723&lt;51,"低","中"),IF(M1723&lt;6,IF(N1723&lt;20,"低",IF(N1723&lt;51,"中","高")),IF(N1723&lt;20,"中","高")))),"不计算")))</f>
        <v/>
      </c>
      <c r="P1723" s="142">
        <f>IFERROR(IF(I1723="EI",IF(O1723="低",3,IF(O1723="中",4,6)),IF(I1723="EO",IF(O1723="低",4,IF(O1723="中",5,7)),IF(I1723="EQ",IF(O1723="低",3,IF(O1723="中",4,6)),IF(I1723="ILF",IF(O1723="低",7,IF(O1723="中",10,15)),IF(I1723="EIF",IF(O1723="低",5,IF(O1723="中",7,10)),"不计算")))))*Q1723,"不计算")</f>
        <v/>
      </c>
      <c r="Q1723" s="142" t="n">
        <v>1</v>
      </c>
      <c r="R1723" s="143">
        <f>调整因子!$F$13</f>
        <v/>
      </c>
      <c r="S1723" s="76" t="n">
        <v>1</v>
      </c>
      <c r="T1723" s="144">
        <f>IFERROR(P1723*R1723,0)</f>
        <v/>
      </c>
      <c r="U1723" s="145">
        <f>T1723*S1723</f>
        <v/>
      </c>
      <c r="V1723" s="96" t="inlineStr">
        <is>
          <t>同步任务调度表</t>
        </is>
      </c>
      <c r="W1723" s="96" t="inlineStr"/>
      <c r="X1723" s="111" t="inlineStr">
        <is>
          <t>同步任务调度表{任务ID、任务名称|任务ID、任务名称、任务类型、任务状态}</t>
        </is>
      </c>
      <c r="Y1723" s="88" t="n"/>
      <c r="Z1723" s="88" t="n"/>
    </row>
    <row r="1724" hidden="1" ht="21.6" customHeight="1">
      <c r="A1724" s="69">
        <f>ROW()-1</f>
        <v/>
      </c>
      <c r="B1724" s="53" t="n"/>
      <c r="C1724" s="117" t="n">
        <v>2026</v>
      </c>
      <c r="E1724" s="53" t="n"/>
      <c r="F1724" s="53" t="n"/>
      <c r="G1724" s="111" t="inlineStr">
        <is>
          <t>数据库监控备份管理</t>
        </is>
      </c>
      <c r="H1724" s="96" t="inlineStr">
        <is>
          <t>启用数据库监控</t>
        </is>
      </c>
      <c r="I1724" s="76" t="inlineStr">
        <is>
          <t>EI</t>
        </is>
      </c>
      <c r="J1724" s="95" t="n"/>
      <c r="K1724" s="95" t="n"/>
      <c r="L1724" s="83">
        <f>IF(OR(X1724="估算法",X1724="算法类",X1724="无法识别"),"",IF(V1724="",IF(OR(I1724="EI",I1724="EO",I1724="EQ"),0,""),LEN(V1724)-LEN(SUBSTITUTE(V1724,"、",""))+1))</f>
        <v/>
      </c>
      <c r="M1724" s="83">
        <f>IF(OR(X1724="估算法",X1724="算法类",X1724="无法识别"),"",IF(W1724="",IF(OR(I1724="ILF",I1724="EIF"),0,""),LEN(W1724)-LEN(SUBSTITUTE(W1724,"、",""))+1))</f>
        <v/>
      </c>
      <c r="N1724" s="83">
        <f>IF(OR(X1724="估算法",X1724="算法类",X1724="无法识别"),"",IF(X1724="",IF(OR(I1724="ILF",I1724="EIF",I1724="EI",I1724="EO",I1724="EQ"),0,""),LEN(X1724)-LEN(SUBSTITUTE(SUBSTITUTE(SUBSTITUTE(SUBSTITUTE(SUBSTITUTE(X1724,"|}","--"),"{|","--"),CHAR(10),""),"、",""),"|",""))+IF(AND(OR(I1724="EI",I1724="EO",I1724="EQ"),$AD$1="NESMA"),2,1)))</f>
        <v/>
      </c>
      <c r="O1724" s="84">
        <f>IF(I1724="EI",IF(OR(X1724="估算法",X1724="算法类"),"中",IF(X1724="无法识别","低",IF(L1724&lt;2,IF(N1724&lt;16,"低","中"),IF(L1724&lt;3,IF(N1724&lt;5,"低",IF(N1724&lt;16,"中","高")),IF(N1724&lt;5,"中","高"))))),IF(OR(I1724="EO",I1724="EQ"),IF(OR(X1724="估算法",X1724="算法类"),"中",IF(X1724="无法识别","低",IF(L1724&lt;2,IF(N1724&lt;20,"低","中"),IF(L1724&lt;4,IF(N1724&lt;6,"低",IF(N1724&lt;20,"中","高")),IF(N1724&lt;6,"中","高"))))),IF(OR(I1724="ILF",I1724="EIF"),IF(OR(X1724="估算法",X1724="算法类",X1724="无法识别"),"低",IF(M1724&lt;2,IF(N1724&lt;51,"低","中"),IF(M1724&lt;6,IF(N1724&lt;20,"低",IF(N1724&lt;51,"中","高")),IF(N1724&lt;20,"中","高")))),"不计算")))</f>
        <v/>
      </c>
      <c r="P1724" s="142">
        <f>IFERROR(IF(I1724="EI",IF(O1724="低",3,IF(O1724="中",4,6)),IF(I1724="EO",IF(O1724="低",4,IF(O1724="中",5,7)),IF(I1724="EQ",IF(O1724="低",3,IF(O1724="中",4,6)),IF(I1724="ILF",IF(O1724="低",7,IF(O1724="中",10,15)),IF(I1724="EIF",IF(O1724="低",5,IF(O1724="中",7,10)),"不计算")))))*Q1724,"不计算")</f>
        <v/>
      </c>
      <c r="Q1724" s="142" t="n">
        <v>1</v>
      </c>
      <c r="R1724" s="143">
        <f>调整因子!$F$13</f>
        <v/>
      </c>
      <c r="S1724" s="70" t="n">
        <v>1</v>
      </c>
      <c r="T1724" s="144">
        <f>IFERROR(P1724*R1724,0)</f>
        <v/>
      </c>
      <c r="U1724" s="145">
        <f>T1724*S1724</f>
        <v/>
      </c>
      <c r="V1724" s="96" t="inlineStr">
        <is>
          <t>态势大屏配置表</t>
        </is>
      </c>
      <c r="W1724" s="96" t="inlineStr"/>
      <c r="X1724" s="111" t="inlineStr">
        <is>
          <t>态势大屏配置表{配置ID、配置名称、配置类型、配置值、创建时间|配置ID、配置名称、配置类型}</t>
        </is>
      </c>
      <c r="Y1724" s="88" t="n"/>
      <c r="Z1724" s="88" t="n"/>
    </row>
    <row r="1725" hidden="1" ht="21.6" customHeight="1">
      <c r="A1725" s="69">
        <f>ROW()-1</f>
        <v/>
      </c>
      <c r="B1725" s="53" t="n"/>
      <c r="C1725" s="117" t="n">
        <v>2026</v>
      </c>
      <c r="E1725" s="53" t="n"/>
      <c r="F1725" s="53" t="n"/>
      <c r="G1725" s="53" t="n"/>
      <c r="H1725" s="96" t="inlineStr">
        <is>
          <t>停用数据库监控</t>
        </is>
      </c>
      <c r="I1725" s="76" t="n"/>
      <c r="J1725" s="95" t="n"/>
      <c r="K1725" s="95" t="inlineStr">
        <is>
          <t>和上行合并，启停为相同功能</t>
        </is>
      </c>
      <c r="L1725" s="83">
        <f>IF(OR(X1725="估算法",X1725="算法类",X1725="无法识别"),"",IF(V1725="",IF(OR(I1725="EI",I1725="EO",I1725="EQ"),0,""),LEN(V1725)-LEN(SUBSTITUTE(V1725,"、",""))+1))</f>
        <v/>
      </c>
      <c r="M1725" s="83">
        <f>IF(OR(X1725="估算法",X1725="算法类",X1725="无法识别"),"",IF(W1725="",IF(OR(I1725="ILF",I1725="EIF"),0,""),LEN(W1725)-LEN(SUBSTITUTE(W1725,"、",""))+1))</f>
        <v/>
      </c>
      <c r="N1725" s="83">
        <f>IF(OR(X1725="估算法",X1725="算法类",X1725="无法识别"),"",IF(X1725="",IF(OR(I1725="ILF",I1725="EIF",I1725="EI",I1725="EO",I1725="EQ"),0,""),LEN(X1725)-LEN(SUBSTITUTE(SUBSTITUTE(SUBSTITUTE(SUBSTITUTE(SUBSTITUTE(X1725,"|}","--"),"{|","--"),CHAR(10),""),"、",""),"|",""))+IF(AND(OR(I1725="EI",I1725="EO",I1725="EQ"),$AD$1="NESMA"),2,1)))</f>
        <v/>
      </c>
      <c r="O1725" s="84">
        <f>IF(I1725="EI",IF(OR(X1725="估算法",X1725="算法类"),"中",IF(X1725="无法识别","低",IF(L1725&lt;2,IF(N1725&lt;16,"低","中"),IF(L1725&lt;3,IF(N1725&lt;5,"低",IF(N1725&lt;16,"中","高")),IF(N1725&lt;5,"中","高"))))),IF(OR(I1725="EO",I1725="EQ"),IF(OR(X1725="估算法",X1725="算法类"),"中",IF(X1725="无法识别","低",IF(L1725&lt;2,IF(N1725&lt;20,"低","中"),IF(L1725&lt;4,IF(N1725&lt;6,"低",IF(N1725&lt;20,"中","高")),IF(N1725&lt;6,"中","高"))))),IF(OR(I1725="ILF",I1725="EIF"),IF(OR(X1725="估算法",X1725="算法类",X1725="无法识别"),"低",IF(M1725&lt;2,IF(N1725&lt;51,"低","中"),IF(M1725&lt;6,IF(N1725&lt;20,"低",IF(N1725&lt;51,"中","高")),IF(N1725&lt;20,"中","高")))),"不计算")))</f>
        <v/>
      </c>
      <c r="P1725" s="142">
        <f>IFERROR(IF(I1725="EI",IF(O1725="低",3,IF(O1725="中",4,6)),IF(I1725="EO",IF(O1725="低",4,IF(O1725="中",5,7)),IF(I1725="EQ",IF(O1725="低",3,IF(O1725="中",4,6)),IF(I1725="ILF",IF(O1725="低",7,IF(O1725="中",10,15)),IF(I1725="EIF",IF(O1725="低",5,IF(O1725="中",7,10)),"不计算")))))*Q1725,"不计算")</f>
        <v/>
      </c>
      <c r="Q1725" s="142" t="n">
        <v>1</v>
      </c>
      <c r="R1725" s="143">
        <f>调整因子!$F$13</f>
        <v/>
      </c>
      <c r="S1725" s="70" t="n">
        <v>1</v>
      </c>
      <c r="T1725" s="144">
        <f>IFERROR(P1725*R1725,0)</f>
        <v/>
      </c>
      <c r="U1725" s="145">
        <f>T1725*S1725</f>
        <v/>
      </c>
      <c r="V1725" s="96" t="inlineStr">
        <is>
          <t>推送任务表</t>
        </is>
      </c>
      <c r="W1725" s="96" t="inlineStr"/>
      <c r="X1725" s="111" t="inlineStr">
        <is>
          <t>推送任务表{任务ID、任务名称、任务类型、任务状态、创建时间、执行时间|任务ID、任务名称、任务类型}</t>
        </is>
      </c>
      <c r="Y1725" s="88" t="n"/>
      <c r="Z1725" s="88" t="n"/>
    </row>
    <row r="1726" hidden="1">
      <c r="A1726" s="69">
        <f>ROW()-1</f>
        <v/>
      </c>
      <c r="B1726" s="53" t="n"/>
      <c r="C1726" s="117" t="n">
        <v>2026</v>
      </c>
      <c r="E1726" s="53" t="n"/>
      <c r="F1726" s="53" t="n"/>
      <c r="G1726" s="53" t="n"/>
      <c r="H1726" s="96" t="inlineStr">
        <is>
          <t>导出备份记录</t>
        </is>
      </c>
      <c r="I1726" s="76" t="inlineStr">
        <is>
          <t>EO</t>
        </is>
      </c>
      <c r="J1726" s="95" t="n"/>
      <c r="K1726" s="95" t="n"/>
      <c r="L1726" s="83">
        <f>IF(OR(X1726="估算法",X1726="算法类",X1726="无法识别"),"",IF(V1726="",IF(OR(I1726="EI",I1726="EO",I1726="EQ"),0,""),LEN(V1726)-LEN(SUBSTITUTE(V1726,"、",""))+1))</f>
        <v/>
      </c>
      <c r="M1726" s="83">
        <f>IF(OR(X1726="估算法",X1726="算法类",X1726="无法识别"),"",IF(W1726="",IF(OR(I1726="ILF",I1726="EIF"),0,""),LEN(W1726)-LEN(SUBSTITUTE(W1726,"、",""))+1))</f>
        <v/>
      </c>
      <c r="N1726" s="83">
        <f>IF(OR(X1726="估算法",X1726="算法类",X1726="无法识别"),"",IF(X1726="",IF(OR(I1726="ILF",I1726="EIF",I1726="EI",I1726="EO",I1726="EQ"),0,""),LEN(X1726)-LEN(SUBSTITUTE(SUBSTITUTE(SUBSTITUTE(SUBSTITUTE(SUBSTITUTE(X1726,"|}","--"),"{|","--"),CHAR(10),""),"、",""),"|",""))+IF(AND(OR(I1726="EI",I1726="EO",I1726="EQ"),$AD$1="NESMA"),2,1)))</f>
        <v/>
      </c>
      <c r="O1726" s="84">
        <f>IF(I1726="EI",IF(OR(X1726="估算法",X1726="算法类"),"中",IF(X1726="无法识别","低",IF(L1726&lt;2,IF(N1726&lt;16,"低","中"),IF(L1726&lt;3,IF(N1726&lt;5,"低",IF(N1726&lt;16,"中","高")),IF(N1726&lt;5,"中","高"))))),IF(OR(I1726="EO",I1726="EQ"),IF(OR(X1726="估算法",X1726="算法类"),"中",IF(X1726="无法识别","低",IF(L1726&lt;2,IF(N1726&lt;20,"低","中"),IF(L1726&lt;4,IF(N1726&lt;6,"低",IF(N1726&lt;20,"中","高")),IF(N1726&lt;6,"中","高"))))),IF(OR(I1726="ILF",I1726="EIF"),IF(OR(X1726="估算法",X1726="算法类",X1726="无法识别"),"低",IF(M1726&lt;2,IF(N1726&lt;51,"低","中"),IF(M1726&lt;6,IF(N1726&lt;20,"低",IF(N1726&lt;51,"中","高")),IF(N1726&lt;20,"中","高")))),"不计算")))</f>
        <v/>
      </c>
      <c r="P1726" s="142">
        <f>IFERROR(IF(I1726="EI",IF(O1726="低",3,IF(O1726="中",4,6)),IF(I1726="EO",IF(O1726="低",4,IF(O1726="中",5,7)),IF(I1726="EQ",IF(O1726="低",3,IF(O1726="中",4,6)),IF(I1726="ILF",IF(O1726="低",7,IF(O1726="中",10,15)),IF(I1726="EIF",IF(O1726="低",5,IF(O1726="中",7,10)),"不计算")))))*Q1726,"不计算")</f>
        <v/>
      </c>
      <c r="Q1726" s="142" t="n">
        <v>1</v>
      </c>
      <c r="R1726" s="143">
        <f>调整因子!$F$13</f>
        <v/>
      </c>
      <c r="S1726" s="76" t="n">
        <v>1</v>
      </c>
      <c r="T1726" s="144">
        <f>IFERROR(P1726*R1726,0)</f>
        <v/>
      </c>
      <c r="U1726" s="145">
        <f>T1726*S1726</f>
        <v/>
      </c>
      <c r="V1726" s="96" t="inlineStr">
        <is>
          <t>分类层级关系表</t>
        </is>
      </c>
      <c r="W1726" s="96" t="inlineStr"/>
      <c r="X1726" s="111" t="inlineStr">
        <is>
          <t>分类层级关系表{ID、名称|ID、名称、类型、状态、创建时间}</t>
        </is>
      </c>
      <c r="Y1726" s="88" t="n"/>
      <c r="Z1726" s="88" t="n"/>
    </row>
    <row r="1727" hidden="1">
      <c r="A1727" s="69">
        <f>ROW()-1</f>
        <v/>
      </c>
      <c r="B1727" s="53" t="n"/>
      <c r="C1727" s="117" t="n">
        <v>2026</v>
      </c>
      <c r="E1727" s="53" t="n"/>
      <c r="F1727" s="53" t="n"/>
      <c r="G1727" s="53" t="n"/>
      <c r="H1727" s="96" t="inlineStr">
        <is>
          <t>推送监控告警</t>
        </is>
      </c>
      <c r="I1727" s="76" t="inlineStr">
        <is>
          <t>EO</t>
        </is>
      </c>
      <c r="J1727" s="95" t="n"/>
      <c r="K1727" s="95" t="n"/>
      <c r="L1727" s="83">
        <f>IF(OR(X1727="估算法",X1727="算法类",X1727="无法识别"),"",IF(V1727="",IF(OR(I1727="EI",I1727="EO",I1727="EQ"),0,""),LEN(V1727)-LEN(SUBSTITUTE(V1727,"、",""))+1))</f>
        <v/>
      </c>
      <c r="M1727" s="83">
        <f>IF(OR(X1727="估算法",X1727="算法类",X1727="无法识别"),"",IF(W1727="",IF(OR(I1727="ILF",I1727="EIF"),0,""),LEN(W1727)-LEN(SUBSTITUTE(W1727,"、",""))+1))</f>
        <v/>
      </c>
      <c r="N1727" s="83">
        <f>IF(OR(X1727="估算法",X1727="算法类",X1727="无法识别"),"",IF(X1727="",IF(OR(I1727="ILF",I1727="EIF",I1727="EI",I1727="EO",I1727="EQ"),0,""),LEN(X1727)-LEN(SUBSTITUTE(SUBSTITUTE(SUBSTITUTE(SUBSTITUTE(SUBSTITUTE(X1727,"|}","--"),"{|","--"),CHAR(10),""),"、",""),"|",""))+IF(AND(OR(I1727="EI",I1727="EO",I1727="EQ"),$AD$1="NESMA"),2,1)))</f>
        <v/>
      </c>
      <c r="O1727" s="84">
        <f>IF(I1727="EI",IF(OR(X1727="估算法",X1727="算法类"),"中",IF(X1727="无法识别","低",IF(L1727&lt;2,IF(N1727&lt;16,"低","中"),IF(L1727&lt;3,IF(N1727&lt;5,"低",IF(N1727&lt;16,"中","高")),IF(N1727&lt;5,"中","高"))))),IF(OR(I1727="EO",I1727="EQ"),IF(OR(X1727="估算法",X1727="算法类"),"中",IF(X1727="无法识别","低",IF(L1727&lt;2,IF(N1727&lt;20,"低","中"),IF(L1727&lt;4,IF(N1727&lt;6,"低",IF(N1727&lt;20,"中","高")),IF(N1727&lt;6,"中","高"))))),IF(OR(I1727="ILF",I1727="EIF"),IF(OR(X1727="估算法",X1727="算法类",X1727="无法识别"),"低",IF(M1727&lt;2,IF(N1727&lt;51,"低","中"),IF(M1727&lt;6,IF(N1727&lt;20,"低",IF(N1727&lt;51,"中","高")),IF(N1727&lt;20,"中","高")))),"不计算")))</f>
        <v/>
      </c>
      <c r="P1727" s="142">
        <f>IFERROR(IF(I1727="EI",IF(O1727="低",3,IF(O1727="中",4,6)),IF(I1727="EO",IF(O1727="低",4,IF(O1727="中",5,7)),IF(I1727="EQ",IF(O1727="低",3,IF(O1727="中",4,6)),IF(I1727="ILF",IF(O1727="低",7,IF(O1727="中",10,15)),IF(I1727="EIF",IF(O1727="低",5,IF(O1727="中",7,10)),"不计算")))))*Q1727,"不计算")</f>
        <v/>
      </c>
      <c r="Q1727" s="142" t="n">
        <v>1</v>
      </c>
      <c r="R1727" s="143">
        <f>调整因子!$F$13</f>
        <v/>
      </c>
      <c r="S1727" s="76" t="n">
        <v>1</v>
      </c>
      <c r="T1727" s="144">
        <f>IFERROR(P1727*R1727,0)</f>
        <v/>
      </c>
      <c r="U1727" s="145">
        <f>T1727*S1727</f>
        <v/>
      </c>
      <c r="V1727" s="96" t="inlineStr">
        <is>
          <t>方案审批表</t>
        </is>
      </c>
      <c r="W1727" s="96" t="inlineStr"/>
      <c r="X1727" s="111" t="inlineStr">
        <is>
          <t>方案审批表{ID、名称|ID、名称、类型、状态}</t>
        </is>
      </c>
      <c r="Y1727" s="88" t="n"/>
      <c r="Z1727" s="88" t="n"/>
    </row>
    <row r="1728" hidden="1">
      <c r="A1728" s="69">
        <f>ROW()-1</f>
        <v/>
      </c>
      <c r="B1728" s="53" t="n"/>
      <c r="C1728" s="117" t="n">
        <v>2026</v>
      </c>
      <c r="E1728" s="53" t="n"/>
      <c r="F1728" s="53" t="n"/>
      <c r="G1728" s="53" t="n"/>
      <c r="H1728" s="96" t="inlineStr">
        <is>
          <t>查询监控状态</t>
        </is>
      </c>
      <c r="I1728" s="76" t="inlineStr">
        <is>
          <t>EQ</t>
        </is>
      </c>
      <c r="J1728" s="95" t="n"/>
      <c r="K1728" s="95" t="n"/>
      <c r="L1728" s="83">
        <f>IF(OR(X1728="估算法",X1728="算法类",X1728="无法识别"),"",IF(V1728="",IF(OR(I1728="EI",I1728="EO",I1728="EQ"),0,""),LEN(V1728)-LEN(SUBSTITUTE(V1728,"、",""))+1))</f>
        <v/>
      </c>
      <c r="M1728" s="83">
        <f>IF(OR(X1728="估算法",X1728="算法类",X1728="无法识别"),"",IF(W1728="",IF(OR(I1728="ILF",I1728="EIF"),0,""),LEN(W1728)-LEN(SUBSTITUTE(W1728,"、",""))+1))</f>
        <v/>
      </c>
      <c r="N1728" s="83">
        <f>IF(OR(X1728="估算法",X1728="算法类",X1728="无法识别"),"",IF(X1728="",IF(OR(I1728="ILF",I1728="EIF",I1728="EI",I1728="EO",I1728="EQ"),0,""),LEN(X1728)-LEN(SUBSTITUTE(SUBSTITUTE(SUBSTITUTE(SUBSTITUTE(SUBSTITUTE(X1728,"|}","--"),"{|","--"),CHAR(10),""),"、",""),"|",""))+IF(AND(OR(I1728="EI",I1728="EO",I1728="EQ"),$AD$1="NESMA"),2,1)))</f>
        <v/>
      </c>
      <c r="O1728" s="84">
        <f>IF(I1728="EI",IF(OR(X1728="估算法",X1728="算法类"),"中",IF(X1728="无法识别","低",IF(L1728&lt;2,IF(N1728&lt;16,"低","中"),IF(L1728&lt;3,IF(N1728&lt;5,"低",IF(N1728&lt;16,"中","高")),IF(N1728&lt;5,"中","高"))))),IF(OR(I1728="EO",I1728="EQ"),IF(OR(X1728="估算法",X1728="算法类"),"中",IF(X1728="无法识别","低",IF(L1728&lt;2,IF(N1728&lt;20,"低","中"),IF(L1728&lt;4,IF(N1728&lt;6,"低",IF(N1728&lt;20,"中","高")),IF(N1728&lt;6,"中","高"))))),IF(OR(I1728="ILF",I1728="EIF"),IF(OR(X1728="估算法",X1728="算法类",X1728="无法识别"),"低",IF(M1728&lt;2,IF(N1728&lt;51,"低","中"),IF(M1728&lt;6,IF(N1728&lt;20,"低",IF(N1728&lt;51,"中","高")),IF(N1728&lt;20,"中","高")))),"不计算")))</f>
        <v/>
      </c>
      <c r="P1728" s="142">
        <f>IFERROR(IF(I1728="EI",IF(O1728="低",3,IF(O1728="中",4,6)),IF(I1728="EO",IF(O1728="低",4,IF(O1728="中",5,7)),IF(I1728="EQ",IF(O1728="低",3,IF(O1728="中",4,6)),IF(I1728="ILF",IF(O1728="低",7,IF(O1728="中",10,15)),IF(I1728="EIF",IF(O1728="低",5,IF(O1728="中",7,10)),"不计算")))))*Q1728,"不计算")</f>
        <v/>
      </c>
      <c r="Q1728" s="142" t="n">
        <v>1</v>
      </c>
      <c r="R1728" s="143">
        <f>调整因子!$F$13</f>
        <v/>
      </c>
      <c r="S1728" s="70" t="n">
        <v>1</v>
      </c>
      <c r="T1728" s="144">
        <f>IFERROR(P1728*R1728,0)</f>
        <v/>
      </c>
      <c r="U1728" s="145">
        <f>T1728*S1728</f>
        <v/>
      </c>
      <c r="V1728" s="96" t="inlineStr">
        <is>
          <t>日志加密配置表</t>
        </is>
      </c>
      <c r="W1728" s="96" t="inlineStr"/>
      <c r="X1728" s="111" t="inlineStr">
        <is>
          <t>日志加密配置表{配置ID、配置名称|配置ID、配置名称、配置类型}</t>
        </is>
      </c>
      <c r="Y1728" s="88" t="n"/>
      <c r="Z1728" s="88" t="n"/>
    </row>
    <row r="1729" hidden="1" ht="15.6" customHeight="1">
      <c r="A1729" s="69">
        <f>ROW()-1</f>
        <v/>
      </c>
      <c r="B1729" s="54" t="n"/>
      <c r="C1729" s="117" t="n">
        <v>2026</v>
      </c>
      <c r="D1729" s="117" t="n"/>
      <c r="E1729" s="54" t="n"/>
      <c r="F1729" s="54" t="n"/>
      <c r="G1729" s="54" t="n"/>
      <c r="H1729" s="96" t="inlineStr">
        <is>
          <t>查看备份详情</t>
        </is>
      </c>
      <c r="I1729" s="76" t="inlineStr">
        <is>
          <t>EQ</t>
        </is>
      </c>
      <c r="J1729" s="95" t="n"/>
      <c r="K1729" s="95" t="n"/>
      <c r="L1729" s="83">
        <f>IF(OR(X1729="估算法",X1729="算法类",X1729="无法识别"),"",IF(V1729="",IF(OR(I1729="EI",I1729="EO",I1729="EQ"),0,""),LEN(V1729)-LEN(SUBSTITUTE(V1729,"、",""))+1))</f>
        <v/>
      </c>
      <c r="M1729" s="83">
        <f>IF(OR(X1729="估算法",X1729="算法类",X1729="无法识别"),"",IF(W1729="",IF(OR(I1729="ILF",I1729="EIF"),0,""),LEN(W1729)-LEN(SUBSTITUTE(W1729,"、",""))+1))</f>
        <v/>
      </c>
      <c r="N1729" s="83">
        <f>IF(OR(X1729="估算法",X1729="算法类",X1729="无法识别"),"",IF(X1729="",IF(OR(I1729="ILF",I1729="EIF",I1729="EI",I1729="EO",I1729="EQ"),0,""),LEN(X1729)-LEN(SUBSTITUTE(SUBSTITUTE(SUBSTITUTE(SUBSTITUTE(SUBSTITUTE(X1729,"|}","--"),"{|","--"),CHAR(10),""),"、",""),"|",""))+IF(AND(OR(I1729="EI",I1729="EO",I1729="EQ"),$AD$1="NESMA"),2,1)))</f>
        <v/>
      </c>
      <c r="O1729" s="84">
        <f>IF(I1729="EI",IF(OR(X1729="估算法",X1729="算法类"),"中",IF(X1729="无法识别","低",IF(L1729&lt;2,IF(N1729&lt;16,"低","中"),IF(L1729&lt;3,IF(N1729&lt;5,"低",IF(N1729&lt;16,"中","高")),IF(N1729&lt;5,"中","高"))))),IF(OR(I1729="EO",I1729="EQ"),IF(OR(X1729="估算法",X1729="算法类"),"中",IF(X1729="无法识别","低",IF(L1729&lt;2,IF(N1729&lt;20,"低","中"),IF(L1729&lt;4,IF(N1729&lt;6,"低",IF(N1729&lt;20,"中","高")),IF(N1729&lt;6,"中","高"))))),IF(OR(I1729="ILF",I1729="EIF"),IF(OR(X1729="估算法",X1729="算法类",X1729="无法识别"),"低",IF(M1729&lt;2,IF(N1729&lt;51,"低","中"),IF(M1729&lt;6,IF(N1729&lt;20,"低",IF(N1729&lt;51,"中","高")),IF(N1729&lt;20,"中","高")))),"不计算")))</f>
        <v/>
      </c>
      <c r="P1729" s="142">
        <f>IFERROR(IF(I1729="EI",IF(O1729="低",3,IF(O1729="中",4,6)),IF(I1729="EO",IF(O1729="低",4,IF(O1729="中",5,7)),IF(I1729="EQ",IF(O1729="低",3,IF(O1729="中",4,6)),IF(I1729="ILF",IF(O1729="低",7,IF(O1729="中",10,15)),IF(I1729="EIF",IF(O1729="低",5,IF(O1729="中",7,10)),"不计算")))))*Q1729,"不计算")</f>
        <v/>
      </c>
      <c r="Q1729" s="142" t="n">
        <v>1</v>
      </c>
      <c r="R1729" s="143">
        <f>调整因子!$F$13</f>
        <v/>
      </c>
      <c r="S1729" s="70" t="n">
        <v>1</v>
      </c>
      <c r="T1729" s="144">
        <f>IFERROR(P1729*R1729,0)</f>
        <v/>
      </c>
      <c r="U1729" s="145">
        <f>T1729*S1729</f>
        <v/>
      </c>
      <c r="V1729" s="96" t="inlineStr">
        <is>
          <t>验证记录表</t>
        </is>
      </c>
      <c r="W1729" s="96" t="inlineStr"/>
      <c r="X1729" s="111" t="inlineStr">
        <is>
          <t>验证记录表{ID、名称|ID、名称、类型、状态、创建时间}</t>
        </is>
      </c>
      <c r="Y1729" s="88" t="n"/>
      <c r="Z1729" s="88" t="n"/>
    </row>
    <row r="1730" ht="15.6" customHeight="1">
      <c r="B1730" s="120" t="n"/>
      <c r="C1730" s="120" t="n"/>
      <c r="E1730" s="120" t="n"/>
      <c r="F1730" s="120" t="n"/>
      <c r="G1730" s="120" t="n"/>
      <c r="H1730" s="120" t="n"/>
    </row>
    <row r="1731" ht="10.8" customFormat="1" customHeight="1" s="63">
      <c r="A1731" s="64" t="n"/>
      <c r="B1731" s="64" t="n"/>
      <c r="C1731" s="64" t="n"/>
      <c r="D1731" s="65" t="n"/>
      <c r="E1731" s="64" t="n"/>
      <c r="F1731" s="64" t="n"/>
      <c r="G1731" s="64" t="n"/>
      <c r="H1731" s="64" t="n"/>
      <c r="I1731" s="63" t="n"/>
      <c r="J1731" s="63" t="n"/>
      <c r="K1731" s="63" t="n"/>
      <c r="L1731" s="63" t="n"/>
      <c r="M1731" s="63" t="n"/>
      <c r="N1731" s="63" t="n"/>
      <c r="O1731" s="63" t="n"/>
      <c r="P1731" s="63" t="n"/>
      <c r="Q1731" s="136" t="n"/>
      <c r="R1731" s="137" t="n"/>
      <c r="S1731" s="137" t="n"/>
      <c r="T1731" s="138" t="n"/>
      <c r="U1731" s="138" t="n"/>
    </row>
    <row r="1732" ht="10.8" customFormat="1" customHeight="1" s="63">
      <c r="A1732" s="64" t="n"/>
      <c r="B1732" s="64" t="n"/>
      <c r="C1732" s="64" t="n"/>
      <c r="D1732" s="65" t="n"/>
      <c r="E1732" s="64" t="n"/>
      <c r="F1732" s="64" t="n"/>
      <c r="G1732" s="64" t="n"/>
      <c r="H1732" s="64" t="n"/>
      <c r="I1732" s="63" t="n"/>
      <c r="J1732" s="63" t="n"/>
      <c r="K1732" s="63" t="n"/>
      <c r="L1732" s="63" t="n"/>
      <c r="M1732" s="63" t="n"/>
      <c r="N1732" s="63" t="n"/>
      <c r="O1732" s="63" t="n"/>
      <c r="P1732" s="63" t="n"/>
      <c r="Q1732" s="136" t="n"/>
      <c r="R1732" s="137" t="n"/>
      <c r="S1732" s="137" t="n"/>
      <c r="T1732" s="138" t="n"/>
      <c r="U1732" s="138" t="n"/>
    </row>
    <row r="1733" ht="10.8" customFormat="1" customHeight="1" s="63">
      <c r="A1733" s="64" t="n"/>
      <c r="B1733" s="64" t="n"/>
      <c r="C1733" s="64" t="n"/>
      <c r="D1733" s="65" t="n"/>
      <c r="E1733" s="64" t="n"/>
      <c r="F1733" s="64" t="n"/>
      <c r="G1733" s="64" t="n"/>
      <c r="H1733" s="64" t="n"/>
      <c r="I1733" s="63" t="n"/>
      <c r="J1733" s="63" t="n"/>
      <c r="K1733" s="63" t="n"/>
      <c r="L1733" s="63" t="n"/>
      <c r="M1733" s="63" t="n"/>
      <c r="N1733" s="63" t="n"/>
      <c r="O1733" s="63" t="n"/>
      <c r="P1733" s="63" t="n"/>
      <c r="Q1733" s="136" t="n"/>
      <c r="R1733" s="137" t="n"/>
      <c r="S1733" s="137" t="n"/>
      <c r="T1733" s="138" t="n"/>
      <c r="U1733" s="138" t="n"/>
    </row>
    <row r="1734" ht="10.8" customFormat="1" customHeight="1" s="63">
      <c r="A1734" s="64" t="n"/>
      <c r="B1734" s="64" t="n"/>
      <c r="C1734" s="64" t="n"/>
      <c r="D1734" s="65" t="n"/>
      <c r="E1734" s="64" t="n"/>
      <c r="F1734" s="64" t="n"/>
      <c r="G1734" s="64" t="n"/>
      <c r="H1734" s="64" t="n"/>
      <c r="I1734" s="63" t="n"/>
      <c r="J1734" s="63" t="n"/>
      <c r="K1734" s="63" t="n"/>
      <c r="L1734" s="63" t="n"/>
      <c r="M1734" s="63" t="n"/>
      <c r="N1734" s="63" t="n"/>
      <c r="O1734" s="63" t="n"/>
      <c r="P1734" s="63" t="n"/>
      <c r="Q1734" s="136" t="n"/>
      <c r="R1734" s="137" t="n"/>
      <c r="S1734" s="137" t="n"/>
      <c r="T1734" s="138" t="n"/>
      <c r="U1734" s="138" t="n"/>
    </row>
    <row r="1735" ht="10.8" customFormat="1" customHeight="1" s="63">
      <c r="A1735" s="64" t="n"/>
      <c r="B1735" s="64" t="n"/>
      <c r="C1735" s="64" t="n"/>
      <c r="D1735" s="65" t="n"/>
      <c r="E1735" s="64" t="n"/>
      <c r="F1735" s="64" t="n"/>
      <c r="G1735" s="64" t="n"/>
      <c r="H1735" s="64" t="n"/>
      <c r="I1735" s="63" t="n"/>
      <c r="J1735" s="63" t="n"/>
      <c r="K1735" s="63" t="n"/>
      <c r="L1735" s="63" t="n"/>
      <c r="M1735" s="63" t="n"/>
      <c r="N1735" s="63" t="n"/>
      <c r="O1735" s="63" t="n"/>
      <c r="P1735" s="63" t="n"/>
      <c r="Q1735" s="136" t="n"/>
      <c r="R1735" s="137" t="n"/>
      <c r="S1735" s="137" t="n"/>
      <c r="T1735" s="138" t="n"/>
      <c r="U1735" s="138" t="n"/>
    </row>
    <row r="1736" ht="10.8" customFormat="1" customHeight="1" s="63">
      <c r="A1736" s="64" t="n"/>
      <c r="B1736" s="64" t="n"/>
      <c r="C1736" s="64" t="n"/>
      <c r="D1736" s="65" t="n"/>
      <c r="E1736" s="64" t="n"/>
      <c r="F1736" s="64" t="n"/>
      <c r="G1736" s="64" t="n"/>
      <c r="H1736" s="64" t="n"/>
      <c r="I1736" s="63" t="n"/>
      <c r="J1736" s="63" t="n"/>
      <c r="K1736" s="63" t="n"/>
      <c r="L1736" s="63" t="n"/>
      <c r="M1736" s="63" t="n"/>
      <c r="N1736" s="63" t="n"/>
      <c r="O1736" s="63" t="n"/>
      <c r="P1736" s="63" t="n"/>
      <c r="Q1736" s="136" t="n"/>
      <c r="R1736" s="137" t="n"/>
      <c r="S1736" s="137" t="n"/>
      <c r="T1736" s="138" t="n"/>
      <c r="U1736" s="138" t="n"/>
    </row>
    <row r="1737" ht="10.8" customFormat="1" customHeight="1" s="63">
      <c r="A1737" s="64" t="n"/>
      <c r="B1737" s="64" t="n"/>
      <c r="C1737" s="64" t="n"/>
      <c r="D1737" s="65" t="n"/>
      <c r="E1737" s="64" t="n"/>
      <c r="F1737" s="64" t="n"/>
      <c r="G1737" s="64" t="n"/>
      <c r="H1737" s="64" t="n"/>
      <c r="I1737" s="63" t="n"/>
      <c r="J1737" s="63" t="n"/>
      <c r="K1737" s="63" t="n"/>
      <c r="L1737" s="63" t="n"/>
      <c r="M1737" s="63" t="n"/>
      <c r="N1737" s="63" t="n"/>
      <c r="O1737" s="63" t="n"/>
      <c r="P1737" s="63" t="n"/>
      <c r="Q1737" s="136" t="n"/>
      <c r="R1737" s="137" t="n"/>
      <c r="S1737" s="137" t="n"/>
      <c r="T1737" s="138" t="n"/>
      <c r="U1737" s="138" t="n"/>
    </row>
    <row r="1738" ht="10.8" customFormat="1" customHeight="1" s="63">
      <c r="A1738" s="64" t="n"/>
      <c r="B1738" s="64" t="n"/>
      <c r="C1738" s="64" t="n"/>
      <c r="D1738" s="65" t="n"/>
      <c r="E1738" s="64" t="n"/>
      <c r="F1738" s="64" t="n"/>
      <c r="G1738" s="64" t="n"/>
      <c r="H1738" s="64" t="n"/>
      <c r="I1738" s="63" t="n"/>
      <c r="J1738" s="63" t="n"/>
      <c r="K1738" s="63" t="n"/>
      <c r="L1738" s="63" t="n"/>
      <c r="M1738" s="63" t="n"/>
      <c r="N1738" s="63" t="n"/>
      <c r="O1738" s="63" t="n"/>
      <c r="P1738" s="63" t="n"/>
      <c r="Q1738" s="136" t="n"/>
      <c r="R1738" s="137" t="n"/>
      <c r="S1738" s="137" t="n"/>
      <c r="T1738" s="138" t="n"/>
      <c r="U1738" s="138" t="n"/>
    </row>
    <row r="1739" ht="10.8" customFormat="1" customHeight="1" s="63">
      <c r="A1739" s="64" t="n"/>
      <c r="B1739" s="64" t="n"/>
      <c r="C1739" s="64" t="n"/>
      <c r="D1739" s="65" t="n"/>
      <c r="E1739" s="64" t="n"/>
      <c r="F1739" s="64" t="n"/>
      <c r="G1739" s="64" t="n"/>
      <c r="H1739" s="64" t="n"/>
      <c r="I1739" s="63" t="n"/>
      <c r="J1739" s="63" t="n"/>
      <c r="K1739" s="63" t="n"/>
      <c r="L1739" s="63" t="n"/>
      <c r="M1739" s="63" t="n"/>
      <c r="N1739" s="63" t="n"/>
      <c r="O1739" s="63" t="n"/>
      <c r="P1739" s="63" t="n"/>
      <c r="Q1739" s="136" t="n"/>
      <c r="R1739" s="137" t="n"/>
      <c r="S1739" s="137" t="n"/>
      <c r="T1739" s="138" t="n"/>
      <c r="U1739" s="138" t="n"/>
    </row>
    <row r="1740" ht="10.8" customFormat="1" customHeight="1" s="63">
      <c r="A1740" s="64" t="n"/>
      <c r="B1740" s="64" t="n"/>
      <c r="C1740" s="64" t="n"/>
      <c r="D1740" s="65" t="n"/>
      <c r="E1740" s="64" t="n"/>
      <c r="F1740" s="64" t="n"/>
      <c r="G1740" s="64" t="n"/>
      <c r="H1740" s="64" t="n"/>
      <c r="I1740" s="63" t="n"/>
      <c r="J1740" s="63" t="n"/>
      <c r="K1740" s="63" t="n"/>
      <c r="L1740" s="63" t="n"/>
      <c r="M1740" s="63" t="n"/>
      <c r="N1740" s="63" t="n"/>
      <c r="O1740" s="63" t="n"/>
      <c r="P1740" s="63" t="n"/>
      <c r="Q1740" s="136" t="n"/>
      <c r="R1740" s="137" t="n"/>
      <c r="S1740" s="137" t="n"/>
      <c r="T1740" s="138" t="n"/>
      <c r="U1740" s="138" t="n"/>
    </row>
    <row r="1741" ht="10.8" customFormat="1" customHeight="1" s="63">
      <c r="A1741" s="64" t="n"/>
      <c r="B1741" s="64" t="n"/>
      <c r="C1741" s="64" t="n"/>
      <c r="D1741" s="65" t="n"/>
      <c r="E1741" s="64" t="n"/>
      <c r="F1741" s="64" t="n"/>
      <c r="G1741" s="64" t="n"/>
      <c r="H1741" s="64" t="n"/>
      <c r="I1741" s="63" t="n"/>
      <c r="J1741" s="63" t="n"/>
      <c r="K1741" s="63" t="n"/>
      <c r="L1741" s="63" t="n"/>
      <c r="M1741" s="63" t="n"/>
      <c r="N1741" s="63" t="n"/>
      <c r="O1741" s="63" t="n"/>
      <c r="P1741" s="63" t="n"/>
      <c r="Q1741" s="136" t="n"/>
      <c r="R1741" s="137" t="n"/>
      <c r="S1741" s="137" t="n"/>
      <c r="T1741" s="138" t="n"/>
      <c r="U1741" s="138" t="n"/>
    </row>
    <row r="1742" ht="10.8" customFormat="1" customHeight="1" s="63">
      <c r="A1742" s="64" t="n"/>
      <c r="B1742" s="64" t="n"/>
      <c r="C1742" s="64" t="n"/>
      <c r="D1742" s="65" t="n"/>
      <c r="E1742" s="64" t="n"/>
      <c r="F1742" s="64" t="n"/>
      <c r="G1742" s="64" t="n"/>
      <c r="H1742" s="64" t="n"/>
      <c r="I1742" s="63" t="n"/>
      <c r="J1742" s="63" t="n"/>
      <c r="K1742" s="63" t="n"/>
      <c r="L1742" s="63" t="n"/>
      <c r="M1742" s="63" t="n"/>
      <c r="N1742" s="63" t="n"/>
      <c r="O1742" s="63" t="n"/>
      <c r="P1742" s="63" t="n"/>
      <c r="Q1742" s="136" t="n"/>
      <c r="R1742" s="137" t="n"/>
      <c r="S1742" s="137" t="n"/>
      <c r="T1742" s="138" t="n"/>
      <c r="U1742" s="138" t="n"/>
    </row>
    <row r="1743" ht="10.8" customFormat="1" customHeight="1" s="63">
      <c r="A1743" s="64" t="n"/>
      <c r="B1743" s="64" t="n"/>
      <c r="C1743" s="64" t="n"/>
      <c r="D1743" s="65" t="n"/>
      <c r="E1743" s="64" t="n"/>
      <c r="F1743" s="64" t="n"/>
      <c r="G1743" s="64" t="n"/>
      <c r="H1743" s="64" t="n"/>
      <c r="I1743" s="63" t="n"/>
      <c r="J1743" s="63" t="n"/>
      <c r="K1743" s="63" t="n"/>
      <c r="L1743" s="63" t="n"/>
      <c r="M1743" s="63" t="n"/>
      <c r="N1743" s="63" t="n"/>
      <c r="O1743" s="63" t="n"/>
      <c r="P1743" s="63" t="n"/>
      <c r="Q1743" s="136" t="n"/>
      <c r="R1743" s="137" t="n"/>
      <c r="S1743" s="137" t="n"/>
      <c r="T1743" s="138" t="n"/>
      <c r="U1743" s="138" t="n"/>
    </row>
    <row r="1744" ht="10.8" customFormat="1" customHeight="1" s="63">
      <c r="A1744" s="64" t="n"/>
      <c r="B1744" s="64" t="n"/>
      <c r="C1744" s="64" t="n"/>
      <c r="D1744" s="65" t="n"/>
      <c r="E1744" s="64" t="n"/>
      <c r="F1744" s="64" t="n"/>
      <c r="G1744" s="64" t="n"/>
      <c r="H1744" s="64" t="n"/>
      <c r="I1744" s="63" t="n"/>
      <c r="J1744" s="63" t="n"/>
      <c r="K1744" s="63" t="n"/>
      <c r="L1744" s="63" t="n"/>
      <c r="M1744" s="63" t="n"/>
      <c r="N1744" s="63" t="n"/>
      <c r="O1744" s="63" t="n"/>
      <c r="P1744" s="63" t="n"/>
      <c r="Q1744" s="136" t="n"/>
      <c r="R1744" s="137" t="n"/>
      <c r="S1744" s="137" t="n"/>
      <c r="T1744" s="138" t="n"/>
      <c r="U1744" s="138" t="n"/>
    </row>
    <row r="1745" ht="10.8" customFormat="1" customHeight="1" s="63">
      <c r="A1745" s="64" t="n"/>
      <c r="B1745" s="64" t="n"/>
      <c r="C1745" s="64" t="n"/>
      <c r="D1745" s="65" t="n"/>
      <c r="E1745" s="64" t="n"/>
      <c r="F1745" s="64" t="n"/>
      <c r="G1745" s="64" t="n"/>
      <c r="H1745" s="64" t="n"/>
      <c r="I1745" s="63" t="n"/>
      <c r="J1745" s="63" t="n"/>
      <c r="K1745" s="63" t="n"/>
      <c r="L1745" s="63" t="n"/>
      <c r="M1745" s="63" t="n"/>
      <c r="N1745" s="63" t="n"/>
      <c r="O1745" s="63" t="n"/>
      <c r="P1745" s="63" t="n"/>
      <c r="Q1745" s="136" t="n"/>
      <c r="R1745" s="137" t="n"/>
      <c r="S1745" s="137" t="n"/>
      <c r="T1745" s="138" t="n"/>
      <c r="U1745" s="138" t="n"/>
    </row>
    <row r="1746" ht="10.8" customFormat="1" customHeight="1" s="63">
      <c r="A1746" s="64" t="n"/>
      <c r="B1746" s="64" t="n"/>
      <c r="C1746" s="64" t="n"/>
      <c r="D1746" s="65" t="n"/>
      <c r="E1746" s="64" t="n"/>
      <c r="F1746" s="64" t="n"/>
      <c r="G1746" s="64" t="n"/>
      <c r="H1746" s="64" t="n"/>
      <c r="I1746" s="63" t="n"/>
      <c r="J1746" s="63" t="n"/>
      <c r="K1746" s="63" t="n"/>
      <c r="L1746" s="63" t="n"/>
      <c r="M1746" s="63" t="n"/>
      <c r="N1746" s="63" t="n"/>
      <c r="O1746" s="63" t="n"/>
      <c r="P1746" s="63" t="n"/>
      <c r="Q1746" s="136" t="n"/>
      <c r="R1746" s="137" t="n"/>
      <c r="S1746" s="137" t="n"/>
      <c r="T1746" s="138" t="n"/>
      <c r="U1746" s="138" t="n"/>
    </row>
    <row r="1747" ht="10.8" customFormat="1" customHeight="1" s="63">
      <c r="A1747" s="64" t="n"/>
      <c r="B1747" s="64" t="n"/>
      <c r="C1747" s="64" t="n"/>
      <c r="D1747" s="65" t="n"/>
      <c r="E1747" s="64" t="n"/>
      <c r="F1747" s="64" t="n"/>
      <c r="G1747" s="64" t="n"/>
      <c r="H1747" s="64" t="n"/>
      <c r="I1747" s="63" t="n"/>
      <c r="J1747" s="63" t="n"/>
      <c r="K1747" s="63" t="n"/>
      <c r="L1747" s="63" t="n"/>
      <c r="M1747" s="63" t="n"/>
      <c r="N1747" s="63" t="n"/>
      <c r="O1747" s="63" t="n"/>
      <c r="P1747" s="63" t="n"/>
      <c r="Q1747" s="136" t="n"/>
      <c r="R1747" s="137" t="n"/>
      <c r="S1747" s="137" t="n"/>
      <c r="T1747" s="138" t="n"/>
      <c r="U1747" s="138" t="n"/>
    </row>
    <row r="1748" ht="10.8" customFormat="1" customHeight="1" s="63">
      <c r="A1748" s="64" t="n"/>
      <c r="B1748" s="64" t="n"/>
      <c r="C1748" s="64" t="n"/>
      <c r="D1748" s="65" t="n"/>
      <c r="E1748" s="64" t="n"/>
      <c r="F1748" s="64" t="n"/>
      <c r="G1748" s="64" t="n"/>
      <c r="H1748" s="64" t="n"/>
      <c r="I1748" s="63" t="n"/>
      <c r="J1748" s="63" t="n"/>
      <c r="K1748" s="63" t="n"/>
      <c r="L1748" s="63" t="n"/>
      <c r="M1748" s="63" t="n"/>
      <c r="N1748" s="63" t="n"/>
      <c r="O1748" s="63" t="n"/>
      <c r="P1748" s="63" t="n"/>
      <c r="Q1748" s="136" t="n"/>
      <c r="R1748" s="137" t="n"/>
      <c r="S1748" s="137" t="n"/>
      <c r="T1748" s="138" t="n"/>
      <c r="U1748" s="138" t="n"/>
    </row>
    <row r="1749" ht="10.8" customFormat="1" customHeight="1" s="63">
      <c r="A1749" s="64" t="n"/>
      <c r="B1749" s="64" t="n"/>
      <c r="C1749" s="64" t="n"/>
      <c r="D1749" s="65" t="n"/>
      <c r="E1749" s="64" t="n"/>
      <c r="F1749" s="64" t="n"/>
      <c r="G1749" s="64" t="n"/>
      <c r="H1749" s="64" t="n"/>
      <c r="I1749" s="63" t="n"/>
      <c r="J1749" s="63" t="n"/>
      <c r="K1749" s="63" t="n"/>
      <c r="L1749" s="63" t="n"/>
      <c r="M1749" s="63" t="n"/>
      <c r="N1749" s="63" t="n"/>
      <c r="O1749" s="63" t="n"/>
      <c r="P1749" s="63" t="n"/>
      <c r="Q1749" s="136" t="n"/>
      <c r="R1749" s="137" t="n"/>
      <c r="S1749" s="137" t="n"/>
      <c r="T1749" s="138" t="n"/>
      <c r="U1749" s="138" t="n"/>
    </row>
    <row r="1750" ht="10.8" customFormat="1" customHeight="1" s="63">
      <c r="A1750" s="64" t="n"/>
      <c r="B1750" s="64" t="n"/>
      <c r="C1750" s="64" t="n"/>
      <c r="D1750" s="65" t="n"/>
      <c r="E1750" s="64" t="n"/>
      <c r="F1750" s="64" t="n"/>
      <c r="G1750" s="64" t="n"/>
      <c r="H1750" s="64" t="n"/>
      <c r="I1750" s="63" t="n"/>
      <c r="J1750" s="63" t="n"/>
      <c r="K1750" s="63" t="n"/>
      <c r="L1750" s="63" t="n"/>
      <c r="M1750" s="63" t="n"/>
      <c r="N1750" s="63" t="n"/>
      <c r="O1750" s="63" t="n"/>
      <c r="P1750" s="63" t="n"/>
      <c r="Q1750" s="136" t="n"/>
      <c r="R1750" s="137" t="n"/>
      <c r="S1750" s="137" t="n"/>
      <c r="T1750" s="138" t="n"/>
      <c r="U1750" s="138" t="n"/>
    </row>
    <row r="1751" ht="10.8" customFormat="1" customHeight="1" s="63">
      <c r="A1751" s="64" t="n"/>
      <c r="B1751" s="64" t="n"/>
      <c r="C1751" s="64" t="n"/>
      <c r="D1751" s="65" t="n"/>
      <c r="E1751" s="64" t="n"/>
      <c r="F1751" s="64" t="n"/>
      <c r="G1751" s="64" t="n"/>
      <c r="H1751" s="64" t="n"/>
      <c r="I1751" s="63" t="n"/>
      <c r="J1751" s="63" t="n"/>
      <c r="K1751" s="63" t="n"/>
      <c r="L1751" s="63" t="n"/>
      <c r="M1751" s="63" t="n"/>
      <c r="N1751" s="63" t="n"/>
      <c r="O1751" s="63" t="n"/>
      <c r="P1751" s="63" t="n"/>
      <c r="Q1751" s="136" t="n"/>
      <c r="R1751" s="137" t="n"/>
      <c r="S1751" s="137" t="n"/>
      <c r="T1751" s="138" t="n"/>
      <c r="U1751" s="138" t="n"/>
    </row>
    <row r="1752" ht="10.8" customFormat="1" customHeight="1" s="63">
      <c r="A1752" s="64" t="n"/>
      <c r="B1752" s="64" t="n"/>
      <c r="C1752" s="64" t="n"/>
      <c r="D1752" s="65" t="n"/>
      <c r="E1752" s="64" t="n"/>
      <c r="F1752" s="64" t="n"/>
      <c r="G1752" s="64" t="n"/>
      <c r="H1752" s="64" t="n"/>
      <c r="I1752" s="63" t="n"/>
      <c r="J1752" s="63" t="n"/>
      <c r="K1752" s="63" t="n"/>
      <c r="L1752" s="63" t="n"/>
      <c r="M1752" s="63" t="n"/>
      <c r="N1752" s="63" t="n"/>
      <c r="O1752" s="63" t="n"/>
      <c r="P1752" s="63" t="n"/>
      <c r="Q1752" s="136" t="n"/>
      <c r="R1752" s="137" t="n"/>
      <c r="S1752" s="137" t="n"/>
      <c r="T1752" s="138" t="n"/>
      <c r="U1752" s="138" t="n"/>
    </row>
    <row r="1753" ht="10.8" customFormat="1" customHeight="1" s="63">
      <c r="A1753" s="64" t="n"/>
      <c r="B1753" s="64" t="n"/>
      <c r="C1753" s="64" t="n"/>
      <c r="D1753" s="65" t="n"/>
      <c r="E1753" s="64" t="n"/>
      <c r="F1753" s="64" t="n"/>
      <c r="G1753" s="64" t="n"/>
      <c r="H1753" s="64" t="n"/>
      <c r="I1753" s="63" t="n"/>
      <c r="J1753" s="63" t="n"/>
      <c r="K1753" s="63" t="n"/>
      <c r="L1753" s="63" t="n"/>
      <c r="M1753" s="63" t="n"/>
      <c r="N1753" s="63" t="n"/>
      <c r="O1753" s="63" t="n"/>
      <c r="P1753" s="63" t="n"/>
      <c r="Q1753" s="136" t="n"/>
      <c r="R1753" s="137" t="n"/>
      <c r="S1753" s="137" t="n"/>
      <c r="T1753" s="138" t="n"/>
      <c r="U1753" s="138" t="n"/>
    </row>
    <row r="1754" ht="10.8" customFormat="1" customHeight="1" s="63">
      <c r="A1754" s="64" t="n"/>
      <c r="B1754" s="64" t="n"/>
      <c r="C1754" s="64" t="n"/>
      <c r="D1754" s="65" t="n"/>
      <c r="E1754" s="64" t="n"/>
      <c r="F1754" s="64" t="n"/>
      <c r="G1754" s="64" t="n"/>
      <c r="H1754" s="64" t="n"/>
      <c r="I1754" s="63" t="n"/>
      <c r="J1754" s="63" t="n"/>
      <c r="K1754" s="63" t="n"/>
      <c r="L1754" s="63" t="n"/>
      <c r="M1754" s="63" t="n"/>
      <c r="N1754" s="63" t="n"/>
      <c r="O1754" s="63" t="n"/>
      <c r="P1754" s="63" t="n"/>
      <c r="Q1754" s="136" t="n"/>
      <c r="R1754" s="137" t="n"/>
      <c r="S1754" s="137" t="n"/>
      <c r="T1754" s="138" t="n"/>
      <c r="U1754" s="138" t="n"/>
    </row>
    <row r="1755" ht="10.8" customFormat="1" customHeight="1" s="63">
      <c r="A1755" s="64" t="n"/>
      <c r="B1755" s="64" t="n"/>
      <c r="C1755" s="64" t="n"/>
      <c r="D1755" s="65" t="n"/>
      <c r="E1755" s="64" t="n"/>
      <c r="F1755" s="64" t="n"/>
      <c r="G1755" s="64" t="n"/>
      <c r="H1755" s="64" t="n"/>
      <c r="I1755" s="63" t="n"/>
      <c r="J1755" s="63" t="n"/>
      <c r="K1755" s="63" t="n"/>
      <c r="L1755" s="63" t="n"/>
      <c r="M1755" s="63" t="n"/>
      <c r="N1755" s="63" t="n"/>
      <c r="O1755" s="63" t="n"/>
      <c r="P1755" s="63" t="n"/>
      <c r="Q1755" s="136" t="n"/>
      <c r="R1755" s="137" t="n"/>
      <c r="S1755" s="137" t="n"/>
      <c r="T1755" s="138" t="n"/>
      <c r="U1755" s="138" t="n"/>
    </row>
    <row r="1756" ht="10.8" customFormat="1" customHeight="1" s="63">
      <c r="A1756" s="64" t="n"/>
      <c r="B1756" s="64" t="n"/>
      <c r="C1756" s="64" t="n"/>
      <c r="D1756" s="65" t="n"/>
      <c r="E1756" s="64" t="n"/>
      <c r="F1756" s="64" t="n"/>
      <c r="G1756" s="64" t="n"/>
      <c r="H1756" s="64" t="n"/>
      <c r="I1756" s="63" t="n"/>
      <c r="J1756" s="63" t="n"/>
      <c r="K1756" s="63" t="n"/>
      <c r="L1756" s="63" t="n"/>
      <c r="M1756" s="63" t="n"/>
      <c r="N1756" s="63" t="n"/>
      <c r="O1756" s="63" t="n"/>
      <c r="P1756" s="63" t="n"/>
      <c r="Q1756" s="136" t="n"/>
      <c r="R1756" s="137" t="n"/>
      <c r="S1756" s="137" t="n"/>
      <c r="T1756" s="138" t="n"/>
      <c r="U1756" s="138" t="n"/>
    </row>
    <row r="1757" ht="10.8" customFormat="1" customHeight="1" s="63">
      <c r="A1757" s="64" t="n"/>
      <c r="B1757" s="64" t="n"/>
      <c r="C1757" s="64" t="n"/>
      <c r="D1757" s="65" t="n"/>
      <c r="E1757" s="64" t="n"/>
      <c r="F1757" s="64" t="n"/>
      <c r="G1757" s="64" t="n"/>
      <c r="H1757" s="64" t="n"/>
      <c r="I1757" s="63" t="n"/>
      <c r="J1757" s="63" t="n"/>
      <c r="K1757" s="63" t="n"/>
      <c r="L1757" s="63" t="n"/>
      <c r="M1757" s="63" t="n"/>
      <c r="N1757" s="63" t="n"/>
      <c r="O1757" s="63" t="n"/>
      <c r="P1757" s="63" t="n"/>
      <c r="Q1757" s="136" t="n"/>
      <c r="R1757" s="137" t="n"/>
      <c r="S1757" s="137" t="n"/>
      <c r="T1757" s="138" t="n"/>
      <c r="U1757" s="138" t="n"/>
    </row>
    <row r="1758" ht="10.8" customFormat="1" customHeight="1" s="63">
      <c r="A1758" s="64" t="n"/>
      <c r="B1758" s="64" t="n"/>
      <c r="C1758" s="64" t="n"/>
      <c r="D1758" s="65" t="n"/>
      <c r="E1758" s="64" t="n"/>
      <c r="F1758" s="64" t="n"/>
      <c r="G1758" s="64" t="n"/>
      <c r="H1758" s="64" t="n"/>
      <c r="I1758" s="63" t="n"/>
      <c r="J1758" s="63" t="n"/>
      <c r="K1758" s="63" t="n"/>
      <c r="L1758" s="63" t="n"/>
      <c r="M1758" s="63" t="n"/>
      <c r="N1758" s="63" t="n"/>
      <c r="O1758" s="63" t="n"/>
      <c r="P1758" s="63" t="n"/>
      <c r="Q1758" s="136" t="n"/>
      <c r="R1758" s="137" t="n"/>
      <c r="S1758" s="137" t="n"/>
      <c r="T1758" s="138" t="n"/>
      <c r="U1758" s="138" t="n"/>
    </row>
    <row r="1759" ht="10.8" customFormat="1" customHeight="1" s="63">
      <c r="A1759" s="64" t="n"/>
      <c r="B1759" s="64" t="n"/>
      <c r="C1759" s="64" t="n"/>
      <c r="D1759" s="65" t="n"/>
      <c r="E1759" s="64" t="n"/>
      <c r="F1759" s="64" t="n"/>
      <c r="G1759" s="64" t="n"/>
      <c r="H1759" s="64" t="n"/>
      <c r="I1759" s="63" t="n"/>
      <c r="J1759" s="63" t="n"/>
      <c r="K1759" s="63" t="n"/>
      <c r="L1759" s="63" t="n"/>
      <c r="M1759" s="63" t="n"/>
      <c r="N1759" s="63" t="n"/>
      <c r="O1759" s="63" t="n"/>
      <c r="P1759" s="63" t="n"/>
      <c r="Q1759" s="136" t="n"/>
      <c r="R1759" s="137" t="n"/>
      <c r="S1759" s="137" t="n"/>
      <c r="T1759" s="138" t="n"/>
      <c r="U1759" s="138" t="n"/>
    </row>
    <row r="1760" ht="10.8" customFormat="1" customHeight="1" s="63">
      <c r="A1760" s="64" t="n"/>
      <c r="B1760" s="64" t="n"/>
      <c r="C1760" s="64" t="n"/>
      <c r="D1760" s="65" t="n"/>
      <c r="E1760" s="64" t="n"/>
      <c r="F1760" s="64" t="n"/>
      <c r="G1760" s="64" t="n"/>
      <c r="H1760" s="64" t="n"/>
      <c r="I1760" s="63" t="n"/>
      <c r="J1760" s="63" t="n"/>
      <c r="K1760" s="63" t="n"/>
      <c r="L1760" s="63" t="n"/>
      <c r="M1760" s="63" t="n"/>
      <c r="N1760" s="63" t="n"/>
      <c r="O1760" s="63" t="n"/>
      <c r="P1760" s="63" t="n"/>
      <c r="Q1760" s="136" t="n"/>
      <c r="R1760" s="137" t="n"/>
      <c r="S1760" s="137" t="n"/>
      <c r="T1760" s="138" t="n"/>
      <c r="U1760" s="138" t="n"/>
    </row>
    <row r="1761" ht="10.8" customFormat="1" customHeight="1" s="63">
      <c r="A1761" s="64" t="n"/>
      <c r="B1761" s="64" t="n"/>
      <c r="C1761" s="64" t="n"/>
      <c r="D1761" s="65" t="n"/>
      <c r="E1761" s="64" t="n"/>
      <c r="F1761" s="64" t="n"/>
      <c r="G1761" s="64" t="n"/>
      <c r="H1761" s="64" t="n"/>
      <c r="I1761" s="63" t="n"/>
      <c r="J1761" s="63" t="n"/>
      <c r="K1761" s="63" t="n"/>
      <c r="L1761" s="63" t="n"/>
      <c r="M1761" s="63" t="n"/>
      <c r="N1761" s="63" t="n"/>
      <c r="O1761" s="63" t="n"/>
      <c r="P1761" s="63" t="n"/>
      <c r="Q1761" s="136" t="n"/>
      <c r="R1761" s="137" t="n"/>
      <c r="S1761" s="137" t="n"/>
      <c r="T1761" s="138" t="n"/>
      <c r="U1761" s="138" t="n"/>
    </row>
    <row r="1762" ht="10.8" customFormat="1" customHeight="1" s="63">
      <c r="A1762" s="64" t="n"/>
      <c r="B1762" s="64" t="n"/>
      <c r="C1762" s="64" t="n"/>
      <c r="D1762" s="65" t="n"/>
      <c r="E1762" s="64" t="n"/>
      <c r="F1762" s="64" t="n"/>
      <c r="G1762" s="64" t="n"/>
      <c r="H1762" s="64" t="n"/>
      <c r="I1762" s="63" t="n"/>
      <c r="J1762" s="63" t="n"/>
      <c r="K1762" s="63" t="n"/>
      <c r="L1762" s="63" t="n"/>
      <c r="M1762" s="63" t="n"/>
      <c r="N1762" s="63" t="n"/>
      <c r="O1762" s="63" t="n"/>
      <c r="P1762" s="63" t="n"/>
      <c r="Q1762" s="136" t="n"/>
      <c r="R1762" s="137" t="n"/>
      <c r="S1762" s="137" t="n"/>
      <c r="T1762" s="138" t="n"/>
      <c r="U1762" s="138" t="n"/>
    </row>
    <row r="1763" ht="10.8" customFormat="1" customHeight="1" s="63">
      <c r="A1763" s="64" t="n"/>
      <c r="B1763" s="64" t="n"/>
      <c r="C1763" s="64" t="n"/>
      <c r="D1763" s="65" t="n"/>
      <c r="E1763" s="64" t="n"/>
      <c r="F1763" s="64" t="n"/>
      <c r="G1763" s="64" t="n"/>
      <c r="H1763" s="64" t="n"/>
      <c r="I1763" s="63" t="n"/>
      <c r="J1763" s="63" t="n"/>
      <c r="K1763" s="63" t="n"/>
      <c r="L1763" s="63" t="n"/>
      <c r="M1763" s="63" t="n"/>
      <c r="N1763" s="63" t="n"/>
      <c r="O1763" s="63" t="n"/>
      <c r="P1763" s="63" t="n"/>
      <c r="Q1763" s="136" t="n"/>
      <c r="R1763" s="137" t="n"/>
      <c r="S1763" s="137" t="n"/>
      <c r="T1763" s="138" t="n"/>
      <c r="U1763" s="138" t="n"/>
    </row>
    <row r="1764" ht="10.8" customFormat="1" customHeight="1" s="63">
      <c r="A1764" s="64" t="n"/>
      <c r="B1764" s="64" t="n"/>
      <c r="C1764" s="64" t="n"/>
      <c r="D1764" s="65" t="n"/>
      <c r="E1764" s="64" t="n"/>
      <c r="F1764" s="64" t="n"/>
      <c r="G1764" s="64" t="n"/>
      <c r="H1764" s="64" t="n"/>
      <c r="I1764" s="63" t="n"/>
      <c r="J1764" s="63" t="n"/>
      <c r="K1764" s="63" t="n"/>
      <c r="L1764" s="63" t="n"/>
      <c r="M1764" s="63" t="n"/>
      <c r="N1764" s="63" t="n"/>
      <c r="O1764" s="63" t="n"/>
      <c r="P1764" s="63" t="n"/>
      <c r="Q1764" s="136" t="n"/>
      <c r="R1764" s="137" t="n"/>
      <c r="S1764" s="137" t="n"/>
      <c r="T1764" s="138" t="n"/>
      <c r="U1764" s="138" t="n"/>
    </row>
    <row r="1765" ht="10.8" customFormat="1" customHeight="1" s="63">
      <c r="A1765" s="64" t="n"/>
      <c r="B1765" s="64" t="n"/>
      <c r="C1765" s="64" t="n"/>
      <c r="D1765" s="65" t="n"/>
      <c r="E1765" s="64" t="n"/>
      <c r="F1765" s="64" t="n"/>
      <c r="G1765" s="64" t="n"/>
      <c r="H1765" s="64" t="n"/>
      <c r="I1765" s="63" t="n"/>
      <c r="J1765" s="63" t="n"/>
      <c r="K1765" s="63" t="n"/>
      <c r="L1765" s="63" t="n"/>
      <c r="M1765" s="63" t="n"/>
      <c r="N1765" s="63" t="n"/>
      <c r="O1765" s="63" t="n"/>
      <c r="P1765" s="63" t="n"/>
      <c r="Q1765" s="136" t="n"/>
      <c r="R1765" s="137" t="n"/>
      <c r="S1765" s="137" t="n"/>
      <c r="T1765" s="138" t="n"/>
      <c r="U1765" s="138" t="n"/>
    </row>
    <row r="1766" ht="10.8" customFormat="1" customHeight="1" s="63">
      <c r="A1766" s="64" t="n"/>
      <c r="B1766" s="64" t="n"/>
      <c r="C1766" s="64" t="n"/>
      <c r="D1766" s="65" t="n"/>
      <c r="E1766" s="64" t="n"/>
      <c r="F1766" s="64" t="n"/>
      <c r="G1766" s="64" t="n"/>
      <c r="H1766" s="64" t="n"/>
      <c r="I1766" s="63" t="n"/>
      <c r="J1766" s="63" t="n"/>
      <c r="K1766" s="63" t="n"/>
      <c r="L1766" s="63" t="n"/>
      <c r="M1766" s="63" t="n"/>
      <c r="N1766" s="63" t="n"/>
      <c r="O1766" s="63" t="n"/>
      <c r="P1766" s="63" t="n"/>
      <c r="Q1766" s="136" t="n"/>
      <c r="R1766" s="137" t="n"/>
      <c r="S1766" s="137" t="n"/>
      <c r="T1766" s="138" t="n"/>
      <c r="U1766" s="138" t="n"/>
    </row>
    <row r="1767" ht="10.8" customFormat="1" customHeight="1" s="63">
      <c r="A1767" s="64" t="n"/>
      <c r="B1767" s="64" t="n"/>
      <c r="C1767" s="64" t="n"/>
      <c r="D1767" s="65" t="n"/>
      <c r="E1767" s="64" t="n"/>
      <c r="F1767" s="64" t="n"/>
      <c r="G1767" s="64" t="n"/>
      <c r="H1767" s="64" t="n"/>
      <c r="I1767" s="63" t="n"/>
      <c r="J1767" s="63" t="n"/>
      <c r="K1767" s="63" t="n"/>
      <c r="L1767" s="63" t="n"/>
      <c r="M1767" s="63" t="n"/>
      <c r="N1767" s="63" t="n"/>
      <c r="O1767" s="63" t="n"/>
      <c r="P1767" s="63" t="n"/>
      <c r="Q1767" s="136" t="n"/>
      <c r="R1767" s="137" t="n"/>
      <c r="S1767" s="137" t="n"/>
      <c r="T1767" s="138" t="n"/>
      <c r="U1767" s="138" t="n"/>
    </row>
    <row r="1768" ht="10.8" customFormat="1" customHeight="1" s="63">
      <c r="A1768" s="64" t="n"/>
      <c r="B1768" s="64" t="n"/>
      <c r="C1768" s="64" t="n"/>
      <c r="D1768" s="65" t="n"/>
      <c r="E1768" s="64" t="n"/>
      <c r="F1768" s="64" t="n"/>
      <c r="G1768" s="64" t="n"/>
      <c r="H1768" s="64" t="n"/>
      <c r="I1768" s="63" t="n"/>
      <c r="J1768" s="63" t="n"/>
      <c r="K1768" s="63" t="n"/>
      <c r="L1768" s="63" t="n"/>
      <c r="M1768" s="63" t="n"/>
      <c r="N1768" s="63" t="n"/>
      <c r="O1768" s="63" t="n"/>
      <c r="P1768" s="63" t="n"/>
      <c r="Q1768" s="136" t="n"/>
      <c r="R1768" s="137" t="n"/>
      <c r="S1768" s="137" t="n"/>
      <c r="T1768" s="138" t="n"/>
      <c r="U1768" s="138" t="n"/>
    </row>
    <row r="1769" ht="10.8" customFormat="1" customHeight="1" s="63">
      <c r="A1769" s="64" t="n"/>
      <c r="B1769" s="64" t="n"/>
      <c r="C1769" s="64" t="n"/>
      <c r="D1769" s="65" t="n"/>
      <c r="E1769" s="64" t="n"/>
      <c r="F1769" s="64" t="n"/>
      <c r="G1769" s="64" t="n"/>
      <c r="H1769" s="64" t="n"/>
      <c r="I1769" s="63" t="n"/>
      <c r="J1769" s="63" t="n"/>
      <c r="K1769" s="63" t="n"/>
      <c r="L1769" s="63" t="n"/>
      <c r="M1769" s="63" t="n"/>
      <c r="N1769" s="63" t="n"/>
      <c r="O1769" s="63" t="n"/>
      <c r="P1769" s="63" t="n"/>
      <c r="Q1769" s="136" t="n"/>
      <c r="R1769" s="137" t="n"/>
      <c r="S1769" s="137" t="n"/>
      <c r="T1769" s="138" t="n"/>
      <c r="U1769" s="138" t="n"/>
    </row>
    <row r="1770" ht="10.8" customFormat="1" customHeight="1" s="63">
      <c r="A1770" s="64" t="n"/>
      <c r="B1770" s="64" t="n"/>
      <c r="C1770" s="64" t="n"/>
      <c r="D1770" s="65" t="n"/>
      <c r="E1770" s="64" t="n"/>
      <c r="F1770" s="64" t="n"/>
      <c r="G1770" s="64" t="n"/>
      <c r="H1770" s="64" t="n"/>
      <c r="I1770" s="63" t="n"/>
      <c r="J1770" s="63" t="n"/>
      <c r="K1770" s="63" t="n"/>
      <c r="L1770" s="63" t="n"/>
      <c r="M1770" s="63" t="n"/>
      <c r="N1770" s="63" t="n"/>
      <c r="O1770" s="63" t="n"/>
      <c r="P1770" s="63" t="n"/>
      <c r="Q1770" s="136" t="n"/>
      <c r="R1770" s="137" t="n"/>
      <c r="S1770" s="137" t="n"/>
      <c r="T1770" s="138" t="n"/>
      <c r="U1770" s="138" t="n"/>
    </row>
    <row r="1771" ht="10.8" customFormat="1" customHeight="1" s="63">
      <c r="A1771" s="64" t="n"/>
      <c r="B1771" s="64" t="n"/>
      <c r="C1771" s="64" t="n"/>
      <c r="D1771" s="65" t="n"/>
      <c r="E1771" s="64" t="n"/>
      <c r="F1771" s="64" t="n"/>
      <c r="G1771" s="64" t="n"/>
      <c r="H1771" s="64" t="n"/>
      <c r="I1771" s="63" t="n"/>
      <c r="J1771" s="63" t="n"/>
      <c r="K1771" s="63" t="n"/>
      <c r="L1771" s="63" t="n"/>
      <c r="M1771" s="63" t="n"/>
      <c r="N1771" s="63" t="n"/>
      <c r="O1771" s="63" t="n"/>
      <c r="P1771" s="63" t="n"/>
      <c r="Q1771" s="136" t="n"/>
      <c r="R1771" s="137" t="n"/>
      <c r="S1771" s="137" t="n"/>
      <c r="T1771" s="138" t="n"/>
      <c r="U1771" s="138" t="n"/>
    </row>
    <row r="1772" ht="10.8" customFormat="1" customHeight="1" s="63">
      <c r="A1772" s="64" t="n"/>
      <c r="B1772" s="64" t="n"/>
      <c r="C1772" s="64" t="n"/>
      <c r="D1772" s="65" t="n"/>
      <c r="E1772" s="64" t="n"/>
      <c r="F1772" s="64" t="n"/>
      <c r="G1772" s="64" t="n"/>
      <c r="H1772" s="64" t="n"/>
      <c r="I1772" s="63" t="n"/>
      <c r="J1772" s="63" t="n"/>
      <c r="K1772" s="63" t="n"/>
      <c r="L1772" s="63" t="n"/>
      <c r="M1772" s="63" t="n"/>
      <c r="N1772" s="63" t="n"/>
      <c r="O1772" s="63" t="n"/>
      <c r="P1772" s="63" t="n"/>
      <c r="Q1772" s="136" t="n"/>
      <c r="R1772" s="137" t="n"/>
      <c r="S1772" s="137" t="n"/>
      <c r="T1772" s="138" t="n"/>
      <c r="U1772" s="138" t="n"/>
    </row>
    <row r="1773" ht="10.8" customFormat="1" customHeight="1" s="63">
      <c r="A1773" s="64" t="n"/>
      <c r="B1773" s="64" t="n"/>
      <c r="C1773" s="64" t="n"/>
      <c r="D1773" s="65" t="n"/>
      <c r="E1773" s="64" t="n"/>
      <c r="F1773" s="64" t="n"/>
      <c r="G1773" s="64" t="n"/>
      <c r="H1773" s="64" t="n"/>
      <c r="I1773" s="63" t="n"/>
      <c r="J1773" s="63" t="n"/>
      <c r="K1773" s="63" t="n"/>
      <c r="L1773" s="63" t="n"/>
      <c r="M1773" s="63" t="n"/>
      <c r="N1773" s="63" t="n"/>
      <c r="O1773" s="63" t="n"/>
      <c r="P1773" s="63" t="n"/>
      <c r="Q1773" s="136" t="n"/>
      <c r="R1773" s="137" t="n"/>
      <c r="S1773" s="137" t="n"/>
      <c r="T1773" s="138" t="n"/>
      <c r="U1773" s="138" t="n"/>
    </row>
    <row r="1774" ht="10.8" customFormat="1" customHeight="1" s="63">
      <c r="A1774" s="64" t="n"/>
      <c r="B1774" s="64" t="n"/>
      <c r="C1774" s="64" t="n"/>
      <c r="D1774" s="65" t="n"/>
      <c r="E1774" s="64" t="n"/>
      <c r="F1774" s="64" t="n"/>
      <c r="G1774" s="64" t="n"/>
      <c r="H1774" s="64" t="n"/>
      <c r="I1774" s="63" t="n"/>
      <c r="J1774" s="63" t="n"/>
      <c r="K1774" s="63" t="n"/>
      <c r="L1774" s="63" t="n"/>
      <c r="M1774" s="63" t="n"/>
      <c r="N1774" s="63" t="n"/>
      <c r="O1774" s="63" t="n"/>
      <c r="P1774" s="63" t="n"/>
      <c r="Q1774" s="136" t="n"/>
      <c r="R1774" s="137" t="n"/>
      <c r="S1774" s="137" t="n"/>
      <c r="T1774" s="138" t="n"/>
      <c r="U1774" s="138" t="n"/>
    </row>
    <row r="1775" ht="10.8" customFormat="1" customHeight="1" s="63">
      <c r="A1775" s="64" t="n"/>
      <c r="B1775" s="64" t="n"/>
      <c r="C1775" s="64" t="n"/>
      <c r="D1775" s="65" t="n"/>
      <c r="E1775" s="64" t="n"/>
      <c r="F1775" s="64" t="n"/>
      <c r="G1775" s="64" t="n"/>
      <c r="H1775" s="64" t="n"/>
      <c r="I1775" s="63" t="n"/>
      <c r="J1775" s="63" t="n"/>
      <c r="K1775" s="63" t="n"/>
      <c r="L1775" s="63" t="n"/>
      <c r="M1775" s="63" t="n"/>
      <c r="N1775" s="63" t="n"/>
      <c r="O1775" s="63" t="n"/>
      <c r="P1775" s="63" t="n"/>
      <c r="Q1775" s="136" t="n"/>
      <c r="R1775" s="137" t="n"/>
      <c r="S1775" s="137" t="n"/>
      <c r="T1775" s="138" t="n"/>
      <c r="U1775" s="138" t="n"/>
    </row>
    <row r="1776" ht="10.8" customFormat="1" customHeight="1" s="63">
      <c r="A1776" s="64" t="n"/>
      <c r="B1776" s="64" t="n"/>
      <c r="C1776" s="64" t="n"/>
      <c r="D1776" s="65" t="n"/>
      <c r="E1776" s="64" t="n"/>
      <c r="F1776" s="64" t="n"/>
      <c r="G1776" s="64" t="n"/>
      <c r="H1776" s="64" t="n"/>
      <c r="I1776" s="63" t="n"/>
      <c r="J1776" s="63" t="n"/>
      <c r="K1776" s="63" t="n"/>
      <c r="L1776" s="63" t="n"/>
      <c r="M1776" s="63" t="n"/>
      <c r="N1776" s="63" t="n"/>
      <c r="O1776" s="63" t="n"/>
      <c r="P1776" s="63" t="n"/>
      <c r="Q1776" s="136" t="n"/>
      <c r="R1776" s="137" t="n"/>
      <c r="S1776" s="137" t="n"/>
      <c r="T1776" s="138" t="n"/>
      <c r="U1776" s="138" t="n"/>
    </row>
    <row r="1777" ht="10.8" customFormat="1" customHeight="1" s="63">
      <c r="A1777" s="64" t="n"/>
      <c r="B1777" s="64" t="n"/>
      <c r="C1777" s="64" t="n"/>
      <c r="D1777" s="65" t="n"/>
      <c r="E1777" s="64" t="n"/>
      <c r="F1777" s="64" t="n"/>
      <c r="G1777" s="64" t="n"/>
      <c r="H1777" s="64" t="n"/>
      <c r="I1777" s="63" t="n"/>
      <c r="J1777" s="63" t="n"/>
      <c r="K1777" s="63" t="n"/>
      <c r="L1777" s="63" t="n"/>
      <c r="M1777" s="63" t="n"/>
      <c r="N1777" s="63" t="n"/>
      <c r="O1777" s="63" t="n"/>
      <c r="P1777" s="63" t="n"/>
      <c r="Q1777" s="136" t="n"/>
      <c r="R1777" s="137" t="n"/>
      <c r="S1777" s="137" t="n"/>
      <c r="T1777" s="138" t="n"/>
      <c r="U1777" s="138" t="n"/>
    </row>
    <row r="1778" ht="10.8" customFormat="1" customHeight="1" s="63">
      <c r="A1778" s="64" t="n"/>
      <c r="B1778" s="64" t="n"/>
      <c r="C1778" s="64" t="n"/>
      <c r="D1778" s="65" t="n"/>
      <c r="E1778" s="64" t="n"/>
      <c r="F1778" s="64" t="n"/>
      <c r="G1778" s="64" t="n"/>
      <c r="H1778" s="64" t="n"/>
      <c r="I1778" s="63" t="n"/>
      <c r="J1778" s="63" t="n"/>
      <c r="K1778" s="63" t="n"/>
      <c r="L1778" s="63" t="n"/>
      <c r="M1778" s="63" t="n"/>
      <c r="N1778" s="63" t="n"/>
      <c r="O1778" s="63" t="n"/>
      <c r="P1778" s="63" t="n"/>
      <c r="Q1778" s="136" t="n"/>
      <c r="R1778" s="137" t="n"/>
      <c r="S1778" s="137" t="n"/>
      <c r="T1778" s="138" t="n"/>
      <c r="U1778" s="138" t="n"/>
    </row>
    <row r="1779" ht="10.8" customFormat="1" customHeight="1" s="63">
      <c r="A1779" s="64" t="n"/>
      <c r="B1779" s="64" t="n"/>
      <c r="C1779" s="64" t="n"/>
      <c r="D1779" s="65" t="n"/>
      <c r="E1779" s="64" t="n"/>
      <c r="F1779" s="64" t="n"/>
      <c r="G1779" s="64" t="n"/>
      <c r="H1779" s="64" t="n"/>
      <c r="I1779" s="63" t="n"/>
      <c r="J1779" s="63" t="n"/>
      <c r="K1779" s="63" t="n"/>
      <c r="L1779" s="63" t="n"/>
      <c r="M1779" s="63" t="n"/>
      <c r="N1779" s="63" t="n"/>
      <c r="O1779" s="63" t="n"/>
      <c r="P1779" s="63" t="n"/>
      <c r="Q1779" s="136" t="n"/>
      <c r="R1779" s="137" t="n"/>
      <c r="S1779" s="137" t="n"/>
      <c r="T1779" s="138" t="n"/>
      <c r="U1779" s="138" t="n"/>
    </row>
    <row r="1780" ht="10.8" customFormat="1" customHeight="1" s="63">
      <c r="A1780" s="64" t="n"/>
      <c r="B1780" s="64" t="n"/>
      <c r="C1780" s="64" t="n"/>
      <c r="D1780" s="65" t="n"/>
      <c r="E1780" s="64" t="n"/>
      <c r="F1780" s="64" t="n"/>
      <c r="G1780" s="64" t="n"/>
      <c r="H1780" s="64" t="n"/>
      <c r="I1780" s="63" t="n"/>
      <c r="J1780" s="63" t="n"/>
      <c r="K1780" s="63" t="n"/>
      <c r="L1780" s="63" t="n"/>
      <c r="M1780" s="63" t="n"/>
      <c r="N1780" s="63" t="n"/>
      <c r="O1780" s="63" t="n"/>
      <c r="P1780" s="63" t="n"/>
      <c r="Q1780" s="136" t="n"/>
      <c r="R1780" s="137" t="n"/>
      <c r="S1780" s="137" t="n"/>
      <c r="T1780" s="138" t="n"/>
      <c r="U1780" s="138" t="n"/>
    </row>
    <row r="1781" ht="10.8" customFormat="1" customHeight="1" s="63">
      <c r="A1781" s="64" t="n"/>
      <c r="B1781" s="64" t="n"/>
      <c r="C1781" s="64" t="n"/>
      <c r="D1781" s="65" t="n"/>
      <c r="E1781" s="64" t="n"/>
      <c r="F1781" s="64" t="n"/>
      <c r="G1781" s="64" t="n"/>
      <c r="H1781" s="64" t="n"/>
      <c r="I1781" s="63" t="n"/>
      <c r="J1781" s="63" t="n"/>
      <c r="K1781" s="63" t="n"/>
      <c r="L1781" s="63" t="n"/>
      <c r="M1781" s="63" t="n"/>
      <c r="N1781" s="63" t="n"/>
      <c r="O1781" s="63" t="n"/>
      <c r="P1781" s="63" t="n"/>
      <c r="Q1781" s="136" t="n"/>
      <c r="R1781" s="137" t="n"/>
      <c r="S1781" s="137" t="n"/>
      <c r="T1781" s="138" t="n"/>
      <c r="U1781" s="138" t="n"/>
    </row>
    <row r="1782" ht="10.8" customFormat="1" customHeight="1" s="63">
      <c r="A1782" s="64" t="n"/>
      <c r="B1782" s="64" t="n"/>
      <c r="C1782" s="64" t="n"/>
      <c r="D1782" s="65" t="n"/>
      <c r="E1782" s="64" t="n"/>
      <c r="F1782" s="64" t="n"/>
      <c r="G1782" s="64" t="n"/>
      <c r="H1782" s="64" t="n"/>
      <c r="I1782" s="63" t="n"/>
      <c r="J1782" s="63" t="n"/>
      <c r="K1782" s="63" t="n"/>
      <c r="L1782" s="63" t="n"/>
      <c r="M1782" s="63" t="n"/>
      <c r="N1782" s="63" t="n"/>
      <c r="O1782" s="63" t="n"/>
      <c r="P1782" s="63" t="n"/>
      <c r="Q1782" s="136" t="n"/>
      <c r="R1782" s="137" t="n"/>
      <c r="S1782" s="137" t="n"/>
      <c r="T1782" s="138" t="n"/>
      <c r="U1782" s="138" t="n"/>
    </row>
    <row r="1783" ht="10.8" customFormat="1" customHeight="1" s="63">
      <c r="A1783" s="64" t="n"/>
      <c r="B1783" s="64" t="n"/>
      <c r="C1783" s="64" t="n"/>
      <c r="D1783" s="65" t="n"/>
      <c r="E1783" s="64" t="n"/>
      <c r="F1783" s="64" t="n"/>
      <c r="G1783" s="64" t="n"/>
      <c r="H1783" s="64" t="n"/>
      <c r="I1783" s="63" t="n"/>
      <c r="J1783" s="63" t="n"/>
      <c r="K1783" s="63" t="n"/>
      <c r="L1783" s="63" t="n"/>
      <c r="M1783" s="63" t="n"/>
      <c r="N1783" s="63" t="n"/>
      <c r="O1783" s="63" t="n"/>
      <c r="P1783" s="63" t="n"/>
      <c r="Q1783" s="136" t="n"/>
      <c r="R1783" s="137" t="n"/>
      <c r="S1783" s="137" t="n"/>
      <c r="T1783" s="138" t="n"/>
      <c r="U1783" s="138" t="n"/>
    </row>
    <row r="1784" ht="10.8" customFormat="1" customHeight="1" s="63">
      <c r="A1784" s="64" t="n"/>
      <c r="B1784" s="64" t="n"/>
      <c r="C1784" s="64" t="n"/>
      <c r="D1784" s="65" t="n"/>
      <c r="E1784" s="64" t="n"/>
      <c r="F1784" s="64" t="n"/>
      <c r="G1784" s="64" t="n"/>
      <c r="H1784" s="64" t="n"/>
      <c r="I1784" s="63" t="n"/>
      <c r="J1784" s="63" t="n"/>
      <c r="K1784" s="63" t="n"/>
      <c r="L1784" s="63" t="n"/>
      <c r="M1784" s="63" t="n"/>
      <c r="N1784" s="63" t="n"/>
      <c r="O1784" s="63" t="n"/>
      <c r="P1784" s="63" t="n"/>
      <c r="Q1784" s="136" t="n"/>
      <c r="R1784" s="137" t="n"/>
      <c r="S1784" s="137" t="n"/>
      <c r="T1784" s="138" t="n"/>
      <c r="U1784" s="138" t="n"/>
    </row>
    <row r="1785" ht="10.8" customFormat="1" customHeight="1" s="63">
      <c r="A1785" s="64" t="n"/>
      <c r="B1785" s="64" t="n"/>
      <c r="C1785" s="64" t="n"/>
      <c r="D1785" s="65" t="n"/>
      <c r="E1785" s="64" t="n"/>
      <c r="F1785" s="64" t="n"/>
      <c r="G1785" s="64" t="n"/>
      <c r="H1785" s="64" t="n"/>
      <c r="I1785" s="63" t="n"/>
      <c r="J1785" s="63" t="n"/>
      <c r="K1785" s="63" t="n"/>
      <c r="L1785" s="63" t="n"/>
      <c r="M1785" s="63" t="n"/>
      <c r="N1785" s="63" t="n"/>
      <c r="O1785" s="63" t="n"/>
      <c r="P1785" s="63" t="n"/>
      <c r="Q1785" s="136" t="n"/>
      <c r="R1785" s="137" t="n"/>
      <c r="S1785" s="137" t="n"/>
      <c r="T1785" s="138" t="n"/>
      <c r="U1785" s="138" t="n"/>
    </row>
    <row r="1786" ht="10.8" customFormat="1" customHeight="1" s="63">
      <c r="A1786" s="64" t="n"/>
      <c r="B1786" s="64" t="n"/>
      <c r="C1786" s="64" t="n"/>
      <c r="D1786" s="65" t="n"/>
      <c r="E1786" s="64" t="n"/>
      <c r="F1786" s="64" t="n"/>
      <c r="G1786" s="64" t="n"/>
      <c r="H1786" s="64" t="n"/>
      <c r="I1786" s="63" t="n"/>
      <c r="J1786" s="63" t="n"/>
      <c r="K1786" s="63" t="n"/>
      <c r="L1786" s="63" t="n"/>
      <c r="M1786" s="63" t="n"/>
      <c r="N1786" s="63" t="n"/>
      <c r="O1786" s="63" t="n"/>
      <c r="P1786" s="63" t="n"/>
      <c r="Q1786" s="136" t="n"/>
      <c r="R1786" s="137" t="n"/>
      <c r="S1786" s="137" t="n"/>
      <c r="T1786" s="138" t="n"/>
      <c r="U1786" s="138" t="n"/>
    </row>
    <row r="1787" ht="10.8" customFormat="1" customHeight="1" s="63">
      <c r="A1787" s="64" t="n"/>
      <c r="B1787" s="64" t="n"/>
      <c r="C1787" s="64" t="n"/>
      <c r="D1787" s="65" t="n"/>
      <c r="E1787" s="64" t="n"/>
      <c r="F1787" s="64" t="n"/>
      <c r="G1787" s="64" t="n"/>
      <c r="H1787" s="64" t="n"/>
      <c r="I1787" s="63" t="n"/>
      <c r="J1787" s="63" t="n"/>
      <c r="K1787" s="63" t="n"/>
      <c r="L1787" s="63" t="n"/>
      <c r="M1787" s="63" t="n"/>
      <c r="N1787" s="63" t="n"/>
      <c r="O1787" s="63" t="n"/>
      <c r="P1787" s="63" t="n"/>
      <c r="Q1787" s="136" t="n"/>
      <c r="R1787" s="137" t="n"/>
      <c r="S1787" s="137" t="n"/>
      <c r="T1787" s="138" t="n"/>
      <c r="U1787" s="138" t="n"/>
    </row>
    <row r="1788" ht="10.8" customFormat="1" customHeight="1" s="63">
      <c r="A1788" s="64" t="n"/>
      <c r="B1788" s="64" t="n"/>
      <c r="C1788" s="64" t="n"/>
      <c r="D1788" s="65" t="n"/>
      <c r="E1788" s="64" t="n"/>
      <c r="F1788" s="64" t="n"/>
      <c r="G1788" s="64" t="n"/>
      <c r="H1788" s="64" t="n"/>
      <c r="I1788" s="63" t="n"/>
      <c r="J1788" s="63" t="n"/>
      <c r="K1788" s="63" t="n"/>
      <c r="L1788" s="63" t="n"/>
      <c r="M1788" s="63" t="n"/>
      <c r="N1788" s="63" t="n"/>
      <c r="O1788" s="63" t="n"/>
      <c r="P1788" s="63" t="n"/>
      <c r="Q1788" s="136" t="n"/>
      <c r="R1788" s="137" t="n"/>
      <c r="S1788" s="137" t="n"/>
      <c r="T1788" s="138" t="n"/>
      <c r="U1788" s="138" t="n"/>
    </row>
    <row r="1789" ht="10.8" customFormat="1" customHeight="1" s="63">
      <c r="A1789" s="64" t="n"/>
      <c r="B1789" s="64" t="n"/>
      <c r="C1789" s="64" t="n"/>
      <c r="D1789" s="65" t="n"/>
      <c r="E1789" s="64" t="n"/>
      <c r="F1789" s="64" t="n"/>
      <c r="G1789" s="64" t="n"/>
      <c r="H1789" s="64" t="n"/>
      <c r="I1789" s="63" t="n"/>
      <c r="J1789" s="63" t="n"/>
      <c r="K1789" s="63" t="n"/>
      <c r="L1789" s="63" t="n"/>
      <c r="M1789" s="63" t="n"/>
      <c r="N1789" s="63" t="n"/>
      <c r="O1789" s="63" t="n"/>
      <c r="P1789" s="63" t="n"/>
      <c r="Q1789" s="136" t="n"/>
      <c r="R1789" s="137" t="n"/>
      <c r="S1789" s="137" t="n"/>
      <c r="T1789" s="138" t="n"/>
      <c r="U1789" s="138" t="n"/>
    </row>
    <row r="1790" ht="10.8" customFormat="1" customHeight="1" s="63">
      <c r="A1790" s="64" t="n"/>
      <c r="B1790" s="64" t="n"/>
      <c r="C1790" s="64" t="n"/>
      <c r="D1790" s="65" t="n"/>
      <c r="E1790" s="64" t="n"/>
      <c r="F1790" s="64" t="n"/>
      <c r="G1790" s="64" t="n"/>
      <c r="H1790" s="64" t="n"/>
      <c r="I1790" s="63" t="n"/>
      <c r="J1790" s="63" t="n"/>
      <c r="K1790" s="63" t="n"/>
      <c r="L1790" s="63" t="n"/>
      <c r="M1790" s="63" t="n"/>
      <c r="N1790" s="63" t="n"/>
      <c r="O1790" s="63" t="n"/>
      <c r="P1790" s="63" t="n"/>
      <c r="Q1790" s="136" t="n"/>
      <c r="R1790" s="137" t="n"/>
      <c r="S1790" s="137" t="n"/>
      <c r="T1790" s="138" t="n"/>
      <c r="U1790" s="138" t="n"/>
    </row>
    <row r="1791" ht="10.8" customFormat="1" customHeight="1" s="63">
      <c r="A1791" s="64" t="n"/>
      <c r="B1791" s="64" t="n"/>
      <c r="C1791" s="64" t="n"/>
      <c r="D1791" s="65" t="n"/>
      <c r="E1791" s="64" t="n"/>
      <c r="F1791" s="64" t="n"/>
      <c r="G1791" s="64" t="n"/>
      <c r="H1791" s="64" t="n"/>
      <c r="I1791" s="63" t="n"/>
      <c r="J1791" s="63" t="n"/>
      <c r="K1791" s="63" t="n"/>
      <c r="L1791" s="63" t="n"/>
      <c r="M1791" s="63" t="n"/>
      <c r="N1791" s="63" t="n"/>
      <c r="O1791" s="63" t="n"/>
      <c r="P1791" s="63" t="n"/>
      <c r="Q1791" s="136" t="n"/>
      <c r="R1791" s="137" t="n"/>
      <c r="S1791" s="137" t="n"/>
      <c r="T1791" s="138" t="n"/>
      <c r="U1791" s="138" t="n"/>
    </row>
    <row r="1792" ht="10.8" customFormat="1" customHeight="1" s="63">
      <c r="A1792" s="64" t="n"/>
      <c r="B1792" s="64" t="n"/>
      <c r="C1792" s="64" t="n"/>
      <c r="D1792" s="65" t="n"/>
      <c r="E1792" s="64" t="n"/>
      <c r="F1792" s="64" t="n"/>
      <c r="G1792" s="64" t="n"/>
      <c r="H1792" s="64" t="n"/>
      <c r="I1792" s="63" t="n"/>
      <c r="J1792" s="63" t="n"/>
      <c r="K1792" s="63" t="n"/>
      <c r="L1792" s="63" t="n"/>
      <c r="M1792" s="63" t="n"/>
      <c r="N1792" s="63" t="n"/>
      <c r="O1792" s="63" t="n"/>
      <c r="P1792" s="63" t="n"/>
      <c r="Q1792" s="136" t="n"/>
      <c r="R1792" s="137" t="n"/>
      <c r="S1792" s="137" t="n"/>
      <c r="T1792" s="138" t="n"/>
      <c r="U1792" s="138" t="n"/>
    </row>
    <row r="1793" ht="10.8" customFormat="1" customHeight="1" s="63">
      <c r="A1793" s="64" t="n"/>
      <c r="B1793" s="64" t="n"/>
      <c r="C1793" s="64" t="n"/>
      <c r="D1793" s="65" t="n"/>
      <c r="E1793" s="64" t="n"/>
      <c r="F1793" s="64" t="n"/>
      <c r="G1793" s="64" t="n"/>
      <c r="H1793" s="64" t="n"/>
      <c r="I1793" s="63" t="n"/>
      <c r="J1793" s="63" t="n"/>
      <c r="K1793" s="63" t="n"/>
      <c r="L1793" s="63" t="n"/>
      <c r="M1793" s="63" t="n"/>
      <c r="N1793" s="63" t="n"/>
      <c r="O1793" s="63" t="n"/>
      <c r="P1793" s="63" t="n"/>
      <c r="Q1793" s="136" t="n"/>
      <c r="R1793" s="137" t="n"/>
      <c r="S1793" s="137" t="n"/>
      <c r="T1793" s="138" t="n"/>
      <c r="U1793" s="138" t="n"/>
    </row>
    <row r="1794" ht="10.8" customFormat="1" customHeight="1" s="63">
      <c r="A1794" s="64" t="n"/>
      <c r="B1794" s="64" t="n"/>
      <c r="C1794" s="64" t="n"/>
      <c r="D1794" s="65" t="n"/>
      <c r="E1794" s="64" t="n"/>
      <c r="F1794" s="64" t="n"/>
      <c r="G1794" s="64" t="n"/>
      <c r="H1794" s="64" t="n"/>
      <c r="I1794" s="63" t="n"/>
      <c r="J1794" s="63" t="n"/>
      <c r="K1794" s="63" t="n"/>
      <c r="L1794" s="63" t="n"/>
      <c r="M1794" s="63" t="n"/>
      <c r="N1794" s="63" t="n"/>
      <c r="O1794" s="63" t="n"/>
      <c r="P1794" s="63" t="n"/>
      <c r="Q1794" s="136" t="n"/>
      <c r="R1794" s="137" t="n"/>
      <c r="S1794" s="137" t="n"/>
      <c r="T1794" s="138" t="n"/>
      <c r="U1794" s="138" t="n"/>
    </row>
    <row r="1795" ht="10.8" customFormat="1" customHeight="1" s="63">
      <c r="A1795" s="64" t="n"/>
      <c r="B1795" s="64" t="n"/>
      <c r="C1795" s="64" t="n"/>
      <c r="D1795" s="65" t="n"/>
      <c r="E1795" s="64" t="n"/>
      <c r="F1795" s="64" t="n"/>
      <c r="G1795" s="64" t="n"/>
      <c r="H1795" s="64" t="n"/>
      <c r="I1795" s="63" t="n"/>
      <c r="J1795" s="63" t="n"/>
      <c r="K1795" s="63" t="n"/>
      <c r="L1795" s="63" t="n"/>
      <c r="M1795" s="63" t="n"/>
      <c r="N1795" s="63" t="n"/>
      <c r="O1795" s="63" t="n"/>
      <c r="P1795" s="63" t="n"/>
      <c r="Q1795" s="136" t="n"/>
      <c r="R1795" s="137" t="n"/>
      <c r="S1795" s="137" t="n"/>
      <c r="T1795" s="138" t="n"/>
      <c r="U1795" s="138" t="n"/>
    </row>
    <row r="1796" ht="10.8" customFormat="1" customHeight="1" s="63">
      <c r="A1796" s="64" t="n"/>
      <c r="B1796" s="64" t="n"/>
      <c r="C1796" s="64" t="n"/>
      <c r="D1796" s="65" t="n"/>
      <c r="E1796" s="64" t="n"/>
      <c r="F1796" s="64" t="n"/>
      <c r="G1796" s="64" t="n"/>
      <c r="H1796" s="64" t="n"/>
      <c r="I1796" s="63" t="n"/>
      <c r="J1796" s="63" t="n"/>
      <c r="K1796" s="63" t="n"/>
      <c r="L1796" s="63" t="n"/>
      <c r="M1796" s="63" t="n"/>
      <c r="N1796" s="63" t="n"/>
      <c r="O1796" s="63" t="n"/>
      <c r="P1796" s="63" t="n"/>
      <c r="Q1796" s="136" t="n"/>
      <c r="R1796" s="137" t="n"/>
      <c r="S1796" s="137" t="n"/>
      <c r="T1796" s="138" t="n"/>
      <c r="U1796" s="138" t="n"/>
    </row>
    <row r="1797" ht="10.8" customFormat="1" customHeight="1" s="63">
      <c r="A1797" s="64" t="n"/>
      <c r="B1797" s="64" t="n"/>
      <c r="C1797" s="64" t="n"/>
      <c r="D1797" s="65" t="n"/>
      <c r="E1797" s="64" t="n"/>
      <c r="F1797" s="64" t="n"/>
      <c r="G1797" s="64" t="n"/>
      <c r="H1797" s="64" t="n"/>
      <c r="I1797" s="63" t="n"/>
      <c r="J1797" s="63" t="n"/>
      <c r="K1797" s="63" t="n"/>
      <c r="L1797" s="63" t="n"/>
      <c r="M1797" s="63" t="n"/>
      <c r="N1797" s="63" t="n"/>
      <c r="O1797" s="63" t="n"/>
      <c r="P1797" s="63" t="n"/>
      <c r="Q1797" s="136" t="n"/>
      <c r="R1797" s="137" t="n"/>
      <c r="S1797" s="137" t="n"/>
      <c r="T1797" s="138" t="n"/>
      <c r="U1797" s="138" t="n"/>
    </row>
    <row r="1798" ht="10.8" customFormat="1" customHeight="1" s="63">
      <c r="A1798" s="64" t="n"/>
      <c r="B1798" s="64" t="n"/>
      <c r="C1798" s="64" t="n"/>
      <c r="D1798" s="65" t="n"/>
      <c r="E1798" s="64" t="n"/>
      <c r="F1798" s="64" t="n"/>
      <c r="G1798" s="64" t="n"/>
      <c r="H1798" s="64" t="n"/>
      <c r="I1798" s="63" t="n"/>
      <c r="J1798" s="63" t="n"/>
      <c r="K1798" s="63" t="n"/>
      <c r="L1798" s="63" t="n"/>
      <c r="M1798" s="63" t="n"/>
      <c r="N1798" s="63" t="n"/>
      <c r="O1798" s="63" t="n"/>
      <c r="P1798" s="63" t="n"/>
      <c r="Q1798" s="136" t="n"/>
      <c r="R1798" s="137" t="n"/>
      <c r="S1798" s="137" t="n"/>
      <c r="T1798" s="138" t="n"/>
      <c r="U1798" s="138" t="n"/>
    </row>
    <row r="1799" ht="10.8" customFormat="1" customHeight="1" s="63">
      <c r="A1799" s="64" t="n"/>
      <c r="B1799" s="64" t="n"/>
      <c r="C1799" s="64" t="n"/>
      <c r="D1799" s="65" t="n"/>
      <c r="E1799" s="64" t="n"/>
      <c r="F1799" s="64" t="n"/>
      <c r="G1799" s="64" t="n"/>
      <c r="H1799" s="64" t="n"/>
      <c r="I1799" s="63" t="n"/>
      <c r="J1799" s="63" t="n"/>
      <c r="K1799" s="63" t="n"/>
      <c r="L1799" s="63" t="n"/>
      <c r="M1799" s="63" t="n"/>
      <c r="N1799" s="63" t="n"/>
      <c r="O1799" s="63" t="n"/>
      <c r="P1799" s="63" t="n"/>
      <c r="Q1799" s="136" t="n"/>
      <c r="R1799" s="137" t="n"/>
      <c r="S1799" s="137" t="n"/>
      <c r="T1799" s="138" t="n"/>
      <c r="U1799" s="138" t="n"/>
    </row>
    <row r="1800" ht="10.8" customFormat="1" customHeight="1" s="63">
      <c r="A1800" s="64" t="n"/>
      <c r="B1800" s="64" t="n"/>
      <c r="C1800" s="64" t="n"/>
      <c r="D1800" s="65" t="n"/>
      <c r="E1800" s="64" t="n"/>
      <c r="F1800" s="64" t="n"/>
      <c r="G1800" s="64" t="n"/>
      <c r="H1800" s="64" t="n"/>
      <c r="I1800" s="63" t="n"/>
      <c r="J1800" s="63" t="n"/>
      <c r="K1800" s="63" t="n"/>
      <c r="L1800" s="63" t="n"/>
      <c r="M1800" s="63" t="n"/>
      <c r="N1800" s="63" t="n"/>
      <c r="O1800" s="63" t="n"/>
      <c r="P1800" s="63" t="n"/>
      <c r="Q1800" s="136" t="n"/>
      <c r="R1800" s="137" t="n"/>
      <c r="S1800" s="137" t="n"/>
      <c r="T1800" s="138" t="n"/>
      <c r="U1800" s="138" t="n"/>
    </row>
    <row r="1801" ht="10.8" customFormat="1" customHeight="1" s="63">
      <c r="A1801" s="64" t="n"/>
      <c r="B1801" s="64" t="n"/>
      <c r="C1801" s="64" t="n"/>
      <c r="D1801" s="65" t="n"/>
      <c r="E1801" s="64" t="n"/>
      <c r="F1801" s="64" t="n"/>
      <c r="G1801" s="64" t="n"/>
      <c r="H1801" s="64" t="n"/>
      <c r="I1801" s="63" t="n"/>
      <c r="J1801" s="63" t="n"/>
      <c r="K1801" s="63" t="n"/>
      <c r="L1801" s="63" t="n"/>
      <c r="M1801" s="63" t="n"/>
      <c r="N1801" s="63" t="n"/>
      <c r="O1801" s="63" t="n"/>
      <c r="P1801" s="63" t="n"/>
      <c r="Q1801" s="136" t="n"/>
      <c r="R1801" s="137" t="n"/>
      <c r="S1801" s="137" t="n"/>
      <c r="T1801" s="138" t="n"/>
      <c r="U1801" s="138" t="n"/>
    </row>
    <row r="1802" ht="10.8" customFormat="1" customHeight="1" s="63">
      <c r="A1802" s="64" t="n"/>
      <c r="B1802" s="64" t="n"/>
      <c r="C1802" s="64" t="n"/>
      <c r="D1802" s="65" t="n"/>
      <c r="E1802" s="64" t="n"/>
      <c r="F1802" s="64" t="n"/>
      <c r="G1802" s="64" t="n"/>
      <c r="H1802" s="64" t="n"/>
      <c r="I1802" s="63" t="n"/>
      <c r="J1802" s="63" t="n"/>
      <c r="K1802" s="63" t="n"/>
      <c r="L1802" s="63" t="n"/>
      <c r="M1802" s="63" t="n"/>
      <c r="N1802" s="63" t="n"/>
      <c r="O1802" s="63" t="n"/>
      <c r="P1802" s="63" t="n"/>
      <c r="Q1802" s="136" t="n"/>
      <c r="R1802" s="137" t="n"/>
      <c r="S1802" s="137" t="n"/>
      <c r="T1802" s="138" t="n"/>
      <c r="U1802" s="138" t="n"/>
    </row>
    <row r="1803" ht="10.8" customFormat="1" customHeight="1" s="63">
      <c r="A1803" s="64" t="n"/>
      <c r="B1803" s="64" t="n"/>
      <c r="C1803" s="64" t="n"/>
      <c r="D1803" s="65" t="n"/>
      <c r="E1803" s="64" t="n"/>
      <c r="F1803" s="64" t="n"/>
      <c r="G1803" s="64" t="n"/>
      <c r="H1803" s="64" t="n"/>
      <c r="I1803" s="63" t="n"/>
      <c r="J1803" s="63" t="n"/>
      <c r="K1803" s="63" t="n"/>
      <c r="L1803" s="63" t="n"/>
      <c r="M1803" s="63" t="n"/>
      <c r="N1803" s="63" t="n"/>
      <c r="O1803" s="63" t="n"/>
      <c r="P1803" s="63" t="n"/>
      <c r="Q1803" s="136" t="n"/>
      <c r="R1803" s="137" t="n"/>
      <c r="S1803" s="137" t="n"/>
      <c r="T1803" s="138" t="n"/>
      <c r="U1803" s="138" t="n"/>
    </row>
    <row r="1804" ht="10.8" customFormat="1" customHeight="1" s="63">
      <c r="A1804" s="64" t="n"/>
      <c r="B1804" s="64" t="n"/>
      <c r="C1804" s="64" t="n"/>
      <c r="D1804" s="65" t="n"/>
      <c r="E1804" s="64" t="n"/>
      <c r="F1804" s="64" t="n"/>
      <c r="G1804" s="64" t="n"/>
      <c r="H1804" s="64" t="n"/>
      <c r="I1804" s="63" t="n"/>
      <c r="J1804" s="63" t="n"/>
      <c r="K1804" s="63" t="n"/>
      <c r="L1804" s="63" t="n"/>
      <c r="M1804" s="63" t="n"/>
      <c r="N1804" s="63" t="n"/>
      <c r="O1804" s="63" t="n"/>
      <c r="P1804" s="63" t="n"/>
      <c r="Q1804" s="136" t="n"/>
      <c r="R1804" s="137" t="n"/>
      <c r="S1804" s="137" t="n"/>
      <c r="T1804" s="138" t="n"/>
      <c r="U1804" s="138" t="n"/>
    </row>
    <row r="1805" ht="10.8" customFormat="1" customHeight="1" s="63">
      <c r="A1805" s="64" t="n"/>
      <c r="B1805" s="64" t="n"/>
      <c r="C1805" s="64" t="n"/>
      <c r="D1805" s="65" t="n"/>
      <c r="E1805" s="64" t="n"/>
      <c r="F1805" s="64" t="n"/>
      <c r="G1805" s="64" t="n"/>
      <c r="H1805" s="64" t="n"/>
      <c r="I1805" s="63" t="n"/>
      <c r="J1805" s="63" t="n"/>
      <c r="K1805" s="63" t="n"/>
      <c r="L1805" s="63" t="n"/>
      <c r="M1805" s="63" t="n"/>
      <c r="N1805" s="63" t="n"/>
      <c r="O1805" s="63" t="n"/>
      <c r="P1805" s="63" t="n"/>
      <c r="Q1805" s="136" t="n"/>
      <c r="R1805" s="137" t="n"/>
      <c r="S1805" s="137" t="n"/>
      <c r="T1805" s="138" t="n"/>
      <c r="U1805" s="138" t="n"/>
    </row>
    <row r="1806" ht="10.8" customFormat="1" customHeight="1" s="63">
      <c r="A1806" s="64" t="n"/>
      <c r="B1806" s="64" t="n"/>
      <c r="C1806" s="64" t="n"/>
      <c r="D1806" s="65" t="n"/>
      <c r="E1806" s="64" t="n"/>
      <c r="F1806" s="64" t="n"/>
      <c r="G1806" s="64" t="n"/>
      <c r="H1806" s="64" t="n"/>
      <c r="I1806" s="63" t="n"/>
      <c r="J1806" s="63" t="n"/>
      <c r="K1806" s="63" t="n"/>
      <c r="L1806" s="63" t="n"/>
      <c r="M1806" s="63" t="n"/>
      <c r="N1806" s="63" t="n"/>
      <c r="O1806" s="63" t="n"/>
      <c r="P1806" s="63" t="n"/>
      <c r="Q1806" s="136" t="n"/>
      <c r="R1806" s="137" t="n"/>
      <c r="S1806" s="137" t="n"/>
      <c r="T1806" s="138" t="n"/>
      <c r="U1806" s="138" t="n"/>
    </row>
    <row r="1807" ht="10.8" customFormat="1" customHeight="1" s="63">
      <c r="A1807" s="64" t="n"/>
      <c r="B1807" s="64" t="n"/>
      <c r="C1807" s="64" t="n"/>
      <c r="D1807" s="65" t="n"/>
      <c r="E1807" s="64" t="n"/>
      <c r="F1807" s="64" t="n"/>
      <c r="G1807" s="64" t="n"/>
      <c r="H1807" s="64" t="n"/>
      <c r="I1807" s="63" t="n"/>
      <c r="J1807" s="63" t="n"/>
      <c r="K1807" s="63" t="n"/>
      <c r="L1807" s="63" t="n"/>
      <c r="M1807" s="63" t="n"/>
      <c r="N1807" s="63" t="n"/>
      <c r="O1807" s="63" t="n"/>
      <c r="P1807" s="63" t="n"/>
      <c r="Q1807" s="136" t="n"/>
      <c r="R1807" s="137" t="n"/>
      <c r="S1807" s="137" t="n"/>
      <c r="T1807" s="138" t="n"/>
      <c r="U1807" s="138" t="n"/>
    </row>
    <row r="1808" ht="10.8" customFormat="1" customHeight="1" s="63">
      <c r="A1808" s="64" t="n"/>
      <c r="B1808" s="64" t="n"/>
      <c r="C1808" s="64" t="n"/>
      <c r="D1808" s="65" t="n"/>
      <c r="E1808" s="64" t="n"/>
      <c r="F1808" s="64" t="n"/>
      <c r="G1808" s="64" t="n"/>
      <c r="H1808" s="64" t="n"/>
      <c r="I1808" s="63" t="n"/>
      <c r="J1808" s="63" t="n"/>
      <c r="K1808" s="63" t="n"/>
      <c r="L1808" s="63" t="n"/>
      <c r="M1808" s="63" t="n"/>
      <c r="N1808" s="63" t="n"/>
      <c r="O1808" s="63" t="n"/>
      <c r="P1808" s="63" t="n"/>
      <c r="Q1808" s="136" t="n"/>
      <c r="R1808" s="137" t="n"/>
      <c r="S1808" s="137" t="n"/>
      <c r="T1808" s="138" t="n"/>
      <c r="U1808" s="138" t="n"/>
    </row>
    <row r="1809" ht="10.8" customFormat="1" customHeight="1" s="63">
      <c r="A1809" s="64" t="n"/>
      <c r="B1809" s="64" t="n"/>
      <c r="C1809" s="64" t="n"/>
      <c r="D1809" s="65" t="n"/>
      <c r="E1809" s="64" t="n"/>
      <c r="F1809" s="64" t="n"/>
      <c r="G1809" s="64" t="n"/>
      <c r="H1809" s="64" t="n"/>
      <c r="I1809" s="63" t="n"/>
      <c r="J1809" s="63" t="n"/>
      <c r="K1809" s="63" t="n"/>
      <c r="L1809" s="63" t="n"/>
      <c r="M1809" s="63" t="n"/>
      <c r="N1809" s="63" t="n"/>
      <c r="O1809" s="63" t="n"/>
      <c r="P1809" s="63" t="n"/>
      <c r="Q1809" s="136" t="n"/>
      <c r="R1809" s="137" t="n"/>
      <c r="S1809" s="137" t="n"/>
      <c r="T1809" s="138" t="n"/>
      <c r="U1809" s="138" t="n"/>
    </row>
    <row r="1810" ht="10.8" customFormat="1" customHeight="1" s="63">
      <c r="A1810" s="64" t="n"/>
      <c r="B1810" s="64" t="n"/>
      <c r="C1810" s="64" t="n"/>
      <c r="D1810" s="65" t="n"/>
      <c r="E1810" s="64" t="n"/>
      <c r="F1810" s="64" t="n"/>
      <c r="G1810" s="64" t="n"/>
      <c r="H1810" s="64" t="n"/>
      <c r="I1810" s="63" t="n"/>
      <c r="J1810" s="63" t="n"/>
      <c r="K1810" s="63" t="n"/>
      <c r="L1810" s="63" t="n"/>
      <c r="M1810" s="63" t="n"/>
      <c r="N1810" s="63" t="n"/>
      <c r="O1810" s="63" t="n"/>
      <c r="P1810" s="63" t="n"/>
      <c r="Q1810" s="136" t="n"/>
      <c r="R1810" s="137" t="n"/>
      <c r="S1810" s="137" t="n"/>
      <c r="T1810" s="138" t="n"/>
      <c r="U1810" s="138" t="n"/>
    </row>
    <row r="1811" ht="10.8" customFormat="1" customHeight="1" s="63">
      <c r="A1811" s="64" t="n"/>
      <c r="B1811" s="64" t="n"/>
      <c r="C1811" s="64" t="n"/>
      <c r="D1811" s="65" t="n"/>
      <c r="E1811" s="64" t="n"/>
      <c r="F1811" s="64" t="n"/>
      <c r="G1811" s="64" t="n"/>
      <c r="H1811" s="64" t="n"/>
      <c r="I1811" s="63" t="n"/>
      <c r="J1811" s="63" t="n"/>
      <c r="K1811" s="63" t="n"/>
      <c r="L1811" s="63" t="n"/>
      <c r="M1811" s="63" t="n"/>
      <c r="N1811" s="63" t="n"/>
      <c r="O1811" s="63" t="n"/>
      <c r="P1811" s="63" t="n"/>
      <c r="Q1811" s="136" t="n"/>
      <c r="R1811" s="137" t="n"/>
      <c r="S1811" s="137" t="n"/>
      <c r="T1811" s="138" t="n"/>
      <c r="U1811" s="138" t="n"/>
    </row>
    <row r="1812" ht="10.8" customFormat="1" customHeight="1" s="63">
      <c r="A1812" s="64" t="n"/>
      <c r="B1812" s="64" t="n"/>
      <c r="C1812" s="64" t="n"/>
      <c r="D1812" s="65" t="n"/>
      <c r="E1812" s="64" t="n"/>
      <c r="F1812" s="64" t="n"/>
      <c r="G1812" s="64" t="n"/>
      <c r="H1812" s="64" t="n"/>
      <c r="I1812" s="63" t="n"/>
      <c r="J1812" s="63" t="n"/>
      <c r="K1812" s="63" t="n"/>
      <c r="L1812" s="63" t="n"/>
      <c r="M1812" s="63" t="n"/>
      <c r="N1812" s="63" t="n"/>
      <c r="O1812" s="63" t="n"/>
      <c r="P1812" s="63" t="n"/>
      <c r="Q1812" s="136" t="n"/>
      <c r="R1812" s="137" t="n"/>
      <c r="S1812" s="137" t="n"/>
      <c r="T1812" s="138" t="n"/>
      <c r="U1812" s="138" t="n"/>
    </row>
    <row r="1813" ht="10.8" customFormat="1" customHeight="1" s="63">
      <c r="A1813" s="64" t="n"/>
      <c r="B1813" s="64" t="n"/>
      <c r="C1813" s="64" t="n"/>
      <c r="D1813" s="65" t="n"/>
      <c r="E1813" s="64" t="n"/>
      <c r="F1813" s="64" t="n"/>
      <c r="G1813" s="64" t="n"/>
      <c r="H1813" s="64" t="n"/>
      <c r="I1813" s="63" t="n"/>
      <c r="J1813" s="63" t="n"/>
      <c r="K1813" s="63" t="n"/>
      <c r="L1813" s="63" t="n"/>
      <c r="M1813" s="63" t="n"/>
      <c r="N1813" s="63" t="n"/>
      <c r="O1813" s="63" t="n"/>
      <c r="P1813" s="63" t="n"/>
      <c r="Q1813" s="136" t="n"/>
      <c r="R1813" s="137" t="n"/>
      <c r="S1813" s="137" t="n"/>
      <c r="T1813" s="138" t="n"/>
      <c r="U1813" s="138" t="n"/>
    </row>
    <row r="1814" ht="10.8" customFormat="1" customHeight="1" s="63">
      <c r="A1814" s="64" t="n"/>
      <c r="B1814" s="64" t="n"/>
      <c r="C1814" s="64" t="n"/>
      <c r="D1814" s="65" t="n"/>
      <c r="E1814" s="64" t="n"/>
      <c r="F1814" s="64" t="n"/>
      <c r="G1814" s="64" t="n"/>
      <c r="H1814" s="64" t="n"/>
      <c r="I1814" s="63" t="n"/>
      <c r="J1814" s="63" t="n"/>
      <c r="K1814" s="63" t="n"/>
      <c r="L1814" s="63" t="n"/>
      <c r="M1814" s="63" t="n"/>
      <c r="N1814" s="63" t="n"/>
      <c r="O1814" s="63" t="n"/>
      <c r="P1814" s="63" t="n"/>
      <c r="Q1814" s="136" t="n"/>
      <c r="R1814" s="137" t="n"/>
      <c r="S1814" s="137" t="n"/>
      <c r="T1814" s="138" t="n"/>
      <c r="U1814" s="138" t="n"/>
    </row>
    <row r="1815" ht="10.8" customFormat="1" customHeight="1" s="63">
      <c r="A1815" s="64" t="n"/>
      <c r="B1815" s="64" t="n"/>
      <c r="C1815" s="64" t="n"/>
      <c r="D1815" s="65" t="n"/>
      <c r="E1815" s="64" t="n"/>
      <c r="F1815" s="64" t="n"/>
      <c r="G1815" s="64" t="n"/>
      <c r="H1815" s="64" t="n"/>
      <c r="I1815" s="63" t="n"/>
      <c r="J1815" s="63" t="n"/>
      <c r="K1815" s="63" t="n"/>
      <c r="L1815" s="63" t="n"/>
      <c r="M1815" s="63" t="n"/>
      <c r="N1815" s="63" t="n"/>
      <c r="O1815" s="63" t="n"/>
      <c r="P1815" s="63" t="n"/>
      <c r="Q1815" s="136" t="n"/>
      <c r="R1815" s="137" t="n"/>
      <c r="S1815" s="137" t="n"/>
      <c r="T1815" s="138" t="n"/>
      <c r="U1815" s="138" t="n"/>
    </row>
    <row r="1816" ht="10.8" customFormat="1" customHeight="1" s="63">
      <c r="A1816" s="64" t="n"/>
      <c r="B1816" s="64" t="n"/>
      <c r="C1816" s="64" t="n"/>
      <c r="D1816" s="65" t="n"/>
      <c r="E1816" s="64" t="n"/>
      <c r="F1816" s="64" t="n"/>
      <c r="G1816" s="64" t="n"/>
      <c r="H1816" s="64" t="n"/>
      <c r="I1816" s="63" t="n"/>
      <c r="J1816" s="63" t="n"/>
      <c r="K1816" s="63" t="n"/>
      <c r="L1816" s="63" t="n"/>
      <c r="M1816" s="63" t="n"/>
      <c r="N1816" s="63" t="n"/>
      <c r="O1816" s="63" t="n"/>
      <c r="P1816" s="63" t="n"/>
      <c r="Q1816" s="136" t="n"/>
      <c r="R1816" s="137" t="n"/>
      <c r="S1816" s="137" t="n"/>
      <c r="T1816" s="138" t="n"/>
      <c r="U1816" s="138" t="n"/>
    </row>
    <row r="1817" ht="10.8" customFormat="1" customHeight="1" s="63">
      <c r="A1817" s="64" t="n"/>
      <c r="B1817" s="64" t="n"/>
      <c r="C1817" s="64" t="n"/>
      <c r="D1817" s="65" t="n"/>
      <c r="E1817" s="64" t="n"/>
      <c r="F1817" s="64" t="n"/>
      <c r="G1817" s="64" t="n"/>
      <c r="H1817" s="64" t="n"/>
      <c r="I1817" s="63" t="n"/>
      <c r="J1817" s="63" t="n"/>
      <c r="K1817" s="63" t="n"/>
      <c r="L1817" s="63" t="n"/>
      <c r="M1817" s="63" t="n"/>
      <c r="N1817" s="63" t="n"/>
      <c r="O1817" s="63" t="n"/>
      <c r="P1817" s="63" t="n"/>
      <c r="Q1817" s="136" t="n"/>
      <c r="R1817" s="137" t="n"/>
      <c r="S1817" s="137" t="n"/>
      <c r="T1817" s="138" t="n"/>
      <c r="U1817" s="138" t="n"/>
    </row>
    <row r="1818" ht="10.8" customFormat="1" customHeight="1" s="63">
      <c r="A1818" s="64" t="n"/>
      <c r="B1818" s="64" t="n"/>
      <c r="C1818" s="64" t="n"/>
      <c r="D1818" s="65" t="n"/>
      <c r="E1818" s="64" t="n"/>
      <c r="F1818" s="64" t="n"/>
      <c r="G1818" s="64" t="n"/>
      <c r="H1818" s="64" t="n"/>
      <c r="I1818" s="63" t="n"/>
      <c r="J1818" s="63" t="n"/>
      <c r="K1818" s="63" t="n"/>
      <c r="L1818" s="63" t="n"/>
      <c r="M1818" s="63" t="n"/>
      <c r="N1818" s="63" t="n"/>
      <c r="O1818" s="63" t="n"/>
      <c r="P1818" s="63" t="n"/>
      <c r="Q1818" s="136" t="n"/>
      <c r="R1818" s="137" t="n"/>
      <c r="S1818" s="137" t="n"/>
      <c r="T1818" s="138" t="n"/>
      <c r="U1818" s="138" t="n"/>
    </row>
    <row r="1819" ht="10.8" customFormat="1" customHeight="1" s="63">
      <c r="A1819" s="64" t="n"/>
      <c r="B1819" s="64" t="n"/>
      <c r="C1819" s="64" t="n"/>
      <c r="D1819" s="65" t="n"/>
      <c r="E1819" s="64" t="n"/>
      <c r="F1819" s="64" t="n"/>
      <c r="G1819" s="64" t="n"/>
      <c r="H1819" s="64" t="n"/>
      <c r="I1819" s="63" t="n"/>
      <c r="J1819" s="63" t="n"/>
      <c r="K1819" s="63" t="n"/>
      <c r="L1819" s="63" t="n"/>
      <c r="M1819" s="63" t="n"/>
      <c r="N1819" s="63" t="n"/>
      <c r="O1819" s="63" t="n"/>
      <c r="P1819" s="63" t="n"/>
      <c r="Q1819" s="136" t="n"/>
      <c r="R1819" s="137" t="n"/>
      <c r="S1819" s="137" t="n"/>
      <c r="T1819" s="138" t="n"/>
      <c r="U1819" s="138" t="n"/>
    </row>
    <row r="1820" ht="10.8" customFormat="1" customHeight="1" s="63">
      <c r="A1820" s="64" t="n"/>
      <c r="B1820" s="64" t="n"/>
      <c r="C1820" s="64" t="n"/>
      <c r="D1820" s="65" t="n"/>
      <c r="E1820" s="64" t="n"/>
      <c r="F1820" s="64" t="n"/>
      <c r="G1820" s="64" t="n"/>
      <c r="H1820" s="64" t="n"/>
      <c r="I1820" s="63" t="n"/>
      <c r="J1820" s="63" t="n"/>
      <c r="K1820" s="63" t="n"/>
      <c r="L1820" s="63" t="n"/>
      <c r="M1820" s="63" t="n"/>
      <c r="N1820" s="63" t="n"/>
      <c r="O1820" s="63" t="n"/>
      <c r="P1820" s="63" t="n"/>
      <c r="Q1820" s="136" t="n"/>
      <c r="R1820" s="137" t="n"/>
      <c r="S1820" s="137" t="n"/>
      <c r="T1820" s="138" t="n"/>
      <c r="U1820" s="138" t="n"/>
    </row>
    <row r="1821" ht="10.8" customFormat="1" customHeight="1" s="63">
      <c r="A1821" s="64" t="n"/>
      <c r="B1821" s="64" t="n"/>
      <c r="C1821" s="64" t="n"/>
      <c r="D1821" s="65" t="n"/>
      <c r="E1821" s="64" t="n"/>
      <c r="F1821" s="64" t="n"/>
      <c r="G1821" s="64" t="n"/>
      <c r="H1821" s="64" t="n"/>
      <c r="I1821" s="63" t="n"/>
      <c r="J1821" s="63" t="n"/>
      <c r="K1821" s="63" t="n"/>
      <c r="L1821" s="63" t="n"/>
      <c r="M1821" s="63" t="n"/>
      <c r="N1821" s="63" t="n"/>
      <c r="O1821" s="63" t="n"/>
      <c r="P1821" s="63" t="n"/>
      <c r="Q1821" s="136" t="n"/>
      <c r="R1821" s="137" t="n"/>
      <c r="S1821" s="137" t="n"/>
      <c r="T1821" s="138" t="n"/>
      <c r="U1821" s="138" t="n"/>
    </row>
    <row r="1822" ht="10.8" customFormat="1" customHeight="1" s="63">
      <c r="A1822" s="64" t="n"/>
      <c r="B1822" s="64" t="n"/>
      <c r="C1822" s="64" t="n"/>
      <c r="D1822" s="65" t="n"/>
      <c r="E1822" s="64" t="n"/>
      <c r="F1822" s="64" t="n"/>
      <c r="G1822" s="64" t="n"/>
      <c r="H1822" s="64" t="n"/>
      <c r="I1822" s="63" t="n"/>
      <c r="J1822" s="63" t="n"/>
      <c r="K1822" s="63" t="n"/>
      <c r="L1822" s="63" t="n"/>
      <c r="M1822" s="63" t="n"/>
      <c r="N1822" s="63" t="n"/>
      <c r="O1822" s="63" t="n"/>
      <c r="P1822" s="63" t="n"/>
      <c r="Q1822" s="136" t="n"/>
      <c r="R1822" s="137" t="n"/>
      <c r="S1822" s="137" t="n"/>
      <c r="T1822" s="138" t="n"/>
      <c r="U1822" s="138" t="n"/>
    </row>
    <row r="1823" ht="10.8" customFormat="1" customHeight="1" s="63">
      <c r="A1823" s="64" t="n"/>
      <c r="B1823" s="64" t="n"/>
      <c r="C1823" s="64" t="n"/>
      <c r="D1823" s="65" t="n"/>
      <c r="E1823" s="64" t="n"/>
      <c r="F1823" s="64" t="n"/>
      <c r="G1823" s="64" t="n"/>
      <c r="H1823" s="64" t="n"/>
      <c r="I1823" s="63" t="n"/>
      <c r="J1823" s="63" t="n"/>
      <c r="K1823" s="63" t="n"/>
      <c r="L1823" s="63" t="n"/>
      <c r="M1823" s="63" t="n"/>
      <c r="N1823" s="63" t="n"/>
      <c r="O1823" s="63" t="n"/>
      <c r="P1823" s="63" t="n"/>
      <c r="Q1823" s="136" t="n"/>
      <c r="R1823" s="137" t="n"/>
      <c r="S1823" s="137" t="n"/>
      <c r="T1823" s="138" t="n"/>
      <c r="U1823" s="138" t="n"/>
    </row>
    <row r="1824" ht="10.8" customFormat="1" customHeight="1" s="63">
      <c r="A1824" s="64" t="n"/>
      <c r="B1824" s="64" t="n"/>
      <c r="C1824" s="64" t="n"/>
      <c r="D1824" s="65" t="n"/>
      <c r="E1824" s="64" t="n"/>
      <c r="F1824" s="64" t="n"/>
      <c r="G1824" s="64" t="n"/>
      <c r="H1824" s="64" t="n"/>
      <c r="I1824" s="63" t="n"/>
      <c r="J1824" s="63" t="n"/>
      <c r="K1824" s="63" t="n"/>
      <c r="L1824" s="63" t="n"/>
      <c r="M1824" s="63" t="n"/>
      <c r="N1824" s="63" t="n"/>
      <c r="O1824" s="63" t="n"/>
      <c r="P1824" s="63" t="n"/>
      <c r="Q1824" s="136" t="n"/>
      <c r="R1824" s="137" t="n"/>
      <c r="S1824" s="137" t="n"/>
      <c r="T1824" s="138" t="n"/>
      <c r="U1824" s="138" t="n"/>
    </row>
    <row r="1825" ht="10.8" customFormat="1" customHeight="1" s="63">
      <c r="A1825" s="64" t="n"/>
      <c r="B1825" s="64" t="n"/>
      <c r="C1825" s="64" t="n"/>
      <c r="D1825" s="65" t="n"/>
      <c r="E1825" s="64" t="n"/>
      <c r="F1825" s="64" t="n"/>
      <c r="G1825" s="64" t="n"/>
      <c r="H1825" s="64" t="n"/>
      <c r="I1825" s="63" t="n"/>
      <c r="J1825" s="63" t="n"/>
      <c r="K1825" s="63" t="n"/>
      <c r="L1825" s="63" t="n"/>
      <c r="M1825" s="63" t="n"/>
      <c r="N1825" s="63" t="n"/>
      <c r="O1825" s="63" t="n"/>
      <c r="P1825" s="63" t="n"/>
      <c r="Q1825" s="136" t="n"/>
      <c r="R1825" s="137" t="n"/>
      <c r="S1825" s="137" t="n"/>
      <c r="T1825" s="138" t="n"/>
      <c r="U1825" s="138" t="n"/>
    </row>
    <row r="1826" ht="10.8" customFormat="1" customHeight="1" s="63">
      <c r="A1826" s="64" t="n"/>
      <c r="B1826" s="64" t="n"/>
      <c r="C1826" s="64" t="n"/>
      <c r="D1826" s="65" t="n"/>
      <c r="E1826" s="64" t="n"/>
      <c r="F1826" s="64" t="n"/>
      <c r="G1826" s="64" t="n"/>
      <c r="H1826" s="64" t="n"/>
      <c r="I1826" s="63" t="n"/>
      <c r="J1826" s="63" t="n"/>
      <c r="K1826" s="63" t="n"/>
      <c r="L1826" s="63" t="n"/>
      <c r="M1826" s="63" t="n"/>
      <c r="N1826" s="63" t="n"/>
      <c r="O1826" s="63" t="n"/>
      <c r="P1826" s="63" t="n"/>
      <c r="Q1826" s="136" t="n"/>
      <c r="R1826" s="137" t="n"/>
      <c r="S1826" s="137" t="n"/>
      <c r="T1826" s="138" t="n"/>
      <c r="U1826" s="138" t="n"/>
    </row>
    <row r="1827" ht="10.8" customFormat="1" customHeight="1" s="63">
      <c r="A1827" s="64" t="n"/>
      <c r="B1827" s="64" t="n"/>
      <c r="C1827" s="64" t="n"/>
      <c r="D1827" s="65" t="n"/>
      <c r="E1827" s="64" t="n"/>
      <c r="F1827" s="64" t="n"/>
      <c r="G1827" s="64" t="n"/>
      <c r="H1827" s="64" t="n"/>
      <c r="I1827" s="63" t="n"/>
      <c r="J1827" s="63" t="n"/>
      <c r="K1827" s="63" t="n"/>
      <c r="L1827" s="63" t="n"/>
      <c r="M1827" s="63" t="n"/>
      <c r="N1827" s="63" t="n"/>
      <c r="O1827" s="63" t="n"/>
      <c r="P1827" s="63" t="n"/>
      <c r="Q1827" s="136" t="n"/>
      <c r="R1827" s="137" t="n"/>
      <c r="S1827" s="137" t="n"/>
      <c r="T1827" s="138" t="n"/>
      <c r="U1827" s="138" t="n"/>
    </row>
    <row r="1828" ht="10.8" customFormat="1" customHeight="1" s="63">
      <c r="A1828" s="64" t="n"/>
      <c r="B1828" s="64" t="n"/>
      <c r="C1828" s="64" t="n"/>
      <c r="D1828" s="65" t="n"/>
      <c r="E1828" s="64" t="n"/>
      <c r="F1828" s="64" t="n"/>
      <c r="G1828" s="64" t="n"/>
      <c r="H1828" s="64" t="n"/>
      <c r="I1828" s="63" t="n"/>
      <c r="J1828" s="63" t="n"/>
      <c r="K1828" s="63" t="n"/>
      <c r="L1828" s="63" t="n"/>
      <c r="M1828" s="63" t="n"/>
      <c r="N1828" s="63" t="n"/>
      <c r="O1828" s="63" t="n"/>
      <c r="P1828" s="63" t="n"/>
      <c r="Q1828" s="136" t="n"/>
      <c r="R1828" s="137" t="n"/>
      <c r="S1828" s="137" t="n"/>
      <c r="T1828" s="138" t="n"/>
      <c r="U1828" s="138" t="n"/>
    </row>
    <row r="1829" ht="10.8" customFormat="1" customHeight="1" s="63">
      <c r="A1829" s="64" t="n"/>
      <c r="B1829" s="64" t="n"/>
      <c r="C1829" s="64" t="n"/>
      <c r="D1829" s="65" t="n"/>
      <c r="E1829" s="64" t="n"/>
      <c r="F1829" s="64" t="n"/>
      <c r="G1829" s="64" t="n"/>
      <c r="H1829" s="64" t="n"/>
      <c r="I1829" s="63" t="n"/>
      <c r="J1829" s="63" t="n"/>
      <c r="K1829" s="63" t="n"/>
      <c r="L1829" s="63" t="n"/>
      <c r="M1829" s="63" t="n"/>
      <c r="N1829" s="63" t="n"/>
      <c r="O1829" s="63" t="n"/>
      <c r="P1829" s="63" t="n"/>
      <c r="Q1829" s="136" t="n"/>
      <c r="R1829" s="137" t="n"/>
      <c r="S1829" s="137" t="n"/>
      <c r="T1829" s="138" t="n"/>
      <c r="U1829" s="138" t="n"/>
    </row>
    <row r="1830" ht="10.8" customFormat="1" customHeight="1" s="63">
      <c r="A1830" s="64" t="n"/>
      <c r="B1830" s="64" t="n"/>
      <c r="C1830" s="64" t="n"/>
      <c r="D1830" s="65" t="n"/>
      <c r="E1830" s="64" t="n"/>
      <c r="F1830" s="64" t="n"/>
      <c r="G1830" s="64" t="n"/>
      <c r="H1830" s="64" t="n"/>
      <c r="I1830" s="63" t="n"/>
      <c r="J1830" s="63" t="n"/>
      <c r="K1830" s="63" t="n"/>
      <c r="L1830" s="63" t="n"/>
      <c r="M1830" s="63" t="n"/>
      <c r="N1830" s="63" t="n"/>
      <c r="O1830" s="63" t="n"/>
      <c r="P1830" s="63" t="n"/>
      <c r="Q1830" s="136" t="n"/>
      <c r="R1830" s="137" t="n"/>
      <c r="S1830" s="137" t="n"/>
      <c r="T1830" s="138" t="n"/>
      <c r="U1830" s="138" t="n"/>
    </row>
    <row r="1831" ht="10.8" customFormat="1" customHeight="1" s="63">
      <c r="A1831" s="64" t="n"/>
      <c r="B1831" s="64" t="n"/>
      <c r="C1831" s="64" t="n"/>
      <c r="D1831" s="65" t="n"/>
      <c r="E1831" s="64" t="n"/>
      <c r="F1831" s="64" t="n"/>
      <c r="G1831" s="64" t="n"/>
      <c r="H1831" s="64" t="n"/>
      <c r="I1831" s="63" t="n"/>
      <c r="J1831" s="63" t="n"/>
      <c r="K1831" s="63" t="n"/>
      <c r="L1831" s="63" t="n"/>
      <c r="M1831" s="63" t="n"/>
      <c r="N1831" s="63" t="n"/>
      <c r="O1831" s="63" t="n"/>
      <c r="P1831" s="63" t="n"/>
      <c r="Q1831" s="136" t="n"/>
      <c r="R1831" s="137" t="n"/>
      <c r="S1831" s="137" t="n"/>
      <c r="T1831" s="138" t="n"/>
      <c r="U1831" s="138" t="n"/>
    </row>
    <row r="1832" ht="10.8" customFormat="1" customHeight="1" s="63">
      <c r="A1832" s="64" t="n"/>
      <c r="B1832" s="64" t="n"/>
      <c r="C1832" s="64" t="n"/>
      <c r="D1832" s="65" t="n"/>
      <c r="E1832" s="64" t="n"/>
      <c r="F1832" s="64" t="n"/>
      <c r="G1832" s="64" t="n"/>
      <c r="H1832" s="64" t="n"/>
      <c r="I1832" s="63" t="n"/>
      <c r="J1832" s="63" t="n"/>
      <c r="K1832" s="63" t="n"/>
      <c r="L1832" s="63" t="n"/>
      <c r="M1832" s="63" t="n"/>
      <c r="N1832" s="63" t="n"/>
      <c r="O1832" s="63" t="n"/>
      <c r="P1832" s="63" t="n"/>
      <c r="Q1832" s="136" t="n"/>
      <c r="R1832" s="137" t="n"/>
      <c r="S1832" s="137" t="n"/>
      <c r="T1832" s="138" t="n"/>
      <c r="U1832" s="138" t="n"/>
    </row>
    <row r="1833" ht="10.8" customFormat="1" customHeight="1" s="63">
      <c r="A1833" s="64" t="n"/>
      <c r="B1833" s="64" t="n"/>
      <c r="C1833" s="64" t="n"/>
      <c r="D1833" s="65" t="n"/>
      <c r="E1833" s="64" t="n"/>
      <c r="F1833" s="64" t="n"/>
      <c r="G1833" s="64" t="n"/>
      <c r="H1833" s="64" t="n"/>
      <c r="I1833" s="63" t="n"/>
      <c r="J1833" s="63" t="n"/>
      <c r="K1833" s="63" t="n"/>
      <c r="L1833" s="63" t="n"/>
      <c r="M1833" s="63" t="n"/>
      <c r="N1833" s="63" t="n"/>
      <c r="O1833" s="63" t="n"/>
      <c r="P1833" s="63" t="n"/>
      <c r="Q1833" s="136" t="n"/>
      <c r="R1833" s="137" t="n"/>
      <c r="S1833" s="137" t="n"/>
      <c r="T1833" s="138" t="n"/>
      <c r="U1833" s="138" t="n"/>
    </row>
    <row r="1834" ht="10.8" customFormat="1" customHeight="1" s="63">
      <c r="A1834" s="64" t="n"/>
      <c r="B1834" s="64" t="n"/>
      <c r="C1834" s="64" t="n"/>
      <c r="D1834" s="65" t="n"/>
      <c r="E1834" s="64" t="n"/>
      <c r="F1834" s="64" t="n"/>
      <c r="G1834" s="64" t="n"/>
      <c r="H1834" s="64" t="n"/>
      <c r="I1834" s="63" t="n"/>
      <c r="J1834" s="63" t="n"/>
      <c r="K1834" s="63" t="n"/>
      <c r="L1834" s="63" t="n"/>
      <c r="M1834" s="63" t="n"/>
      <c r="N1834" s="63" t="n"/>
      <c r="O1834" s="63" t="n"/>
      <c r="P1834" s="63" t="n"/>
      <c r="Q1834" s="136" t="n"/>
      <c r="R1834" s="137" t="n"/>
      <c r="S1834" s="137" t="n"/>
      <c r="T1834" s="138" t="n"/>
      <c r="U1834" s="138" t="n"/>
    </row>
    <row r="1835" ht="10.8" customFormat="1" customHeight="1" s="63">
      <c r="A1835" s="64" t="n"/>
      <c r="B1835" s="64" t="n"/>
      <c r="C1835" s="64" t="n"/>
      <c r="D1835" s="65" t="n"/>
      <c r="E1835" s="64" t="n"/>
      <c r="F1835" s="64" t="n"/>
      <c r="G1835" s="64" t="n"/>
      <c r="H1835" s="64" t="n"/>
      <c r="I1835" s="63" t="n"/>
      <c r="J1835" s="63" t="n"/>
      <c r="K1835" s="63" t="n"/>
      <c r="L1835" s="63" t="n"/>
      <c r="M1835" s="63" t="n"/>
      <c r="N1835" s="63" t="n"/>
      <c r="O1835" s="63" t="n"/>
      <c r="P1835" s="63" t="n"/>
      <c r="Q1835" s="136" t="n"/>
      <c r="R1835" s="137" t="n"/>
      <c r="S1835" s="137" t="n"/>
      <c r="T1835" s="138" t="n"/>
      <c r="U1835" s="138" t="n"/>
    </row>
    <row r="1836" ht="10.8" customFormat="1" customHeight="1" s="63">
      <c r="A1836" s="64" t="n"/>
      <c r="B1836" s="64" t="n"/>
      <c r="C1836" s="64" t="n"/>
      <c r="D1836" s="65" t="n"/>
      <c r="E1836" s="64" t="n"/>
      <c r="F1836" s="64" t="n"/>
      <c r="G1836" s="64" t="n"/>
      <c r="H1836" s="64" t="n"/>
      <c r="I1836" s="63" t="n"/>
      <c r="J1836" s="63" t="n"/>
      <c r="K1836" s="63" t="n"/>
      <c r="L1836" s="63" t="n"/>
      <c r="M1836" s="63" t="n"/>
      <c r="N1836" s="63" t="n"/>
      <c r="O1836" s="63" t="n"/>
      <c r="P1836" s="63" t="n"/>
      <c r="Q1836" s="136" t="n"/>
      <c r="R1836" s="137" t="n"/>
      <c r="S1836" s="137" t="n"/>
      <c r="T1836" s="138" t="n"/>
      <c r="U1836" s="138" t="n"/>
    </row>
    <row r="1837" ht="10.8" customFormat="1" customHeight="1" s="63">
      <c r="A1837" s="64" t="n"/>
      <c r="B1837" s="64" t="n"/>
      <c r="C1837" s="64" t="n"/>
      <c r="D1837" s="65" t="n"/>
      <c r="E1837" s="64" t="n"/>
      <c r="F1837" s="64" t="n"/>
      <c r="G1837" s="64" t="n"/>
      <c r="H1837" s="64" t="n"/>
      <c r="I1837" s="63" t="n"/>
      <c r="J1837" s="63" t="n"/>
      <c r="K1837" s="63" t="n"/>
      <c r="L1837" s="63" t="n"/>
      <c r="M1837" s="63" t="n"/>
      <c r="N1837" s="63" t="n"/>
      <c r="O1837" s="63" t="n"/>
      <c r="P1837" s="63" t="n"/>
      <c r="Q1837" s="136" t="n"/>
      <c r="R1837" s="137" t="n"/>
      <c r="S1837" s="137" t="n"/>
      <c r="T1837" s="138" t="n"/>
      <c r="U1837" s="138" t="n"/>
    </row>
    <row r="1838" ht="10.8" customFormat="1" customHeight="1" s="63">
      <c r="A1838" s="64" t="n"/>
      <c r="B1838" s="64" t="n"/>
      <c r="C1838" s="64" t="n"/>
      <c r="D1838" s="65" t="n"/>
      <c r="E1838" s="64" t="n"/>
      <c r="F1838" s="64" t="n"/>
      <c r="G1838" s="64" t="n"/>
      <c r="H1838" s="64" t="n"/>
      <c r="I1838" s="63" t="n"/>
      <c r="J1838" s="63" t="n"/>
      <c r="K1838" s="63" t="n"/>
      <c r="L1838" s="63" t="n"/>
      <c r="M1838" s="63" t="n"/>
      <c r="N1838" s="63" t="n"/>
      <c r="O1838" s="63" t="n"/>
      <c r="P1838" s="63" t="n"/>
      <c r="Q1838" s="136" t="n"/>
      <c r="R1838" s="137" t="n"/>
      <c r="S1838" s="137" t="n"/>
      <c r="T1838" s="138" t="n"/>
      <c r="U1838" s="138" t="n"/>
    </row>
    <row r="1839" ht="10.8" customFormat="1" customHeight="1" s="63">
      <c r="A1839" s="64" t="n"/>
      <c r="B1839" s="64" t="n"/>
      <c r="C1839" s="64" t="n"/>
      <c r="D1839" s="65" t="n"/>
      <c r="E1839" s="64" t="n"/>
      <c r="F1839" s="64" t="n"/>
      <c r="G1839" s="64" t="n"/>
      <c r="H1839" s="64" t="n"/>
      <c r="I1839" s="63" t="n"/>
      <c r="J1839" s="63" t="n"/>
      <c r="K1839" s="63" t="n"/>
      <c r="L1839" s="63" t="n"/>
      <c r="M1839" s="63" t="n"/>
      <c r="N1839" s="63" t="n"/>
      <c r="O1839" s="63" t="n"/>
      <c r="P1839" s="63" t="n"/>
      <c r="Q1839" s="136" t="n"/>
      <c r="R1839" s="137" t="n"/>
      <c r="S1839" s="137" t="n"/>
      <c r="T1839" s="138" t="n"/>
      <c r="U1839" s="138" t="n"/>
    </row>
    <row r="1840" ht="10.8" customFormat="1" customHeight="1" s="63">
      <c r="A1840" s="64" t="n"/>
      <c r="B1840" s="64" t="n"/>
      <c r="C1840" s="64" t="n"/>
      <c r="D1840" s="65" t="n"/>
      <c r="E1840" s="64" t="n"/>
      <c r="F1840" s="64" t="n"/>
      <c r="G1840" s="64" t="n"/>
      <c r="H1840" s="64" t="n"/>
      <c r="I1840" s="63" t="n"/>
      <c r="J1840" s="63" t="n"/>
      <c r="K1840" s="63" t="n"/>
      <c r="L1840" s="63" t="n"/>
      <c r="M1840" s="63" t="n"/>
      <c r="N1840" s="63" t="n"/>
      <c r="O1840" s="63" t="n"/>
      <c r="P1840" s="63" t="n"/>
      <c r="Q1840" s="136" t="n"/>
      <c r="R1840" s="137" t="n"/>
      <c r="S1840" s="137" t="n"/>
      <c r="T1840" s="138" t="n"/>
      <c r="U1840" s="138" t="n"/>
    </row>
    <row r="1841" ht="10.8" customFormat="1" customHeight="1" s="63">
      <c r="A1841" s="64" t="n"/>
      <c r="B1841" s="64" t="n"/>
      <c r="C1841" s="64" t="n"/>
      <c r="D1841" s="65" t="n"/>
      <c r="E1841" s="64" t="n"/>
      <c r="F1841" s="64" t="n"/>
      <c r="G1841" s="64" t="n"/>
      <c r="H1841" s="64" t="n"/>
      <c r="I1841" s="63" t="n"/>
      <c r="J1841" s="63" t="n"/>
      <c r="K1841" s="63" t="n"/>
      <c r="L1841" s="63" t="n"/>
      <c r="M1841" s="63" t="n"/>
      <c r="N1841" s="63" t="n"/>
      <c r="O1841" s="63" t="n"/>
      <c r="P1841" s="63" t="n"/>
      <c r="Q1841" s="136" t="n"/>
      <c r="R1841" s="137" t="n"/>
      <c r="S1841" s="137" t="n"/>
      <c r="T1841" s="138" t="n"/>
      <c r="U1841" s="138" t="n"/>
    </row>
    <row r="1842" ht="10.8" customFormat="1" customHeight="1" s="63">
      <c r="A1842" s="64" t="n"/>
      <c r="B1842" s="64" t="n"/>
      <c r="C1842" s="64" t="n"/>
      <c r="D1842" s="65" t="n"/>
      <c r="E1842" s="64" t="n"/>
      <c r="F1842" s="64" t="n"/>
      <c r="G1842" s="64" t="n"/>
      <c r="H1842" s="64" t="n"/>
      <c r="I1842" s="63" t="n"/>
      <c r="J1842" s="63" t="n"/>
      <c r="K1842" s="63" t="n"/>
      <c r="L1842" s="63" t="n"/>
      <c r="M1842" s="63" t="n"/>
      <c r="N1842" s="63" t="n"/>
      <c r="O1842" s="63" t="n"/>
      <c r="P1842" s="63" t="n"/>
      <c r="Q1842" s="136" t="n"/>
      <c r="R1842" s="137" t="n"/>
      <c r="S1842" s="137" t="n"/>
      <c r="T1842" s="138" t="n"/>
      <c r="U1842" s="138" t="n"/>
    </row>
    <row r="1843" ht="10.8" customFormat="1" customHeight="1" s="63">
      <c r="A1843" s="64" t="n"/>
      <c r="B1843" s="64" t="n"/>
      <c r="C1843" s="64" t="n"/>
      <c r="D1843" s="65" t="n"/>
      <c r="E1843" s="64" t="n"/>
      <c r="F1843" s="64" t="n"/>
      <c r="G1843" s="64" t="n"/>
      <c r="H1843" s="64" t="n"/>
      <c r="I1843" s="63" t="n"/>
      <c r="J1843" s="63" t="n"/>
      <c r="K1843" s="63" t="n"/>
      <c r="L1843" s="63" t="n"/>
      <c r="M1843" s="63" t="n"/>
      <c r="N1843" s="63" t="n"/>
      <c r="O1843" s="63" t="n"/>
      <c r="P1843" s="63" t="n"/>
      <c r="Q1843" s="136" t="n"/>
      <c r="R1843" s="137" t="n"/>
      <c r="S1843" s="137" t="n"/>
      <c r="T1843" s="138" t="n"/>
      <c r="U1843" s="138" t="n"/>
    </row>
    <row r="1844" ht="10.8" customFormat="1" customHeight="1" s="63">
      <c r="A1844" s="64" t="n"/>
      <c r="B1844" s="64" t="n"/>
      <c r="C1844" s="64" t="n"/>
      <c r="D1844" s="65" t="n"/>
      <c r="E1844" s="64" t="n"/>
      <c r="F1844" s="64" t="n"/>
      <c r="G1844" s="64" t="n"/>
      <c r="H1844" s="64" t="n"/>
      <c r="I1844" s="63" t="n"/>
      <c r="J1844" s="63" t="n"/>
      <c r="K1844" s="63" t="n"/>
      <c r="L1844" s="63" t="n"/>
      <c r="M1844" s="63" t="n"/>
      <c r="N1844" s="63" t="n"/>
      <c r="O1844" s="63" t="n"/>
      <c r="P1844" s="63" t="n"/>
      <c r="Q1844" s="136" t="n"/>
      <c r="R1844" s="137" t="n"/>
      <c r="S1844" s="137" t="n"/>
      <c r="T1844" s="138" t="n"/>
      <c r="U1844" s="138" t="n"/>
    </row>
    <row r="1845" ht="10.8" customFormat="1" customHeight="1" s="63">
      <c r="A1845" s="64" t="n"/>
      <c r="B1845" s="64" t="n"/>
      <c r="C1845" s="64" t="n"/>
      <c r="D1845" s="65" t="n"/>
      <c r="E1845" s="64" t="n"/>
      <c r="F1845" s="64" t="n"/>
      <c r="G1845" s="64" t="n"/>
      <c r="H1845" s="64" t="n"/>
      <c r="I1845" s="63" t="n"/>
      <c r="J1845" s="63" t="n"/>
      <c r="K1845" s="63" t="n"/>
      <c r="L1845" s="63" t="n"/>
      <c r="M1845" s="63" t="n"/>
      <c r="N1845" s="63" t="n"/>
      <c r="O1845" s="63" t="n"/>
      <c r="P1845" s="63" t="n"/>
      <c r="Q1845" s="136" t="n"/>
      <c r="R1845" s="137" t="n"/>
      <c r="S1845" s="137" t="n"/>
      <c r="T1845" s="138" t="n"/>
      <c r="U1845" s="138" t="n"/>
    </row>
    <row r="1846" ht="10.8" customFormat="1" customHeight="1" s="63">
      <c r="A1846" s="64" t="n"/>
      <c r="B1846" s="64" t="n"/>
      <c r="C1846" s="64" t="n"/>
      <c r="D1846" s="65" t="n"/>
      <c r="E1846" s="64" t="n"/>
      <c r="F1846" s="64" t="n"/>
      <c r="G1846" s="64" t="n"/>
      <c r="H1846" s="64" t="n"/>
      <c r="I1846" s="63" t="n"/>
      <c r="J1846" s="63" t="n"/>
      <c r="K1846" s="63" t="n"/>
      <c r="L1846" s="63" t="n"/>
      <c r="M1846" s="63" t="n"/>
      <c r="N1846" s="63" t="n"/>
      <c r="O1846" s="63" t="n"/>
      <c r="P1846" s="63" t="n"/>
      <c r="Q1846" s="136" t="n"/>
      <c r="R1846" s="137" t="n"/>
      <c r="S1846" s="137" t="n"/>
      <c r="T1846" s="138" t="n"/>
      <c r="U1846" s="138" t="n"/>
    </row>
    <row r="1847" ht="10.8" customFormat="1" customHeight="1" s="63">
      <c r="A1847" s="64" t="n"/>
      <c r="B1847" s="64" t="n"/>
      <c r="C1847" s="64" t="n"/>
      <c r="D1847" s="65" t="n"/>
      <c r="E1847" s="64" t="n"/>
      <c r="F1847" s="64" t="n"/>
      <c r="G1847" s="64" t="n"/>
      <c r="H1847" s="64" t="n"/>
      <c r="I1847" s="63" t="n"/>
      <c r="J1847" s="63" t="n"/>
      <c r="K1847" s="63" t="n"/>
      <c r="L1847" s="63" t="n"/>
      <c r="M1847" s="63" t="n"/>
      <c r="N1847" s="63" t="n"/>
      <c r="O1847" s="63" t="n"/>
      <c r="P1847" s="63" t="n"/>
      <c r="Q1847" s="136" t="n"/>
      <c r="R1847" s="137" t="n"/>
      <c r="S1847" s="137" t="n"/>
      <c r="T1847" s="138" t="n"/>
      <c r="U1847" s="138" t="n"/>
    </row>
    <row r="1848" ht="10.8" customFormat="1" customHeight="1" s="63">
      <c r="A1848" s="64" t="n"/>
      <c r="B1848" s="64" t="n"/>
      <c r="C1848" s="64" t="n"/>
      <c r="D1848" s="65" t="n"/>
      <c r="E1848" s="64" t="n"/>
      <c r="F1848" s="64" t="n"/>
      <c r="G1848" s="64" t="n"/>
      <c r="H1848" s="64" t="n"/>
      <c r="I1848" s="63" t="n"/>
      <c r="J1848" s="63" t="n"/>
      <c r="K1848" s="63" t="n"/>
      <c r="L1848" s="63" t="n"/>
      <c r="M1848" s="63" t="n"/>
      <c r="N1848" s="63" t="n"/>
      <c r="O1848" s="63" t="n"/>
      <c r="P1848" s="63" t="n"/>
      <c r="Q1848" s="136" t="n"/>
      <c r="R1848" s="137" t="n"/>
      <c r="S1848" s="137" t="n"/>
      <c r="T1848" s="138" t="n"/>
      <c r="U1848" s="138" t="n"/>
    </row>
    <row r="1849" ht="10.8" customFormat="1" customHeight="1" s="63">
      <c r="A1849" s="64" t="n"/>
      <c r="B1849" s="64" t="n"/>
      <c r="C1849" s="64" t="n"/>
      <c r="D1849" s="65" t="n"/>
      <c r="E1849" s="64" t="n"/>
      <c r="F1849" s="64" t="n"/>
      <c r="G1849" s="64" t="n"/>
      <c r="H1849" s="64" t="n"/>
      <c r="I1849" s="63" t="n"/>
      <c r="J1849" s="63" t="n"/>
      <c r="K1849" s="63" t="n"/>
      <c r="L1849" s="63" t="n"/>
      <c r="M1849" s="63" t="n"/>
      <c r="N1849" s="63" t="n"/>
      <c r="O1849" s="63" t="n"/>
      <c r="P1849" s="63" t="n"/>
      <c r="Q1849" s="136" t="n"/>
      <c r="R1849" s="137" t="n"/>
      <c r="S1849" s="137" t="n"/>
      <c r="T1849" s="138" t="n"/>
      <c r="U1849" s="138" t="n"/>
    </row>
    <row r="1850" ht="10.8" customFormat="1" customHeight="1" s="63">
      <c r="A1850" s="64" t="n"/>
      <c r="B1850" s="64" t="n"/>
      <c r="C1850" s="64" t="n"/>
      <c r="D1850" s="65" t="n"/>
      <c r="E1850" s="64" t="n"/>
      <c r="F1850" s="64" t="n"/>
      <c r="G1850" s="64" t="n"/>
      <c r="H1850" s="64" t="n"/>
      <c r="I1850" s="63" t="n"/>
      <c r="J1850" s="63" t="n"/>
      <c r="K1850" s="63" t="n"/>
      <c r="L1850" s="63" t="n"/>
      <c r="M1850" s="63" t="n"/>
      <c r="N1850" s="63" t="n"/>
      <c r="O1850" s="63" t="n"/>
      <c r="P1850" s="63" t="n"/>
      <c r="Q1850" s="136" t="n"/>
      <c r="R1850" s="137" t="n"/>
      <c r="S1850" s="137" t="n"/>
      <c r="T1850" s="138" t="n"/>
      <c r="U1850" s="138" t="n"/>
    </row>
    <row r="1851" ht="10.8" customFormat="1" customHeight="1" s="63">
      <c r="A1851" s="64" t="n"/>
      <c r="B1851" s="64" t="n"/>
      <c r="C1851" s="64" t="n"/>
      <c r="D1851" s="65" t="n"/>
      <c r="E1851" s="64" t="n"/>
      <c r="F1851" s="64" t="n"/>
      <c r="G1851" s="64" t="n"/>
      <c r="H1851" s="64" t="n"/>
      <c r="I1851" s="63" t="n"/>
      <c r="J1851" s="63" t="n"/>
      <c r="K1851" s="63" t="n"/>
      <c r="L1851" s="63" t="n"/>
      <c r="M1851" s="63" t="n"/>
      <c r="N1851" s="63" t="n"/>
      <c r="O1851" s="63" t="n"/>
      <c r="P1851" s="63" t="n"/>
      <c r="Q1851" s="136" t="n"/>
      <c r="R1851" s="137" t="n"/>
      <c r="S1851" s="137" t="n"/>
      <c r="T1851" s="138" t="n"/>
      <c r="U1851" s="138" t="n"/>
    </row>
    <row r="1852" ht="10.8" customFormat="1" customHeight="1" s="63">
      <c r="A1852" s="64" t="n"/>
      <c r="B1852" s="64" t="n"/>
      <c r="C1852" s="64" t="n"/>
      <c r="D1852" s="65" t="n"/>
      <c r="E1852" s="64" t="n"/>
      <c r="F1852" s="64" t="n"/>
      <c r="G1852" s="64" t="n"/>
      <c r="H1852" s="64" t="n"/>
      <c r="I1852" s="63" t="n"/>
      <c r="J1852" s="63" t="n"/>
      <c r="K1852" s="63" t="n"/>
      <c r="L1852" s="63" t="n"/>
      <c r="M1852" s="63" t="n"/>
      <c r="N1852" s="63" t="n"/>
      <c r="O1852" s="63" t="n"/>
      <c r="P1852" s="63" t="n"/>
      <c r="Q1852" s="136" t="n"/>
      <c r="R1852" s="137" t="n"/>
      <c r="S1852" s="137" t="n"/>
      <c r="T1852" s="138" t="n"/>
      <c r="U1852" s="138" t="n"/>
    </row>
    <row r="1853" ht="10.8" customFormat="1" customHeight="1" s="63">
      <c r="A1853" s="64" t="n"/>
      <c r="B1853" s="64" t="n"/>
      <c r="C1853" s="64" t="n"/>
      <c r="D1853" s="65" t="n"/>
      <c r="E1853" s="64" t="n"/>
      <c r="F1853" s="64" t="n"/>
      <c r="G1853" s="64" t="n"/>
      <c r="H1853" s="64" t="n"/>
      <c r="I1853" s="63" t="n"/>
      <c r="J1853" s="63" t="n"/>
      <c r="K1853" s="63" t="n"/>
      <c r="L1853" s="63" t="n"/>
      <c r="M1853" s="63" t="n"/>
      <c r="N1853" s="63" t="n"/>
      <c r="O1853" s="63" t="n"/>
      <c r="P1853" s="63" t="n"/>
      <c r="Q1853" s="136" t="n"/>
      <c r="R1853" s="137" t="n"/>
      <c r="S1853" s="137" t="n"/>
      <c r="T1853" s="138" t="n"/>
      <c r="U1853" s="138" t="n"/>
    </row>
    <row r="1854" ht="10.8" customFormat="1" customHeight="1" s="63">
      <c r="A1854" s="64" t="n"/>
      <c r="B1854" s="64" t="n"/>
      <c r="C1854" s="64" t="n"/>
      <c r="D1854" s="65" t="n"/>
      <c r="E1854" s="64" t="n"/>
      <c r="F1854" s="64" t="n"/>
      <c r="G1854" s="64" t="n"/>
      <c r="H1854" s="64" t="n"/>
      <c r="I1854" s="63" t="n"/>
      <c r="J1854" s="63" t="n"/>
      <c r="K1854" s="63" t="n"/>
      <c r="L1854" s="63" t="n"/>
      <c r="M1854" s="63" t="n"/>
      <c r="N1854" s="63" t="n"/>
      <c r="O1854" s="63" t="n"/>
      <c r="P1854" s="63" t="n"/>
      <c r="Q1854" s="136" t="n"/>
      <c r="R1854" s="137" t="n"/>
      <c r="S1854" s="137" t="n"/>
      <c r="T1854" s="138" t="n"/>
      <c r="U1854" s="138" t="n"/>
    </row>
    <row r="1855" ht="10.8" customFormat="1" customHeight="1" s="63">
      <c r="A1855" s="64" t="n"/>
      <c r="B1855" s="64" t="n"/>
      <c r="C1855" s="64" t="n"/>
      <c r="D1855" s="65" t="n"/>
      <c r="E1855" s="64" t="n"/>
      <c r="F1855" s="64" t="n"/>
      <c r="G1855" s="64" t="n"/>
      <c r="H1855" s="64" t="n"/>
      <c r="I1855" s="63" t="n"/>
      <c r="J1855" s="63" t="n"/>
      <c r="K1855" s="63" t="n"/>
      <c r="L1855" s="63" t="n"/>
      <c r="M1855" s="63" t="n"/>
      <c r="N1855" s="63" t="n"/>
      <c r="O1855" s="63" t="n"/>
      <c r="P1855" s="63" t="n"/>
      <c r="Q1855" s="136" t="n"/>
      <c r="R1855" s="137" t="n"/>
      <c r="S1855" s="137" t="n"/>
      <c r="T1855" s="138" t="n"/>
      <c r="U1855" s="138" t="n"/>
    </row>
    <row r="1856" ht="10.8" customFormat="1" customHeight="1" s="63">
      <c r="A1856" s="64" t="n"/>
      <c r="B1856" s="64" t="n"/>
      <c r="C1856" s="64" t="n"/>
      <c r="D1856" s="65" t="n"/>
      <c r="E1856" s="64" t="n"/>
      <c r="F1856" s="64" t="n"/>
      <c r="G1856" s="64" t="n"/>
      <c r="H1856" s="64" t="n"/>
      <c r="I1856" s="63" t="n"/>
      <c r="J1856" s="63" t="n"/>
      <c r="K1856" s="63" t="n"/>
      <c r="L1856" s="63" t="n"/>
      <c r="M1856" s="63" t="n"/>
      <c r="N1856" s="63" t="n"/>
      <c r="O1856" s="63" t="n"/>
      <c r="P1856" s="63" t="n"/>
      <c r="Q1856" s="136" t="n"/>
      <c r="R1856" s="137" t="n"/>
      <c r="S1856" s="137" t="n"/>
      <c r="T1856" s="138" t="n"/>
      <c r="U1856" s="138" t="n"/>
    </row>
    <row r="1857" ht="10.8" customFormat="1" customHeight="1" s="63">
      <c r="A1857" s="64" t="n"/>
      <c r="B1857" s="64" t="n"/>
      <c r="C1857" s="64" t="n"/>
      <c r="D1857" s="65" t="n"/>
      <c r="E1857" s="64" t="n"/>
      <c r="F1857" s="64" t="n"/>
      <c r="G1857" s="64" t="n"/>
      <c r="H1857" s="64" t="n"/>
      <c r="I1857" s="63" t="n"/>
      <c r="J1857" s="63" t="n"/>
      <c r="K1857" s="63" t="n"/>
      <c r="L1857" s="63" t="n"/>
      <c r="M1857" s="63" t="n"/>
      <c r="N1857" s="63" t="n"/>
      <c r="O1857" s="63" t="n"/>
      <c r="P1857" s="63" t="n"/>
      <c r="Q1857" s="136" t="n"/>
      <c r="R1857" s="137" t="n"/>
      <c r="S1857" s="137" t="n"/>
      <c r="T1857" s="138" t="n"/>
      <c r="U1857" s="138" t="n"/>
    </row>
    <row r="1858" ht="10.8" customFormat="1" customHeight="1" s="63">
      <c r="A1858" s="64" t="n"/>
      <c r="B1858" s="64" t="n"/>
      <c r="C1858" s="64" t="n"/>
      <c r="D1858" s="65" t="n"/>
      <c r="E1858" s="64" t="n"/>
      <c r="F1858" s="64" t="n"/>
      <c r="G1858" s="64" t="n"/>
      <c r="H1858" s="64" t="n"/>
      <c r="I1858" s="63" t="n"/>
      <c r="J1858" s="63" t="n"/>
      <c r="K1858" s="63" t="n"/>
      <c r="L1858" s="63" t="n"/>
      <c r="M1858" s="63" t="n"/>
      <c r="N1858" s="63" t="n"/>
      <c r="O1858" s="63" t="n"/>
      <c r="P1858" s="63" t="n"/>
      <c r="Q1858" s="136" t="n"/>
      <c r="R1858" s="137" t="n"/>
      <c r="S1858" s="137" t="n"/>
      <c r="T1858" s="138" t="n"/>
      <c r="U1858" s="138" t="n"/>
    </row>
    <row r="1859" ht="10.8" customFormat="1" customHeight="1" s="63">
      <c r="A1859" s="64" t="n"/>
      <c r="B1859" s="64" t="n"/>
      <c r="C1859" s="64" t="n"/>
      <c r="D1859" s="65" t="n"/>
      <c r="E1859" s="64" t="n"/>
      <c r="F1859" s="64" t="n"/>
      <c r="G1859" s="64" t="n"/>
      <c r="H1859" s="64" t="n"/>
      <c r="I1859" s="63" t="n"/>
      <c r="J1859" s="63" t="n"/>
      <c r="K1859" s="63" t="n"/>
      <c r="L1859" s="63" t="n"/>
      <c r="M1859" s="63" t="n"/>
      <c r="N1859" s="63" t="n"/>
      <c r="O1859" s="63" t="n"/>
      <c r="P1859" s="63" t="n"/>
      <c r="Q1859" s="136" t="n"/>
      <c r="R1859" s="137" t="n"/>
      <c r="S1859" s="137" t="n"/>
      <c r="T1859" s="138" t="n"/>
      <c r="U1859" s="138" t="n"/>
    </row>
    <row r="1860" ht="10.8" customFormat="1" customHeight="1" s="63">
      <c r="A1860" s="64" t="n"/>
      <c r="B1860" s="64" t="n"/>
      <c r="C1860" s="64" t="n"/>
      <c r="D1860" s="65" t="n"/>
      <c r="E1860" s="64" t="n"/>
      <c r="F1860" s="64" t="n"/>
      <c r="G1860" s="64" t="n"/>
      <c r="H1860" s="64" t="n"/>
      <c r="I1860" s="63" t="n"/>
      <c r="J1860" s="63" t="n"/>
      <c r="K1860" s="63" t="n"/>
      <c r="L1860" s="63" t="n"/>
      <c r="M1860" s="63" t="n"/>
      <c r="N1860" s="63" t="n"/>
      <c r="O1860" s="63" t="n"/>
      <c r="P1860" s="63" t="n"/>
      <c r="Q1860" s="136" t="n"/>
      <c r="R1860" s="137" t="n"/>
      <c r="S1860" s="137" t="n"/>
      <c r="T1860" s="138" t="n"/>
      <c r="U1860" s="138" t="n"/>
    </row>
    <row r="1861" ht="10.8" customFormat="1" customHeight="1" s="63">
      <c r="A1861" s="64" t="n"/>
      <c r="B1861" s="64" t="n"/>
      <c r="C1861" s="64" t="n"/>
      <c r="D1861" s="65" t="n"/>
      <c r="E1861" s="64" t="n"/>
      <c r="F1861" s="64" t="n"/>
      <c r="G1861" s="64" t="n"/>
      <c r="H1861" s="64" t="n"/>
      <c r="I1861" s="63" t="n"/>
      <c r="J1861" s="63" t="n"/>
      <c r="K1861" s="63" t="n"/>
      <c r="L1861" s="63" t="n"/>
      <c r="M1861" s="63" t="n"/>
      <c r="N1861" s="63" t="n"/>
      <c r="O1861" s="63" t="n"/>
      <c r="P1861" s="63" t="n"/>
      <c r="Q1861" s="136" t="n"/>
      <c r="R1861" s="137" t="n"/>
      <c r="S1861" s="137" t="n"/>
      <c r="T1861" s="138" t="n"/>
      <c r="U1861" s="138" t="n"/>
    </row>
    <row r="1862" ht="10.8" customFormat="1" customHeight="1" s="63">
      <c r="A1862" s="64" t="n"/>
      <c r="B1862" s="64" t="n"/>
      <c r="C1862" s="64" t="n"/>
      <c r="D1862" s="65" t="n"/>
      <c r="E1862" s="64" t="n"/>
      <c r="F1862" s="64" t="n"/>
      <c r="G1862" s="64" t="n"/>
      <c r="H1862" s="64" t="n"/>
      <c r="I1862" s="63" t="n"/>
      <c r="J1862" s="63" t="n"/>
      <c r="K1862" s="63" t="n"/>
      <c r="L1862" s="63" t="n"/>
      <c r="M1862" s="63" t="n"/>
      <c r="N1862" s="63" t="n"/>
      <c r="O1862" s="63" t="n"/>
      <c r="P1862" s="63" t="n"/>
      <c r="Q1862" s="136" t="n"/>
      <c r="R1862" s="137" t="n"/>
      <c r="S1862" s="137" t="n"/>
      <c r="T1862" s="138" t="n"/>
      <c r="U1862" s="138" t="n"/>
    </row>
    <row r="1863" ht="10.8" customFormat="1" customHeight="1" s="63">
      <c r="A1863" s="64" t="n"/>
      <c r="B1863" s="64" t="n"/>
      <c r="C1863" s="64" t="n"/>
      <c r="D1863" s="65" t="n"/>
      <c r="E1863" s="64" t="n"/>
      <c r="F1863" s="64" t="n"/>
      <c r="G1863" s="64" t="n"/>
      <c r="H1863" s="64" t="n"/>
      <c r="I1863" s="63" t="n"/>
      <c r="J1863" s="63" t="n"/>
      <c r="K1863" s="63" t="n"/>
      <c r="L1863" s="63" t="n"/>
      <c r="M1863" s="63" t="n"/>
      <c r="N1863" s="63" t="n"/>
      <c r="O1863" s="63" t="n"/>
      <c r="P1863" s="63" t="n"/>
      <c r="Q1863" s="136" t="n"/>
      <c r="R1863" s="137" t="n"/>
      <c r="S1863" s="137" t="n"/>
      <c r="T1863" s="138" t="n"/>
      <c r="U1863" s="138" t="n"/>
    </row>
    <row r="1864" ht="10.8" customFormat="1" customHeight="1" s="63">
      <c r="A1864" s="64" t="n"/>
      <c r="B1864" s="64" t="n"/>
      <c r="C1864" s="64" t="n"/>
      <c r="D1864" s="65" t="n"/>
      <c r="E1864" s="64" t="n"/>
      <c r="F1864" s="64" t="n"/>
      <c r="G1864" s="64" t="n"/>
      <c r="H1864" s="64" t="n"/>
      <c r="I1864" s="63" t="n"/>
      <c r="J1864" s="63" t="n"/>
      <c r="K1864" s="63" t="n"/>
      <c r="L1864" s="63" t="n"/>
      <c r="M1864" s="63" t="n"/>
      <c r="N1864" s="63" t="n"/>
      <c r="O1864" s="63" t="n"/>
      <c r="P1864" s="63" t="n"/>
      <c r="Q1864" s="136" t="n"/>
      <c r="R1864" s="137" t="n"/>
      <c r="S1864" s="137" t="n"/>
      <c r="T1864" s="138" t="n"/>
      <c r="U1864" s="138" t="n"/>
    </row>
    <row r="1865" ht="10.8" customFormat="1" customHeight="1" s="63">
      <c r="A1865" s="64" t="n"/>
      <c r="B1865" s="64" t="n"/>
      <c r="C1865" s="64" t="n"/>
      <c r="D1865" s="65" t="n"/>
      <c r="E1865" s="64" t="n"/>
      <c r="F1865" s="64" t="n"/>
      <c r="G1865" s="64" t="n"/>
      <c r="H1865" s="64" t="n"/>
      <c r="I1865" s="63" t="n"/>
      <c r="J1865" s="63" t="n"/>
      <c r="K1865" s="63" t="n"/>
      <c r="L1865" s="63" t="n"/>
      <c r="M1865" s="63" t="n"/>
      <c r="N1865" s="63" t="n"/>
      <c r="O1865" s="63" t="n"/>
      <c r="P1865" s="63" t="n"/>
      <c r="Q1865" s="136" t="n"/>
      <c r="R1865" s="137" t="n"/>
      <c r="S1865" s="137" t="n"/>
      <c r="T1865" s="138" t="n"/>
      <c r="U1865" s="138" t="n"/>
    </row>
    <row r="1866" ht="10.8" customFormat="1" customHeight="1" s="63">
      <c r="A1866" s="64" t="n"/>
      <c r="B1866" s="64" t="n"/>
      <c r="C1866" s="64" t="n"/>
      <c r="D1866" s="65" t="n"/>
      <c r="E1866" s="64" t="n"/>
      <c r="F1866" s="64" t="n"/>
      <c r="G1866" s="64" t="n"/>
      <c r="H1866" s="64" t="n"/>
      <c r="I1866" s="63" t="n"/>
      <c r="J1866" s="63" t="n"/>
      <c r="K1866" s="63" t="n"/>
      <c r="L1866" s="63" t="n"/>
      <c r="M1866" s="63" t="n"/>
      <c r="N1866" s="63" t="n"/>
      <c r="O1866" s="63" t="n"/>
      <c r="P1866" s="63" t="n"/>
      <c r="Q1866" s="136" t="n"/>
      <c r="R1866" s="137" t="n"/>
      <c r="S1866" s="137" t="n"/>
      <c r="T1866" s="138" t="n"/>
      <c r="U1866" s="138" t="n"/>
    </row>
    <row r="1867" ht="10.8" customFormat="1" customHeight="1" s="63">
      <c r="A1867" s="64" t="n"/>
      <c r="B1867" s="64" t="n"/>
      <c r="C1867" s="64" t="n"/>
      <c r="D1867" s="65" t="n"/>
      <c r="E1867" s="64" t="n"/>
      <c r="F1867" s="64" t="n"/>
      <c r="G1867" s="64" t="n"/>
      <c r="H1867" s="64" t="n"/>
      <c r="I1867" s="63" t="n"/>
      <c r="J1867" s="63" t="n"/>
      <c r="K1867" s="63" t="n"/>
      <c r="L1867" s="63" t="n"/>
      <c r="M1867" s="63" t="n"/>
      <c r="N1867" s="63" t="n"/>
      <c r="O1867" s="63" t="n"/>
      <c r="P1867" s="63" t="n"/>
      <c r="Q1867" s="136" t="n"/>
      <c r="R1867" s="137" t="n"/>
      <c r="S1867" s="137" t="n"/>
      <c r="T1867" s="138" t="n"/>
      <c r="U1867" s="138" t="n"/>
    </row>
    <row r="1868" ht="10.8" customFormat="1" customHeight="1" s="63">
      <c r="A1868" s="64" t="n"/>
      <c r="B1868" s="64" t="n"/>
      <c r="C1868" s="64" t="n"/>
      <c r="D1868" s="65" t="n"/>
      <c r="E1868" s="64" t="n"/>
      <c r="F1868" s="64" t="n"/>
      <c r="G1868" s="64" t="n"/>
      <c r="H1868" s="64" t="n"/>
      <c r="I1868" s="63" t="n"/>
      <c r="J1868" s="63" t="n"/>
      <c r="K1868" s="63" t="n"/>
      <c r="L1868" s="63" t="n"/>
      <c r="M1868" s="63" t="n"/>
      <c r="N1868" s="63" t="n"/>
      <c r="O1868" s="63" t="n"/>
      <c r="P1868" s="63" t="n"/>
      <c r="Q1868" s="136" t="n"/>
      <c r="R1868" s="137" t="n"/>
      <c r="S1868" s="137" t="n"/>
      <c r="T1868" s="138" t="n"/>
      <c r="U1868" s="138" t="n"/>
    </row>
    <row r="1869" ht="10.8" customFormat="1" customHeight="1" s="63">
      <c r="A1869" s="64" t="n"/>
      <c r="B1869" s="64" t="n"/>
      <c r="C1869" s="64" t="n"/>
      <c r="D1869" s="65" t="n"/>
      <c r="E1869" s="64" t="n"/>
      <c r="F1869" s="64" t="n"/>
      <c r="G1869" s="64" t="n"/>
      <c r="H1869" s="64" t="n"/>
      <c r="I1869" s="63" t="n"/>
      <c r="J1869" s="63" t="n"/>
      <c r="K1869" s="63" t="n"/>
      <c r="L1869" s="63" t="n"/>
      <c r="M1869" s="63" t="n"/>
      <c r="N1869" s="63" t="n"/>
      <c r="O1869" s="63" t="n"/>
      <c r="P1869" s="63" t="n"/>
      <c r="Q1869" s="136" t="n"/>
      <c r="R1869" s="137" t="n"/>
      <c r="S1869" s="137" t="n"/>
      <c r="T1869" s="138" t="n"/>
      <c r="U1869" s="138" t="n"/>
    </row>
    <row r="1870" ht="10.8" customFormat="1" customHeight="1" s="63">
      <c r="A1870" s="64" t="n"/>
      <c r="B1870" s="64" t="n"/>
      <c r="C1870" s="64" t="n"/>
      <c r="D1870" s="65" t="n"/>
      <c r="E1870" s="64" t="n"/>
      <c r="F1870" s="64" t="n"/>
      <c r="G1870" s="64" t="n"/>
      <c r="H1870" s="64" t="n"/>
      <c r="I1870" s="63" t="n"/>
      <c r="J1870" s="63" t="n"/>
      <c r="K1870" s="63" t="n"/>
      <c r="L1870" s="63" t="n"/>
      <c r="M1870" s="63" t="n"/>
      <c r="N1870" s="63" t="n"/>
      <c r="O1870" s="63" t="n"/>
      <c r="P1870" s="63" t="n"/>
      <c r="Q1870" s="136" t="n"/>
      <c r="R1870" s="137" t="n"/>
      <c r="S1870" s="137" t="n"/>
      <c r="T1870" s="138" t="n"/>
      <c r="U1870" s="138" t="n"/>
    </row>
    <row r="1871" ht="10.8" customFormat="1" customHeight="1" s="63">
      <c r="A1871" s="64" t="n"/>
      <c r="B1871" s="64" t="n"/>
      <c r="C1871" s="64" t="n"/>
      <c r="D1871" s="65" t="n"/>
      <c r="E1871" s="64" t="n"/>
      <c r="F1871" s="64" t="n"/>
      <c r="G1871" s="64" t="n"/>
      <c r="H1871" s="64" t="n"/>
      <c r="I1871" s="63" t="n"/>
      <c r="J1871" s="63" t="n"/>
      <c r="K1871" s="63" t="n"/>
      <c r="L1871" s="63" t="n"/>
      <c r="M1871" s="63" t="n"/>
      <c r="N1871" s="63" t="n"/>
      <c r="O1871" s="63" t="n"/>
      <c r="P1871" s="63" t="n"/>
      <c r="Q1871" s="136" t="n"/>
      <c r="R1871" s="137" t="n"/>
      <c r="S1871" s="137" t="n"/>
      <c r="T1871" s="138" t="n"/>
      <c r="U1871" s="138" t="n"/>
    </row>
    <row r="1872" ht="10.8" customFormat="1" customHeight="1" s="63">
      <c r="A1872" s="64" t="n"/>
      <c r="B1872" s="64" t="n"/>
      <c r="C1872" s="64" t="n"/>
      <c r="D1872" s="65" t="n"/>
      <c r="E1872" s="64" t="n"/>
      <c r="F1872" s="64" t="n"/>
      <c r="G1872" s="64" t="n"/>
      <c r="H1872" s="64" t="n"/>
      <c r="I1872" s="63" t="n"/>
      <c r="J1872" s="63" t="n"/>
      <c r="K1872" s="63" t="n"/>
      <c r="L1872" s="63" t="n"/>
      <c r="M1872" s="63" t="n"/>
      <c r="N1872" s="63" t="n"/>
      <c r="O1872" s="63" t="n"/>
      <c r="P1872" s="63" t="n"/>
      <c r="Q1872" s="136" t="n"/>
      <c r="R1872" s="137" t="n"/>
      <c r="S1872" s="137" t="n"/>
      <c r="T1872" s="138" t="n"/>
      <c r="U1872" s="138" t="n"/>
    </row>
    <row r="1873" ht="10.8" customFormat="1" customHeight="1" s="63">
      <c r="A1873" s="64" t="n"/>
      <c r="B1873" s="64" t="n"/>
      <c r="C1873" s="64" t="n"/>
      <c r="D1873" s="65" t="n"/>
      <c r="E1873" s="64" t="n"/>
      <c r="F1873" s="64" t="n"/>
      <c r="G1873" s="64" t="n"/>
      <c r="H1873" s="64" t="n"/>
      <c r="I1873" s="63" t="n"/>
      <c r="J1873" s="63" t="n"/>
      <c r="K1873" s="63" t="n"/>
      <c r="L1873" s="63" t="n"/>
      <c r="M1873" s="63" t="n"/>
      <c r="N1873" s="63" t="n"/>
      <c r="O1873" s="63" t="n"/>
      <c r="P1873" s="63" t="n"/>
      <c r="Q1873" s="136" t="n"/>
      <c r="R1873" s="137" t="n"/>
      <c r="S1873" s="137" t="n"/>
      <c r="T1873" s="138" t="n"/>
      <c r="U1873" s="138" t="n"/>
    </row>
    <row r="1874" ht="10.8" customFormat="1" customHeight="1" s="63">
      <c r="A1874" s="64" t="n"/>
      <c r="B1874" s="64" t="n"/>
      <c r="C1874" s="64" t="n"/>
      <c r="D1874" s="65" t="n"/>
      <c r="E1874" s="64" t="n"/>
      <c r="F1874" s="64" t="n"/>
      <c r="G1874" s="64" t="n"/>
      <c r="H1874" s="64" t="n"/>
      <c r="I1874" s="63" t="n"/>
      <c r="J1874" s="63" t="n"/>
      <c r="K1874" s="63" t="n"/>
      <c r="L1874" s="63" t="n"/>
      <c r="M1874" s="63" t="n"/>
      <c r="N1874" s="63" t="n"/>
      <c r="O1874" s="63" t="n"/>
      <c r="P1874" s="63" t="n"/>
      <c r="Q1874" s="136" t="n"/>
      <c r="R1874" s="137" t="n"/>
      <c r="S1874" s="137" t="n"/>
      <c r="T1874" s="138" t="n"/>
      <c r="U1874" s="138" t="n"/>
    </row>
    <row r="1875" ht="10.8" customFormat="1" customHeight="1" s="63">
      <c r="A1875" s="64" t="n"/>
      <c r="B1875" s="64" t="n"/>
      <c r="C1875" s="64" t="n"/>
      <c r="D1875" s="65" t="n"/>
      <c r="E1875" s="64" t="n"/>
      <c r="F1875" s="64" t="n"/>
      <c r="G1875" s="64" t="n"/>
      <c r="H1875" s="64" t="n"/>
      <c r="I1875" s="63" t="n"/>
      <c r="J1875" s="63" t="n"/>
      <c r="K1875" s="63" t="n"/>
      <c r="L1875" s="63" t="n"/>
      <c r="M1875" s="63" t="n"/>
      <c r="N1875" s="63" t="n"/>
      <c r="O1875" s="63" t="n"/>
      <c r="P1875" s="63" t="n"/>
      <c r="Q1875" s="136" t="n"/>
      <c r="R1875" s="137" t="n"/>
      <c r="S1875" s="137" t="n"/>
      <c r="T1875" s="138" t="n"/>
      <c r="U1875" s="138" t="n"/>
    </row>
    <row r="1876" ht="10.8" customFormat="1" customHeight="1" s="63">
      <c r="A1876" s="64" t="n"/>
      <c r="B1876" s="64" t="n"/>
      <c r="C1876" s="64" t="n"/>
      <c r="D1876" s="65" t="n"/>
      <c r="E1876" s="64" t="n"/>
      <c r="F1876" s="64" t="n"/>
      <c r="G1876" s="64" t="n"/>
      <c r="H1876" s="64" t="n"/>
      <c r="I1876" s="63" t="n"/>
      <c r="J1876" s="63" t="n"/>
      <c r="K1876" s="63" t="n"/>
      <c r="L1876" s="63" t="n"/>
      <c r="M1876" s="63" t="n"/>
      <c r="N1876" s="63" t="n"/>
      <c r="O1876" s="63" t="n"/>
      <c r="P1876" s="63" t="n"/>
      <c r="Q1876" s="136" t="n"/>
      <c r="R1876" s="137" t="n"/>
      <c r="S1876" s="137" t="n"/>
      <c r="T1876" s="138" t="n"/>
      <c r="U1876" s="138" t="n"/>
    </row>
    <row r="1877" ht="10.8" customFormat="1" customHeight="1" s="63">
      <c r="A1877" s="64" t="n"/>
      <c r="B1877" s="64" t="n"/>
      <c r="C1877" s="64" t="n"/>
      <c r="D1877" s="65" t="n"/>
      <c r="E1877" s="64" t="n"/>
      <c r="F1877" s="64" t="n"/>
      <c r="G1877" s="64" t="n"/>
      <c r="H1877" s="64" t="n"/>
      <c r="I1877" s="63" t="n"/>
      <c r="J1877" s="63" t="n"/>
      <c r="K1877" s="63" t="n"/>
      <c r="L1877" s="63" t="n"/>
      <c r="M1877" s="63" t="n"/>
      <c r="N1877" s="63" t="n"/>
      <c r="O1877" s="63" t="n"/>
      <c r="P1877" s="63" t="n"/>
      <c r="Q1877" s="136" t="n"/>
      <c r="R1877" s="137" t="n"/>
      <c r="S1877" s="137" t="n"/>
      <c r="T1877" s="138" t="n"/>
      <c r="U1877" s="138" t="n"/>
    </row>
    <row r="1878" ht="10.8" customFormat="1" customHeight="1" s="63">
      <c r="A1878" s="64" t="n"/>
      <c r="B1878" s="64" t="n"/>
      <c r="C1878" s="64" t="n"/>
      <c r="D1878" s="65" t="n"/>
      <c r="E1878" s="64" t="n"/>
      <c r="F1878" s="64" t="n"/>
      <c r="G1878" s="64" t="n"/>
      <c r="H1878" s="64" t="n"/>
      <c r="I1878" s="63" t="n"/>
      <c r="J1878" s="63" t="n"/>
      <c r="K1878" s="63" t="n"/>
      <c r="L1878" s="63" t="n"/>
      <c r="M1878" s="63" t="n"/>
      <c r="N1878" s="63" t="n"/>
      <c r="O1878" s="63" t="n"/>
      <c r="P1878" s="63" t="n"/>
      <c r="Q1878" s="136" t="n"/>
      <c r="R1878" s="137" t="n"/>
      <c r="S1878" s="137" t="n"/>
      <c r="T1878" s="138" t="n"/>
      <c r="U1878" s="138" t="n"/>
    </row>
    <row r="1879" ht="10.8" customFormat="1" customHeight="1" s="63">
      <c r="A1879" s="64" t="n"/>
      <c r="B1879" s="64" t="n"/>
      <c r="C1879" s="64" t="n"/>
      <c r="D1879" s="65" t="n"/>
      <c r="E1879" s="64" t="n"/>
      <c r="F1879" s="64" t="n"/>
      <c r="G1879" s="64" t="n"/>
      <c r="H1879" s="64" t="n"/>
      <c r="I1879" s="63" t="n"/>
      <c r="J1879" s="63" t="n"/>
      <c r="K1879" s="63" t="n"/>
      <c r="L1879" s="63" t="n"/>
      <c r="M1879" s="63" t="n"/>
      <c r="N1879" s="63" t="n"/>
      <c r="O1879" s="63" t="n"/>
      <c r="P1879" s="63" t="n"/>
      <c r="Q1879" s="136" t="n"/>
      <c r="R1879" s="137" t="n"/>
      <c r="S1879" s="137" t="n"/>
      <c r="T1879" s="138" t="n"/>
      <c r="U1879" s="138" t="n"/>
    </row>
    <row r="1880" ht="10.8" customFormat="1" customHeight="1" s="63">
      <c r="A1880" s="64" t="n"/>
      <c r="B1880" s="64" t="n"/>
      <c r="C1880" s="64" t="n"/>
      <c r="D1880" s="65" t="n"/>
      <c r="E1880" s="64" t="n"/>
      <c r="F1880" s="64" t="n"/>
      <c r="G1880" s="64" t="n"/>
      <c r="H1880" s="64" t="n"/>
      <c r="I1880" s="63" t="n"/>
      <c r="J1880" s="63" t="n"/>
      <c r="K1880" s="63" t="n"/>
      <c r="L1880" s="63" t="n"/>
      <c r="M1880" s="63" t="n"/>
      <c r="N1880" s="63" t="n"/>
      <c r="O1880" s="63" t="n"/>
      <c r="P1880" s="63" t="n"/>
      <c r="Q1880" s="136" t="n"/>
      <c r="R1880" s="137" t="n"/>
      <c r="S1880" s="137" t="n"/>
      <c r="T1880" s="138" t="n"/>
      <c r="U1880" s="138" t="n"/>
    </row>
    <row r="1881" ht="10.8" customFormat="1" customHeight="1" s="63">
      <c r="A1881" s="64" t="n"/>
      <c r="B1881" s="64" t="n"/>
      <c r="C1881" s="64" t="n"/>
      <c r="D1881" s="65" t="n"/>
      <c r="E1881" s="64" t="n"/>
      <c r="F1881" s="64" t="n"/>
      <c r="G1881" s="64" t="n"/>
      <c r="H1881" s="64" t="n"/>
      <c r="I1881" s="63" t="n"/>
      <c r="J1881" s="63" t="n"/>
      <c r="K1881" s="63" t="n"/>
      <c r="L1881" s="63" t="n"/>
      <c r="M1881" s="63" t="n"/>
      <c r="N1881" s="63" t="n"/>
      <c r="O1881" s="63" t="n"/>
      <c r="P1881" s="63" t="n"/>
      <c r="Q1881" s="136" t="n"/>
      <c r="R1881" s="137" t="n"/>
      <c r="S1881" s="137" t="n"/>
      <c r="T1881" s="138" t="n"/>
      <c r="U1881" s="138" t="n"/>
    </row>
    <row r="1882" ht="10.8" customFormat="1" customHeight="1" s="63">
      <c r="A1882" s="64" t="n"/>
      <c r="B1882" s="64" t="n"/>
      <c r="C1882" s="64" t="n"/>
      <c r="D1882" s="65" t="n"/>
      <c r="E1882" s="64" t="n"/>
      <c r="F1882" s="64" t="n"/>
      <c r="G1882" s="64" t="n"/>
      <c r="H1882" s="64" t="n"/>
      <c r="I1882" s="63" t="n"/>
      <c r="J1882" s="63" t="n"/>
      <c r="K1882" s="63" t="n"/>
      <c r="L1882" s="63" t="n"/>
      <c r="M1882" s="63" t="n"/>
      <c r="N1882" s="63" t="n"/>
      <c r="O1882" s="63" t="n"/>
      <c r="P1882" s="63" t="n"/>
      <c r="Q1882" s="136" t="n"/>
      <c r="R1882" s="137" t="n"/>
      <c r="S1882" s="137" t="n"/>
      <c r="T1882" s="138" t="n"/>
      <c r="U1882" s="138" t="n"/>
    </row>
    <row r="1883" ht="10.8" customFormat="1" customHeight="1" s="63">
      <c r="A1883" s="64" t="n"/>
      <c r="B1883" s="64" t="n"/>
      <c r="C1883" s="64" t="n"/>
      <c r="D1883" s="65" t="n"/>
      <c r="E1883" s="64" t="n"/>
      <c r="F1883" s="64" t="n"/>
      <c r="G1883" s="64" t="n"/>
      <c r="H1883" s="64" t="n"/>
      <c r="I1883" s="63" t="n"/>
      <c r="J1883" s="63" t="n"/>
      <c r="K1883" s="63" t="n"/>
      <c r="L1883" s="63" t="n"/>
      <c r="M1883" s="63" t="n"/>
      <c r="N1883" s="63" t="n"/>
      <c r="O1883" s="63" t="n"/>
      <c r="P1883" s="63" t="n"/>
      <c r="Q1883" s="136" t="n"/>
      <c r="R1883" s="137" t="n"/>
      <c r="S1883" s="137" t="n"/>
      <c r="T1883" s="138" t="n"/>
      <c r="U1883" s="138" t="n"/>
    </row>
    <row r="1884" ht="10.8" customFormat="1" customHeight="1" s="63">
      <c r="A1884" s="64" t="n"/>
      <c r="B1884" s="64" t="n"/>
      <c r="C1884" s="64" t="n"/>
      <c r="D1884" s="65" t="n"/>
      <c r="E1884" s="64" t="n"/>
      <c r="F1884" s="64" t="n"/>
      <c r="G1884" s="64" t="n"/>
      <c r="H1884" s="64" t="n"/>
      <c r="I1884" s="63" t="n"/>
      <c r="J1884" s="63" t="n"/>
      <c r="K1884" s="63" t="n"/>
      <c r="L1884" s="63" t="n"/>
      <c r="M1884" s="63" t="n"/>
      <c r="N1884" s="63" t="n"/>
      <c r="O1884" s="63" t="n"/>
      <c r="P1884" s="63" t="n"/>
      <c r="Q1884" s="136" t="n"/>
      <c r="R1884" s="137" t="n"/>
      <c r="S1884" s="137" t="n"/>
      <c r="T1884" s="138" t="n"/>
      <c r="U1884" s="138" t="n"/>
    </row>
    <row r="1885" ht="10.8" customFormat="1" customHeight="1" s="63">
      <c r="A1885" s="64" t="n"/>
      <c r="B1885" s="64" t="n"/>
      <c r="C1885" s="64" t="n"/>
      <c r="D1885" s="65" t="n"/>
      <c r="E1885" s="64" t="n"/>
      <c r="F1885" s="64" t="n"/>
      <c r="G1885" s="64" t="n"/>
      <c r="H1885" s="64" t="n"/>
      <c r="I1885" s="63" t="n"/>
      <c r="J1885" s="63" t="n"/>
      <c r="K1885" s="63" t="n"/>
      <c r="L1885" s="63" t="n"/>
      <c r="M1885" s="63" t="n"/>
      <c r="N1885" s="63" t="n"/>
      <c r="O1885" s="63" t="n"/>
      <c r="P1885" s="63" t="n"/>
      <c r="Q1885" s="136" t="n"/>
      <c r="R1885" s="137" t="n"/>
      <c r="S1885" s="137" t="n"/>
      <c r="T1885" s="138" t="n"/>
      <c r="U1885" s="138" t="n"/>
    </row>
    <row r="1886" ht="10.8" customFormat="1" customHeight="1" s="63">
      <c r="A1886" s="64" t="n"/>
      <c r="B1886" s="64" t="n"/>
      <c r="C1886" s="64" t="n"/>
      <c r="D1886" s="65" t="n"/>
      <c r="E1886" s="64" t="n"/>
      <c r="F1886" s="64" t="n"/>
      <c r="G1886" s="64" t="n"/>
      <c r="H1886" s="64" t="n"/>
      <c r="I1886" s="63" t="n"/>
      <c r="J1886" s="63" t="n"/>
      <c r="K1886" s="63" t="n"/>
      <c r="L1886" s="63" t="n"/>
      <c r="M1886" s="63" t="n"/>
      <c r="N1886" s="63" t="n"/>
      <c r="O1886" s="63" t="n"/>
      <c r="P1886" s="63" t="n"/>
      <c r="Q1886" s="136" t="n"/>
      <c r="R1886" s="137" t="n"/>
      <c r="S1886" s="137" t="n"/>
      <c r="T1886" s="138" t="n"/>
      <c r="U1886" s="138" t="n"/>
    </row>
    <row r="1887" ht="10.8" customFormat="1" customHeight="1" s="63">
      <c r="A1887" s="64" t="n"/>
      <c r="B1887" s="64" t="n"/>
      <c r="C1887" s="64" t="n"/>
      <c r="D1887" s="65" t="n"/>
      <c r="E1887" s="64" t="n"/>
      <c r="F1887" s="64" t="n"/>
      <c r="G1887" s="64" t="n"/>
      <c r="H1887" s="64" t="n"/>
      <c r="I1887" s="63" t="n"/>
      <c r="J1887" s="63" t="n"/>
      <c r="K1887" s="63" t="n"/>
      <c r="L1887" s="63" t="n"/>
      <c r="M1887" s="63" t="n"/>
      <c r="N1887" s="63" t="n"/>
      <c r="O1887" s="63" t="n"/>
      <c r="P1887" s="63" t="n"/>
      <c r="Q1887" s="136" t="n"/>
      <c r="R1887" s="137" t="n"/>
      <c r="S1887" s="137" t="n"/>
      <c r="T1887" s="138" t="n"/>
      <c r="U1887" s="138" t="n"/>
    </row>
    <row r="1888" ht="10.8" customFormat="1" customHeight="1" s="63">
      <c r="A1888" s="64" t="n"/>
      <c r="B1888" s="64" t="n"/>
      <c r="C1888" s="64" t="n"/>
      <c r="D1888" s="65" t="n"/>
      <c r="E1888" s="64" t="n"/>
      <c r="F1888" s="64" t="n"/>
      <c r="G1888" s="64" t="n"/>
      <c r="H1888" s="64" t="n"/>
      <c r="I1888" s="63" t="n"/>
      <c r="J1888" s="63" t="n"/>
      <c r="K1888" s="63" t="n"/>
      <c r="L1888" s="63" t="n"/>
      <c r="M1888" s="63" t="n"/>
      <c r="N1888" s="63" t="n"/>
      <c r="O1888" s="63" t="n"/>
      <c r="P1888" s="63" t="n"/>
      <c r="Q1888" s="136" t="n"/>
      <c r="R1888" s="137" t="n"/>
      <c r="S1888" s="137" t="n"/>
      <c r="T1888" s="138" t="n"/>
      <c r="U1888" s="138" t="n"/>
    </row>
    <row r="1889" ht="10.8" customFormat="1" customHeight="1" s="63">
      <c r="A1889" s="64" t="n"/>
      <c r="B1889" s="64" t="n"/>
      <c r="C1889" s="64" t="n"/>
      <c r="D1889" s="65" t="n"/>
      <c r="E1889" s="64" t="n"/>
      <c r="F1889" s="64" t="n"/>
      <c r="G1889" s="64" t="n"/>
      <c r="H1889" s="64" t="n"/>
      <c r="I1889" s="63" t="n"/>
      <c r="J1889" s="63" t="n"/>
      <c r="K1889" s="63" t="n"/>
      <c r="L1889" s="63" t="n"/>
      <c r="M1889" s="63" t="n"/>
      <c r="N1889" s="63" t="n"/>
      <c r="O1889" s="63" t="n"/>
      <c r="P1889" s="63" t="n"/>
      <c r="Q1889" s="136" t="n"/>
      <c r="R1889" s="137" t="n"/>
      <c r="S1889" s="137" t="n"/>
      <c r="T1889" s="138" t="n"/>
      <c r="U1889" s="138" t="n"/>
    </row>
    <row r="1890" ht="10.8" customFormat="1" customHeight="1" s="63">
      <c r="A1890" s="64" t="n"/>
      <c r="B1890" s="64" t="n"/>
      <c r="C1890" s="64" t="n"/>
      <c r="D1890" s="65" t="n"/>
      <c r="E1890" s="64" t="n"/>
      <c r="F1890" s="64" t="n"/>
      <c r="G1890" s="64" t="n"/>
      <c r="H1890" s="64" t="n"/>
      <c r="I1890" s="63" t="n"/>
      <c r="J1890" s="63" t="n"/>
      <c r="K1890" s="63" t="n"/>
      <c r="L1890" s="63" t="n"/>
      <c r="M1890" s="63" t="n"/>
      <c r="N1890" s="63" t="n"/>
      <c r="O1890" s="63" t="n"/>
      <c r="P1890" s="63" t="n"/>
      <c r="Q1890" s="136" t="n"/>
      <c r="R1890" s="137" t="n"/>
      <c r="S1890" s="137" t="n"/>
      <c r="T1890" s="138" t="n"/>
      <c r="U1890" s="138" t="n"/>
    </row>
    <row r="1891" ht="10.8" customFormat="1" customHeight="1" s="63">
      <c r="A1891" s="64" t="n"/>
      <c r="B1891" s="64" t="n"/>
      <c r="C1891" s="64" t="n"/>
      <c r="D1891" s="65" t="n"/>
      <c r="E1891" s="64" t="n"/>
      <c r="F1891" s="64" t="n"/>
      <c r="G1891" s="64" t="n"/>
      <c r="H1891" s="64" t="n"/>
      <c r="I1891" s="63" t="n"/>
      <c r="J1891" s="63" t="n"/>
      <c r="K1891" s="63" t="n"/>
      <c r="L1891" s="63" t="n"/>
      <c r="M1891" s="63" t="n"/>
      <c r="N1891" s="63" t="n"/>
      <c r="O1891" s="63" t="n"/>
      <c r="P1891" s="63" t="n"/>
      <c r="Q1891" s="136" t="n"/>
      <c r="R1891" s="137" t="n"/>
      <c r="S1891" s="137" t="n"/>
      <c r="T1891" s="138" t="n"/>
      <c r="U1891" s="138" t="n"/>
    </row>
    <row r="1892" ht="10.8" customFormat="1" customHeight="1" s="63">
      <c r="A1892" s="64" t="n"/>
      <c r="B1892" s="64" t="n"/>
      <c r="C1892" s="64" t="n"/>
      <c r="D1892" s="65" t="n"/>
      <c r="E1892" s="64" t="n"/>
      <c r="F1892" s="64" t="n"/>
      <c r="G1892" s="64" t="n"/>
      <c r="H1892" s="64" t="n"/>
      <c r="I1892" s="63" t="n"/>
      <c r="J1892" s="63" t="n"/>
      <c r="K1892" s="63" t="n"/>
      <c r="L1892" s="63" t="n"/>
      <c r="M1892" s="63" t="n"/>
      <c r="N1892" s="63" t="n"/>
      <c r="O1892" s="63" t="n"/>
      <c r="P1892" s="63" t="n"/>
      <c r="Q1892" s="136" t="n"/>
      <c r="R1892" s="137" t="n"/>
      <c r="S1892" s="137" t="n"/>
      <c r="T1892" s="138" t="n"/>
      <c r="U1892" s="138" t="n"/>
    </row>
    <row r="1893" ht="10.8" customFormat="1" customHeight="1" s="63">
      <c r="A1893" s="64" t="n"/>
      <c r="B1893" s="64" t="n"/>
      <c r="C1893" s="64" t="n"/>
      <c r="D1893" s="65" t="n"/>
      <c r="E1893" s="64" t="n"/>
      <c r="F1893" s="64" t="n"/>
      <c r="G1893" s="64" t="n"/>
      <c r="H1893" s="64" t="n"/>
      <c r="I1893" s="63" t="n"/>
      <c r="J1893" s="63" t="n"/>
      <c r="K1893" s="63" t="n"/>
      <c r="L1893" s="63" t="n"/>
      <c r="M1893" s="63" t="n"/>
      <c r="N1893" s="63" t="n"/>
      <c r="O1893" s="63" t="n"/>
      <c r="P1893" s="63" t="n"/>
      <c r="Q1893" s="136" t="n"/>
      <c r="R1893" s="137" t="n"/>
      <c r="S1893" s="137" t="n"/>
      <c r="T1893" s="138" t="n"/>
      <c r="U1893" s="138" t="n"/>
    </row>
    <row r="1894" ht="10.8" customFormat="1" customHeight="1" s="63">
      <c r="A1894" s="64" t="n"/>
      <c r="B1894" s="64" t="n"/>
      <c r="C1894" s="64" t="n"/>
      <c r="D1894" s="65" t="n"/>
      <c r="E1894" s="64" t="n"/>
      <c r="F1894" s="64" t="n"/>
      <c r="G1894" s="64" t="n"/>
      <c r="H1894" s="64" t="n"/>
      <c r="I1894" s="63" t="n"/>
      <c r="J1894" s="63" t="n"/>
      <c r="K1894" s="63" t="n"/>
      <c r="L1894" s="63" t="n"/>
      <c r="M1894" s="63" t="n"/>
      <c r="N1894" s="63" t="n"/>
      <c r="O1894" s="63" t="n"/>
      <c r="P1894" s="63" t="n"/>
      <c r="Q1894" s="136" t="n"/>
      <c r="R1894" s="137" t="n"/>
      <c r="S1894" s="137" t="n"/>
      <c r="T1894" s="138" t="n"/>
      <c r="U1894" s="138" t="n"/>
    </row>
    <row r="1895" ht="10.8" customFormat="1" customHeight="1" s="63">
      <c r="A1895" s="64" t="n"/>
      <c r="B1895" s="64" t="n"/>
      <c r="C1895" s="64" t="n"/>
      <c r="D1895" s="65" t="n"/>
      <c r="E1895" s="64" t="n"/>
      <c r="F1895" s="64" t="n"/>
      <c r="G1895" s="64" t="n"/>
      <c r="H1895" s="64" t="n"/>
      <c r="I1895" s="63" t="n"/>
      <c r="J1895" s="63" t="n"/>
      <c r="K1895" s="63" t="n"/>
      <c r="L1895" s="63" t="n"/>
      <c r="M1895" s="63" t="n"/>
      <c r="N1895" s="63" t="n"/>
      <c r="O1895" s="63" t="n"/>
      <c r="P1895" s="63" t="n"/>
      <c r="Q1895" s="136" t="n"/>
      <c r="R1895" s="137" t="n"/>
      <c r="S1895" s="137" t="n"/>
      <c r="T1895" s="138" t="n"/>
      <c r="U1895" s="138" t="n"/>
    </row>
    <row r="1896" ht="10.8" customFormat="1" customHeight="1" s="63">
      <c r="A1896" s="64" t="n"/>
      <c r="B1896" s="64" t="n"/>
      <c r="C1896" s="64" t="n"/>
      <c r="D1896" s="65" t="n"/>
      <c r="E1896" s="64" t="n"/>
      <c r="F1896" s="64" t="n"/>
      <c r="G1896" s="64" t="n"/>
      <c r="H1896" s="64" t="n"/>
      <c r="I1896" s="63" t="n"/>
      <c r="J1896" s="63" t="n"/>
      <c r="K1896" s="63" t="n"/>
      <c r="L1896" s="63" t="n"/>
      <c r="M1896" s="63" t="n"/>
      <c r="N1896" s="63" t="n"/>
      <c r="O1896" s="63" t="n"/>
      <c r="P1896" s="63" t="n"/>
      <c r="Q1896" s="136" t="n"/>
      <c r="R1896" s="137" t="n"/>
      <c r="S1896" s="137" t="n"/>
      <c r="T1896" s="138" t="n"/>
      <c r="U1896" s="138" t="n"/>
    </row>
    <row r="1897" ht="10.8" customFormat="1" customHeight="1" s="63">
      <c r="A1897" s="64" t="n"/>
      <c r="B1897" s="64" t="n"/>
      <c r="C1897" s="64" t="n"/>
      <c r="D1897" s="65" t="n"/>
      <c r="E1897" s="64" t="n"/>
      <c r="F1897" s="64" t="n"/>
      <c r="G1897" s="64" t="n"/>
      <c r="H1897" s="64" t="n"/>
      <c r="I1897" s="63" t="n"/>
      <c r="J1897" s="63" t="n"/>
      <c r="K1897" s="63" t="n"/>
      <c r="L1897" s="63" t="n"/>
      <c r="M1897" s="63" t="n"/>
      <c r="N1897" s="63" t="n"/>
      <c r="O1897" s="63" t="n"/>
      <c r="P1897" s="63" t="n"/>
      <c r="Q1897" s="136" t="n"/>
      <c r="R1897" s="137" t="n"/>
      <c r="S1897" s="137" t="n"/>
      <c r="T1897" s="138" t="n"/>
      <c r="U1897" s="138" t="n"/>
    </row>
    <row r="1898" ht="10.8" customFormat="1" customHeight="1" s="63">
      <c r="A1898" s="64" t="n"/>
      <c r="B1898" s="64" t="n"/>
      <c r="C1898" s="64" t="n"/>
      <c r="D1898" s="65" t="n"/>
      <c r="E1898" s="64" t="n"/>
      <c r="F1898" s="64" t="n"/>
      <c r="G1898" s="64" t="n"/>
      <c r="H1898" s="64" t="n"/>
      <c r="I1898" s="63" t="n"/>
      <c r="J1898" s="63" t="n"/>
      <c r="K1898" s="63" t="n"/>
      <c r="L1898" s="63" t="n"/>
      <c r="M1898" s="63" t="n"/>
      <c r="N1898" s="63" t="n"/>
      <c r="O1898" s="63" t="n"/>
      <c r="P1898" s="63" t="n"/>
      <c r="Q1898" s="136" t="n"/>
      <c r="R1898" s="137" t="n"/>
      <c r="S1898" s="137" t="n"/>
      <c r="T1898" s="138" t="n"/>
      <c r="U1898" s="138" t="n"/>
    </row>
    <row r="1899" ht="10.8" customFormat="1" customHeight="1" s="63">
      <c r="A1899" s="64" t="n"/>
      <c r="B1899" s="64" t="n"/>
      <c r="C1899" s="64" t="n"/>
      <c r="D1899" s="65" t="n"/>
      <c r="E1899" s="64" t="n"/>
      <c r="F1899" s="64" t="n"/>
      <c r="G1899" s="64" t="n"/>
      <c r="H1899" s="64" t="n"/>
      <c r="I1899" s="63" t="n"/>
      <c r="J1899" s="63" t="n"/>
      <c r="K1899" s="63" t="n"/>
      <c r="L1899" s="63" t="n"/>
      <c r="M1899" s="63" t="n"/>
      <c r="N1899" s="63" t="n"/>
      <c r="O1899" s="63" t="n"/>
      <c r="P1899" s="63" t="n"/>
      <c r="Q1899" s="136" t="n"/>
      <c r="R1899" s="137" t="n"/>
      <c r="S1899" s="137" t="n"/>
      <c r="T1899" s="138" t="n"/>
      <c r="U1899" s="138" t="n"/>
    </row>
    <row r="1900" ht="10.8" customFormat="1" customHeight="1" s="63">
      <c r="A1900" s="64" t="n"/>
      <c r="B1900" s="64" t="n"/>
      <c r="C1900" s="64" t="n"/>
      <c r="D1900" s="65" t="n"/>
      <c r="E1900" s="64" t="n"/>
      <c r="F1900" s="64" t="n"/>
      <c r="G1900" s="64" t="n"/>
      <c r="H1900" s="64" t="n"/>
      <c r="I1900" s="63" t="n"/>
      <c r="J1900" s="63" t="n"/>
      <c r="K1900" s="63" t="n"/>
      <c r="L1900" s="63" t="n"/>
      <c r="M1900" s="63" t="n"/>
      <c r="N1900" s="63" t="n"/>
      <c r="O1900" s="63" t="n"/>
      <c r="P1900" s="63" t="n"/>
      <c r="Q1900" s="136" t="n"/>
      <c r="R1900" s="137" t="n"/>
      <c r="S1900" s="137" t="n"/>
      <c r="T1900" s="138" t="n"/>
      <c r="U1900" s="138" t="n"/>
    </row>
    <row r="1901" ht="10.8" customFormat="1" customHeight="1" s="63">
      <c r="A1901" s="64" t="n"/>
      <c r="B1901" s="64" t="n"/>
      <c r="C1901" s="64" t="n"/>
      <c r="D1901" s="65" t="n"/>
      <c r="E1901" s="64" t="n"/>
      <c r="F1901" s="64" t="n"/>
      <c r="G1901" s="64" t="n"/>
      <c r="H1901" s="64" t="n"/>
      <c r="I1901" s="63" t="n"/>
      <c r="J1901" s="63" t="n"/>
      <c r="K1901" s="63" t="n"/>
      <c r="L1901" s="63" t="n"/>
      <c r="M1901" s="63" t="n"/>
      <c r="N1901" s="63" t="n"/>
      <c r="O1901" s="63" t="n"/>
      <c r="P1901" s="63" t="n"/>
      <c r="Q1901" s="136" t="n"/>
      <c r="R1901" s="137" t="n"/>
      <c r="S1901" s="137" t="n"/>
      <c r="T1901" s="138" t="n"/>
      <c r="U1901" s="138" t="n"/>
    </row>
    <row r="1902" ht="10.8" customFormat="1" customHeight="1" s="63">
      <c r="A1902" s="64" t="n"/>
      <c r="B1902" s="64" t="n"/>
      <c r="C1902" s="64" t="n"/>
      <c r="D1902" s="65" t="n"/>
      <c r="E1902" s="64" t="n"/>
      <c r="F1902" s="64" t="n"/>
      <c r="G1902" s="64" t="n"/>
      <c r="H1902" s="64" t="n"/>
      <c r="I1902" s="63" t="n"/>
      <c r="J1902" s="63" t="n"/>
      <c r="K1902" s="63" t="n"/>
      <c r="L1902" s="63" t="n"/>
      <c r="M1902" s="63" t="n"/>
      <c r="N1902" s="63" t="n"/>
      <c r="O1902" s="63" t="n"/>
      <c r="P1902" s="63" t="n"/>
      <c r="Q1902" s="136" t="n"/>
      <c r="R1902" s="137" t="n"/>
      <c r="S1902" s="137" t="n"/>
      <c r="T1902" s="138" t="n"/>
      <c r="U1902" s="138" t="n"/>
    </row>
    <row r="1903" ht="10.8" customFormat="1" customHeight="1" s="63">
      <c r="A1903" s="64" t="n"/>
      <c r="B1903" s="64" t="n"/>
      <c r="C1903" s="64" t="n"/>
      <c r="D1903" s="65" t="n"/>
      <c r="E1903" s="64" t="n"/>
      <c r="F1903" s="64" t="n"/>
      <c r="G1903" s="64" t="n"/>
      <c r="H1903" s="64" t="n"/>
      <c r="I1903" s="63" t="n"/>
      <c r="J1903" s="63" t="n"/>
      <c r="K1903" s="63" t="n"/>
      <c r="L1903" s="63" t="n"/>
      <c r="M1903" s="63" t="n"/>
      <c r="N1903" s="63" t="n"/>
      <c r="O1903" s="63" t="n"/>
      <c r="P1903" s="63" t="n"/>
      <c r="Q1903" s="136" t="n"/>
      <c r="R1903" s="137" t="n"/>
      <c r="S1903" s="137" t="n"/>
      <c r="T1903" s="138" t="n"/>
      <c r="U1903" s="138" t="n"/>
    </row>
    <row r="1904" ht="10.8" customFormat="1" customHeight="1" s="63">
      <c r="A1904" s="64" t="n"/>
      <c r="B1904" s="64" t="n"/>
      <c r="C1904" s="64" t="n"/>
      <c r="D1904" s="65" t="n"/>
      <c r="E1904" s="64" t="n"/>
      <c r="F1904" s="64" t="n"/>
      <c r="G1904" s="64" t="n"/>
      <c r="H1904" s="64" t="n"/>
      <c r="I1904" s="63" t="n"/>
      <c r="J1904" s="63" t="n"/>
      <c r="K1904" s="63" t="n"/>
      <c r="L1904" s="63" t="n"/>
      <c r="M1904" s="63" t="n"/>
      <c r="N1904" s="63" t="n"/>
      <c r="O1904" s="63" t="n"/>
      <c r="P1904" s="63" t="n"/>
      <c r="Q1904" s="136" t="n"/>
      <c r="R1904" s="137" t="n"/>
      <c r="S1904" s="137" t="n"/>
      <c r="T1904" s="138" t="n"/>
      <c r="U1904" s="138" t="n"/>
    </row>
    <row r="1905" ht="10.8" customFormat="1" customHeight="1" s="63">
      <c r="A1905" s="64" t="n"/>
      <c r="B1905" s="64" t="n"/>
      <c r="C1905" s="64" t="n"/>
      <c r="D1905" s="65" t="n"/>
      <c r="E1905" s="64" t="n"/>
      <c r="F1905" s="64" t="n"/>
      <c r="G1905" s="64" t="n"/>
      <c r="H1905" s="64" t="n"/>
      <c r="I1905" s="63" t="n"/>
      <c r="J1905" s="63" t="n"/>
      <c r="K1905" s="63" t="n"/>
      <c r="L1905" s="63" t="n"/>
      <c r="M1905" s="63" t="n"/>
      <c r="N1905" s="63" t="n"/>
      <c r="O1905" s="63" t="n"/>
      <c r="P1905" s="63" t="n"/>
      <c r="Q1905" s="136" t="n"/>
      <c r="R1905" s="137" t="n"/>
      <c r="S1905" s="137" t="n"/>
      <c r="T1905" s="138" t="n"/>
      <c r="U1905" s="138" t="n"/>
    </row>
    <row r="1906" ht="10.8" customFormat="1" customHeight="1" s="63">
      <c r="A1906" s="64" t="n"/>
      <c r="B1906" s="64" t="n"/>
      <c r="C1906" s="64" t="n"/>
      <c r="D1906" s="65" t="n"/>
      <c r="E1906" s="64" t="n"/>
      <c r="F1906" s="64" t="n"/>
      <c r="G1906" s="64" t="n"/>
      <c r="H1906" s="64" t="n"/>
      <c r="I1906" s="63" t="n"/>
      <c r="J1906" s="63" t="n"/>
      <c r="K1906" s="63" t="n"/>
      <c r="L1906" s="63" t="n"/>
      <c r="M1906" s="63" t="n"/>
      <c r="N1906" s="63" t="n"/>
      <c r="O1906" s="63" t="n"/>
      <c r="P1906" s="63" t="n"/>
      <c r="Q1906" s="136" t="n"/>
      <c r="R1906" s="137" t="n"/>
      <c r="S1906" s="137" t="n"/>
      <c r="T1906" s="138" t="n"/>
      <c r="U1906" s="138" t="n"/>
    </row>
    <row r="1907" ht="10.8" customFormat="1" customHeight="1" s="63">
      <c r="A1907" s="64" t="n"/>
      <c r="B1907" s="64" t="n"/>
      <c r="C1907" s="64" t="n"/>
      <c r="D1907" s="65" t="n"/>
      <c r="E1907" s="64" t="n"/>
      <c r="F1907" s="64" t="n"/>
      <c r="G1907" s="64" t="n"/>
      <c r="H1907" s="64" t="n"/>
      <c r="I1907" s="63" t="n"/>
      <c r="J1907" s="63" t="n"/>
      <c r="K1907" s="63" t="n"/>
      <c r="L1907" s="63" t="n"/>
      <c r="M1907" s="63" t="n"/>
      <c r="N1907" s="63" t="n"/>
      <c r="O1907" s="63" t="n"/>
      <c r="P1907" s="63" t="n"/>
      <c r="Q1907" s="136" t="n"/>
      <c r="R1907" s="137" t="n"/>
      <c r="S1907" s="137" t="n"/>
      <c r="T1907" s="138" t="n"/>
      <c r="U1907" s="138" t="n"/>
    </row>
    <row r="1908" ht="10.8" customFormat="1" customHeight="1" s="63">
      <c r="A1908" s="64" t="n"/>
      <c r="B1908" s="64" t="n"/>
      <c r="C1908" s="64" t="n"/>
      <c r="D1908" s="65" t="n"/>
      <c r="E1908" s="64" t="n"/>
      <c r="F1908" s="64" t="n"/>
      <c r="G1908" s="64" t="n"/>
      <c r="H1908" s="64" t="n"/>
      <c r="I1908" s="63" t="n"/>
      <c r="J1908" s="63" t="n"/>
      <c r="K1908" s="63" t="n"/>
      <c r="L1908" s="63" t="n"/>
      <c r="M1908" s="63" t="n"/>
      <c r="N1908" s="63" t="n"/>
      <c r="O1908" s="63" t="n"/>
      <c r="P1908" s="63" t="n"/>
      <c r="Q1908" s="136" t="n"/>
      <c r="R1908" s="137" t="n"/>
      <c r="S1908" s="137" t="n"/>
      <c r="T1908" s="138" t="n"/>
      <c r="U1908" s="138" t="n"/>
    </row>
    <row r="1909" ht="10.8" customFormat="1" customHeight="1" s="63">
      <c r="A1909" s="64" t="n"/>
      <c r="B1909" s="64" t="n"/>
      <c r="C1909" s="64" t="n"/>
      <c r="D1909" s="65" t="n"/>
      <c r="E1909" s="64" t="n"/>
      <c r="F1909" s="64" t="n"/>
      <c r="G1909" s="64" t="n"/>
      <c r="H1909" s="64" t="n"/>
      <c r="I1909" s="63" t="n"/>
      <c r="J1909" s="63" t="n"/>
      <c r="K1909" s="63" t="n"/>
      <c r="L1909" s="63" t="n"/>
      <c r="M1909" s="63" t="n"/>
      <c r="N1909" s="63" t="n"/>
      <c r="O1909" s="63" t="n"/>
      <c r="P1909" s="63" t="n"/>
      <c r="Q1909" s="136" t="n"/>
      <c r="R1909" s="137" t="n"/>
      <c r="S1909" s="137" t="n"/>
      <c r="T1909" s="138" t="n"/>
      <c r="U1909" s="138" t="n"/>
    </row>
    <row r="1910" ht="10.8" customFormat="1" customHeight="1" s="63">
      <c r="A1910" s="64" t="n"/>
      <c r="B1910" s="64" t="n"/>
      <c r="C1910" s="64" t="n"/>
      <c r="D1910" s="65" t="n"/>
      <c r="E1910" s="64" t="n"/>
      <c r="F1910" s="64" t="n"/>
      <c r="G1910" s="64" t="n"/>
      <c r="H1910" s="64" t="n"/>
      <c r="I1910" s="63" t="n"/>
      <c r="J1910" s="63" t="n"/>
      <c r="K1910" s="63" t="n"/>
      <c r="L1910" s="63" t="n"/>
      <c r="M1910" s="63" t="n"/>
      <c r="N1910" s="63" t="n"/>
      <c r="O1910" s="63" t="n"/>
      <c r="P1910" s="63" t="n"/>
      <c r="Q1910" s="136" t="n"/>
      <c r="R1910" s="137" t="n"/>
      <c r="S1910" s="137" t="n"/>
      <c r="T1910" s="138" t="n"/>
      <c r="U1910" s="138" t="n"/>
    </row>
    <row r="1911" ht="10.8" customFormat="1" customHeight="1" s="63">
      <c r="A1911" s="64" t="n"/>
      <c r="B1911" s="64" t="n"/>
      <c r="C1911" s="64" t="n"/>
      <c r="D1911" s="65" t="n"/>
      <c r="E1911" s="64" t="n"/>
      <c r="F1911" s="64" t="n"/>
      <c r="G1911" s="64" t="n"/>
      <c r="H1911" s="64" t="n"/>
      <c r="I1911" s="63" t="n"/>
      <c r="J1911" s="63" t="n"/>
      <c r="K1911" s="63" t="n"/>
      <c r="L1911" s="63" t="n"/>
      <c r="M1911" s="63" t="n"/>
      <c r="N1911" s="63" t="n"/>
      <c r="O1911" s="63" t="n"/>
      <c r="P1911" s="63" t="n"/>
      <c r="Q1911" s="136" t="n"/>
      <c r="R1911" s="137" t="n"/>
      <c r="S1911" s="137" t="n"/>
      <c r="T1911" s="138" t="n"/>
      <c r="U1911" s="138" t="n"/>
    </row>
    <row r="1912" ht="10.8" customFormat="1" customHeight="1" s="63">
      <c r="A1912" s="64" t="n"/>
      <c r="B1912" s="64" t="n"/>
      <c r="C1912" s="64" t="n"/>
      <c r="D1912" s="65" t="n"/>
      <c r="E1912" s="64" t="n"/>
      <c r="F1912" s="64" t="n"/>
      <c r="G1912" s="64" t="n"/>
      <c r="H1912" s="64" t="n"/>
      <c r="I1912" s="63" t="n"/>
      <c r="J1912" s="63" t="n"/>
      <c r="K1912" s="63" t="n"/>
      <c r="L1912" s="63" t="n"/>
      <c r="M1912" s="63" t="n"/>
      <c r="N1912" s="63" t="n"/>
      <c r="O1912" s="63" t="n"/>
      <c r="P1912" s="63" t="n"/>
      <c r="Q1912" s="136" t="n"/>
      <c r="R1912" s="137" t="n"/>
      <c r="S1912" s="137" t="n"/>
      <c r="T1912" s="138" t="n"/>
      <c r="U1912" s="138" t="n"/>
    </row>
    <row r="1913" ht="10.8" customFormat="1" customHeight="1" s="63">
      <c r="A1913" s="64" t="n"/>
      <c r="B1913" s="64" t="n"/>
      <c r="C1913" s="64" t="n"/>
      <c r="D1913" s="65" t="n"/>
      <c r="E1913" s="64" t="n"/>
      <c r="F1913" s="64" t="n"/>
      <c r="G1913" s="64" t="n"/>
      <c r="H1913" s="64" t="n"/>
      <c r="I1913" s="63" t="n"/>
      <c r="J1913" s="63" t="n"/>
      <c r="K1913" s="63" t="n"/>
      <c r="L1913" s="63" t="n"/>
      <c r="M1913" s="63" t="n"/>
      <c r="N1913" s="63" t="n"/>
      <c r="O1913" s="63" t="n"/>
      <c r="P1913" s="63" t="n"/>
      <c r="Q1913" s="136" t="n"/>
      <c r="R1913" s="137" t="n"/>
      <c r="S1913" s="137" t="n"/>
      <c r="T1913" s="138" t="n"/>
      <c r="U1913" s="138" t="n"/>
    </row>
    <row r="1914" ht="10.8" customFormat="1" customHeight="1" s="63">
      <c r="A1914" s="64" t="n"/>
      <c r="B1914" s="64" t="n"/>
      <c r="C1914" s="64" t="n"/>
      <c r="D1914" s="65" t="n"/>
      <c r="E1914" s="64" t="n"/>
      <c r="F1914" s="64" t="n"/>
      <c r="G1914" s="64" t="n"/>
      <c r="H1914" s="64" t="n"/>
      <c r="I1914" s="63" t="n"/>
      <c r="J1914" s="63" t="n"/>
      <c r="K1914" s="63" t="n"/>
      <c r="L1914" s="63" t="n"/>
      <c r="M1914" s="63" t="n"/>
      <c r="N1914" s="63" t="n"/>
      <c r="O1914" s="63" t="n"/>
      <c r="P1914" s="63" t="n"/>
      <c r="Q1914" s="136" t="n"/>
      <c r="R1914" s="137" t="n"/>
      <c r="S1914" s="137" t="n"/>
      <c r="T1914" s="138" t="n"/>
      <c r="U1914" s="138" t="n"/>
    </row>
    <row r="1915" ht="10.8" customFormat="1" customHeight="1" s="63">
      <c r="A1915" s="64" t="n"/>
      <c r="B1915" s="64" t="n"/>
      <c r="C1915" s="64" t="n"/>
      <c r="D1915" s="65" t="n"/>
      <c r="E1915" s="64" t="n"/>
      <c r="F1915" s="64" t="n"/>
      <c r="G1915" s="64" t="n"/>
      <c r="H1915" s="64" t="n"/>
      <c r="I1915" s="63" t="n"/>
      <c r="J1915" s="63" t="n"/>
      <c r="K1915" s="63" t="n"/>
      <c r="L1915" s="63" t="n"/>
      <c r="M1915" s="63" t="n"/>
      <c r="N1915" s="63" t="n"/>
      <c r="O1915" s="63" t="n"/>
      <c r="P1915" s="63" t="n"/>
      <c r="Q1915" s="136" t="n"/>
      <c r="R1915" s="137" t="n"/>
      <c r="S1915" s="137" t="n"/>
      <c r="T1915" s="138" t="n"/>
      <c r="U1915" s="138" t="n"/>
    </row>
    <row r="1916" ht="10.8" customFormat="1" customHeight="1" s="63">
      <c r="A1916" s="64" t="n"/>
      <c r="B1916" s="64" t="n"/>
      <c r="C1916" s="64" t="n"/>
      <c r="D1916" s="65" t="n"/>
      <c r="E1916" s="64" t="n"/>
      <c r="F1916" s="64" t="n"/>
      <c r="G1916" s="64" t="n"/>
      <c r="H1916" s="64" t="n"/>
      <c r="I1916" s="63" t="n"/>
      <c r="J1916" s="63" t="n"/>
      <c r="K1916" s="63" t="n"/>
      <c r="L1916" s="63" t="n"/>
      <c r="M1916" s="63" t="n"/>
      <c r="N1916" s="63" t="n"/>
      <c r="O1916" s="63" t="n"/>
      <c r="P1916" s="63" t="n"/>
      <c r="Q1916" s="136" t="n"/>
      <c r="R1916" s="137" t="n"/>
      <c r="S1916" s="137" t="n"/>
      <c r="T1916" s="138" t="n"/>
      <c r="U1916" s="138" t="n"/>
    </row>
    <row r="1917" ht="10.8" customFormat="1" customHeight="1" s="63">
      <c r="A1917" s="64" t="n"/>
      <c r="B1917" s="64" t="n"/>
      <c r="C1917" s="64" t="n"/>
      <c r="D1917" s="65" t="n"/>
      <c r="E1917" s="64" t="n"/>
      <c r="F1917" s="64" t="n"/>
      <c r="G1917" s="64" t="n"/>
      <c r="H1917" s="64" t="n"/>
      <c r="I1917" s="63" t="n"/>
      <c r="J1917" s="63" t="n"/>
      <c r="K1917" s="63" t="n"/>
      <c r="L1917" s="63" t="n"/>
      <c r="M1917" s="63" t="n"/>
      <c r="N1917" s="63" t="n"/>
      <c r="O1917" s="63" t="n"/>
      <c r="P1917" s="63" t="n"/>
      <c r="Q1917" s="136" t="n"/>
      <c r="R1917" s="137" t="n"/>
      <c r="S1917" s="137" t="n"/>
      <c r="T1917" s="138" t="n"/>
      <c r="U1917" s="138" t="n"/>
    </row>
    <row r="1918" ht="10.8" customFormat="1" customHeight="1" s="63">
      <c r="A1918" s="64" t="n"/>
      <c r="B1918" s="64" t="n"/>
      <c r="C1918" s="64" t="n"/>
      <c r="D1918" s="65" t="n"/>
      <c r="E1918" s="64" t="n"/>
      <c r="F1918" s="64" t="n"/>
      <c r="G1918" s="64" t="n"/>
      <c r="H1918" s="64" t="n"/>
      <c r="I1918" s="63" t="n"/>
      <c r="J1918" s="63" t="n"/>
      <c r="K1918" s="63" t="n"/>
      <c r="L1918" s="63" t="n"/>
      <c r="M1918" s="63" t="n"/>
      <c r="N1918" s="63" t="n"/>
      <c r="O1918" s="63" t="n"/>
      <c r="P1918" s="63" t="n"/>
      <c r="Q1918" s="136" t="n"/>
      <c r="R1918" s="137" t="n"/>
      <c r="S1918" s="137" t="n"/>
      <c r="T1918" s="138" t="n"/>
      <c r="U1918" s="138" t="n"/>
    </row>
    <row r="1919" ht="10.8" customFormat="1" customHeight="1" s="63">
      <c r="A1919" s="64" t="n"/>
      <c r="B1919" s="64" t="n"/>
      <c r="C1919" s="64" t="n"/>
      <c r="D1919" s="65" t="n"/>
      <c r="E1919" s="64" t="n"/>
      <c r="F1919" s="64" t="n"/>
      <c r="G1919" s="64" t="n"/>
      <c r="H1919" s="64" t="n"/>
      <c r="I1919" s="63" t="n"/>
      <c r="J1919" s="63" t="n"/>
      <c r="K1919" s="63" t="n"/>
      <c r="L1919" s="63" t="n"/>
      <c r="M1919" s="63" t="n"/>
      <c r="N1919" s="63" t="n"/>
      <c r="O1919" s="63" t="n"/>
      <c r="P1919" s="63" t="n"/>
      <c r="Q1919" s="136" t="n"/>
      <c r="R1919" s="137" t="n"/>
      <c r="S1919" s="137" t="n"/>
      <c r="T1919" s="138" t="n"/>
      <c r="U1919" s="138" t="n"/>
    </row>
    <row r="1920" ht="10.8" customFormat="1" customHeight="1" s="63">
      <c r="A1920" s="64" t="n"/>
      <c r="B1920" s="64" t="n"/>
      <c r="C1920" s="64" t="n"/>
      <c r="D1920" s="65" t="n"/>
      <c r="E1920" s="64" t="n"/>
      <c r="F1920" s="64" t="n"/>
      <c r="G1920" s="64" t="n"/>
      <c r="H1920" s="64" t="n"/>
      <c r="I1920" s="63" t="n"/>
      <c r="J1920" s="63" t="n"/>
      <c r="K1920" s="63" t="n"/>
      <c r="L1920" s="63" t="n"/>
      <c r="M1920" s="63" t="n"/>
      <c r="N1920" s="63" t="n"/>
      <c r="O1920" s="63" t="n"/>
      <c r="P1920" s="63" t="n"/>
      <c r="Q1920" s="136" t="n"/>
      <c r="R1920" s="137" t="n"/>
      <c r="S1920" s="137" t="n"/>
      <c r="T1920" s="138" t="n"/>
      <c r="U1920" s="138" t="n"/>
    </row>
    <row r="1921" ht="10.8" customFormat="1" customHeight="1" s="63">
      <c r="A1921" s="64" t="n"/>
      <c r="B1921" s="64" t="n"/>
      <c r="C1921" s="64" t="n"/>
      <c r="D1921" s="65" t="n"/>
      <c r="E1921" s="64" t="n"/>
      <c r="F1921" s="64" t="n"/>
      <c r="G1921" s="64" t="n"/>
      <c r="H1921" s="64" t="n"/>
      <c r="I1921" s="63" t="n"/>
      <c r="J1921" s="63" t="n"/>
      <c r="K1921" s="63" t="n"/>
      <c r="L1921" s="63" t="n"/>
      <c r="M1921" s="63" t="n"/>
      <c r="N1921" s="63" t="n"/>
      <c r="O1921" s="63" t="n"/>
      <c r="P1921" s="63" t="n"/>
      <c r="Q1921" s="136" t="n"/>
      <c r="R1921" s="137" t="n"/>
      <c r="S1921" s="137" t="n"/>
      <c r="T1921" s="138" t="n"/>
      <c r="U1921" s="138" t="n"/>
    </row>
    <row r="1922" ht="10.8" customFormat="1" customHeight="1" s="63">
      <c r="A1922" s="64" t="n"/>
      <c r="B1922" s="64" t="n"/>
      <c r="C1922" s="64" t="n"/>
      <c r="D1922" s="65" t="n"/>
      <c r="E1922" s="64" t="n"/>
      <c r="F1922" s="64" t="n"/>
      <c r="G1922" s="64" t="n"/>
      <c r="H1922" s="64" t="n"/>
      <c r="I1922" s="63" t="n"/>
      <c r="J1922" s="63" t="n"/>
      <c r="K1922" s="63" t="n"/>
      <c r="L1922" s="63" t="n"/>
      <c r="M1922" s="63" t="n"/>
      <c r="N1922" s="63" t="n"/>
      <c r="O1922" s="63" t="n"/>
      <c r="P1922" s="63" t="n"/>
      <c r="Q1922" s="136" t="n"/>
      <c r="R1922" s="137" t="n"/>
      <c r="S1922" s="137" t="n"/>
      <c r="T1922" s="138" t="n"/>
      <c r="U1922" s="138" t="n"/>
    </row>
    <row r="1923" ht="10.8" customFormat="1" customHeight="1" s="63">
      <c r="A1923" s="64" t="n"/>
      <c r="B1923" s="64" t="n"/>
      <c r="C1923" s="64" t="n"/>
      <c r="D1923" s="65" t="n"/>
      <c r="E1923" s="64" t="n"/>
      <c r="F1923" s="64" t="n"/>
      <c r="G1923" s="64" t="n"/>
      <c r="H1923" s="64" t="n"/>
      <c r="I1923" s="63" t="n"/>
      <c r="J1923" s="63" t="n"/>
      <c r="K1923" s="63" t="n"/>
      <c r="L1923" s="63" t="n"/>
      <c r="M1923" s="63" t="n"/>
      <c r="N1923" s="63" t="n"/>
      <c r="O1923" s="63" t="n"/>
      <c r="P1923" s="63" t="n"/>
      <c r="Q1923" s="136" t="n"/>
      <c r="R1923" s="137" t="n"/>
      <c r="S1923" s="137" t="n"/>
      <c r="T1923" s="138" t="n"/>
      <c r="U1923" s="138" t="n"/>
    </row>
    <row r="1924" ht="10.8" customFormat="1" customHeight="1" s="63">
      <c r="A1924" s="64" t="n"/>
      <c r="B1924" s="64" t="n"/>
      <c r="C1924" s="64" t="n"/>
      <c r="D1924" s="65" t="n"/>
      <c r="E1924" s="64" t="n"/>
      <c r="F1924" s="64" t="n"/>
      <c r="G1924" s="64" t="n"/>
      <c r="H1924" s="64" t="n"/>
      <c r="I1924" s="63" t="n"/>
      <c r="J1924" s="63" t="n"/>
      <c r="K1924" s="63" t="n"/>
      <c r="L1924" s="63" t="n"/>
      <c r="M1924" s="63" t="n"/>
      <c r="N1924" s="63" t="n"/>
      <c r="O1924" s="63" t="n"/>
      <c r="P1924" s="63" t="n"/>
      <c r="Q1924" s="136" t="n"/>
      <c r="R1924" s="137" t="n"/>
      <c r="S1924" s="137" t="n"/>
      <c r="T1924" s="138" t="n"/>
      <c r="U1924" s="138" t="n"/>
    </row>
    <row r="1925" ht="10.8" customFormat="1" customHeight="1" s="63">
      <c r="A1925" s="64" t="n"/>
      <c r="B1925" s="64" t="n"/>
      <c r="C1925" s="64" t="n"/>
      <c r="D1925" s="65" t="n"/>
      <c r="E1925" s="64" t="n"/>
      <c r="F1925" s="64" t="n"/>
      <c r="G1925" s="64" t="n"/>
      <c r="H1925" s="64" t="n"/>
      <c r="I1925" s="63" t="n"/>
      <c r="J1925" s="63" t="n"/>
      <c r="K1925" s="63" t="n"/>
      <c r="L1925" s="63" t="n"/>
      <c r="M1925" s="63" t="n"/>
      <c r="N1925" s="63" t="n"/>
      <c r="O1925" s="63" t="n"/>
      <c r="P1925" s="63" t="n"/>
      <c r="Q1925" s="136" t="n"/>
      <c r="R1925" s="137" t="n"/>
      <c r="S1925" s="137" t="n"/>
      <c r="T1925" s="138" t="n"/>
      <c r="U1925" s="138" t="n"/>
    </row>
    <row r="1926" ht="10.8" customFormat="1" customHeight="1" s="63">
      <c r="A1926" s="64" t="n"/>
      <c r="B1926" s="64" t="n"/>
      <c r="C1926" s="64" t="n"/>
      <c r="D1926" s="65" t="n"/>
      <c r="E1926" s="64" t="n"/>
      <c r="F1926" s="64" t="n"/>
      <c r="G1926" s="64" t="n"/>
      <c r="H1926" s="64" t="n"/>
      <c r="I1926" s="63" t="n"/>
      <c r="J1926" s="63" t="n"/>
      <c r="K1926" s="63" t="n"/>
      <c r="L1926" s="63" t="n"/>
      <c r="M1926" s="63" t="n"/>
      <c r="N1926" s="63" t="n"/>
      <c r="O1926" s="63" t="n"/>
      <c r="P1926" s="63" t="n"/>
      <c r="Q1926" s="136" t="n"/>
      <c r="R1926" s="137" t="n"/>
      <c r="S1926" s="137" t="n"/>
      <c r="T1926" s="138" t="n"/>
      <c r="U1926" s="138" t="n"/>
    </row>
    <row r="1927" ht="10.8" customFormat="1" customHeight="1" s="63">
      <c r="A1927" s="64" t="n"/>
      <c r="B1927" s="64" t="n"/>
      <c r="C1927" s="64" t="n"/>
      <c r="D1927" s="65" t="n"/>
      <c r="E1927" s="64" t="n"/>
      <c r="F1927" s="64" t="n"/>
      <c r="G1927" s="64" t="n"/>
      <c r="H1927" s="64" t="n"/>
      <c r="I1927" s="63" t="n"/>
      <c r="J1927" s="63" t="n"/>
      <c r="K1927" s="63" t="n"/>
      <c r="L1927" s="63" t="n"/>
      <c r="M1927" s="63" t="n"/>
      <c r="N1927" s="63" t="n"/>
      <c r="O1927" s="63" t="n"/>
      <c r="P1927" s="63" t="n"/>
      <c r="Q1927" s="136" t="n"/>
      <c r="R1927" s="137" t="n"/>
      <c r="S1927" s="137" t="n"/>
      <c r="T1927" s="138" t="n"/>
      <c r="U1927" s="138" t="n"/>
    </row>
    <row r="1928" ht="10.8" customFormat="1" customHeight="1" s="63">
      <c r="A1928" s="64" t="n"/>
      <c r="B1928" s="64" t="n"/>
      <c r="C1928" s="64" t="n"/>
      <c r="D1928" s="65" t="n"/>
      <c r="E1928" s="64" t="n"/>
      <c r="F1928" s="64" t="n"/>
      <c r="G1928" s="64" t="n"/>
      <c r="H1928" s="64" t="n"/>
      <c r="I1928" s="63" t="n"/>
      <c r="J1928" s="63" t="n"/>
      <c r="K1928" s="63" t="n"/>
      <c r="L1928" s="63" t="n"/>
      <c r="M1928" s="63" t="n"/>
      <c r="N1928" s="63" t="n"/>
      <c r="O1928" s="63" t="n"/>
      <c r="P1928" s="63" t="n"/>
      <c r="Q1928" s="136" t="n"/>
      <c r="R1928" s="137" t="n"/>
      <c r="S1928" s="137" t="n"/>
      <c r="T1928" s="138" t="n"/>
      <c r="U1928" s="138" t="n"/>
    </row>
    <row r="1929" ht="10.8" customFormat="1" customHeight="1" s="63">
      <c r="A1929" s="64" t="n"/>
      <c r="B1929" s="64" t="n"/>
      <c r="C1929" s="64" t="n"/>
      <c r="D1929" s="65" t="n"/>
      <c r="E1929" s="64" t="n"/>
      <c r="F1929" s="64" t="n"/>
      <c r="G1929" s="64" t="n"/>
      <c r="H1929" s="64" t="n"/>
      <c r="I1929" s="63" t="n"/>
      <c r="J1929" s="63" t="n"/>
      <c r="K1929" s="63" t="n"/>
      <c r="L1929" s="63" t="n"/>
      <c r="M1929" s="63" t="n"/>
      <c r="N1929" s="63" t="n"/>
      <c r="O1929" s="63" t="n"/>
      <c r="P1929" s="63" t="n"/>
      <c r="Q1929" s="136" t="n"/>
      <c r="R1929" s="137" t="n"/>
      <c r="S1929" s="137" t="n"/>
      <c r="T1929" s="138" t="n"/>
      <c r="U1929" s="138" t="n"/>
    </row>
    <row r="1930" ht="10.8" customFormat="1" customHeight="1" s="63">
      <c r="A1930" s="64" t="n"/>
      <c r="B1930" s="64" t="n"/>
      <c r="C1930" s="64" t="n"/>
      <c r="D1930" s="65" t="n"/>
      <c r="E1930" s="64" t="n"/>
      <c r="F1930" s="64" t="n"/>
      <c r="G1930" s="64" t="n"/>
      <c r="H1930" s="64" t="n"/>
      <c r="I1930" s="63" t="n"/>
      <c r="J1930" s="63" t="n"/>
      <c r="K1930" s="63" t="n"/>
      <c r="L1930" s="63" t="n"/>
      <c r="M1930" s="63" t="n"/>
      <c r="N1930" s="63" t="n"/>
      <c r="O1930" s="63" t="n"/>
      <c r="P1930" s="63" t="n"/>
      <c r="Q1930" s="136" t="n"/>
      <c r="R1930" s="137" t="n"/>
      <c r="S1930" s="137" t="n"/>
      <c r="T1930" s="138" t="n"/>
      <c r="U1930" s="138" t="n"/>
    </row>
    <row r="1931" ht="10.8" customFormat="1" customHeight="1" s="63">
      <c r="A1931" s="64" t="n"/>
      <c r="B1931" s="64" t="n"/>
      <c r="C1931" s="64" t="n"/>
      <c r="D1931" s="65" t="n"/>
      <c r="E1931" s="64" t="n"/>
      <c r="F1931" s="64" t="n"/>
      <c r="G1931" s="64" t="n"/>
      <c r="H1931" s="64" t="n"/>
      <c r="I1931" s="63" t="n"/>
      <c r="J1931" s="63" t="n"/>
      <c r="K1931" s="63" t="n"/>
      <c r="L1931" s="63" t="n"/>
      <c r="M1931" s="63" t="n"/>
      <c r="N1931" s="63" t="n"/>
      <c r="O1931" s="63" t="n"/>
      <c r="P1931" s="63" t="n"/>
      <c r="Q1931" s="136" t="n"/>
      <c r="R1931" s="137" t="n"/>
      <c r="S1931" s="137" t="n"/>
      <c r="T1931" s="138" t="n"/>
      <c r="U1931" s="138" t="n"/>
    </row>
    <row r="1932" ht="10.8" customFormat="1" customHeight="1" s="63">
      <c r="A1932" s="64" t="n"/>
      <c r="B1932" s="64" t="n"/>
      <c r="C1932" s="64" t="n"/>
      <c r="D1932" s="65" t="n"/>
      <c r="E1932" s="64" t="n"/>
      <c r="F1932" s="64" t="n"/>
      <c r="G1932" s="64" t="n"/>
      <c r="H1932" s="64" t="n"/>
      <c r="I1932" s="63" t="n"/>
      <c r="J1932" s="63" t="n"/>
      <c r="K1932" s="63" t="n"/>
      <c r="L1932" s="63" t="n"/>
      <c r="M1932" s="63" t="n"/>
      <c r="N1932" s="63" t="n"/>
      <c r="O1932" s="63" t="n"/>
      <c r="P1932" s="63" t="n"/>
      <c r="Q1932" s="136" t="n"/>
      <c r="R1932" s="137" t="n"/>
      <c r="S1932" s="137" t="n"/>
      <c r="T1932" s="138" t="n"/>
      <c r="U1932" s="138" t="n"/>
    </row>
    <row r="1933">
      <c r="B1933" s="119" t="n"/>
      <c r="C1933" s="119" t="n"/>
      <c r="E1933" s="119" t="n"/>
      <c r="F1933" s="119" t="n"/>
      <c r="G1933" s="119" t="n"/>
      <c r="H1933" s="119" t="n"/>
    </row>
  </sheetData>
  <autoFilter ref="A1:AD1729">
    <filterColumn colId="3" hiddenButton="0" showButton="1">
      <filters>
        <filter val="张明峰"/>
      </filters>
    </filterColumn>
  </autoFilter>
  <mergeCells count="297">
    <mergeCell ref="G786:G802"/>
    <mergeCell ref="G1433:G1444"/>
    <mergeCell ref="G1162:G1168"/>
    <mergeCell ref="G619:G627"/>
    <mergeCell ref="F700:F726"/>
    <mergeCell ref="G1720:G1723"/>
    <mergeCell ref="E1321:E1400"/>
    <mergeCell ref="G1595:G1603"/>
    <mergeCell ref="F973:F988"/>
    <mergeCell ref="G21:G26"/>
    <mergeCell ref="F1052:F1073"/>
    <mergeCell ref="E727:E856"/>
    <mergeCell ref="E1231:E1320"/>
    <mergeCell ref="G1248:G1255"/>
    <mergeCell ref="G971:G972"/>
    <mergeCell ref="G1139:G1145"/>
    <mergeCell ref="G752:G762"/>
    <mergeCell ref="G1393:G1396"/>
    <mergeCell ref="G394:G400"/>
    <mergeCell ref="F1180:F1195"/>
    <mergeCell ref="G544:G545"/>
    <mergeCell ref="G712:G726"/>
    <mergeCell ref="G781:G785"/>
    <mergeCell ref="G184:G198"/>
    <mergeCell ref="G600:G602"/>
    <mergeCell ref="G707:G708"/>
    <mergeCell ref="G923:G925"/>
    <mergeCell ref="G1000:G1007"/>
    <mergeCell ref="G1259:G1263"/>
    <mergeCell ref="G1575:G1578"/>
    <mergeCell ref="F727:F802"/>
    <mergeCell ref="G864:G870"/>
    <mergeCell ref="G1060:G1066"/>
    <mergeCell ref="G608:G609"/>
    <mergeCell ref="G1125:G1131"/>
    <mergeCell ref="G1349:G1352"/>
    <mergeCell ref="G1363:G1365"/>
    <mergeCell ref="G13:G20"/>
    <mergeCell ref="G71:G77"/>
    <mergeCell ref="F421:F429"/>
    <mergeCell ref="G1278:G1280"/>
    <mergeCell ref="G421:G423"/>
    <mergeCell ref="F1231:F1247"/>
    <mergeCell ref="G947:G952"/>
    <mergeCell ref="G555:G580"/>
    <mergeCell ref="G1025:G1031"/>
    <mergeCell ref="E700:E726"/>
    <mergeCell ref="G763:G769"/>
    <mergeCell ref="G1551:G1562"/>
    <mergeCell ref="F1497:F1512"/>
    <mergeCell ref="G1401:G1411"/>
    <mergeCell ref="G1241:G1243"/>
    <mergeCell ref="G536:G543"/>
    <mergeCell ref="G170:G176"/>
    <mergeCell ref="G1685:G1690"/>
    <mergeCell ref="F78:F163"/>
    <mergeCell ref="F1093:F1108"/>
    <mergeCell ref="G215:G310"/>
    <mergeCell ref="G749:G751"/>
    <mergeCell ref="G1180:G1190"/>
    <mergeCell ref="G1109:G1120"/>
    <mergeCell ref="G1044:G1048"/>
    <mergeCell ref="F1627:F1642"/>
    <mergeCell ref="F1018:F1035"/>
    <mergeCell ref="G546:G547"/>
    <mergeCell ref="G78:G117"/>
    <mergeCell ref="G700:G703"/>
    <mergeCell ref="G1309:G1315"/>
    <mergeCell ref="G66:G70"/>
    <mergeCell ref="G746:G748"/>
    <mergeCell ref="G1121:G1124"/>
    <mergeCell ref="G603:G607"/>
    <mergeCell ref="G1627:G1637"/>
    <mergeCell ref="F1611:F1626"/>
    <mergeCell ref="G963:G970"/>
    <mergeCell ref="G1611:G1621"/>
    <mergeCell ref="G1675:G1684"/>
    <mergeCell ref="F619:F699"/>
    <mergeCell ref="G124:G128"/>
    <mergeCell ref="G742:G745"/>
    <mergeCell ref="G894:G898"/>
    <mergeCell ref="F1691:F1706"/>
    <mergeCell ref="G939:G946"/>
    <mergeCell ref="G1049:G1051"/>
    <mergeCell ref="G1397:G1400"/>
    <mergeCell ref="G1428:G1432"/>
    <mergeCell ref="E544:E618"/>
    <mergeCell ref="F1417:F1432"/>
    <mergeCell ref="G1286:G1292"/>
    <mergeCell ref="G1724:G1729"/>
    <mergeCell ref="G1381:G1384"/>
    <mergeCell ref="G1337:G1348"/>
    <mergeCell ref="G55:G59"/>
    <mergeCell ref="G1412:G1416"/>
    <mergeCell ref="G598:G599"/>
    <mergeCell ref="G1331:G1333"/>
    <mergeCell ref="G1506:G1512"/>
    <mergeCell ref="G356:G369"/>
    <mergeCell ref="G1217:G1223"/>
    <mergeCell ref="G1445:G1448"/>
    <mergeCell ref="F164:F169"/>
    <mergeCell ref="E184:E393"/>
    <mergeCell ref="F592:F602"/>
    <mergeCell ref="G585:G589"/>
    <mergeCell ref="G1489:G1496"/>
    <mergeCell ref="F878:F893"/>
    <mergeCell ref="G438:G526"/>
    <mergeCell ref="G709:G711"/>
    <mergeCell ref="G1074:G1081"/>
    <mergeCell ref="F1369:F1384"/>
    <mergeCell ref="G982:G986"/>
    <mergeCell ref="F170:F176"/>
    <mergeCell ref="F1125:F1145"/>
    <mergeCell ref="G1563:G1574"/>
    <mergeCell ref="G590:G591"/>
    <mergeCell ref="G1169:G1175"/>
    <mergeCell ref="E878:E922"/>
    <mergeCell ref="F857:F877"/>
    <mergeCell ref="G430:G437"/>
    <mergeCell ref="G531:G535"/>
    <mergeCell ref="G987:G988"/>
    <mergeCell ref="G1196:G1202"/>
    <mergeCell ref="G118:G123"/>
    <mergeCell ref="G527:G530"/>
    <mergeCell ref="G888:G893"/>
    <mergeCell ref="F1579:F1594"/>
    <mergeCell ref="G973:G981"/>
    <mergeCell ref="G857:G863"/>
    <mergeCell ref="E164:E183"/>
    <mergeCell ref="G1244:G1247"/>
    <mergeCell ref="G387:G393"/>
    <mergeCell ref="F1535:F1562"/>
    <mergeCell ref="G613:G618"/>
    <mergeCell ref="G930:G936"/>
    <mergeCell ref="G1132:G1138"/>
    <mergeCell ref="G732:G733"/>
    <mergeCell ref="G1191:G1195"/>
    <mergeCell ref="F1465:F1480"/>
    <mergeCell ref="G405:G420"/>
    <mergeCell ref="G1082:G1087"/>
    <mergeCell ref="F1146:F1161"/>
    <mergeCell ref="G770:G774"/>
    <mergeCell ref="G734:G739"/>
    <mergeCell ref="E923:E1017"/>
    <mergeCell ref="F1707:F1729"/>
    <mergeCell ref="G1691:G1699"/>
    <mergeCell ref="G370:G379"/>
    <mergeCell ref="F908:F922"/>
    <mergeCell ref="G1668:G1674"/>
    <mergeCell ref="F939:F954"/>
    <mergeCell ref="G1271:G1277"/>
    <mergeCell ref="G592:G597"/>
    <mergeCell ref="F955:F972"/>
    <mergeCell ref="F2:F12"/>
    <mergeCell ref="G1366:G1368"/>
    <mergeCell ref="G1385:G1392"/>
    <mergeCell ref="F603:F612"/>
    <mergeCell ref="G1643:G1651"/>
    <mergeCell ref="G989:G992"/>
    <mergeCell ref="G926:G927"/>
    <mergeCell ref="F1659:F1674"/>
    <mergeCell ref="G60:G62"/>
    <mergeCell ref="G1417:G1427"/>
    <mergeCell ref="F1162:F1179"/>
    <mergeCell ref="F1109:F1124"/>
    <mergeCell ref="E1481:E1578"/>
    <mergeCell ref="F1036:F1051"/>
    <mergeCell ref="G2:G9"/>
    <mergeCell ref="G955:G962"/>
    <mergeCell ref="G1474:G1480"/>
    <mergeCell ref="F1643:F1658"/>
    <mergeCell ref="G1579:G1584"/>
    <mergeCell ref="G147:G154"/>
    <mergeCell ref="G928:G929"/>
    <mergeCell ref="F1196:F1230"/>
    <mergeCell ref="G937:G938"/>
    <mergeCell ref="G664:G699"/>
    <mergeCell ref="G899:G907"/>
    <mergeCell ref="G1231:G1240"/>
    <mergeCell ref="F1449:F1464"/>
    <mergeCell ref="G1105:G1108"/>
    <mergeCell ref="G311:G330"/>
    <mergeCell ref="F1337:F1352"/>
    <mergeCell ref="F1595:F1610"/>
    <mergeCell ref="G953:G954"/>
    <mergeCell ref="F430:F526"/>
    <mergeCell ref="F1008:F1017"/>
    <mergeCell ref="F1433:F1448"/>
    <mergeCell ref="G402:G404"/>
    <mergeCell ref="F1675:F1690"/>
    <mergeCell ref="G1224:G1230"/>
    <mergeCell ref="G1334:G1336"/>
    <mergeCell ref="G775:G780"/>
    <mergeCell ref="G27:G33"/>
    <mergeCell ref="G1590:G1594"/>
    <mergeCell ref="G134:G146"/>
    <mergeCell ref="F923:F938"/>
    <mergeCell ref="G1264:G1270"/>
    <mergeCell ref="E2:E77"/>
    <mergeCell ref="G1321:G1330"/>
    <mergeCell ref="G1067:G1073"/>
    <mergeCell ref="F1248:F1263"/>
    <mergeCell ref="G10:G12"/>
    <mergeCell ref="G871:G877"/>
    <mergeCell ref="E1401:E1480"/>
    <mergeCell ref="F394:F420"/>
    <mergeCell ref="F1264:F1280"/>
    <mergeCell ref="G34:G43"/>
    <mergeCell ref="G548:G554"/>
    <mergeCell ref="E1018:E1124"/>
    <mergeCell ref="G424:G429"/>
    <mergeCell ref="G1154:G1161"/>
    <mergeCell ref="G1449:G1459"/>
    <mergeCell ref="F1385:F1400"/>
    <mergeCell ref="G1210:G1216"/>
    <mergeCell ref="F1513:F1534"/>
    <mergeCell ref="B2:B1729"/>
    <mergeCell ref="F555:F591"/>
    <mergeCell ref="G581:G584"/>
    <mergeCell ref="G878:G887"/>
    <mergeCell ref="G1032:G1035"/>
    <mergeCell ref="G1585:G1589"/>
    <mergeCell ref="F1353:F1368"/>
    <mergeCell ref="F989:F1007"/>
    <mergeCell ref="G164:G169"/>
    <mergeCell ref="F184:F393"/>
    <mergeCell ref="G1146:G1153"/>
    <mergeCell ref="E78:E163"/>
    <mergeCell ref="E1579:E1642"/>
    <mergeCell ref="G1008:G1017"/>
    <mergeCell ref="G1714:G1719"/>
    <mergeCell ref="G177:G183"/>
    <mergeCell ref="G704:G706"/>
    <mergeCell ref="G129:G133"/>
    <mergeCell ref="G1052:G1059"/>
    <mergeCell ref="G63:G65"/>
    <mergeCell ref="G1018:G1021"/>
    <mergeCell ref="E857:E877"/>
    <mergeCell ref="G993:G999"/>
    <mergeCell ref="G1481:G1488"/>
    <mergeCell ref="E619:E699"/>
    <mergeCell ref="G1176:G1179"/>
    <mergeCell ref="G1659:G1667"/>
    <mergeCell ref="G1497:G1505"/>
    <mergeCell ref="G1316:G1320"/>
    <mergeCell ref="F1281:F1301"/>
    <mergeCell ref="G1022:G1024"/>
    <mergeCell ref="G1707:G1713"/>
    <mergeCell ref="G727:G731"/>
    <mergeCell ref="F1481:F1496"/>
    <mergeCell ref="G380:G386"/>
    <mergeCell ref="G630:G663"/>
    <mergeCell ref="G50:G54"/>
    <mergeCell ref="F527:F543"/>
    <mergeCell ref="G1302:G1308"/>
    <mergeCell ref="G1465:G1473"/>
    <mergeCell ref="G1203:G1209"/>
    <mergeCell ref="G331:G355"/>
    <mergeCell ref="F544:F554"/>
    <mergeCell ref="G908:G915"/>
    <mergeCell ref="G1093:G1100"/>
    <mergeCell ref="E394:E543"/>
    <mergeCell ref="F1074:F1092"/>
    <mergeCell ref="F1321:F1336"/>
    <mergeCell ref="F1563:F1578"/>
    <mergeCell ref="G610:G612"/>
    <mergeCell ref="G1293:G1301"/>
    <mergeCell ref="G916:G922"/>
    <mergeCell ref="G1460:G1464"/>
    <mergeCell ref="F34:F49"/>
    <mergeCell ref="G1652:G1658"/>
    <mergeCell ref="F50:F77"/>
    <mergeCell ref="E1643:E1729"/>
    <mergeCell ref="F894:F907"/>
    <mergeCell ref="F1302:F1320"/>
    <mergeCell ref="G1101:G1104"/>
    <mergeCell ref="G1256:G1258"/>
    <mergeCell ref="F177:F183"/>
    <mergeCell ref="G155:G163"/>
    <mergeCell ref="G199:G214"/>
    <mergeCell ref="G1638:G1642"/>
    <mergeCell ref="G1088:G1092"/>
    <mergeCell ref="G1036:G1043"/>
    <mergeCell ref="G1353:G1362"/>
    <mergeCell ref="F13:F33"/>
    <mergeCell ref="F613:F618"/>
    <mergeCell ref="G1513:G1523"/>
    <mergeCell ref="G1281:G1285"/>
    <mergeCell ref="G1622:G1626"/>
    <mergeCell ref="F1401:F1416"/>
    <mergeCell ref="G1369:G1380"/>
    <mergeCell ref="G1700:G1706"/>
    <mergeCell ref="G1604:G1610"/>
    <mergeCell ref="G44:G49"/>
    <mergeCell ref="E1125:E1230"/>
    <mergeCell ref="G1524:G1534"/>
    <mergeCell ref="G1535:G1550"/>
  </mergeCells>
  <conditionalFormatting sqref="J77">
    <cfRule type="expression" priority="396" dxfId="0" stopIfTrue="1">
      <formula>AND($I77="",$H77&lt;&gt;"")</formula>
    </cfRule>
  </conditionalFormatting>
  <conditionalFormatting sqref="J131">
    <cfRule type="expression" priority="448" dxfId="0" stopIfTrue="1">
      <formula>AND($I131="",#REF!&lt;&gt;"")</formula>
    </cfRule>
  </conditionalFormatting>
  <conditionalFormatting sqref="J139">
    <cfRule type="expression" priority="440" dxfId="0" stopIfTrue="1">
      <formula>AND($I139="",#REF!&lt;&gt;"")</formula>
    </cfRule>
  </conditionalFormatting>
  <conditionalFormatting sqref="J147">
    <cfRule type="expression" priority="449" dxfId="0" stopIfTrue="1">
      <formula>AND($I147="",#REF!&lt;&gt;"")</formula>
    </cfRule>
  </conditionalFormatting>
  <conditionalFormatting sqref="J149">
    <cfRule type="expression" priority="450" dxfId="0" stopIfTrue="1">
      <formula>AND($I149="",$H149&lt;&gt;"")</formula>
    </cfRule>
  </conditionalFormatting>
  <conditionalFormatting sqref="J187">
    <cfRule type="expression" priority="26" dxfId="0" stopIfTrue="1">
      <formula>AND($I187="",$H187&lt;&gt;"")</formula>
    </cfRule>
  </conditionalFormatting>
  <conditionalFormatting sqref="J188">
    <cfRule type="expression" priority="435" dxfId="0" stopIfTrue="1">
      <formula>AND($I188="",#REF!&lt;&gt;"")</formula>
    </cfRule>
  </conditionalFormatting>
  <conditionalFormatting sqref="J193">
    <cfRule type="expression" priority="24" dxfId="0" stopIfTrue="1">
      <formula>AND($I193="",$H193&lt;&gt;"")</formula>
    </cfRule>
  </conditionalFormatting>
  <conditionalFormatting sqref="J194">
    <cfRule type="expression" priority="25" dxfId="0" stopIfTrue="1">
      <formula>AND($I194="",$H194&lt;&gt;"")</formula>
    </cfRule>
  </conditionalFormatting>
  <conditionalFormatting sqref="J197">
    <cfRule type="expression" priority="23" dxfId="0" stopIfTrue="1">
      <formula>AND($I197="",$H197&lt;&gt;"")</formula>
    </cfRule>
  </conditionalFormatting>
  <conditionalFormatting sqref="J198">
    <cfRule type="expression" priority="28" dxfId="0" stopIfTrue="1">
      <formula>AND($I198="",$H196&lt;&gt;"")</formula>
    </cfRule>
  </conditionalFormatting>
  <conditionalFormatting sqref="J199">
    <cfRule type="expression" priority="1533" dxfId="0" stopIfTrue="1">
      <formula>AND($I199="",$H197&lt;&gt;"")</formula>
    </cfRule>
  </conditionalFormatting>
  <conditionalFormatting sqref="J205">
    <cfRule type="expression" priority="21" dxfId="0" stopIfTrue="1">
      <formula>AND($I205="",$H205&lt;&gt;"")</formula>
    </cfRule>
  </conditionalFormatting>
  <conditionalFormatting sqref="J207">
    <cfRule type="expression" priority="14" dxfId="0" stopIfTrue="1">
      <formula>AND($I207="",$H207&lt;&gt;"")</formula>
    </cfRule>
  </conditionalFormatting>
  <conditionalFormatting sqref="J221">
    <cfRule type="expression" priority="20" dxfId="0" stopIfTrue="1">
      <formula>AND($I221="",$H221&lt;&gt;"")</formula>
    </cfRule>
  </conditionalFormatting>
  <conditionalFormatting sqref="J334">
    <cfRule type="expression" priority="16" dxfId="0" stopIfTrue="1">
      <formula>AND($I334="",$H334&lt;&gt;"")</formula>
    </cfRule>
  </conditionalFormatting>
  <conditionalFormatting sqref="J343">
    <cfRule type="expression" priority="15" dxfId="0" stopIfTrue="1">
      <formula>AND($I343="",$H343&lt;&gt;"")</formula>
    </cfRule>
  </conditionalFormatting>
  <conditionalFormatting sqref="J375">
    <cfRule type="expression" priority="3" dxfId="0" stopIfTrue="1">
      <formula>AND($I375="",$H375&lt;&gt;"")</formula>
    </cfRule>
  </conditionalFormatting>
  <conditionalFormatting sqref="J376">
    <cfRule type="expression" priority="6" dxfId="0" stopIfTrue="1">
      <formula>AND($I376="",$H376&lt;&gt;"")</formula>
    </cfRule>
  </conditionalFormatting>
  <conditionalFormatting sqref="J377">
    <cfRule type="expression" priority="5" dxfId="0" stopIfTrue="1">
      <formula>AND($I377="",$H377&lt;&gt;"")</formula>
    </cfRule>
  </conditionalFormatting>
  <conditionalFormatting sqref="J378">
    <cfRule type="expression" priority="4" dxfId="0" stopIfTrue="1">
      <formula>AND($I378="",$H378&lt;&gt;"")</formula>
    </cfRule>
  </conditionalFormatting>
  <conditionalFormatting sqref="J385">
    <cfRule type="expression" priority="13" dxfId="0" stopIfTrue="1">
      <formula>AND($I385="",$H385&lt;&gt;"")</formula>
    </cfRule>
  </conditionalFormatting>
  <conditionalFormatting sqref="J386">
    <cfRule type="expression" priority="12" dxfId="0" stopIfTrue="1">
      <formula>AND($I386="",$H386&lt;&gt;"")</formula>
    </cfRule>
  </conditionalFormatting>
  <conditionalFormatting sqref="J392">
    <cfRule type="expression" priority="11" dxfId="0" stopIfTrue="1">
      <formula>AND($I392="",$H392&lt;&gt;"")</formula>
    </cfRule>
  </conditionalFormatting>
  <conditionalFormatting sqref="J393">
    <cfRule type="expression" priority="10" dxfId="0" stopIfTrue="1">
      <formula>AND($I393="",$H393&lt;&gt;"")</formula>
    </cfRule>
  </conditionalFormatting>
  <conditionalFormatting sqref="J424">
    <cfRule type="expression" priority="392" dxfId="0" stopIfTrue="1">
      <formula>AND($I424="",$H424&lt;&gt;"")</formula>
    </cfRule>
  </conditionalFormatting>
  <conditionalFormatting sqref="J425">
    <cfRule type="expression" priority="391" dxfId="0" stopIfTrue="1">
      <formula>AND($I425="",$H425&lt;&gt;"")</formula>
    </cfRule>
  </conditionalFormatting>
  <conditionalFormatting sqref="J715">
    <cfRule type="expression" priority="429" dxfId="0" stopIfTrue="1">
      <formula>AND($I715="",$H715&lt;&gt;"")</formula>
    </cfRule>
  </conditionalFormatting>
  <conditionalFormatting sqref="J716">
    <cfRule type="expression" priority="428" dxfId="0" stopIfTrue="1">
      <formula>AND($I716="",$H716&lt;&gt;"")</formula>
    </cfRule>
  </conditionalFormatting>
  <conditionalFormatting sqref="J717">
    <cfRule type="expression" priority="427" dxfId="0" stopIfTrue="1">
      <formula>AND($I717="",$H717&lt;&gt;"")</formula>
    </cfRule>
  </conditionalFormatting>
  <conditionalFormatting sqref="J718">
    <cfRule type="expression" priority="426" dxfId="0" stopIfTrue="1">
      <formula>AND($I718="",$H718&lt;&gt;"")</formula>
    </cfRule>
  </conditionalFormatting>
  <conditionalFormatting sqref="J719">
    <cfRule type="expression" priority="425" dxfId="0" stopIfTrue="1">
      <formula>AND($I719="",$H719&lt;&gt;"")</formula>
    </cfRule>
  </conditionalFormatting>
  <conditionalFormatting sqref="J720">
    <cfRule type="expression" priority="424" dxfId="0" stopIfTrue="1">
      <formula>AND($I720="",$H720&lt;&gt;"")</formula>
    </cfRule>
  </conditionalFormatting>
  <conditionalFormatting sqref="J721">
    <cfRule type="expression" priority="423" dxfId="0" stopIfTrue="1">
      <formula>AND($I721="",$H721&lt;&gt;"")</formula>
    </cfRule>
  </conditionalFormatting>
  <conditionalFormatting sqref="J722">
    <cfRule type="expression" priority="422" dxfId="0" stopIfTrue="1">
      <formula>AND($I722="",$H722&lt;&gt;"")</formula>
    </cfRule>
  </conditionalFormatting>
  <conditionalFormatting sqref="J723">
    <cfRule type="expression" priority="421" dxfId="0" stopIfTrue="1">
      <formula>AND($I723="",$H723&lt;&gt;"")</formula>
    </cfRule>
  </conditionalFormatting>
  <conditionalFormatting sqref="J724">
    <cfRule type="expression" priority="420" dxfId="0" stopIfTrue="1">
      <formula>AND($I724="",$H724&lt;&gt;"")</formula>
    </cfRule>
  </conditionalFormatting>
  <conditionalFormatting sqref="J725">
    <cfRule type="expression" priority="419" dxfId="0" stopIfTrue="1">
      <formula>AND($I725="",$H725&lt;&gt;"")</formula>
    </cfRule>
  </conditionalFormatting>
  <conditionalFormatting sqref="J726">
    <cfRule type="expression" priority="418" dxfId="0" stopIfTrue="1">
      <formula>AND($I726="",$H726&lt;&gt;"")</formula>
    </cfRule>
  </conditionalFormatting>
  <conditionalFormatting sqref="J730">
    <cfRule type="expression" priority="2" dxfId="0" stopIfTrue="1">
      <formula>AND($I730="",$H730&lt;&gt;"")</formula>
    </cfRule>
  </conditionalFormatting>
  <conditionalFormatting sqref="J738">
    <cfRule type="expression" priority="1" dxfId="0" stopIfTrue="1">
      <formula>AND($I738="",$H738&lt;&gt;"")</formula>
    </cfRule>
  </conditionalFormatting>
  <conditionalFormatting sqref="J892">
    <cfRule type="expression" priority="401" dxfId="0" stopIfTrue="1">
      <formula>AND($I892="",$H892&lt;&gt;"")</formula>
    </cfRule>
  </conditionalFormatting>
  <conditionalFormatting sqref="J893">
    <cfRule type="expression" priority="399" dxfId="0" stopIfTrue="1">
      <formula>AND($I893="",$H893&lt;&gt;"")</formula>
    </cfRule>
  </conditionalFormatting>
  <conditionalFormatting sqref="J923">
    <cfRule type="expression" priority="289" dxfId="0" stopIfTrue="1">
      <formula>AND($I923="",$H923&lt;&gt;"")</formula>
    </cfRule>
  </conditionalFormatting>
  <conditionalFormatting sqref="J946">
    <cfRule type="expression" priority="137" dxfId="0" stopIfTrue="1">
      <formula>AND($I946="",$H946&lt;&gt;"")</formula>
    </cfRule>
  </conditionalFormatting>
  <conditionalFormatting sqref="J947">
    <cfRule type="expression" priority="287" dxfId="0" stopIfTrue="1">
      <formula>AND($I947="",$H947&lt;&gt;"")</formula>
    </cfRule>
  </conditionalFormatting>
  <conditionalFormatting sqref="J960">
    <cfRule type="expression" priority="244" dxfId="0" stopIfTrue="1">
      <formula>AND($I960="",$H960&lt;&gt;"")</formula>
    </cfRule>
  </conditionalFormatting>
  <conditionalFormatting sqref="J968">
    <cfRule type="expression" priority="243" dxfId="0" stopIfTrue="1">
      <formula>AND($I968="",$H968&lt;&gt;"")</formula>
    </cfRule>
  </conditionalFormatting>
  <conditionalFormatting sqref="J971">
    <cfRule type="expression" priority="372" dxfId="0" stopIfTrue="1">
      <formula>AND($I971="",$H971&lt;&gt;"")</formula>
    </cfRule>
  </conditionalFormatting>
  <conditionalFormatting sqref="J972">
    <cfRule type="expression" priority="134" dxfId="0" stopIfTrue="1">
      <formula>AND($I972="",$H972&lt;&gt;"")</formula>
    </cfRule>
  </conditionalFormatting>
  <conditionalFormatting sqref="J979">
    <cfRule type="expression" priority="242" dxfId="0" stopIfTrue="1">
      <formula>AND($I979="",$H979&lt;&gt;"")</formula>
    </cfRule>
  </conditionalFormatting>
  <conditionalFormatting sqref="J997">
    <cfRule type="expression" priority="240" dxfId="0" stopIfTrue="1">
      <formula>AND($I997="",$H997&lt;&gt;"")</formula>
    </cfRule>
  </conditionalFormatting>
  <conditionalFormatting sqref="J1014">
    <cfRule type="expression" priority="238" dxfId="0" stopIfTrue="1">
      <formula>AND($I1014="",$H1014&lt;&gt;"")</formula>
    </cfRule>
  </conditionalFormatting>
  <conditionalFormatting sqref="J1022">
    <cfRule type="expression" priority="236" dxfId="0" stopIfTrue="1">
      <formula>AND($I1022="",$H1022&lt;&gt;"")</formula>
    </cfRule>
  </conditionalFormatting>
  <conditionalFormatting sqref="J1029">
    <cfRule type="expression" priority="235" dxfId="0" stopIfTrue="1">
      <formula>AND($I1029="",$H1029&lt;&gt;"")</formula>
    </cfRule>
  </conditionalFormatting>
  <conditionalFormatting sqref="J1039">
    <cfRule type="expression" priority="366" dxfId="0" stopIfTrue="1">
      <formula>AND($I1039="",$H1039&lt;&gt;"")</formula>
    </cfRule>
  </conditionalFormatting>
  <conditionalFormatting sqref="J1046">
    <cfRule type="expression" priority="232" dxfId="0" stopIfTrue="1">
      <formula>AND($I1046="",$H1046&lt;&gt;"")</formula>
    </cfRule>
  </conditionalFormatting>
  <conditionalFormatting sqref="J1049">
    <cfRule type="expression" priority="231" dxfId="0" stopIfTrue="1">
      <formula>AND($I1049="",$H1049&lt;&gt;"")</formula>
    </cfRule>
  </conditionalFormatting>
  <conditionalFormatting sqref="J1064">
    <cfRule type="expression" priority="229" dxfId="0" stopIfTrue="1">
      <formula>AND($I1064="",$H1064&lt;&gt;"")</formula>
    </cfRule>
  </conditionalFormatting>
  <conditionalFormatting sqref="J1071">
    <cfRule type="expression" priority="228" dxfId="0" stopIfTrue="1">
      <formula>AND($I1071="",$H1071&lt;&gt;"")</formula>
    </cfRule>
  </conditionalFormatting>
  <conditionalFormatting sqref="J1090">
    <cfRule type="expression" priority="225" dxfId="0" stopIfTrue="1">
      <formula>AND($I1090="",$H1090&lt;&gt;"")</formula>
    </cfRule>
  </conditionalFormatting>
  <conditionalFormatting sqref="J1121">
    <cfRule type="expression" priority="281" dxfId="0" stopIfTrue="1">
      <formula>AND($I1121="",$H1121&lt;&gt;"")</formula>
    </cfRule>
  </conditionalFormatting>
  <conditionalFormatting sqref="J1124">
    <cfRule type="expression" priority="111" dxfId="0" stopIfTrue="1">
      <formula>AND($I1124="",$H1124&lt;&gt;"")</formula>
    </cfRule>
  </conditionalFormatting>
  <conditionalFormatting sqref="J1129">
    <cfRule type="expression" priority="219" dxfId="0" stopIfTrue="1">
      <formula>AND($I1129="",$H1129&lt;&gt;"")</formula>
    </cfRule>
  </conditionalFormatting>
  <conditionalFormatting sqref="J1136">
    <cfRule type="expression" priority="218" dxfId="0" stopIfTrue="1">
      <formula>AND($I1136="",$H1136&lt;&gt;"")</formula>
    </cfRule>
  </conditionalFormatting>
  <conditionalFormatting sqref="J1143">
    <cfRule type="expression" priority="217" dxfId="0" stopIfTrue="1">
      <formula>AND($I1143="",$H1143&lt;&gt;"")</formula>
    </cfRule>
  </conditionalFormatting>
  <conditionalFormatting sqref="J1146">
    <cfRule type="expression" priority="280" dxfId="0" stopIfTrue="1">
      <formula>AND($I1146="",$H1146&lt;&gt;"")</formula>
    </cfRule>
  </conditionalFormatting>
  <conditionalFormatting sqref="J1151">
    <cfRule type="expression" priority="216" dxfId="0" stopIfTrue="1">
      <formula>AND($I1151="",$H1151&lt;&gt;"")</formula>
    </cfRule>
  </conditionalFormatting>
  <conditionalFormatting sqref="J1154">
    <cfRule type="expression" priority="279" dxfId="0" stopIfTrue="1">
      <formula>AND($I1154="",$H1154&lt;&gt;"")</formula>
    </cfRule>
  </conditionalFormatting>
  <conditionalFormatting sqref="J1159">
    <cfRule type="expression" priority="215" dxfId="0" stopIfTrue="1">
      <formula>AND($I1159="",$H1159&lt;&gt;"")</formula>
    </cfRule>
  </conditionalFormatting>
  <conditionalFormatting sqref="J1166">
    <cfRule type="expression" priority="214" dxfId="0" stopIfTrue="1">
      <formula>AND($I1166="",$H1166&lt;&gt;"")</formula>
    </cfRule>
  </conditionalFormatting>
  <conditionalFormatting sqref="J1173">
    <cfRule type="expression" priority="213" dxfId="0" stopIfTrue="1">
      <formula>AND($I1173="",$H1173&lt;&gt;"")</formula>
    </cfRule>
  </conditionalFormatting>
  <conditionalFormatting sqref="J1193">
    <cfRule type="expression" priority="210" dxfId="0" stopIfTrue="1">
      <formula>AND($I1193="",$H1193&lt;&gt;"")</formula>
    </cfRule>
  </conditionalFormatting>
  <conditionalFormatting sqref="J1200">
    <cfRule type="expression" priority="209" dxfId="0" stopIfTrue="1">
      <formula>AND($I1200="",$H1200&lt;&gt;"")</formula>
    </cfRule>
  </conditionalFormatting>
  <conditionalFormatting sqref="J1207">
    <cfRule type="expression" priority="208" dxfId="0" stopIfTrue="1">
      <formula>AND($I1207="",$H1207&lt;&gt;"")</formula>
    </cfRule>
  </conditionalFormatting>
  <conditionalFormatting sqref="J1214">
    <cfRule type="expression" priority="207" dxfId="0" stopIfTrue="1">
      <formula>AND($I1214="",$H1214&lt;&gt;"")</formula>
    </cfRule>
  </conditionalFormatting>
  <conditionalFormatting sqref="J1221">
    <cfRule type="expression" priority="206" dxfId="0" stopIfTrue="1">
      <formula>AND($I1221="",$H1221&lt;&gt;"")</formula>
    </cfRule>
  </conditionalFormatting>
  <conditionalFormatting sqref="J1228">
    <cfRule type="expression" priority="205" dxfId="0" stopIfTrue="1">
      <formula>AND($I1228="",$H1228&lt;&gt;"")</formula>
    </cfRule>
  </conditionalFormatting>
  <conditionalFormatting sqref="J1241">
    <cfRule type="expression" priority="203" dxfId="0" stopIfTrue="1">
      <formula>AND($I1241="",$H1241&lt;&gt;"")</formula>
    </cfRule>
  </conditionalFormatting>
  <conditionalFormatting sqref="J1256">
    <cfRule type="expression" priority="200" dxfId="0" stopIfTrue="1">
      <formula>AND($I1256="",$H1256&lt;&gt;"")</formula>
    </cfRule>
  </conditionalFormatting>
  <conditionalFormatting sqref="J1261">
    <cfRule type="expression" priority="199" dxfId="0" stopIfTrue="1">
      <formula>AND($I1261="",$H1261&lt;&gt;"")</formula>
    </cfRule>
  </conditionalFormatting>
  <conditionalFormatting sqref="J1268">
    <cfRule type="expression" priority="198" dxfId="0" stopIfTrue="1">
      <formula>AND($I1268="",$H1268&lt;&gt;"")</formula>
    </cfRule>
  </conditionalFormatting>
  <conditionalFormatting sqref="J1275">
    <cfRule type="expression" priority="197" dxfId="0" stopIfTrue="1">
      <formula>AND($I1275="",$H1275&lt;&gt;"")</formula>
    </cfRule>
  </conditionalFormatting>
  <conditionalFormatting sqref="J1278">
    <cfRule type="expression" priority="196" dxfId="0" stopIfTrue="1">
      <formula>AND($I1278="",$H1278&lt;&gt;"")</formula>
    </cfRule>
  </conditionalFormatting>
  <conditionalFormatting sqref="J1283">
    <cfRule type="expression" priority="195" dxfId="0" stopIfTrue="1">
      <formula>AND($I1283="",$H1283&lt;&gt;"")</formula>
    </cfRule>
  </conditionalFormatting>
  <conditionalFormatting sqref="J1290">
    <cfRule type="expression" priority="194" dxfId="0" stopIfTrue="1">
      <formula>AND($I1290="",$H1290&lt;&gt;"")</formula>
    </cfRule>
  </conditionalFormatting>
  <conditionalFormatting sqref="J1306">
    <cfRule type="expression" priority="192" dxfId="0" stopIfTrue="1">
      <formula>AND($I1306="",$H1306&lt;&gt;"")</formula>
    </cfRule>
  </conditionalFormatting>
  <conditionalFormatting sqref="J1313">
    <cfRule type="expression" priority="191" dxfId="0" stopIfTrue="1">
      <formula>AND($I1313="",$H1313&lt;&gt;"")</formula>
    </cfRule>
  </conditionalFormatting>
  <conditionalFormatting sqref="J1318">
    <cfRule type="expression" priority="190" dxfId="0" stopIfTrue="1">
      <formula>AND($I1318="",$H1318&lt;&gt;"")</formula>
    </cfRule>
  </conditionalFormatting>
  <conditionalFormatting sqref="J1328">
    <cfRule type="expression" priority="189" dxfId="0" stopIfTrue="1">
      <formula>AND($I1328="",$H1328&lt;&gt;"")</formula>
    </cfRule>
  </conditionalFormatting>
  <conditionalFormatting sqref="J1331">
    <cfRule type="expression" priority="188" dxfId="0" stopIfTrue="1">
      <formula>AND($I1331="",$H1331&lt;&gt;"")</formula>
    </cfRule>
  </conditionalFormatting>
  <conditionalFormatting sqref="J1334">
    <cfRule type="expression" priority="187" dxfId="0" stopIfTrue="1">
      <formula>AND($I1334="",$H1334&lt;&gt;"")</formula>
    </cfRule>
  </conditionalFormatting>
  <conditionalFormatting sqref="J1346">
    <cfRule type="expression" priority="186" dxfId="0" stopIfTrue="1">
      <formula>AND($I1346="",$H1346&lt;&gt;"")</formula>
    </cfRule>
  </conditionalFormatting>
  <conditionalFormatting sqref="J1360">
    <cfRule type="expression" priority="184" dxfId="0" stopIfTrue="1">
      <formula>AND($I1360="",$H1360&lt;&gt;"")</formula>
    </cfRule>
  </conditionalFormatting>
  <conditionalFormatting sqref="J1363">
    <cfRule type="expression" priority="183" dxfId="0" stopIfTrue="1">
      <formula>AND($I1363="",$H1363&lt;&gt;"")</formula>
    </cfRule>
  </conditionalFormatting>
  <conditionalFormatting sqref="J1366">
    <cfRule type="expression" priority="182" dxfId="0" stopIfTrue="1">
      <formula>AND($I1366="",$H1366&lt;&gt;"")</formula>
    </cfRule>
  </conditionalFormatting>
  <conditionalFormatting sqref="J1378">
    <cfRule type="expression" priority="181" dxfId="0" stopIfTrue="1">
      <formula>AND($I1378="",$H1378&lt;&gt;"")</formula>
    </cfRule>
  </conditionalFormatting>
  <conditionalFormatting sqref="J1385">
    <cfRule type="expression" priority="272" dxfId="0" stopIfTrue="1">
      <formula>AND($I1385="",$H1385&lt;&gt;"")</formula>
    </cfRule>
  </conditionalFormatting>
  <conditionalFormatting sqref="J1390">
    <cfRule type="expression" priority="179" dxfId="0" stopIfTrue="1">
      <formula>AND($I1390="",$H1390&lt;&gt;"")</formula>
    </cfRule>
  </conditionalFormatting>
  <conditionalFormatting sqref="J1409">
    <cfRule type="expression" priority="176" dxfId="0" stopIfTrue="1">
      <formula>AND($I1409="",$H1409&lt;&gt;"")</formula>
    </cfRule>
  </conditionalFormatting>
  <conditionalFormatting sqref="J1414">
    <cfRule type="expression" priority="175" dxfId="0" stopIfTrue="1">
      <formula>AND($I1414="",$H1414&lt;&gt;"")</formula>
    </cfRule>
  </conditionalFormatting>
  <conditionalFormatting sqref="J1428">
    <cfRule type="expression" priority="269" dxfId="0" stopIfTrue="1">
      <formula>AND($I1428="",$H1428&lt;&gt;"")</formula>
    </cfRule>
  </conditionalFormatting>
  <conditionalFormatting sqref="J1442">
    <cfRule type="expression" priority="172" dxfId="0" stopIfTrue="1">
      <formula>AND($I1442="",$H1442&lt;&gt;"")</formula>
    </cfRule>
  </conditionalFormatting>
  <conditionalFormatting sqref="J1457">
    <cfRule type="expression" priority="170" dxfId="0" stopIfTrue="1">
      <formula>AND($I1457="",$H1457&lt;&gt;"")</formula>
    </cfRule>
  </conditionalFormatting>
  <conditionalFormatting sqref="J1462">
    <cfRule type="expression" priority="169" dxfId="0" stopIfTrue="1">
      <formula>AND($I1462="",$H1462&lt;&gt;"")</formula>
    </cfRule>
  </conditionalFormatting>
  <conditionalFormatting sqref="J1471">
    <cfRule type="expression" priority="168" dxfId="0" stopIfTrue="1">
      <formula>AND($I1471="",$H1471&lt;&gt;"")</formula>
    </cfRule>
  </conditionalFormatting>
  <conditionalFormatting sqref="J1483">
    <cfRule type="expression" priority="249" dxfId="0" stopIfTrue="1">
      <formula>AND($I1483="",$H1483&lt;&gt;"")</formula>
    </cfRule>
  </conditionalFormatting>
  <conditionalFormatting sqref="J1489">
    <cfRule type="expression" priority="248" dxfId="0" stopIfTrue="1">
      <formula>AND($I1489="",$H1489&lt;&gt;"")</formula>
    </cfRule>
  </conditionalFormatting>
  <conditionalFormatting sqref="J1494">
    <cfRule type="expression" priority="166" dxfId="0" stopIfTrue="1">
      <formula>AND($I1494="",$H1494&lt;&gt;"")</formula>
    </cfRule>
  </conditionalFormatting>
  <conditionalFormatting sqref="J1503">
    <cfRule type="expression" priority="165" dxfId="0" stopIfTrue="1">
      <formula>AND($I1503="",$H1503&lt;&gt;"")</formula>
    </cfRule>
  </conditionalFormatting>
  <conditionalFormatting sqref="J1510">
    <cfRule type="expression" priority="164" dxfId="0" stopIfTrue="1">
      <formula>AND($I1510="",$H1510&lt;&gt;"")</formula>
    </cfRule>
  </conditionalFormatting>
  <conditionalFormatting sqref="J1513">
    <cfRule type="expression" priority="263" dxfId="0" stopIfTrue="1">
      <formula>AND($I1513="",$H1513&lt;&gt;"")</formula>
    </cfRule>
  </conditionalFormatting>
  <conditionalFormatting sqref="J1514">
    <cfRule type="expression" priority="247" dxfId="0" stopIfTrue="1">
      <formula>AND($I1514="",$H1514&lt;&gt;"")</formula>
    </cfRule>
  </conditionalFormatting>
  <conditionalFormatting sqref="J1538">
    <cfRule type="expression" priority="246" dxfId="0" stopIfTrue="1">
      <formula>AND($I1538="",$H1538&lt;&gt;"")</formula>
    </cfRule>
  </conditionalFormatting>
  <conditionalFormatting sqref="J1548">
    <cfRule type="expression" priority="161" dxfId="0" stopIfTrue="1">
      <formula>AND($I1548="",$H1548&lt;&gt;"")</formula>
    </cfRule>
  </conditionalFormatting>
  <conditionalFormatting sqref="J1579">
    <cfRule type="expression" priority="258" dxfId="0" stopIfTrue="1">
      <formula>AND($I1579="",$H1579&lt;&gt;"")</formula>
    </cfRule>
  </conditionalFormatting>
  <conditionalFormatting sqref="J1582">
    <cfRule type="expression" priority="158" dxfId="0" stopIfTrue="1">
      <formula>AND($I1582="",$H1582&lt;&gt;"")</formula>
    </cfRule>
  </conditionalFormatting>
  <conditionalFormatting sqref="J1587">
    <cfRule type="expression" priority="157" dxfId="0" stopIfTrue="1">
      <formula>AND($I1587="",$H1587&lt;&gt;"")</formula>
    </cfRule>
  </conditionalFormatting>
  <conditionalFormatting sqref="J1592">
    <cfRule type="expression" priority="156" dxfId="0" stopIfTrue="1">
      <formula>AND($I1592="",$H1592&lt;&gt;"")</formula>
    </cfRule>
  </conditionalFormatting>
  <conditionalFormatting sqref="J1601">
    <cfRule type="expression" priority="155" dxfId="0" stopIfTrue="1">
      <formula>AND($I1601="",$H1601&lt;&gt;"")</formula>
    </cfRule>
  </conditionalFormatting>
  <conditionalFormatting sqref="J1619">
    <cfRule type="expression" priority="153" dxfId="0" stopIfTrue="1">
      <formula>AND($I1619="",$H1619&lt;&gt;"")</formula>
    </cfRule>
  </conditionalFormatting>
  <conditionalFormatting sqref="J1624">
    <cfRule type="expression" priority="152" dxfId="0" stopIfTrue="1">
      <formula>AND($I1624="",$H1624&lt;&gt;"")</formula>
    </cfRule>
  </conditionalFormatting>
  <conditionalFormatting sqref="J1635">
    <cfRule type="expression" priority="151" dxfId="0" stopIfTrue="1">
      <formula>AND($I1635="",$H1635&lt;&gt;"")</formula>
    </cfRule>
  </conditionalFormatting>
  <conditionalFormatting sqref="J1642">
    <cfRule type="expression" priority="41" dxfId="0" stopIfTrue="1">
      <formula>AND($I1642="",$H1642&lt;&gt;"")</formula>
    </cfRule>
  </conditionalFormatting>
  <conditionalFormatting sqref="J1643">
    <cfRule type="expression" priority="254" dxfId="0" stopIfTrue="1">
      <formula>AND($I1643="",$H1643&lt;&gt;"")</formula>
    </cfRule>
  </conditionalFormatting>
  <conditionalFormatting sqref="J1656">
    <cfRule type="expression" priority="148" dxfId="0" stopIfTrue="1">
      <formula>AND($I1656="",$H1656&lt;&gt;"")</formula>
    </cfRule>
  </conditionalFormatting>
  <conditionalFormatting sqref="J1665">
    <cfRule type="expression" priority="147" dxfId="0" stopIfTrue="1">
      <formula>AND($I1665="",$H1665&lt;&gt;"")</formula>
    </cfRule>
  </conditionalFormatting>
  <conditionalFormatting sqref="J1672">
    <cfRule type="expression" priority="146" dxfId="0" stopIfTrue="1">
      <formula>AND($I1672="",$H1672&lt;&gt;"")</formula>
    </cfRule>
  </conditionalFormatting>
  <conditionalFormatting sqref="J1682">
    <cfRule type="expression" priority="145" dxfId="0" stopIfTrue="1">
      <formula>AND($I1682="",$H1682&lt;&gt;"")</formula>
    </cfRule>
  </conditionalFormatting>
  <conditionalFormatting sqref="J1697">
    <cfRule type="expression" priority="143" dxfId="0" stopIfTrue="1">
      <formula>AND($I1697="",$H1697&lt;&gt;"")</formula>
    </cfRule>
  </conditionalFormatting>
  <conditionalFormatting sqref="J1700">
    <cfRule type="expression" priority="250" dxfId="0" stopIfTrue="1">
      <formula>AND($I1700="",$H1700&lt;&gt;"")</formula>
    </cfRule>
  </conditionalFormatting>
  <conditionalFormatting sqref="J1701">
    <cfRule type="expression" priority="293" dxfId="0" stopIfTrue="1">
      <formula>AND($I1701="",$H1701&lt;&gt;"")</formula>
    </cfRule>
  </conditionalFormatting>
  <conditionalFormatting sqref="J1711">
    <cfRule type="expression" priority="141" dxfId="0" stopIfTrue="1">
      <formula>AND($I1711="",$H1711&lt;&gt;"")</formula>
    </cfRule>
  </conditionalFormatting>
  <conditionalFormatting sqref="H1730:H1048576">
    <cfRule type="duplicateValues" priority="1532" dxfId="1"/>
  </conditionalFormatting>
  <conditionalFormatting sqref="J2:J12">
    <cfRule type="expression" priority="454" dxfId="0" stopIfTrue="1">
      <formula>AND($I2="",$H2&lt;&gt;"")</formula>
    </cfRule>
  </conditionalFormatting>
  <conditionalFormatting sqref="J13:J27">
    <cfRule type="expression" priority="394" dxfId="0" stopIfTrue="1">
      <formula>AND($I13="",$H13&lt;&gt;"")</formula>
    </cfRule>
  </conditionalFormatting>
  <conditionalFormatting sqref="J34:J49">
    <cfRule type="expression" priority="453" dxfId="0" stopIfTrue="1">
      <formula>AND($I34="",$H34&lt;&gt;"")</formula>
    </cfRule>
  </conditionalFormatting>
  <conditionalFormatting sqref="J50:J70">
    <cfRule type="expression" priority="452" dxfId="0" stopIfTrue="1">
      <formula>AND($I50="",$H50&lt;&gt;"")</formula>
    </cfRule>
  </conditionalFormatting>
  <conditionalFormatting sqref="J71:J72">
    <cfRule type="expression" priority="398" dxfId="0" stopIfTrue="1">
      <formula>AND($I71="",$H71&lt;&gt;"")</formula>
    </cfRule>
  </conditionalFormatting>
  <conditionalFormatting sqref="J73:J76">
    <cfRule type="expression" priority="397" dxfId="0" stopIfTrue="1">
      <formula>AND($I73="",$H73&lt;&gt;"")</formula>
    </cfRule>
  </conditionalFormatting>
  <conditionalFormatting sqref="J78:J117">
    <cfRule type="expression" priority="442" dxfId="0" stopIfTrue="1">
      <formula>AND($I78="",$H78&lt;&gt;"")</formula>
    </cfRule>
  </conditionalFormatting>
  <conditionalFormatting sqref="J118:J120">
    <cfRule type="expression" priority="451" dxfId="0" stopIfTrue="1">
      <formula>AND($I118="",$H129&lt;&gt;"")</formula>
    </cfRule>
  </conditionalFormatting>
  <conditionalFormatting sqref="J124:J126">
    <cfRule type="expression" priority="445" dxfId="0" stopIfTrue="1">
      <formula>AND($I124="",$H134&lt;&gt;"")</formula>
    </cfRule>
  </conditionalFormatting>
  <conditionalFormatting sqref="J129:J130">
    <cfRule type="expression" priority="446" dxfId="0" stopIfTrue="1">
      <formula>AND($I129="",$H139&lt;&gt;"")</formula>
    </cfRule>
  </conditionalFormatting>
  <conditionalFormatting sqref="J134:J136">
    <cfRule type="expression" priority="441" dxfId="0" stopIfTrue="1">
      <formula>AND($I134="",#REF!&lt;&gt;"")</formula>
    </cfRule>
  </conditionalFormatting>
  <conditionalFormatting sqref="J137:J138">
    <cfRule type="expression" priority="444" dxfId="0" stopIfTrue="1">
      <formula>AND($I137="",#REF!&lt;&gt;"")</formula>
    </cfRule>
  </conditionalFormatting>
  <conditionalFormatting sqref="J140:J146">
    <cfRule type="expression" priority="439" dxfId="0" stopIfTrue="1">
      <formula>AND($I140="",#REF!&lt;&gt;"")</formula>
    </cfRule>
  </conditionalFormatting>
  <conditionalFormatting sqref="J150:J157">
    <cfRule type="expression" priority="438" dxfId="0" stopIfTrue="1">
      <formula>AND($I150="",$H150&lt;&gt;"")</formula>
    </cfRule>
  </conditionalFormatting>
  <conditionalFormatting sqref="J158:J163">
    <cfRule type="expression" priority="447" dxfId="0" stopIfTrue="1">
      <formula>AND($I158="",$H157&lt;&gt;"")</formula>
    </cfRule>
  </conditionalFormatting>
  <conditionalFormatting sqref="J170:J183">
    <cfRule type="expression" priority="436" dxfId="0" stopIfTrue="1">
      <formula>AND($I170="",$H170&lt;&gt;"")</formula>
    </cfRule>
  </conditionalFormatting>
  <conditionalFormatting sqref="J181:J183">
    <cfRule type="expression" priority="437" dxfId="0" stopIfTrue="1">
      <formula>AND($I181="",$H181&lt;&gt;"")</formula>
    </cfRule>
  </conditionalFormatting>
  <conditionalFormatting sqref="J184:J186">
    <cfRule type="expression" priority="27" dxfId="0" stopIfTrue="1">
      <formula>AND($I184="",$H184&lt;&gt;"")</formula>
    </cfRule>
  </conditionalFormatting>
  <conditionalFormatting sqref="J200:J201">
    <cfRule type="expression" priority="22" dxfId="0" stopIfTrue="1">
      <formula>AND($I200="",$H200&lt;&gt;"")</formula>
    </cfRule>
  </conditionalFormatting>
  <conditionalFormatting sqref="J222:J223">
    <cfRule type="expression" priority="19" dxfId="0" stopIfTrue="1">
      <formula>AND($I222="",$H222&lt;&gt;"")</formula>
    </cfRule>
  </conditionalFormatting>
  <conditionalFormatting sqref="J295:J310">
    <cfRule type="expression" priority="18" dxfId="0" stopIfTrue="1">
      <formula>AND($I295="",$H295&lt;&gt;"")</formula>
    </cfRule>
  </conditionalFormatting>
  <conditionalFormatting sqref="J430:J433">
    <cfRule type="expression" priority="390" dxfId="0" stopIfTrue="1">
      <formula>AND($I430="",$H430&lt;&gt;"")</formula>
    </cfRule>
  </conditionalFormatting>
  <conditionalFormatting sqref="J438:J508">
    <cfRule type="expression" priority="389" dxfId="0" stopIfTrue="1">
      <formula>AND($I438="",$H438&lt;&gt;"")</formula>
    </cfRule>
  </conditionalFormatting>
  <conditionalFormatting sqref="J527:J531">
    <cfRule type="expression" priority="388" dxfId="0" stopIfTrue="1">
      <formula>AND($I527="",$H527&lt;&gt;"")</formula>
    </cfRule>
  </conditionalFormatting>
  <conditionalFormatting sqref="J532:J535">
    <cfRule type="expression" priority="387" dxfId="0" stopIfTrue="1">
      <formula>AND($I532="",$H532&lt;&gt;"")</formula>
    </cfRule>
  </conditionalFormatting>
  <conditionalFormatting sqref="J555:J567">
    <cfRule type="expression" priority="385" dxfId="0" stopIfTrue="1">
      <formula>AND($I555="",$H555&lt;&gt;"")</formula>
    </cfRule>
  </conditionalFormatting>
  <conditionalFormatting sqref="J619:J699">
    <cfRule type="expression" priority="431" dxfId="0" stopIfTrue="1">
      <formula>AND($I619="",$H619&lt;&gt;"")</formula>
    </cfRule>
  </conditionalFormatting>
  <conditionalFormatting sqref="J700:J714">
    <cfRule type="expression" priority="430" dxfId="0" stopIfTrue="1">
      <formula>AND($I700="",$H700&lt;&gt;"")</formula>
    </cfRule>
  </conditionalFormatting>
  <conditionalFormatting sqref="J766:J816">
    <cfRule type="expression" priority="417" dxfId="0" stopIfTrue="1">
      <formula>AND($I766="",#REF!&lt;&gt;"")</formula>
    </cfRule>
  </conditionalFormatting>
  <conditionalFormatting sqref="J817:J820">
    <cfRule type="expression" priority="415" dxfId="0" stopIfTrue="1">
      <formula>AND($I817="",#REF!&lt;&gt;"")</formula>
    </cfRule>
  </conditionalFormatting>
  <conditionalFormatting sqref="J821:J824">
    <cfRule type="expression" priority="414" dxfId="0" stopIfTrue="1">
      <formula>AND($I821="",#REF!&lt;&gt;"")</formula>
    </cfRule>
  </conditionalFormatting>
  <conditionalFormatting sqref="J825:J828">
    <cfRule type="expression" priority="413" dxfId="0" stopIfTrue="1">
      <formula>AND($I825="",#REF!&lt;&gt;"")</formula>
    </cfRule>
  </conditionalFormatting>
  <conditionalFormatting sqref="J829:J832">
    <cfRule type="expression" priority="412" dxfId="0" stopIfTrue="1">
      <formula>AND($I829="",#REF!&lt;&gt;"")</formula>
    </cfRule>
  </conditionalFormatting>
  <conditionalFormatting sqref="J833:J836">
    <cfRule type="expression" priority="411" dxfId="0" stopIfTrue="1">
      <formula>AND($I833="",#REF!&lt;&gt;"")</formula>
    </cfRule>
  </conditionalFormatting>
  <conditionalFormatting sqref="J837:J840">
    <cfRule type="expression" priority="410" dxfId="0" stopIfTrue="1">
      <formula>AND($I837="",#REF!&lt;&gt;"")</formula>
    </cfRule>
  </conditionalFormatting>
  <conditionalFormatting sqref="J841:J844">
    <cfRule type="expression" priority="409" dxfId="0" stopIfTrue="1">
      <formula>AND($I841="",#REF!&lt;&gt;"")</formula>
    </cfRule>
  </conditionalFormatting>
  <conditionalFormatting sqref="J845:J848">
    <cfRule type="expression" priority="408" dxfId="0" stopIfTrue="1">
      <formula>AND($I845="",#REF!&lt;&gt;"")</formula>
    </cfRule>
  </conditionalFormatting>
  <conditionalFormatting sqref="J849:J852">
    <cfRule type="expression" priority="407" dxfId="0" stopIfTrue="1">
      <formula>AND($I849="",#REF!&lt;&gt;"")</formula>
    </cfRule>
  </conditionalFormatting>
  <conditionalFormatting sqref="J853:J856">
    <cfRule type="expression" priority="406" dxfId="0" stopIfTrue="1">
      <formula>AND($I853="",#REF!&lt;&gt;"")</formula>
    </cfRule>
  </conditionalFormatting>
  <conditionalFormatting sqref="J857:J877">
    <cfRule type="expression" priority="405" dxfId="0" stopIfTrue="1">
      <formula>AND($I857="",$H857&lt;&gt;"")</formula>
    </cfRule>
  </conditionalFormatting>
  <conditionalFormatting sqref="J878:J891">
    <cfRule type="expression" priority="403" dxfId="0" stopIfTrue="1">
      <formula>AND($I878="",$H878&lt;&gt;"")</formula>
    </cfRule>
  </conditionalFormatting>
  <conditionalFormatting sqref="J894:J898">
    <cfRule type="expression" priority="382" dxfId="0" stopIfTrue="1">
      <formula>AND($I894="",$H894&lt;&gt;"")</formula>
    </cfRule>
  </conditionalFormatting>
  <conditionalFormatting sqref="J899:J901">
    <cfRule type="expression" priority="380" dxfId="0" stopIfTrue="1">
      <formula>AND($I899="",$H899&lt;&gt;"")</formula>
    </cfRule>
  </conditionalFormatting>
  <conditionalFormatting sqref="J908:J917">
    <cfRule type="expression" priority="378" dxfId="0" stopIfTrue="1">
      <formula>AND($I908="",$H908&lt;&gt;"")</formula>
    </cfRule>
  </conditionalFormatting>
  <conditionalFormatting sqref="J924:J934">
    <cfRule type="expression" priority="377" dxfId="0" stopIfTrue="1">
      <formula>AND($I924="",$H924&lt;&gt;"")</formula>
    </cfRule>
  </conditionalFormatting>
  <conditionalFormatting sqref="J935:J936">
    <cfRule type="expression" priority="245" dxfId="0" stopIfTrue="1">
      <formula>AND($I935="",$H935&lt;&gt;"")</formula>
    </cfRule>
  </conditionalFormatting>
  <conditionalFormatting sqref="J937:J938">
    <cfRule type="expression" priority="376" dxfId="0" stopIfTrue="1">
      <formula>AND($I937="",$H937&lt;&gt;"")</formula>
    </cfRule>
  </conditionalFormatting>
  <conditionalFormatting sqref="J939:J940">
    <cfRule type="expression" priority="288" dxfId="0" stopIfTrue="1">
      <formula>AND($I939="",$H939&lt;&gt;"")</formula>
    </cfRule>
  </conditionalFormatting>
  <conditionalFormatting sqref="J941:J945">
    <cfRule type="expression" priority="375" dxfId="0" stopIfTrue="1">
      <formula>AND($I941="",$H941&lt;&gt;"")</formula>
    </cfRule>
  </conditionalFormatting>
  <conditionalFormatting sqref="J948:J959">
    <cfRule type="expression" priority="374" dxfId="0" stopIfTrue="1">
      <formula>AND($I948="",$H948&lt;&gt;"")</formula>
    </cfRule>
  </conditionalFormatting>
  <conditionalFormatting sqref="J961:J962">
    <cfRule type="expression" priority="136" dxfId="0" stopIfTrue="1">
      <formula>AND($I961="",$H961&lt;&gt;"")</formula>
    </cfRule>
  </conditionalFormatting>
  <conditionalFormatting sqref="J963:J967">
    <cfRule type="expression" priority="373" dxfId="0" stopIfTrue="1">
      <formula>AND($I963="",$H963&lt;&gt;"")</formula>
    </cfRule>
  </conditionalFormatting>
  <conditionalFormatting sqref="J969:J970">
    <cfRule type="expression" priority="135" dxfId="0" stopIfTrue="1">
      <formula>AND($I969="",$H969&lt;&gt;"")</formula>
    </cfRule>
  </conditionalFormatting>
  <conditionalFormatting sqref="J973:J975">
    <cfRule type="expression" priority="286" dxfId="0" stopIfTrue="1">
      <formula>AND($I973="",$H973&lt;&gt;"")</formula>
    </cfRule>
  </conditionalFormatting>
  <conditionalFormatting sqref="J976:J978">
    <cfRule type="expression" priority="371" dxfId="0" stopIfTrue="1">
      <formula>AND($I976="",$H976&lt;&gt;"")</formula>
    </cfRule>
  </conditionalFormatting>
  <conditionalFormatting sqref="J980:J981">
    <cfRule type="expression" priority="133" dxfId="0" stopIfTrue="1">
      <formula>AND($I980="",$H980&lt;&gt;"")</formula>
    </cfRule>
  </conditionalFormatting>
  <conditionalFormatting sqref="J982:J983">
    <cfRule type="expression" priority="241" dxfId="0" stopIfTrue="1">
      <formula>AND($I982="",$H982&lt;&gt;"")</formula>
    </cfRule>
  </conditionalFormatting>
  <conditionalFormatting sqref="J984:J986">
    <cfRule type="expression" priority="132" dxfId="0" stopIfTrue="1">
      <formula>AND($I984="",$H984&lt;&gt;"")</formula>
    </cfRule>
  </conditionalFormatting>
  <conditionalFormatting sqref="J987:J996">
    <cfRule type="expression" priority="370" dxfId="0" stopIfTrue="1">
      <formula>AND($I987="",$H987&lt;&gt;"")</formula>
    </cfRule>
  </conditionalFormatting>
  <conditionalFormatting sqref="J998:J999">
    <cfRule type="expression" priority="131" dxfId="0" stopIfTrue="1">
      <formula>AND($I998="",$H998&lt;&gt;"")</formula>
    </cfRule>
  </conditionalFormatting>
  <conditionalFormatting sqref="J1000:J1003">
    <cfRule type="expression" priority="369" dxfId="0" stopIfTrue="1">
      <formula>AND($I1000="",$H1000&lt;&gt;"")</formula>
    </cfRule>
  </conditionalFormatting>
  <conditionalFormatting sqref="J1004:J1005">
    <cfRule type="expression" priority="239" dxfId="0" stopIfTrue="1">
      <formula>AND($I1004="",$H1004&lt;&gt;"")</formula>
    </cfRule>
  </conditionalFormatting>
  <conditionalFormatting sqref="J1006:J1007">
    <cfRule type="expression" priority="130" dxfId="0" stopIfTrue="1">
      <formula>AND($I1006="",$H1006&lt;&gt;"")</formula>
    </cfRule>
  </conditionalFormatting>
  <conditionalFormatting sqref="J1008:J1010">
    <cfRule type="expression" priority="285" dxfId="0" stopIfTrue="1">
      <formula>AND($I1008="",$H1008&lt;&gt;"")</formula>
    </cfRule>
  </conditionalFormatting>
  <conditionalFormatting sqref="J1011:J1013">
    <cfRule type="expression" priority="368" dxfId="0" stopIfTrue="1">
      <formula>AND($I1011="",$H1011&lt;&gt;"")</formula>
    </cfRule>
  </conditionalFormatting>
  <conditionalFormatting sqref="J1015:J1017">
    <cfRule type="expression" priority="129" dxfId="0" stopIfTrue="1">
      <formula>AND($I1015="",$H1015&lt;&gt;"")</formula>
    </cfRule>
  </conditionalFormatting>
  <conditionalFormatting sqref="J1018:J1019">
    <cfRule type="expression" priority="237" dxfId="0" stopIfTrue="1">
      <formula>AND($I1018="",$H1018&lt;&gt;"")</formula>
    </cfRule>
  </conditionalFormatting>
  <conditionalFormatting sqref="J1020:J1021">
    <cfRule type="expression" priority="128" dxfId="0" stopIfTrue="1">
      <formula>AND($I1020="",$H1020&lt;&gt;"")</formula>
    </cfRule>
  </conditionalFormatting>
  <conditionalFormatting sqref="J1023:J1024">
    <cfRule type="expression" priority="127" dxfId="0" stopIfTrue="1">
      <formula>AND($I1023="",$H1023&lt;&gt;"")</formula>
    </cfRule>
  </conditionalFormatting>
  <conditionalFormatting sqref="J1025:J1028">
    <cfRule type="expression" priority="367" dxfId="0" stopIfTrue="1">
      <formula>AND($I1025="",$H1025&lt;&gt;"")</formula>
    </cfRule>
  </conditionalFormatting>
  <conditionalFormatting sqref="J1030:J1031">
    <cfRule type="expression" priority="126" dxfId="0" stopIfTrue="1">
      <formula>AND($I1030="",$H1030&lt;&gt;"")</formula>
    </cfRule>
  </conditionalFormatting>
  <conditionalFormatting sqref="J1032:J1033">
    <cfRule type="expression" priority="234" dxfId="0" stopIfTrue="1">
      <formula>AND($I1032="",$H1032&lt;&gt;"")</formula>
    </cfRule>
  </conditionalFormatting>
  <conditionalFormatting sqref="J1034:J1035">
    <cfRule type="expression" priority="125" dxfId="0" stopIfTrue="1">
      <formula>AND($I1034="",$H1034&lt;&gt;"")</formula>
    </cfRule>
  </conditionalFormatting>
  <conditionalFormatting sqref="J1036:J1038">
    <cfRule type="expression" priority="284" dxfId="0" stopIfTrue="1">
      <formula>AND($I1036="",$H1036&lt;&gt;"")</formula>
    </cfRule>
  </conditionalFormatting>
  <conditionalFormatting sqref="J1040:J1041">
    <cfRule type="expression" priority="233" dxfId="0" stopIfTrue="1">
      <formula>AND($I1040="",$H1040&lt;&gt;"")</formula>
    </cfRule>
  </conditionalFormatting>
  <conditionalFormatting sqref="J1042:J1043">
    <cfRule type="expression" priority="124" dxfId="0" stopIfTrue="1">
      <formula>AND($I1042="",$H1042&lt;&gt;"")</formula>
    </cfRule>
  </conditionalFormatting>
  <conditionalFormatting sqref="J1044:J1045">
    <cfRule type="expression" priority="365" dxfId="0" stopIfTrue="1">
      <formula>AND($I1044="",$H1044&lt;&gt;"")</formula>
    </cfRule>
  </conditionalFormatting>
  <conditionalFormatting sqref="J1047:J1048">
    <cfRule type="expression" priority="123" dxfId="0" stopIfTrue="1">
      <formula>AND($I1047="",$H1047&lt;&gt;"")</formula>
    </cfRule>
  </conditionalFormatting>
  <conditionalFormatting sqref="J1050:J1051">
    <cfRule type="expression" priority="122" dxfId="0" stopIfTrue="1">
      <formula>AND($I1050="",$H1050&lt;&gt;"")</formula>
    </cfRule>
  </conditionalFormatting>
  <conditionalFormatting sqref="J1052:J1055">
    <cfRule type="expression" priority="364" dxfId="0" stopIfTrue="1">
      <formula>AND($I1052="",$H1052&lt;&gt;"")</formula>
    </cfRule>
  </conditionalFormatting>
  <conditionalFormatting sqref="J1056:J1057">
    <cfRule type="expression" priority="230" dxfId="0" stopIfTrue="1">
      <formula>AND($I1056="",$H1056&lt;&gt;"")</formula>
    </cfRule>
  </conditionalFormatting>
  <conditionalFormatting sqref="J1058:J1059">
    <cfRule type="expression" priority="121" dxfId="0" stopIfTrue="1">
      <formula>AND($I1058="",$H1058&lt;&gt;"")</formula>
    </cfRule>
  </conditionalFormatting>
  <conditionalFormatting sqref="J1060:J1063">
    <cfRule type="expression" priority="363" dxfId="0" stopIfTrue="1">
      <formula>AND($I1060="",$H1060&lt;&gt;"")</formula>
    </cfRule>
  </conditionalFormatting>
  <conditionalFormatting sqref="J1065:J1066">
    <cfRule type="expression" priority="120" dxfId="0" stopIfTrue="1">
      <formula>AND($I1065="",$H1065&lt;&gt;"")</formula>
    </cfRule>
  </conditionalFormatting>
  <conditionalFormatting sqref="J1067:J1070">
    <cfRule type="expression" priority="362" dxfId="0" stopIfTrue="1">
      <formula>AND($I1067="",$H1067&lt;&gt;"")</formula>
    </cfRule>
  </conditionalFormatting>
  <conditionalFormatting sqref="J1072:J1073">
    <cfRule type="expression" priority="119" dxfId="0" stopIfTrue="1">
      <formula>AND($I1072="",$H1072&lt;&gt;"")</formula>
    </cfRule>
  </conditionalFormatting>
  <conditionalFormatting sqref="J1074:J1077">
    <cfRule type="expression" priority="361" dxfId="0" stopIfTrue="1">
      <formula>AND($I1074="",$H1074&lt;&gt;"")</formula>
    </cfRule>
  </conditionalFormatting>
  <conditionalFormatting sqref="J1078:J1079">
    <cfRule type="expression" priority="227" dxfId="0" stopIfTrue="1">
      <formula>AND($I1078="",$H1078&lt;&gt;"")</formula>
    </cfRule>
  </conditionalFormatting>
  <conditionalFormatting sqref="J1080:J1081">
    <cfRule type="expression" priority="118" dxfId="0" stopIfTrue="1">
      <formula>AND($I1080="",$H1080&lt;&gt;"")</formula>
    </cfRule>
  </conditionalFormatting>
  <conditionalFormatting sqref="J1082:J1083">
    <cfRule type="expression" priority="360" dxfId="0" stopIfTrue="1">
      <formula>AND($I1082="",$H1082&lt;&gt;"")</formula>
    </cfRule>
  </conditionalFormatting>
  <conditionalFormatting sqref="J1084:J1085">
    <cfRule type="expression" priority="226" dxfId="0" stopIfTrue="1">
      <formula>AND($I1084="",$H1084&lt;&gt;"")</formula>
    </cfRule>
  </conditionalFormatting>
  <conditionalFormatting sqref="J1086:J1087">
    <cfRule type="expression" priority="117" dxfId="0" stopIfTrue="1">
      <formula>AND($I1086="",$H1086&lt;&gt;"")</formula>
    </cfRule>
  </conditionalFormatting>
  <conditionalFormatting sqref="J1088:J1089">
    <cfRule type="expression" priority="359" dxfId="0" stopIfTrue="1">
      <formula>AND($I1088="",$H1088&lt;&gt;"")</formula>
    </cfRule>
  </conditionalFormatting>
  <conditionalFormatting sqref="J1091:J1092">
    <cfRule type="expression" priority="116" dxfId="0" stopIfTrue="1">
      <formula>AND($I1091="",$H1091&lt;&gt;"")</formula>
    </cfRule>
  </conditionalFormatting>
  <conditionalFormatting sqref="J1093:J1094">
    <cfRule type="expression" priority="283" dxfId="0" stopIfTrue="1">
      <formula>AND($I1093="",$H1093&lt;&gt;"")</formula>
    </cfRule>
  </conditionalFormatting>
  <conditionalFormatting sqref="J1095:J1097">
    <cfRule type="expression" priority="224" dxfId="0" stopIfTrue="1">
      <formula>AND($I1095="",$H1095&lt;&gt;"")</formula>
    </cfRule>
  </conditionalFormatting>
  <conditionalFormatting sqref="J1098:J1100">
    <cfRule type="expression" priority="115" dxfId="0" stopIfTrue="1">
      <formula>AND($I1098="",$H1098&lt;&gt;"")</formula>
    </cfRule>
  </conditionalFormatting>
  <conditionalFormatting sqref="J1101:J1102">
    <cfRule type="expression" priority="223" dxfId="0" stopIfTrue="1">
      <formula>AND($I1101="",$H1101&lt;&gt;"")</formula>
    </cfRule>
  </conditionalFormatting>
  <conditionalFormatting sqref="J1103:J1104">
    <cfRule type="expression" priority="114" dxfId="0" stopIfTrue="1">
      <formula>AND($I1103="",$H1103&lt;&gt;"")</formula>
    </cfRule>
  </conditionalFormatting>
  <conditionalFormatting sqref="J1105:J1106">
    <cfRule type="expression" priority="222" dxfId="0" stopIfTrue="1">
      <formula>AND($I1105="",$H1105&lt;&gt;"")</formula>
    </cfRule>
  </conditionalFormatting>
  <conditionalFormatting sqref="J1107:J1108">
    <cfRule type="expression" priority="113" dxfId="0" stopIfTrue="1">
      <formula>AND($I1107="",$H1107&lt;&gt;"")</formula>
    </cfRule>
  </conditionalFormatting>
  <conditionalFormatting sqref="J1109:J1111">
    <cfRule type="expression" priority="282" dxfId="0" stopIfTrue="1">
      <formula>AND($I1109="",$H1109&lt;&gt;"")</formula>
    </cfRule>
  </conditionalFormatting>
  <conditionalFormatting sqref="J1112:J1116">
    <cfRule type="expression" priority="358" dxfId="0" stopIfTrue="1">
      <formula>AND($I1112="",$H1112&lt;&gt;"")</formula>
    </cfRule>
  </conditionalFormatting>
  <conditionalFormatting sqref="J1117:J1118">
    <cfRule type="expression" priority="221" dxfId="0" stopIfTrue="1">
      <formula>AND($I1117="",$H1117&lt;&gt;"")</formula>
    </cfRule>
  </conditionalFormatting>
  <conditionalFormatting sqref="J1119:J1120">
    <cfRule type="expression" priority="112" dxfId="0" stopIfTrue="1">
      <formula>AND($I1119="",$H1119&lt;&gt;"")</formula>
    </cfRule>
  </conditionalFormatting>
  <conditionalFormatting sqref="J1122:J1123">
    <cfRule type="expression" priority="220" dxfId="0" stopIfTrue="1">
      <formula>AND($I1122="",$H1122&lt;&gt;"")</formula>
    </cfRule>
  </conditionalFormatting>
  <conditionalFormatting sqref="J1125:J1128">
    <cfRule type="expression" priority="357" dxfId="0" stopIfTrue="1">
      <formula>AND($I1125="",$H1125&lt;&gt;"")</formula>
    </cfRule>
  </conditionalFormatting>
  <conditionalFormatting sqref="J1130:J1131">
    <cfRule type="expression" priority="110" dxfId="0" stopIfTrue="1">
      <formula>AND($I1130="",$H1130&lt;&gt;"")</formula>
    </cfRule>
  </conditionalFormatting>
  <conditionalFormatting sqref="J1132:J1135">
    <cfRule type="expression" priority="356" dxfId="0" stopIfTrue="1">
      <formula>AND($I1132="",$H1132&lt;&gt;"")</formula>
    </cfRule>
  </conditionalFormatting>
  <conditionalFormatting sqref="J1137:J1138">
    <cfRule type="expression" priority="109" dxfId="0" stopIfTrue="1">
      <formula>AND($I1137="",$H1137&lt;&gt;"")</formula>
    </cfRule>
  </conditionalFormatting>
  <conditionalFormatting sqref="J1139:J1142">
    <cfRule type="expression" priority="355" dxfId="0" stopIfTrue="1">
      <formula>AND($I1139="",$H1139&lt;&gt;"")</formula>
    </cfRule>
  </conditionalFormatting>
  <conditionalFormatting sqref="J1144:J1145">
    <cfRule type="expression" priority="108" dxfId="0" stopIfTrue="1">
      <formula>AND($I1144="",$H1144&lt;&gt;"")</formula>
    </cfRule>
  </conditionalFormatting>
  <conditionalFormatting sqref="J1147:J1150">
    <cfRule type="expression" priority="354" dxfId="0" stopIfTrue="1">
      <formula>AND($I1147="",$H1147&lt;&gt;"")</formula>
    </cfRule>
  </conditionalFormatting>
  <conditionalFormatting sqref="J1152:J1153">
    <cfRule type="expression" priority="107" dxfId="0" stopIfTrue="1">
      <formula>AND($I1152="",$H1152&lt;&gt;"")</formula>
    </cfRule>
  </conditionalFormatting>
  <conditionalFormatting sqref="J1155:J1158">
    <cfRule type="expression" priority="353" dxfId="0" stopIfTrue="1">
      <formula>AND($I1155="",$H1155&lt;&gt;"")</formula>
    </cfRule>
  </conditionalFormatting>
  <conditionalFormatting sqref="J1160:J1161">
    <cfRule type="expression" priority="106" dxfId="0" stopIfTrue="1">
      <formula>AND($I1160="",$H1160&lt;&gt;"")</formula>
    </cfRule>
  </conditionalFormatting>
  <conditionalFormatting sqref="J1162:J1165">
    <cfRule type="expression" priority="352" dxfId="0" stopIfTrue="1">
      <formula>AND($I1162="",$H1162&lt;&gt;"")</formula>
    </cfRule>
  </conditionalFormatting>
  <conditionalFormatting sqref="J1167:J1168">
    <cfRule type="expression" priority="105" dxfId="0" stopIfTrue="1">
      <formula>AND($I1167="",$H1167&lt;&gt;"")</formula>
    </cfRule>
  </conditionalFormatting>
  <conditionalFormatting sqref="J1169:J1172">
    <cfRule type="expression" priority="351" dxfId="0" stopIfTrue="1">
      <formula>AND($I1169="",$H1169&lt;&gt;"")</formula>
    </cfRule>
  </conditionalFormatting>
  <conditionalFormatting sqref="J1174:J1175">
    <cfRule type="expression" priority="104" dxfId="0" stopIfTrue="1">
      <formula>AND($I1174="",$H1174&lt;&gt;"")</formula>
    </cfRule>
  </conditionalFormatting>
  <conditionalFormatting sqref="J1176:J1177">
    <cfRule type="expression" priority="212" dxfId="0" stopIfTrue="1">
      <formula>AND($I1176="",$H1176&lt;&gt;"")</formula>
    </cfRule>
  </conditionalFormatting>
  <conditionalFormatting sqref="J1178:J1179">
    <cfRule type="expression" priority="103" dxfId="0" stopIfTrue="1">
      <formula>AND($I1178="",$H1178&lt;&gt;"")</formula>
    </cfRule>
  </conditionalFormatting>
  <conditionalFormatting sqref="J1180:J1182">
    <cfRule type="expression" priority="278" dxfId="0" stopIfTrue="1">
      <formula>AND($I1180="",$H1180&lt;&gt;"")</formula>
    </cfRule>
  </conditionalFormatting>
  <conditionalFormatting sqref="J1183:J1186">
    <cfRule type="expression" priority="350" dxfId="0" stopIfTrue="1">
      <formula>AND($I1183="",$H1183&lt;&gt;"")</formula>
    </cfRule>
  </conditionalFormatting>
  <conditionalFormatting sqref="J1187:J1188">
    <cfRule type="expression" priority="211" dxfId="0" stopIfTrue="1">
      <formula>AND($I1187="",$H1187&lt;&gt;"")</formula>
    </cfRule>
  </conditionalFormatting>
  <conditionalFormatting sqref="J1189:J1190">
    <cfRule type="expression" priority="102" dxfId="0" stopIfTrue="1">
      <formula>AND($I1189="",$H1189&lt;&gt;"")</formula>
    </cfRule>
  </conditionalFormatting>
  <conditionalFormatting sqref="J1191:J1192">
    <cfRule type="expression" priority="349" dxfId="0" stopIfTrue="1">
      <formula>AND($I1191="",$H1191&lt;&gt;"")</formula>
    </cfRule>
  </conditionalFormatting>
  <conditionalFormatting sqref="J1194:J1195">
    <cfRule type="expression" priority="101" dxfId="0" stopIfTrue="1">
      <formula>AND($I1194="",$H1194&lt;&gt;"")</formula>
    </cfRule>
  </conditionalFormatting>
  <conditionalFormatting sqref="J1196:J1199">
    <cfRule type="expression" priority="348" dxfId="0" stopIfTrue="1">
      <formula>AND($I1196="",$H1196&lt;&gt;"")</formula>
    </cfRule>
  </conditionalFormatting>
  <conditionalFormatting sqref="J1201:J1202">
    <cfRule type="expression" priority="100" dxfId="0" stopIfTrue="1">
      <formula>AND($I1201="",$H1201&lt;&gt;"")</formula>
    </cfRule>
  </conditionalFormatting>
  <conditionalFormatting sqref="J1203:J1206">
    <cfRule type="expression" priority="347" dxfId="0" stopIfTrue="1">
      <formula>AND($I1203="",$H1203&lt;&gt;"")</formula>
    </cfRule>
  </conditionalFormatting>
  <conditionalFormatting sqref="J1208:J1209">
    <cfRule type="expression" priority="99" dxfId="0" stopIfTrue="1">
      <formula>AND($I1208="",$H1208&lt;&gt;"")</formula>
    </cfRule>
  </conditionalFormatting>
  <conditionalFormatting sqref="J1210:J1213">
    <cfRule type="expression" priority="346" dxfId="0" stopIfTrue="1">
      <formula>AND($I1210="",$H1210&lt;&gt;"")</formula>
    </cfRule>
  </conditionalFormatting>
  <conditionalFormatting sqref="J1215:J1216">
    <cfRule type="expression" priority="98" dxfId="0" stopIfTrue="1">
      <formula>AND($I1215="",$H1215&lt;&gt;"")</formula>
    </cfRule>
  </conditionalFormatting>
  <conditionalFormatting sqref="J1217:J1220">
    <cfRule type="expression" priority="345" dxfId="0" stopIfTrue="1">
      <formula>AND($I1217="",$H1217&lt;&gt;"")</formula>
    </cfRule>
  </conditionalFormatting>
  <conditionalFormatting sqref="J1222:J1223">
    <cfRule type="expression" priority="97" dxfId="0" stopIfTrue="1">
      <formula>AND($I1222="",$H1222&lt;&gt;"")</formula>
    </cfRule>
  </conditionalFormatting>
  <conditionalFormatting sqref="J1224:J1227">
    <cfRule type="expression" priority="344" dxfId="0" stopIfTrue="1">
      <formula>AND($I1224="",$H1224&lt;&gt;"")</formula>
    </cfRule>
  </conditionalFormatting>
  <conditionalFormatting sqref="J1229:J1230">
    <cfRule type="expression" priority="96" dxfId="0" stopIfTrue="1">
      <formula>AND($I1229="",$H1229&lt;&gt;"")</formula>
    </cfRule>
  </conditionalFormatting>
  <conditionalFormatting sqref="J1231:J1236">
    <cfRule type="expression" priority="343" dxfId="0" stopIfTrue="1">
      <formula>AND($I1231="",$H1231&lt;&gt;"")</formula>
    </cfRule>
  </conditionalFormatting>
  <conditionalFormatting sqref="J1237:J1238">
    <cfRule type="expression" priority="204" dxfId="0" stopIfTrue="1">
      <formula>AND($I1237="",$H1237&lt;&gt;"")</formula>
    </cfRule>
  </conditionalFormatting>
  <conditionalFormatting sqref="J1239:J1240">
    <cfRule type="expression" priority="95" dxfId="0" stopIfTrue="1">
      <formula>AND($I1239="",$H1239&lt;&gt;"")</formula>
    </cfRule>
  </conditionalFormatting>
  <conditionalFormatting sqref="J1242:J1243">
    <cfRule type="expression" priority="94" dxfId="0" stopIfTrue="1">
      <formula>AND($I1242="",$H1242&lt;&gt;"")</formula>
    </cfRule>
  </conditionalFormatting>
  <conditionalFormatting sqref="J1244:J1245">
    <cfRule type="expression" priority="202" dxfId="0" stopIfTrue="1">
      <formula>AND($I1244="",$H1244&lt;&gt;"")</formula>
    </cfRule>
  </conditionalFormatting>
  <conditionalFormatting sqref="J1246:J1247">
    <cfRule type="expression" priority="93" dxfId="0" stopIfTrue="1">
      <formula>AND($I1246="",$H1246&lt;&gt;"")</formula>
    </cfRule>
  </conditionalFormatting>
  <conditionalFormatting sqref="J1248:J1249">
    <cfRule type="expression" priority="277" dxfId="0" stopIfTrue="1">
      <formula>AND($I1248="",$H1248&lt;&gt;"")</formula>
    </cfRule>
  </conditionalFormatting>
  <conditionalFormatting sqref="J1250:J1251">
    <cfRule type="expression" priority="342" dxfId="0" stopIfTrue="1">
      <formula>AND($I1250="",$H1250&lt;&gt;"")</formula>
    </cfRule>
  </conditionalFormatting>
  <conditionalFormatting sqref="J1252:J1253">
    <cfRule type="expression" priority="201" dxfId="0" stopIfTrue="1">
      <formula>AND($I1252="",$H1252&lt;&gt;"")</formula>
    </cfRule>
  </conditionalFormatting>
  <conditionalFormatting sqref="J1254:J1255">
    <cfRule type="expression" priority="92" dxfId="0" stopIfTrue="1">
      <formula>AND($I1254="",$H1254&lt;&gt;"")</formula>
    </cfRule>
  </conditionalFormatting>
  <conditionalFormatting sqref="J1257:J1258">
    <cfRule type="expression" priority="91" dxfId="0" stopIfTrue="1">
      <formula>AND($I1257="",$H1257&lt;&gt;"")</formula>
    </cfRule>
  </conditionalFormatting>
  <conditionalFormatting sqref="J1259:J1260">
    <cfRule type="expression" priority="341" dxfId="0" stopIfTrue="1">
      <formula>AND($I1259="",$H1259&lt;&gt;"")</formula>
    </cfRule>
  </conditionalFormatting>
  <conditionalFormatting sqref="J1262:J1263">
    <cfRule type="expression" priority="90" dxfId="0" stopIfTrue="1">
      <formula>AND($I1262="",$H1262&lt;&gt;"")</formula>
    </cfRule>
  </conditionalFormatting>
  <conditionalFormatting sqref="J1264:J1267">
    <cfRule type="expression" priority="340" dxfId="0" stopIfTrue="1">
      <formula>AND($I1264="",$H1264&lt;&gt;"")</formula>
    </cfRule>
  </conditionalFormatting>
  <conditionalFormatting sqref="J1269:J1270">
    <cfRule type="expression" priority="89" dxfId="0" stopIfTrue="1">
      <formula>AND($I1269="",$H1269&lt;&gt;"")</formula>
    </cfRule>
  </conditionalFormatting>
  <conditionalFormatting sqref="J1271:J1274">
    <cfRule type="expression" priority="339" dxfId="0" stopIfTrue="1">
      <formula>AND($I1271="",$H1271&lt;&gt;"")</formula>
    </cfRule>
  </conditionalFormatting>
  <conditionalFormatting sqref="J1276:J1277">
    <cfRule type="expression" priority="88" dxfId="0" stopIfTrue="1">
      <formula>AND($I1276="",$H1276&lt;&gt;"")</formula>
    </cfRule>
  </conditionalFormatting>
  <conditionalFormatting sqref="J1279:J1280">
    <cfRule type="expression" priority="87" dxfId="0" stopIfTrue="1">
      <formula>AND($I1279="",$H1279&lt;&gt;"")</formula>
    </cfRule>
  </conditionalFormatting>
  <conditionalFormatting sqref="J1281:J1282">
    <cfRule type="expression" priority="338" dxfId="0" stopIfTrue="1">
      <formula>AND($I1281="",$H1281&lt;&gt;"")</formula>
    </cfRule>
  </conditionalFormatting>
  <conditionalFormatting sqref="J1284:J1285">
    <cfRule type="expression" priority="86" dxfId="0" stopIfTrue="1">
      <formula>AND($I1284="",$H1284&lt;&gt;"")</formula>
    </cfRule>
  </conditionalFormatting>
  <conditionalFormatting sqref="J1286:J1289">
    <cfRule type="expression" priority="337" dxfId="0" stopIfTrue="1">
      <formula>AND($I1286="",$H1286&lt;&gt;"")</formula>
    </cfRule>
  </conditionalFormatting>
  <conditionalFormatting sqref="J1291:J1292">
    <cfRule type="expression" priority="85" dxfId="0" stopIfTrue="1">
      <formula>AND($I1291="",$H1291&lt;&gt;"")</formula>
    </cfRule>
  </conditionalFormatting>
  <conditionalFormatting sqref="J1293:J1297">
    <cfRule type="expression" priority="336" dxfId="0" stopIfTrue="1">
      <formula>AND($I1293="",$H1293&lt;&gt;"")</formula>
    </cfRule>
  </conditionalFormatting>
  <conditionalFormatting sqref="J1298:J1299">
    <cfRule type="expression" priority="193" dxfId="0" stopIfTrue="1">
      <formula>AND($I1298="",$H1298&lt;&gt;"")</formula>
    </cfRule>
  </conditionalFormatting>
  <conditionalFormatting sqref="J1300:J1301">
    <cfRule type="expression" priority="84" dxfId="0" stopIfTrue="1">
      <formula>AND($I1300="",$H1300&lt;&gt;"")</formula>
    </cfRule>
  </conditionalFormatting>
  <conditionalFormatting sqref="J1302:J1305">
    <cfRule type="expression" priority="335" dxfId="0" stopIfTrue="1">
      <formula>AND($I1302="",$H1302&lt;&gt;"")</formula>
    </cfRule>
  </conditionalFormatting>
  <conditionalFormatting sqref="J1307:J1308">
    <cfRule type="expression" priority="83" dxfId="0" stopIfTrue="1">
      <formula>AND($I1307="",$H1307&lt;&gt;"")</formula>
    </cfRule>
  </conditionalFormatting>
  <conditionalFormatting sqref="J1309:J1312">
    <cfRule type="expression" priority="334" dxfId="0" stopIfTrue="1">
      <formula>AND($I1309="",$H1309&lt;&gt;"")</formula>
    </cfRule>
  </conditionalFormatting>
  <conditionalFormatting sqref="J1314:J1315">
    <cfRule type="expression" priority="82" dxfId="0" stopIfTrue="1">
      <formula>AND($I1314="",$H1314&lt;&gt;"")</formula>
    </cfRule>
  </conditionalFormatting>
  <conditionalFormatting sqref="J1316:J1317">
    <cfRule type="expression" priority="333" dxfId="0" stopIfTrue="1">
      <formula>AND($I1316="",$H1316&lt;&gt;"")</formula>
    </cfRule>
  </conditionalFormatting>
  <conditionalFormatting sqref="J1319:J1320">
    <cfRule type="expression" priority="81" dxfId="0" stopIfTrue="1">
      <formula>AND($I1319="",$H1319&lt;&gt;"")</formula>
    </cfRule>
  </conditionalFormatting>
  <conditionalFormatting sqref="J1321:J1323">
    <cfRule type="expression" priority="276" dxfId="0" stopIfTrue="1">
      <formula>AND($I1321="",$H1321&lt;&gt;"")</formula>
    </cfRule>
  </conditionalFormatting>
  <conditionalFormatting sqref="J1324:J1327">
    <cfRule type="expression" priority="332" dxfId="0" stopIfTrue="1">
      <formula>AND($I1324="",$H1324&lt;&gt;"")</formula>
    </cfRule>
  </conditionalFormatting>
  <conditionalFormatting sqref="J1329:J1330">
    <cfRule type="expression" priority="80" dxfId="0" stopIfTrue="1">
      <formula>AND($I1329="",$H1329&lt;&gt;"")</formula>
    </cfRule>
  </conditionalFormatting>
  <conditionalFormatting sqref="J1332:J1333">
    <cfRule type="expression" priority="79" dxfId="0" stopIfTrue="1">
      <formula>AND($I1332="",$H1332&lt;&gt;"")</formula>
    </cfRule>
  </conditionalFormatting>
  <conditionalFormatting sqref="J1335:J1336">
    <cfRule type="expression" priority="78" dxfId="0" stopIfTrue="1">
      <formula>AND($I1335="",$H1335&lt;&gt;"")</formula>
    </cfRule>
  </conditionalFormatting>
  <conditionalFormatting sqref="J1337:J1339">
    <cfRule type="expression" priority="275" dxfId="0" stopIfTrue="1">
      <formula>AND($I1337="",$H1337&lt;&gt;"")</formula>
    </cfRule>
  </conditionalFormatting>
  <conditionalFormatting sqref="J1340:J1345">
    <cfRule type="expression" priority="331" dxfId="0" stopIfTrue="1">
      <formula>AND($I1340="",$H1340&lt;&gt;"")</formula>
    </cfRule>
  </conditionalFormatting>
  <conditionalFormatting sqref="J1347:J1348">
    <cfRule type="expression" priority="77" dxfId="0" stopIfTrue="1">
      <formula>AND($I1347="",$H1347&lt;&gt;"")</formula>
    </cfRule>
  </conditionalFormatting>
  <conditionalFormatting sqref="J1349:J1350">
    <cfRule type="expression" priority="185" dxfId="0" stopIfTrue="1">
      <formula>AND($I1349="",$H1349&lt;&gt;"")</formula>
    </cfRule>
  </conditionalFormatting>
  <conditionalFormatting sqref="J1351:J1352">
    <cfRule type="expression" priority="76" dxfId="0" stopIfTrue="1">
      <formula>AND($I1351="",$H1351&lt;&gt;"")</formula>
    </cfRule>
  </conditionalFormatting>
  <conditionalFormatting sqref="J1353:J1355">
    <cfRule type="expression" priority="274" dxfId="0" stopIfTrue="1">
      <formula>AND($I1353="",$H1353&lt;&gt;"")</formula>
    </cfRule>
  </conditionalFormatting>
  <conditionalFormatting sqref="J1356:J1359">
    <cfRule type="expression" priority="330" dxfId="0" stopIfTrue="1">
      <formula>AND($I1356="",$H1356&lt;&gt;"")</formula>
    </cfRule>
  </conditionalFormatting>
  <conditionalFormatting sqref="J1361:J1362">
    <cfRule type="expression" priority="75" dxfId="0" stopIfTrue="1">
      <formula>AND($I1361="",$H1361&lt;&gt;"")</formula>
    </cfRule>
  </conditionalFormatting>
  <conditionalFormatting sqref="J1364:J1365">
    <cfRule type="expression" priority="74" dxfId="0" stopIfTrue="1">
      <formula>AND($I1364="",$H1364&lt;&gt;"")</formula>
    </cfRule>
  </conditionalFormatting>
  <conditionalFormatting sqref="J1367:J1368">
    <cfRule type="expression" priority="73" dxfId="0" stopIfTrue="1">
      <formula>AND($I1367="",$H1367&lt;&gt;"")</formula>
    </cfRule>
  </conditionalFormatting>
  <conditionalFormatting sqref="J1369:J1370">
    <cfRule type="expression" priority="273" dxfId="0" stopIfTrue="1">
      <formula>AND($I1369="",$H1369&lt;&gt;"")</formula>
    </cfRule>
  </conditionalFormatting>
  <conditionalFormatting sqref="J1371:J1377">
    <cfRule type="expression" priority="329" dxfId="0" stopIfTrue="1">
      <formula>AND($I1371="",$H1371&lt;&gt;"")</formula>
    </cfRule>
  </conditionalFormatting>
  <conditionalFormatting sqref="J1379:J1380">
    <cfRule type="expression" priority="72" dxfId="0" stopIfTrue="1">
      <formula>AND($I1379="",$H1379&lt;&gt;"")</formula>
    </cfRule>
  </conditionalFormatting>
  <conditionalFormatting sqref="J1381:J1382">
    <cfRule type="expression" priority="180" dxfId="0" stopIfTrue="1">
      <formula>AND($I1381="",$H1381&lt;&gt;"")</formula>
    </cfRule>
  </conditionalFormatting>
  <conditionalFormatting sqref="J1383:J1384">
    <cfRule type="expression" priority="71" dxfId="0" stopIfTrue="1">
      <formula>AND($I1383="",$H1383&lt;&gt;"")</formula>
    </cfRule>
  </conditionalFormatting>
  <conditionalFormatting sqref="J1386:J1389">
    <cfRule type="expression" priority="328" dxfId="0" stopIfTrue="1">
      <formula>AND($I1386="",$H1386&lt;&gt;"")</formula>
    </cfRule>
  </conditionalFormatting>
  <conditionalFormatting sqref="J1391:J1392">
    <cfRule type="expression" priority="70" dxfId="0" stopIfTrue="1">
      <formula>AND($I1391="",$H1391&lt;&gt;"")</formula>
    </cfRule>
  </conditionalFormatting>
  <conditionalFormatting sqref="J1393:J1394">
    <cfRule type="expression" priority="178" dxfId="0" stopIfTrue="1">
      <formula>AND($I1393="",$H1393&lt;&gt;"")</formula>
    </cfRule>
  </conditionalFormatting>
  <conditionalFormatting sqref="J1395:J1396">
    <cfRule type="expression" priority="69" dxfId="0" stopIfTrue="1">
      <formula>AND($I1395="",$H1395&lt;&gt;"")</formula>
    </cfRule>
  </conditionalFormatting>
  <conditionalFormatting sqref="J1397:J1398">
    <cfRule type="expression" priority="177" dxfId="0" stopIfTrue="1">
      <formula>AND($I1397="",$H1397&lt;&gt;"")</formula>
    </cfRule>
  </conditionalFormatting>
  <conditionalFormatting sqref="J1399:J1400">
    <cfRule type="expression" priority="68" dxfId="0" stopIfTrue="1">
      <formula>AND($I1399="",$H1399&lt;&gt;"")</formula>
    </cfRule>
  </conditionalFormatting>
  <conditionalFormatting sqref="J1401:J1403">
    <cfRule type="expression" priority="271" dxfId="0" stopIfTrue="1">
      <formula>AND($I1401="",$H1401&lt;&gt;"")</formula>
    </cfRule>
  </conditionalFormatting>
  <conditionalFormatting sqref="J1404:J1408">
    <cfRule type="expression" priority="327" dxfId="0" stopIfTrue="1">
      <formula>AND($I1404="",$H1404&lt;&gt;"")</formula>
    </cfRule>
  </conditionalFormatting>
  <conditionalFormatting sqref="J1410:J1411">
    <cfRule type="expression" priority="67" dxfId="0" stopIfTrue="1">
      <formula>AND($I1410="",$H1410&lt;&gt;"")</formula>
    </cfRule>
  </conditionalFormatting>
  <conditionalFormatting sqref="J1412:J1413">
    <cfRule type="expression" priority="326" dxfId="0" stopIfTrue="1">
      <formula>AND($I1412="",$H1412&lt;&gt;"")</formula>
    </cfRule>
  </conditionalFormatting>
  <conditionalFormatting sqref="J1415:J1416">
    <cfRule type="expression" priority="66" dxfId="0" stopIfTrue="1">
      <formula>AND($I1415="",$H1415&lt;&gt;"")</formula>
    </cfRule>
  </conditionalFormatting>
  <conditionalFormatting sqref="J1417:J1418">
    <cfRule type="expression" priority="270" dxfId="0" stopIfTrue="1">
      <formula>AND($I1417="",$H1417&lt;&gt;"")</formula>
    </cfRule>
  </conditionalFormatting>
  <conditionalFormatting sqref="J1419:J1423">
    <cfRule type="expression" priority="325" dxfId="0" stopIfTrue="1">
      <formula>AND($I1419="",$H1419&lt;&gt;"")</formula>
    </cfRule>
  </conditionalFormatting>
  <conditionalFormatting sqref="J1424:J1425">
    <cfRule type="expression" priority="174" dxfId="0" stopIfTrue="1">
      <formula>AND($I1424="",$H1424&lt;&gt;"")</formula>
    </cfRule>
  </conditionalFormatting>
  <conditionalFormatting sqref="J1426:J1427">
    <cfRule type="expression" priority="65" dxfId="0" stopIfTrue="1">
      <formula>AND($I1426="",$H1426&lt;&gt;"")</formula>
    </cfRule>
  </conditionalFormatting>
  <conditionalFormatting sqref="J1429:J1430">
    <cfRule type="expression" priority="173" dxfId="0" stopIfTrue="1">
      <formula>AND($I1429="",$H1429&lt;&gt;"")</formula>
    </cfRule>
  </conditionalFormatting>
  <conditionalFormatting sqref="J1431:J1432">
    <cfRule type="expression" priority="64" dxfId="0" stopIfTrue="1">
      <formula>AND($I1431="",$H1431&lt;&gt;"")</formula>
    </cfRule>
  </conditionalFormatting>
  <conditionalFormatting sqref="J1433:J1435">
    <cfRule type="expression" priority="268" dxfId="0" stopIfTrue="1">
      <formula>AND($I1433="",$H1433&lt;&gt;"")</formula>
    </cfRule>
  </conditionalFormatting>
  <conditionalFormatting sqref="J1436:J1441">
    <cfRule type="expression" priority="324" dxfId="0" stopIfTrue="1">
      <formula>AND($I1436="",$H1436&lt;&gt;"")</formula>
    </cfRule>
  </conditionalFormatting>
  <conditionalFormatting sqref="J1443:J1444">
    <cfRule type="expression" priority="63" dxfId="0" stopIfTrue="1">
      <formula>AND($I1443="",$H1443&lt;&gt;"")</formula>
    </cfRule>
  </conditionalFormatting>
  <conditionalFormatting sqref="J1445:J1446">
    <cfRule type="expression" priority="171" dxfId="0" stopIfTrue="1">
      <formula>AND($I1445="",$H1445&lt;&gt;"")</formula>
    </cfRule>
  </conditionalFormatting>
  <conditionalFormatting sqref="J1447:J1448">
    <cfRule type="expression" priority="62" dxfId="0" stopIfTrue="1">
      <formula>AND($I1447="",$H1447&lt;&gt;"")</formula>
    </cfRule>
  </conditionalFormatting>
  <conditionalFormatting sqref="J1449:J1451">
    <cfRule type="expression" priority="267" dxfId="0" stopIfTrue="1">
      <formula>AND($I1449="",$H1449&lt;&gt;"")</formula>
    </cfRule>
  </conditionalFormatting>
  <conditionalFormatting sqref="J1452:J1456">
    <cfRule type="expression" priority="323" dxfId="0" stopIfTrue="1">
      <formula>AND($I1452="",$H1452&lt;&gt;"")</formula>
    </cfRule>
  </conditionalFormatting>
  <conditionalFormatting sqref="J1458:J1459">
    <cfRule type="expression" priority="61" dxfId="0" stopIfTrue="1">
      <formula>AND($I1458="",$H1458&lt;&gt;"")</formula>
    </cfRule>
  </conditionalFormatting>
  <conditionalFormatting sqref="J1460:J1461">
    <cfRule type="expression" priority="322" dxfId="0" stopIfTrue="1">
      <formula>AND($I1460="",$H1460&lt;&gt;"")</formula>
    </cfRule>
  </conditionalFormatting>
  <conditionalFormatting sqref="J1463:J1464">
    <cfRule type="expression" priority="60" dxfId="0" stopIfTrue="1">
      <formula>AND($I1463="",$H1463&lt;&gt;"")</formula>
    </cfRule>
  </conditionalFormatting>
  <conditionalFormatting sqref="J1465:J1466">
    <cfRule type="expression" priority="266" dxfId="0" stopIfTrue="1">
      <formula>AND($I1465="",$H1465&lt;&gt;"")</formula>
    </cfRule>
  </conditionalFormatting>
  <conditionalFormatting sqref="J1467:J1470">
    <cfRule type="expression" priority="321" dxfId="0" stopIfTrue="1">
      <formula>AND($I1467="",$H1467&lt;&gt;"")</formula>
    </cfRule>
  </conditionalFormatting>
  <conditionalFormatting sqref="J1472:J1473">
    <cfRule type="expression" priority="59" dxfId="0" stopIfTrue="1">
      <formula>AND($I1472="",$H1472&lt;&gt;"")</formula>
    </cfRule>
  </conditionalFormatting>
  <conditionalFormatting sqref="J1474:J1475">
    <cfRule type="expression" priority="320" dxfId="0" stopIfTrue="1">
      <formula>AND($I1474="",$H1474&lt;&gt;"")</formula>
    </cfRule>
  </conditionalFormatting>
  <conditionalFormatting sqref="J1476:J1478">
    <cfRule type="expression" priority="167" dxfId="0" stopIfTrue="1">
      <formula>AND($I1476="",$H1476&lt;&gt;"")</formula>
    </cfRule>
  </conditionalFormatting>
  <conditionalFormatting sqref="J1479:J1480">
    <cfRule type="expression" priority="58" dxfId="0" stopIfTrue="1">
      <formula>AND($I1479="",$H1479&lt;&gt;"")</formula>
    </cfRule>
  </conditionalFormatting>
  <conditionalFormatting sqref="J1481:J1482">
    <cfRule type="expression" priority="265" dxfId="0" stopIfTrue="1">
      <formula>AND($I1481="",$H1481&lt;&gt;"")</formula>
    </cfRule>
  </conditionalFormatting>
  <conditionalFormatting sqref="J1484:J1488">
    <cfRule type="expression" priority="319" dxfId="0" stopIfTrue="1">
      <formula>AND($I1484="",$H1484&lt;&gt;"")</formula>
    </cfRule>
  </conditionalFormatting>
  <conditionalFormatting sqref="J1490:J1493">
    <cfRule type="expression" priority="318" dxfId="0" stopIfTrue="1">
      <formula>AND($I1490="",$H1490&lt;&gt;"")</formula>
    </cfRule>
  </conditionalFormatting>
  <conditionalFormatting sqref="J1495:J1496">
    <cfRule type="expression" priority="57" dxfId="0" stopIfTrue="1">
      <formula>AND($I1495="",$H1495&lt;&gt;"")</formula>
    </cfRule>
  </conditionalFormatting>
  <conditionalFormatting sqref="J1497:J1498">
    <cfRule type="expression" priority="264" dxfId="0" stopIfTrue="1">
      <formula>AND($I1497="",$H1497&lt;&gt;"")</formula>
    </cfRule>
  </conditionalFormatting>
  <conditionalFormatting sqref="J1499:J1502">
    <cfRule type="expression" priority="317" dxfId="0" stopIfTrue="1">
      <formula>AND($I1499="",$H1499&lt;&gt;"")</formula>
    </cfRule>
  </conditionalFormatting>
  <conditionalFormatting sqref="J1504:J1505">
    <cfRule type="expression" priority="56" dxfId="0" stopIfTrue="1">
      <formula>AND($I1504="",$H1504&lt;&gt;"")</formula>
    </cfRule>
  </conditionalFormatting>
  <conditionalFormatting sqref="J1506:J1509">
    <cfRule type="expression" priority="316" dxfId="0" stopIfTrue="1">
      <formula>AND($I1506="",$H1506&lt;&gt;"")</formula>
    </cfRule>
  </conditionalFormatting>
  <conditionalFormatting sqref="J1511:J1512">
    <cfRule type="expression" priority="55" dxfId="0" stopIfTrue="1">
      <formula>AND($I1511="",$H1511&lt;&gt;"")</formula>
    </cfRule>
  </conditionalFormatting>
  <conditionalFormatting sqref="J1515:J1519">
    <cfRule type="expression" priority="315" dxfId="0" stopIfTrue="1">
      <formula>AND($I1515="",$H1515&lt;&gt;"")</formula>
    </cfRule>
  </conditionalFormatting>
  <conditionalFormatting sqref="J1520:J1521">
    <cfRule type="expression" priority="163" dxfId="0" stopIfTrue="1">
      <formula>AND($I1520="",$H1520&lt;&gt;"")</formula>
    </cfRule>
  </conditionalFormatting>
  <conditionalFormatting sqref="J1522:J1523">
    <cfRule type="expression" priority="54" dxfId="0" stopIfTrue="1">
      <formula>AND($I1522="",$H1522&lt;&gt;"")</formula>
    </cfRule>
  </conditionalFormatting>
  <conditionalFormatting sqref="J1524:J1525">
    <cfRule type="expression" priority="262" dxfId="0" stopIfTrue="1">
      <formula>AND($I1524="",$H1524&lt;&gt;"")</formula>
    </cfRule>
  </conditionalFormatting>
  <conditionalFormatting sqref="J1526:J1530">
    <cfRule type="expression" priority="314" dxfId="0" stopIfTrue="1">
      <formula>AND($I1526="",$H1526&lt;&gt;"")</formula>
    </cfRule>
  </conditionalFormatting>
  <conditionalFormatting sqref="J1531:J1532">
    <cfRule type="expression" priority="162" dxfId="0" stopIfTrue="1">
      <formula>AND($I1531="",$H1531&lt;&gt;"")</formula>
    </cfRule>
  </conditionalFormatting>
  <conditionalFormatting sqref="J1533:J1534">
    <cfRule type="expression" priority="53" dxfId="0" stopIfTrue="1">
      <formula>AND($I1533="",$H1533&lt;&gt;"")</formula>
    </cfRule>
  </conditionalFormatting>
  <conditionalFormatting sqref="J1535:J1537">
    <cfRule type="expression" priority="261" dxfId="0" stopIfTrue="1">
      <formula>AND($I1535="",$H1535&lt;&gt;"")</formula>
    </cfRule>
  </conditionalFormatting>
  <conditionalFormatting sqref="J1539:J1547">
    <cfRule type="expression" priority="313" dxfId="0" stopIfTrue="1">
      <formula>AND($I1539="",$H1539&lt;&gt;"")</formula>
    </cfRule>
  </conditionalFormatting>
  <conditionalFormatting sqref="J1549:J1550">
    <cfRule type="expression" priority="52" dxfId="0" stopIfTrue="1">
      <formula>AND($I1549="",$H1549&lt;&gt;"")</formula>
    </cfRule>
  </conditionalFormatting>
  <conditionalFormatting sqref="J1551:J1553">
    <cfRule type="expression" priority="260" dxfId="0" stopIfTrue="1">
      <formula>AND($I1551="",$H1551&lt;&gt;"")</formula>
    </cfRule>
  </conditionalFormatting>
  <conditionalFormatting sqref="J1554:J1558">
    <cfRule type="expression" priority="312" dxfId="0" stopIfTrue="1">
      <formula>AND($I1554="",$H1554&lt;&gt;"")</formula>
    </cfRule>
  </conditionalFormatting>
  <conditionalFormatting sqref="J1559:J1560">
    <cfRule type="expression" priority="160" dxfId="0" stopIfTrue="1">
      <formula>AND($I1559="",$H1559&lt;&gt;"")</formula>
    </cfRule>
  </conditionalFormatting>
  <conditionalFormatting sqref="J1561:J1562">
    <cfRule type="expression" priority="51" dxfId="0" stopIfTrue="1">
      <formula>AND($I1561="",$H1561&lt;&gt;"")</formula>
    </cfRule>
  </conditionalFormatting>
  <conditionalFormatting sqref="J1563:J1565">
    <cfRule type="expression" priority="259" dxfId="0" stopIfTrue="1">
      <formula>AND($I1563="",$H1563&lt;&gt;"")</formula>
    </cfRule>
  </conditionalFormatting>
  <conditionalFormatting sqref="J1566:J1570">
    <cfRule type="expression" priority="311" dxfId="0" stopIfTrue="1">
      <formula>AND($I1566="",$H1566&lt;&gt;"")</formula>
    </cfRule>
  </conditionalFormatting>
  <conditionalFormatting sqref="J1571:J1572">
    <cfRule type="expression" priority="159" dxfId="0" stopIfTrue="1">
      <formula>AND($I1571="",$H1571&lt;&gt;"")</formula>
    </cfRule>
  </conditionalFormatting>
  <conditionalFormatting sqref="J1573:J1574">
    <cfRule type="expression" priority="50" dxfId="0" stopIfTrue="1">
      <formula>AND($I1573="",$H1573&lt;&gt;"")</formula>
    </cfRule>
  </conditionalFormatting>
  <conditionalFormatting sqref="J1575:J1578">
    <cfRule type="expression" priority="310" dxfId="0" stopIfTrue="1">
      <formula>AND($I1575="",$H1575&lt;&gt;"")</formula>
    </cfRule>
  </conditionalFormatting>
  <conditionalFormatting sqref="J1580:J1581">
    <cfRule type="expression" priority="309" dxfId="0" stopIfTrue="1">
      <formula>AND($I1580="",$H1580&lt;&gt;"")</formula>
    </cfRule>
  </conditionalFormatting>
  <conditionalFormatting sqref="J1583:J1584">
    <cfRule type="expression" priority="49" dxfId="0" stopIfTrue="1">
      <formula>AND($I1583="",$H1583&lt;&gt;"")</formula>
    </cfRule>
  </conditionalFormatting>
  <conditionalFormatting sqref="J1585:J1586">
    <cfRule type="expression" priority="308" dxfId="0" stopIfTrue="1">
      <formula>AND($I1585="",$H1585&lt;&gt;"")</formula>
    </cfRule>
  </conditionalFormatting>
  <conditionalFormatting sqref="J1588:J1589">
    <cfRule type="expression" priority="48" dxfId="0" stopIfTrue="1">
      <formula>AND($I1588="",$H1588&lt;&gt;"")</formula>
    </cfRule>
  </conditionalFormatting>
  <conditionalFormatting sqref="J1590:J1591">
    <cfRule type="expression" priority="307" dxfId="0" stopIfTrue="1">
      <formula>AND($I1590="",$H1590&lt;&gt;"")</formula>
    </cfRule>
  </conditionalFormatting>
  <conditionalFormatting sqref="J1593:J1594">
    <cfRule type="expression" priority="47" dxfId="0" stopIfTrue="1">
      <formula>AND($I1593="",$H1593&lt;&gt;"")</formula>
    </cfRule>
  </conditionalFormatting>
  <conditionalFormatting sqref="J1595:J1596">
    <cfRule type="expression" priority="257" dxfId="0" stopIfTrue="1">
      <formula>AND($I1595="",$H1595&lt;&gt;"")</formula>
    </cfRule>
  </conditionalFormatting>
  <conditionalFormatting sqref="J1597:J1600">
    <cfRule type="expression" priority="306" dxfId="0" stopIfTrue="1">
      <formula>AND($I1597="",$H1597&lt;&gt;"")</formula>
    </cfRule>
  </conditionalFormatting>
  <conditionalFormatting sqref="J1602:J1603">
    <cfRule type="expression" priority="46" dxfId="0" stopIfTrue="1">
      <formula>AND($I1602="",$H1602&lt;&gt;"")</formula>
    </cfRule>
  </conditionalFormatting>
  <conditionalFormatting sqref="J1604:J1605">
    <cfRule type="expression" priority="305" dxfId="0" stopIfTrue="1">
      <formula>AND($I1604="",$H1604&lt;&gt;"")</formula>
    </cfRule>
  </conditionalFormatting>
  <conditionalFormatting sqref="J1606:J1608">
    <cfRule type="expression" priority="154" dxfId="0" stopIfTrue="1">
      <formula>AND($I1606="",$H1606&lt;&gt;"")</formula>
    </cfRule>
  </conditionalFormatting>
  <conditionalFormatting sqref="J1609:J1610">
    <cfRule type="expression" priority="45" dxfId="0" stopIfTrue="1">
      <formula>AND($I1609="",$H1609&lt;&gt;"")</formula>
    </cfRule>
  </conditionalFormatting>
  <conditionalFormatting sqref="J1611:J1612">
    <cfRule type="expression" priority="256" dxfId="0" stopIfTrue="1">
      <formula>AND($I1611="",$H1611&lt;&gt;"")</formula>
    </cfRule>
  </conditionalFormatting>
  <conditionalFormatting sqref="J1613:J1618">
    <cfRule type="expression" priority="304" dxfId="0" stopIfTrue="1">
      <formula>AND($I1613="",$H1613&lt;&gt;"")</formula>
    </cfRule>
  </conditionalFormatting>
  <conditionalFormatting sqref="J1620:J1621">
    <cfRule type="expression" priority="44" dxfId="0" stopIfTrue="1">
      <formula>AND($I1620="",$H1620&lt;&gt;"")</formula>
    </cfRule>
  </conditionalFormatting>
  <conditionalFormatting sqref="J1622:J1623">
    <cfRule type="expression" priority="303" dxfId="0" stopIfTrue="1">
      <formula>AND($I1622="",$H1622&lt;&gt;"")</formula>
    </cfRule>
  </conditionalFormatting>
  <conditionalFormatting sqref="J1625:J1626">
    <cfRule type="expression" priority="43" dxfId="0" stopIfTrue="1">
      <formula>AND($I1625="",$H1625&lt;&gt;"")</formula>
    </cfRule>
  </conditionalFormatting>
  <conditionalFormatting sqref="J1627:J1628">
    <cfRule type="expression" priority="255" dxfId="0" stopIfTrue="1">
      <formula>AND($I1627="",$H1627&lt;&gt;"")</formula>
    </cfRule>
  </conditionalFormatting>
  <conditionalFormatting sqref="J1629:J1634">
    <cfRule type="expression" priority="302" dxfId="0" stopIfTrue="1">
      <formula>AND($I1629="",$H1629&lt;&gt;"")</formula>
    </cfRule>
  </conditionalFormatting>
  <conditionalFormatting sqref="J1636:J1637">
    <cfRule type="expression" priority="42" dxfId="0" stopIfTrue="1">
      <formula>AND($I1636="",$H1636&lt;&gt;"")</formula>
    </cfRule>
  </conditionalFormatting>
  <conditionalFormatting sqref="J1638:J1639">
    <cfRule type="expression" priority="301" dxfId="0" stopIfTrue="1">
      <formula>AND($I1638="",$H1638&lt;&gt;"")</formula>
    </cfRule>
  </conditionalFormatting>
  <conditionalFormatting sqref="J1640:J1641">
    <cfRule type="expression" priority="150" dxfId="0" stopIfTrue="1">
      <formula>AND($I1640="",$H1640&lt;&gt;"")</formula>
    </cfRule>
  </conditionalFormatting>
  <conditionalFormatting sqref="J1644:J1647">
    <cfRule type="expression" priority="300" dxfId="0" stopIfTrue="1">
      <formula>AND($I1644="",$H1644&lt;&gt;"")</formula>
    </cfRule>
  </conditionalFormatting>
  <conditionalFormatting sqref="J1648:J1649">
    <cfRule type="expression" priority="149" dxfId="0" stopIfTrue="1">
      <formula>AND($I1648="",$H1648&lt;&gt;"")</formula>
    </cfRule>
  </conditionalFormatting>
  <conditionalFormatting sqref="J1650:J1651">
    <cfRule type="expression" priority="40" dxfId="0" stopIfTrue="1">
      <formula>AND($I1650="",$H1650&lt;&gt;"")</formula>
    </cfRule>
  </conditionalFormatting>
  <conditionalFormatting sqref="J1652:J1655">
    <cfRule type="expression" priority="299" dxfId="0" stopIfTrue="1">
      <formula>AND($I1652="",$H1652&lt;&gt;"")</formula>
    </cfRule>
  </conditionalFormatting>
  <conditionalFormatting sqref="J1657:J1658">
    <cfRule type="expression" priority="39" dxfId="0" stopIfTrue="1">
      <formula>AND($I1657="",$H1657&lt;&gt;"")</formula>
    </cfRule>
  </conditionalFormatting>
  <conditionalFormatting sqref="J1659:J1660">
    <cfRule type="expression" priority="253" dxfId="0" stopIfTrue="1">
      <formula>AND($I1659="",$H1659&lt;&gt;"")</formula>
    </cfRule>
  </conditionalFormatting>
  <conditionalFormatting sqref="J1661:J1664">
    <cfRule type="expression" priority="298" dxfId="0" stopIfTrue="1">
      <formula>AND($I1661="",$H1661&lt;&gt;"")</formula>
    </cfRule>
  </conditionalFormatting>
  <conditionalFormatting sqref="J1666:J1667">
    <cfRule type="expression" priority="38" dxfId="0" stopIfTrue="1">
      <formula>AND($I1666="",$H1666&lt;&gt;"")</formula>
    </cfRule>
  </conditionalFormatting>
  <conditionalFormatting sqref="J1668:J1671">
    <cfRule type="expression" priority="297" dxfId="0" stopIfTrue="1">
      <formula>AND($I1668="",$H1668&lt;&gt;"")</formula>
    </cfRule>
  </conditionalFormatting>
  <conditionalFormatting sqref="J1673:J1674">
    <cfRule type="expression" priority="37" dxfId="0" stopIfTrue="1">
      <formula>AND($I1673="",$H1673&lt;&gt;"")</formula>
    </cfRule>
  </conditionalFormatting>
  <conditionalFormatting sqref="J1675:J1676">
    <cfRule type="expression" priority="252" dxfId="0" stopIfTrue="1">
      <formula>AND($I1675="",$H1675&lt;&gt;"")</formula>
    </cfRule>
  </conditionalFormatting>
  <conditionalFormatting sqref="J1677:J1681">
    <cfRule type="expression" priority="296" dxfId="0" stopIfTrue="1">
      <formula>AND($I1677="",$H1677&lt;&gt;"")</formula>
    </cfRule>
  </conditionalFormatting>
  <conditionalFormatting sqref="J1683:J1684">
    <cfRule type="expression" priority="36" dxfId="0" stopIfTrue="1">
      <formula>AND($I1683="",$H1683&lt;&gt;"")</formula>
    </cfRule>
  </conditionalFormatting>
  <conditionalFormatting sqref="J1685:J1686">
    <cfRule type="expression" priority="295" dxfId="0" stopIfTrue="1">
      <formula>AND($I1685="",$H1685&lt;&gt;"")</formula>
    </cfRule>
  </conditionalFormatting>
  <conditionalFormatting sqref="J1687:J1688">
    <cfRule type="expression" priority="144" dxfId="0" stopIfTrue="1">
      <formula>AND($I1687="",$H1687&lt;&gt;"")</formula>
    </cfRule>
  </conditionalFormatting>
  <conditionalFormatting sqref="J1689:J1690">
    <cfRule type="expression" priority="35" dxfId="0" stopIfTrue="1">
      <formula>AND($I1689="",$H1689&lt;&gt;"")</formula>
    </cfRule>
  </conditionalFormatting>
  <conditionalFormatting sqref="J1691:J1692">
    <cfRule type="expression" priority="251" dxfId="0" stopIfTrue="1">
      <formula>AND($I1691="",$H1691&lt;&gt;"")</formula>
    </cfRule>
  </conditionalFormatting>
  <conditionalFormatting sqref="J1693:J1696">
    <cfRule type="expression" priority="294" dxfId="0" stopIfTrue="1">
      <formula>AND($I1693="",$H1693&lt;&gt;"")</formula>
    </cfRule>
  </conditionalFormatting>
  <conditionalFormatting sqref="J1698:J1699">
    <cfRule type="expression" priority="34" dxfId="0" stopIfTrue="1">
      <formula>AND($I1698="",$H1698&lt;&gt;"")</formula>
    </cfRule>
  </conditionalFormatting>
  <conditionalFormatting sqref="J1702:J1704">
    <cfRule type="expression" priority="142" dxfId="0" stopIfTrue="1">
      <formula>AND($I1702="",$H1702&lt;&gt;"")</formula>
    </cfRule>
  </conditionalFormatting>
  <conditionalFormatting sqref="J1705:J1706">
    <cfRule type="expression" priority="33" dxfId="0" stopIfTrue="1">
      <formula>AND($I1705="",$H1705&lt;&gt;"")</formula>
    </cfRule>
  </conditionalFormatting>
  <conditionalFormatting sqref="J1707:J1710">
    <cfRule type="expression" priority="292" dxfId="0" stopIfTrue="1">
      <formula>AND($I1707="",$H1707&lt;&gt;"")</formula>
    </cfRule>
  </conditionalFormatting>
  <conditionalFormatting sqref="J1712:J1713">
    <cfRule type="expression" priority="32" dxfId="0" stopIfTrue="1">
      <formula>AND($I1712="",$H1712&lt;&gt;"")</formula>
    </cfRule>
  </conditionalFormatting>
  <conditionalFormatting sqref="J1714:J1715">
    <cfRule type="expression" priority="291" dxfId="0" stopIfTrue="1">
      <formula>AND($I1714="",$H1714&lt;&gt;"")</formula>
    </cfRule>
  </conditionalFormatting>
  <conditionalFormatting sqref="J1716:J1717">
    <cfRule type="expression" priority="140" dxfId="0" stopIfTrue="1">
      <formula>AND($I1716="",$H1716&lt;&gt;"")</formula>
    </cfRule>
  </conditionalFormatting>
  <conditionalFormatting sqref="J1718:J1719">
    <cfRule type="expression" priority="31" dxfId="0" stopIfTrue="1">
      <formula>AND($I1718="",$H1718&lt;&gt;"")</formula>
    </cfRule>
  </conditionalFormatting>
  <conditionalFormatting sqref="J1720:J1721">
    <cfRule type="expression" priority="139" dxfId="0" stopIfTrue="1">
      <formula>AND($I1720="",$H1720&lt;&gt;"")</formula>
    </cfRule>
  </conditionalFormatting>
  <conditionalFormatting sqref="J1722:J1723">
    <cfRule type="expression" priority="30" dxfId="0" stopIfTrue="1">
      <formula>AND($I1722="",$H1722&lt;&gt;"")</formula>
    </cfRule>
  </conditionalFormatting>
  <conditionalFormatting sqref="J1724:J1725">
    <cfRule type="expression" priority="290" dxfId="0" stopIfTrue="1">
      <formula>AND($I1724="",$H1724&lt;&gt;"")</formula>
    </cfRule>
  </conditionalFormatting>
  <conditionalFormatting sqref="J1726:J1727">
    <cfRule type="expression" priority="138" dxfId="0" stopIfTrue="1">
      <formula>AND($I1726="",$H1726&lt;&gt;"")</formula>
    </cfRule>
  </conditionalFormatting>
  <conditionalFormatting sqref="J1728:J1729">
    <cfRule type="expression" priority="29" dxfId="0" stopIfTrue="1">
      <formula>AND($I1728="",$H1728&lt;&gt;"")</formula>
    </cfRule>
  </conditionalFormatting>
  <conditionalFormatting sqref="X1730:X65363">
    <cfRule type="duplicateValues" priority="1530" dxfId="1"/>
  </conditionalFormatting>
  <conditionalFormatting sqref="J121:J123 J127:J128 J132:J133">
    <cfRule type="expression" priority="443" dxfId="0" stopIfTrue="1">
      <formula>AND($I121="",#REF!&lt;&gt;"")</formula>
    </cfRule>
  </conditionalFormatting>
  <conditionalFormatting sqref="J189:J192 J195:J196 J202:J204 J206 J208:J220 J224:J294 J311:J330 J332:J333 J335:J342 J344:J374 J379:J384 J387:J391 J394:J400">
    <cfRule type="expression" priority="434" dxfId="0" stopIfTrue="1">
      <formula>AND($I189="",$H189&lt;&gt;"")</formula>
    </cfRule>
  </conditionalFormatting>
  <conditionalFormatting sqref="J401:J411 J421:J423">
    <cfRule type="expression" priority="393" dxfId="0" stopIfTrue="1">
      <formula>AND($I401="",$H401&lt;&gt;"")</formula>
    </cfRule>
  </conditionalFormatting>
  <conditionalFormatting sqref="J536:J537 J544 J546 J548:J553">
    <cfRule type="expression" priority="386" dxfId="0" stopIfTrue="1">
      <formula>AND($I536="",$H536&lt;&gt;"")</formula>
    </cfRule>
  </conditionalFormatting>
  <conditionalFormatting sqref="J545 J547 J554 J568:J581 J583:J584 J588:J589 J592:J618">
    <cfRule type="expression" priority="395" dxfId="0" stopIfTrue="1">
      <formula>AND($I545="",$H545&lt;&gt;"")</formula>
    </cfRule>
  </conditionalFormatting>
  <conditionalFormatting sqref="J582 J585:J587 J590:J591">
    <cfRule type="expression" priority="384" dxfId="0" stopIfTrue="1">
      <formula>AND($I582="",$H582&lt;&gt;"")</formula>
    </cfRule>
  </conditionalFormatting>
  <conditionalFormatting sqref="J727:J729 J731:J737 J739:J765">
    <cfRule type="expression" priority="416" dxfId="0" stopIfTrue="1">
      <formula>AND($I727="",$H727&lt;&gt;"")</formula>
    </cfRule>
  </conditionalFormatting>
  <conditionalFormatting sqref="J878 J880:J890">
    <cfRule type="expression" priority="404" dxfId="0" stopIfTrue="1">
      <formula>AND($I878="",$H878&lt;&gt;"")</formula>
    </cfRule>
  </conditionalFormatting>
  <dataValidations count="1">
    <dataValidation sqref="I2:I27 I34:I147 I149:I163 I170:I197 I200:I234 I236:I330 I332:I411 I421:I425 I430:I433 I438:I508 I527:I537 I544:I722 I724:I901 I908:I917 I923:I1729 AA785:AA786 AA791:AA792 AA1489 AA1538" showDropDown="0" showInputMessage="1" showErrorMessage="1" allowBlank="1" type="list">
      <formula1>"ILF,EIF,EI,EO,EQ"</formula1>
    </dataValidation>
  </dataValidations>
  <pageMargins left="0.75" right="0.75" top="1" bottom="1" header="0.5" footer="0.5"/>
  <pageSetup orientation="portrait" paperSize="9" scale="27" horizontalDpi="600" verticalDpi="600"/>
  <headerFooter alignWithMargins="0">
    <oddHeader>&amp;L&amp;G&amp;C超级邮箱应用软件功能点调查表(0422)&amp;R内部公开</oddHeader>
    <oddFooter>&amp;L&amp;D&amp;C华为机密，未经许可不得扩散&amp;R第&amp;P页，共&amp;N页</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3">
    <outlinePr summaryBelow="1" summaryRight="1"/>
    <pageSetUpPr/>
  </sheetPr>
  <dimension ref="A2:L104"/>
  <sheetViews>
    <sheetView workbookViewId="0">
      <selection activeCell="F14" sqref="F14"/>
    </sheetView>
  </sheetViews>
  <sheetFormatPr baseColWidth="8" defaultColWidth="9" defaultRowHeight="12"/>
  <cols>
    <col width="4.5" customWidth="1" style="12" min="1" max="1"/>
    <col width="18" customWidth="1" style="12" min="2" max="2"/>
    <col width="77.5" customWidth="1" style="12" min="3" max="3"/>
    <col width="9.25" customWidth="1" style="12" min="4" max="4"/>
    <col width="8.25" customWidth="1" style="12" min="5" max="5"/>
    <col width="11.875" customWidth="1" style="12" min="6" max="6"/>
    <col width="9" customWidth="1" style="12" min="7" max="7"/>
    <col width="9.5" customWidth="1" style="12" min="8" max="8"/>
    <col width="9" customWidth="1" style="12" min="9" max="16384"/>
  </cols>
  <sheetData>
    <row r="2" customFormat="1" s="12">
      <c r="A2" s="14" t="inlineStr">
        <is>
          <t>VAF计算表</t>
        </is>
      </c>
      <c r="B2" s="15" t="n"/>
      <c r="C2" s="15" t="n"/>
      <c r="D2" s="15" t="n"/>
      <c r="E2" s="15" t="n"/>
      <c r="F2" s="16" t="n"/>
    </row>
    <row r="3" ht="14.4" customFormat="1" customHeight="1" s="12">
      <c r="A3" s="17" t="inlineStr">
        <is>
          <t>通用系统特征</t>
        </is>
      </c>
      <c r="B3" s="18" t="n"/>
      <c r="C3" s="17" t="inlineStr">
        <is>
          <t>描述</t>
        </is>
      </c>
      <c r="D3" s="17" t="inlineStr">
        <is>
          <t>权重Wi</t>
        </is>
      </c>
      <c r="E3" s="17" t="inlineStr">
        <is>
          <t>得分Fi</t>
        </is>
      </c>
      <c r="F3" s="17" t="inlineStr">
        <is>
          <t>加权值Wi*Fi</t>
        </is>
      </c>
    </row>
    <row r="4" ht="24" customFormat="1" customHeight="1" s="12">
      <c r="A4" s="19" t="inlineStr">
        <is>
          <t>G1</t>
        </is>
      </c>
      <c r="B4" s="20" t="inlineStr">
        <is>
          <t>系统性能</t>
        </is>
      </c>
      <c r="C4" s="21" t="inlineStr">
        <is>
          <t>系统性能是结合应用系统在满足性能指标的情况下对计算机资源的利用程度（CPU的利用率）以及对事务处理的相应时间进行综合判别</t>
        </is>
      </c>
      <c r="D4" s="22" t="n">
        <v>0.15</v>
      </c>
      <c r="E4" s="23">
        <f>D18</f>
        <v/>
      </c>
      <c r="F4" s="23">
        <f>E4*D4</f>
        <v/>
      </c>
    </row>
    <row r="5" customFormat="1" s="12">
      <c r="A5" s="24" t="inlineStr">
        <is>
          <t>G2</t>
        </is>
      </c>
      <c r="B5" s="20" t="inlineStr">
        <is>
          <t>应用云化</t>
        </is>
      </c>
      <c r="C5" s="21" t="inlineStr">
        <is>
          <t>应用云化部署主要是体现系统部署方式和提供应用服务的状态</t>
        </is>
      </c>
      <c r="D5" s="22" t="n">
        <v>0.15</v>
      </c>
      <c r="E5" s="23">
        <f>D34</f>
        <v/>
      </c>
      <c r="F5" s="23">
        <f>E5*D5</f>
        <v/>
      </c>
    </row>
    <row r="6" customFormat="1" s="12">
      <c r="A6" s="24" t="inlineStr">
        <is>
          <t>G3</t>
        </is>
      </c>
      <c r="B6" s="20" t="inlineStr">
        <is>
          <t>易修改性</t>
        </is>
      </c>
      <c r="C6" s="21" t="inlineStr">
        <is>
          <t>易修改性描述了业务规则、业务流程、展现形式对修改处理逻辑或数据结构的难易程度的影响</t>
        </is>
      </c>
      <c r="D6" s="22" t="n">
        <v>0.1</v>
      </c>
      <c r="E6" s="23">
        <f>D54</f>
        <v/>
      </c>
      <c r="F6" s="23">
        <f>E6*D6</f>
        <v/>
      </c>
    </row>
    <row r="7" customFormat="1" s="12">
      <c r="A7" s="19" t="inlineStr">
        <is>
          <t>G4</t>
        </is>
      </c>
      <c r="B7" s="20" t="inlineStr">
        <is>
          <t>可靠性</t>
        </is>
      </c>
      <c r="C7" s="25" t="inlineStr">
        <is>
          <t>可靠性描述了应用系统在软硬件方面对潜在故障的备份、应急和容灾等应对措施的完善程度</t>
        </is>
      </c>
      <c r="D7" s="22" t="n">
        <v>0.1</v>
      </c>
      <c r="E7" s="23">
        <f>D62</f>
        <v/>
      </c>
      <c r="F7" s="23">
        <f>E7*D7</f>
        <v/>
      </c>
    </row>
    <row r="8" customFormat="1" s="12">
      <c r="A8" s="24" t="inlineStr">
        <is>
          <t>G5</t>
        </is>
      </c>
      <c r="B8" s="20" t="inlineStr">
        <is>
          <t>用户体验</t>
        </is>
      </c>
      <c r="C8" s="21" t="inlineStr">
        <is>
          <t>用户体验描述了应用系统中为提高用户易用性和界面亲和性而采用的技术</t>
        </is>
      </c>
      <c r="D8" s="22" t="n">
        <v>0.1</v>
      </c>
      <c r="E8" s="23">
        <f>D69</f>
        <v/>
      </c>
      <c r="F8" s="23">
        <f>E8*D8</f>
        <v/>
      </c>
    </row>
    <row r="9" ht="31.9" customFormat="1" customHeight="1" s="12">
      <c r="A9" s="24" t="inlineStr">
        <is>
          <t>G6</t>
        </is>
      </c>
      <c r="B9" s="20" t="inlineStr">
        <is>
          <t>架构合理性</t>
        </is>
      </c>
      <c r="C9" s="21" t="inlineStr">
        <is>
          <t>架构合理性描述了应用系统耦合与开放的整体架构、功能模块耦合度、协议、接口开放程度和标准程度对应用系统开发的影响程度。</t>
        </is>
      </c>
      <c r="D9" s="22" t="n">
        <v>0.1</v>
      </c>
      <c r="E9" s="23">
        <f>D78</f>
        <v/>
      </c>
      <c r="F9" s="23">
        <f>E9*D9</f>
        <v/>
      </c>
      <c r="G9" s="12" t="inlineStr">
        <is>
          <t>无法证明接口开放程度高，且仅能运等系统才会高开放</t>
        </is>
      </c>
    </row>
    <row r="10" ht="31.9" customFormat="1" customHeight="1" s="12">
      <c r="A10" s="24" t="inlineStr">
        <is>
          <t>G7</t>
        </is>
      </c>
      <c r="B10" s="26" t="inlineStr">
        <is>
          <t>处理复杂性</t>
        </is>
      </c>
      <c r="C10" s="21" t="inlineStr">
        <is>
          <t>处理复杂性描述处理逻辑（主要是计算操作）的复杂程度对应用系统开发的影响程度</t>
        </is>
      </c>
      <c r="D10" s="22" t="n">
        <v>0.05</v>
      </c>
      <c r="E10" s="23">
        <f>D86</f>
        <v/>
      </c>
      <c r="F10" s="23">
        <f>E10*D10</f>
        <v/>
      </c>
    </row>
    <row r="11" ht="36" customFormat="1" customHeight="1" s="12">
      <c r="A11" s="24" t="inlineStr">
        <is>
          <t>G8</t>
        </is>
      </c>
      <c r="B11" s="20" t="inlineStr">
        <is>
          <t>安全性</t>
        </is>
      </c>
      <c r="C11" s="21" t="inlineStr">
        <is>
          <t>安全性描述了应用系统所采用的保障系统安全的相关举措，包括访问安全（权限控制、身份验证、网络分段）、数据安全（操作日志、数据备份、数据加密）、通信安全（SSL策略、CA认证、加密传输和验证）和异常告警（实时告警、告警日志）</t>
        </is>
      </c>
      <c r="D11" s="22" t="n">
        <v>0.05</v>
      </c>
      <c r="E11" s="23">
        <f>D94</f>
        <v/>
      </c>
      <c r="F11" s="23">
        <f>E11*D11</f>
        <v/>
      </c>
    </row>
    <row r="12" customFormat="1" s="12">
      <c r="A12" s="24" t="inlineStr">
        <is>
          <t>G9</t>
        </is>
      </c>
      <c r="B12" s="26" t="inlineStr">
        <is>
          <t>事务处理量</t>
        </is>
      </c>
      <c r="C12" s="21" t="inlineStr">
        <is>
          <t>事务处理量衡量的是应用系统的分类。</t>
        </is>
      </c>
      <c r="D12" s="22" t="n">
        <v>0.05</v>
      </c>
      <c r="E12" s="23">
        <f>D102</f>
        <v/>
      </c>
      <c r="F12" s="23">
        <f>E12*D12</f>
        <v/>
      </c>
    </row>
    <row r="13" customFormat="1" s="12">
      <c r="A13" s="27" t="inlineStr">
        <is>
          <t xml:space="preserve">调整系数值：VAF = 0.65 + 0.14*∑Wi Fi =           </t>
        </is>
      </c>
      <c r="B13" s="28" t="n"/>
      <c r="C13" s="28" t="n"/>
      <c r="D13" s="28" t="n"/>
      <c r="E13" s="29" t="n"/>
      <c r="F13" s="146">
        <f>0.65+0.14*SUM(F4:F12)</f>
        <v/>
      </c>
    </row>
    <row r="14" customFormat="1" s="12">
      <c r="A14" s="31" t="n"/>
      <c r="B14" s="31" t="n"/>
      <c r="C14" s="31" t="n"/>
      <c r="D14" s="31" t="n"/>
      <c r="E14" s="31" t="n"/>
      <c r="F14" s="32" t="n"/>
    </row>
    <row r="15" customFormat="1" s="12">
      <c r="A15" s="31" t="n"/>
      <c r="B15" s="31" t="n"/>
      <c r="C15" s="31" t="n"/>
      <c r="D15" s="31" t="n"/>
      <c r="E15" s="31" t="n"/>
      <c r="F15" s="32" t="n"/>
    </row>
    <row r="16" customFormat="1" s="12">
      <c r="B16" s="31" t="n"/>
      <c r="C16" s="31" t="n"/>
    </row>
    <row r="17" customFormat="1" s="12">
      <c r="A17" s="33" t="inlineStr">
        <is>
          <t>序号</t>
        </is>
      </c>
      <c r="B17" s="34" t="inlineStr">
        <is>
          <t>系统类型</t>
        </is>
      </c>
      <c r="C17" s="35" t="inlineStr">
        <is>
          <t xml:space="preserve">系统性能 </t>
        </is>
      </c>
      <c r="D17" s="36" t="inlineStr">
        <is>
          <t>得分</t>
        </is>
      </c>
      <c r="F17" s="37" t="n"/>
      <c r="H17" s="37" t="n"/>
    </row>
    <row r="18" ht="28.9" customFormat="1" customHeight="1" s="12">
      <c r="A18" s="38" t="inlineStr">
        <is>
          <t>G1</t>
        </is>
      </c>
      <c r="B18" s="39" t="inlineStr">
        <is>
          <t>OLAP/OLTP</t>
        </is>
      </c>
      <c r="C18" s="40" t="n"/>
      <c r="D18" s="41" t="n">
        <v>2</v>
      </c>
      <c r="H18" s="42" t="n"/>
      <c r="I18" s="42" t="n"/>
      <c r="J18" s="42" t="n"/>
      <c r="K18" s="42" t="n"/>
      <c r="L18" s="42" t="n"/>
    </row>
    <row r="19" customFormat="1" s="12">
      <c r="A19" s="43" t="n"/>
      <c r="C19" s="44" t="n"/>
      <c r="D19" s="45" t="n"/>
      <c r="F19" s="37" t="n"/>
      <c r="G19" s="42" t="n"/>
      <c r="H19" s="46" t="n"/>
      <c r="I19" s="46" t="n"/>
      <c r="J19" s="46" t="n"/>
      <c r="K19" s="46" t="n"/>
      <c r="L19" s="46" t="n"/>
    </row>
    <row r="20" customFormat="1" s="12">
      <c r="A20" s="43" t="n"/>
      <c r="C20" s="44" t="n"/>
      <c r="D20" s="45" t="n"/>
      <c r="G20" s="42" t="n"/>
      <c r="H20" s="46" t="n"/>
      <c r="I20" s="46" t="n"/>
      <c r="J20" s="46" t="n"/>
      <c r="K20" s="46" t="n"/>
      <c r="L20" s="46" t="n"/>
    </row>
    <row r="21" customFormat="1" s="12">
      <c r="A21" s="43" t="n"/>
      <c r="C21" s="44" t="n"/>
      <c r="D21" s="45" t="n"/>
      <c r="G21" s="42" t="n"/>
      <c r="H21" s="46" t="n"/>
      <c r="I21" s="46" t="n"/>
      <c r="J21" s="46" t="n"/>
      <c r="K21" s="46" t="n"/>
      <c r="L21" s="46" t="n"/>
    </row>
    <row r="22" customFormat="1" s="12">
      <c r="A22" s="43" t="n"/>
      <c r="C22" s="44" t="n"/>
      <c r="D22" s="45" t="n"/>
      <c r="G22" s="42" t="n"/>
      <c r="H22" s="46" t="n"/>
      <c r="I22" s="46" t="n"/>
      <c r="J22" s="46" t="n"/>
      <c r="K22" s="46" t="n"/>
      <c r="L22" s="46" t="n"/>
    </row>
    <row r="23" ht="16.15" customFormat="1" customHeight="1" s="12">
      <c r="A23" s="43" t="n"/>
      <c r="C23" s="44" t="n"/>
      <c r="D23" s="45" t="n"/>
      <c r="E23" s="31" t="n"/>
      <c r="G23" s="42" t="n"/>
      <c r="H23" s="46" t="n"/>
      <c r="I23" s="46" t="n"/>
      <c r="J23" s="46" t="n"/>
      <c r="K23" s="46" t="n"/>
      <c r="L23" s="46" t="n"/>
    </row>
    <row r="24" customFormat="1" s="12">
      <c r="A24" s="43" t="n"/>
      <c r="C24" s="44" t="n"/>
      <c r="D24" s="45" t="n"/>
      <c r="E24" s="31" t="n"/>
      <c r="F24" s="32" t="n"/>
    </row>
    <row r="25" customFormat="1" s="12">
      <c r="A25" s="43" t="n"/>
      <c r="C25" s="44" t="n"/>
      <c r="D25" s="45" t="n"/>
      <c r="E25" s="31" t="n"/>
      <c r="F25" s="32" t="n"/>
    </row>
    <row r="26" customFormat="1" s="12">
      <c r="A26" s="43" t="n"/>
      <c r="C26" s="44" t="n"/>
      <c r="D26" s="45" t="n"/>
      <c r="E26" s="31" t="n"/>
      <c r="F26" s="32" t="n"/>
    </row>
    <row r="27" ht="22.9" customFormat="1" customHeight="1" s="12">
      <c r="A27" s="47" t="n"/>
      <c r="B27" s="28" t="n"/>
      <c r="C27" s="48" t="n"/>
      <c r="D27" s="29" t="n"/>
    </row>
    <row r="33" customFormat="1" s="13">
      <c r="A33" s="36" t="inlineStr">
        <is>
          <t>序号</t>
        </is>
      </c>
      <c r="B33" s="49" t="inlineStr">
        <is>
          <t>分值</t>
        </is>
      </c>
      <c r="C33" s="50" t="inlineStr">
        <is>
          <t>应用云化 确定影响度的描述</t>
        </is>
      </c>
      <c r="D33" s="36" t="inlineStr">
        <is>
          <t>得分</t>
        </is>
      </c>
    </row>
    <row r="34" customFormat="1" s="12">
      <c r="A34" s="51" t="inlineStr">
        <is>
          <t>G2</t>
        </is>
      </c>
      <c r="B34" s="23" t="n">
        <v>0</v>
      </c>
      <c r="C34" s="52" t="inlineStr">
        <is>
          <t>应用只能物理环境下部署</t>
        </is>
      </c>
      <c r="D34" s="51" t="n">
        <v>4</v>
      </c>
    </row>
    <row r="35" customFormat="1" s="12">
      <c r="A35" s="53" t="n"/>
      <c r="B35" s="23" t="n">
        <v>1</v>
      </c>
      <c r="C35" s="52" t="inlineStr">
        <is>
          <t>应用有状态，可在虚拟环境下部署</t>
        </is>
      </c>
      <c r="D35" s="53" t="n"/>
    </row>
    <row r="36" customFormat="1" s="12">
      <c r="A36" s="53" t="n"/>
      <c r="B36" s="23" t="n">
        <v>2</v>
      </c>
      <c r="C36" s="52" t="inlineStr">
        <is>
          <t>应用有状态，可分布式部署</t>
        </is>
      </c>
      <c r="D36" s="53" t="n"/>
    </row>
    <row r="37" customFormat="1" s="12">
      <c r="A37" s="53" t="n"/>
      <c r="B37" s="23" t="n">
        <v>3</v>
      </c>
      <c r="C37" s="52" t="inlineStr">
        <is>
          <t>应用无状态，可分布式部署且部分应用微服务化</t>
        </is>
      </c>
      <c r="D37" s="53" t="n"/>
    </row>
    <row r="38" customFormat="1" s="12">
      <c r="A38" s="53" t="n"/>
      <c r="B38" s="23" t="n">
        <v>4</v>
      </c>
      <c r="C38" s="52" t="inlineStr">
        <is>
          <t>应用无状态，可分布式部署且应用全微服务化</t>
        </is>
      </c>
      <c r="D38" s="53" t="n"/>
    </row>
    <row r="39" customFormat="1" s="12">
      <c r="A39" s="54" t="n"/>
      <c r="B39" s="23" t="n">
        <v>5</v>
      </c>
      <c r="C39" s="52" t="inlineStr">
        <is>
          <t>敏态应用全微服务化</t>
        </is>
      </c>
      <c r="D39" s="54" t="n"/>
    </row>
    <row r="41" customFormat="1" s="13">
      <c r="A41" s="36" t="inlineStr">
        <is>
          <t>序号</t>
        </is>
      </c>
      <c r="B41" s="49" t="inlineStr">
        <is>
          <t>权重</t>
        </is>
      </c>
      <c r="C41" s="50" t="inlineStr">
        <is>
          <t>易修改性 确定影响度的描述</t>
        </is>
      </c>
      <c r="D41" s="36" t="inlineStr">
        <is>
          <t>总计</t>
        </is>
      </c>
    </row>
    <row r="42" customFormat="1" s="12">
      <c r="A42" s="51" t="inlineStr">
        <is>
          <t>G3</t>
        </is>
      </c>
      <c r="B42" s="55" t="inlineStr">
        <is>
          <t>业务规则的修改</t>
        </is>
      </c>
      <c r="C42" s="16" t="n"/>
      <c r="D42" s="51" t="n">
        <v>1</v>
      </c>
    </row>
    <row r="43" customFormat="1" s="12">
      <c r="A43" s="53" t="n"/>
      <c r="B43" s="23" t="n">
        <v>1</v>
      </c>
      <c r="C43" s="52" t="inlineStr">
        <is>
          <t>业务规则参数可以用户自己修改（作为1 项计数）</t>
        </is>
      </c>
      <c r="D43" s="53" t="n"/>
    </row>
    <row r="44" customFormat="1" s="12">
      <c r="A44" s="53" t="n"/>
      <c r="B44" s="23" t="n">
        <v>2</v>
      </c>
      <c r="C44" s="52" t="inlineStr">
        <is>
          <t>用户能进行简单的业务规则自定义（作为2 项计数）</t>
        </is>
      </c>
      <c r="D44" s="53" t="n"/>
    </row>
    <row r="45" customFormat="1" s="12">
      <c r="A45" s="53" t="n"/>
      <c r="B45" s="23" t="n">
        <v>3</v>
      </c>
      <c r="C45" s="52" t="inlineStr">
        <is>
          <t>用户能进行复杂的业务规则自定义（作为3 项计数）</t>
        </is>
      </c>
      <c r="D45" s="54" t="n"/>
    </row>
    <row r="46" customFormat="1" s="12">
      <c r="A46" s="53" t="n"/>
      <c r="B46" s="55" t="inlineStr">
        <is>
          <t>业务流程的自动化</t>
        </is>
      </c>
      <c r="C46" s="16" t="n"/>
      <c r="D46" s="51" t="n">
        <v>1</v>
      </c>
    </row>
    <row r="47" customFormat="1" s="12">
      <c r="A47" s="53" t="n"/>
      <c r="B47" s="23" t="n">
        <v>1</v>
      </c>
      <c r="C47" s="52" t="inlineStr">
        <is>
          <t>业务流程可以借助流程引擎自动实现（作为1 项计数）</t>
        </is>
      </c>
      <c r="D47" s="53" t="n"/>
    </row>
    <row r="48" customFormat="1" s="12">
      <c r="A48" s="53" t="n"/>
      <c r="B48" s="23" t="n">
        <v>2</v>
      </c>
      <c r="C48" s="52" t="inlineStr">
        <is>
          <t>业务流程可自定义（作为2 项计数）</t>
        </is>
      </c>
      <c r="D48" s="54" t="n"/>
    </row>
    <row r="49" customFormat="1" s="13">
      <c r="A49" s="53" t="n"/>
      <c r="B49" s="55" t="inlineStr">
        <is>
          <t>展现形式的个性化</t>
        </is>
      </c>
      <c r="C49" s="16" t="n"/>
      <c r="D49" s="51" t="n">
        <v>1</v>
      </c>
    </row>
    <row r="50" customFormat="1" s="12">
      <c r="A50" s="53" t="n"/>
      <c r="B50" s="23" t="n">
        <v>1</v>
      </c>
      <c r="C50" s="52" t="inlineStr">
        <is>
          <t>可以自定义查询（作为1 项计数）</t>
        </is>
      </c>
      <c r="D50" s="53" t="n"/>
    </row>
    <row r="51" customFormat="1" s="12">
      <c r="A51" s="53" t="n"/>
      <c r="B51" s="23" t="n">
        <v>2</v>
      </c>
      <c r="C51" s="52" t="inlineStr">
        <is>
          <t>对查询结果或者报表以图形化展示（作为1 项计数）</t>
        </is>
      </c>
      <c r="D51" s="53" t="n"/>
    </row>
    <row r="52" customFormat="1" s="12">
      <c r="A52" s="53" t="n"/>
      <c r="B52" s="23" t="n">
        <v>3</v>
      </c>
      <c r="C52" s="52" t="inlineStr">
        <is>
          <t>对查询结果或者报表以图形化的自由拖拽，自定义要获取的数据及表现形式（作为2 项计数）</t>
        </is>
      </c>
      <c r="D52" s="54" t="n"/>
    </row>
    <row r="53" customFormat="1" s="12">
      <c r="A53" s="53" t="n"/>
      <c r="B53" s="56" t="inlineStr">
        <is>
          <t>分值</t>
        </is>
      </c>
      <c r="C53" s="50" t="inlineStr">
        <is>
          <t>确定影响度的描述</t>
        </is>
      </c>
      <c r="D53" s="36" t="inlineStr">
        <is>
          <t>得分</t>
        </is>
      </c>
    </row>
    <row r="54" customFormat="1" s="12">
      <c r="A54" s="53" t="n"/>
      <c r="B54" s="57" t="n">
        <v>0</v>
      </c>
      <c r="C54" s="52" t="inlineStr">
        <is>
          <t>以上所有中的一个及以下项目</t>
        </is>
      </c>
      <c r="D54" s="51" t="n">
        <v>2</v>
      </c>
    </row>
    <row r="55" customFormat="1" s="12">
      <c r="A55" s="53" t="n"/>
      <c r="B55" s="57" t="n">
        <v>1</v>
      </c>
      <c r="C55" s="52" t="inlineStr">
        <is>
          <t>以上所有中的两个项目</t>
        </is>
      </c>
      <c r="D55" s="53" t="n"/>
    </row>
    <row r="56" customFormat="1" s="12">
      <c r="A56" s="53" t="n"/>
      <c r="B56" s="57" t="n">
        <v>2</v>
      </c>
      <c r="C56" s="52" t="inlineStr">
        <is>
          <t>以上所有中的三个项目</t>
        </is>
      </c>
      <c r="D56" s="53" t="n"/>
    </row>
    <row r="57" customFormat="1" s="13">
      <c r="A57" s="53" t="n"/>
      <c r="B57" s="57" t="n">
        <v>3</v>
      </c>
      <c r="C57" s="52" t="inlineStr">
        <is>
          <t>以上所有中的四个或者五个项目</t>
        </is>
      </c>
      <c r="D57" s="53" t="n"/>
    </row>
    <row r="58" customFormat="1" s="12">
      <c r="A58" s="53" t="n"/>
      <c r="B58" s="57" t="n">
        <v>4</v>
      </c>
      <c r="C58" s="52" t="inlineStr">
        <is>
          <t>以上所有中的六个项目</t>
        </is>
      </c>
      <c r="D58" s="53" t="n"/>
    </row>
    <row r="59" customFormat="1" s="12">
      <c r="A59" s="54" t="n"/>
      <c r="B59" s="57" t="n">
        <v>5</v>
      </c>
      <c r="C59" s="52" t="inlineStr">
        <is>
          <t>以上所有中的七个项目</t>
        </is>
      </c>
      <c r="D59" s="54" t="n"/>
    </row>
    <row r="60" customFormat="1" s="12">
      <c r="A60" s="58" t="n"/>
      <c r="B60" s="59" t="n"/>
      <c r="C60" s="60" t="n"/>
      <c r="D60" s="58" t="n"/>
    </row>
    <row r="61" customFormat="1" s="12">
      <c r="A61" s="36" t="inlineStr">
        <is>
          <t>序号</t>
        </is>
      </c>
      <c r="B61" s="49" t="inlineStr">
        <is>
          <t>分值</t>
        </is>
      </c>
      <c r="C61" s="50" t="inlineStr">
        <is>
          <t xml:space="preserve"> 可靠性  确定影响度的描述</t>
        </is>
      </c>
      <c r="D61" s="36" t="inlineStr">
        <is>
          <t>得分</t>
        </is>
      </c>
    </row>
    <row r="62" customFormat="1" s="12">
      <c r="A62" s="51" t="inlineStr">
        <is>
          <t>G4</t>
        </is>
      </c>
      <c r="B62" s="57" t="n">
        <v>0</v>
      </c>
      <c r="C62" s="61" t="inlineStr">
        <is>
          <t>应用系统仅采用了数据备份措施或者无可靠性要求</t>
        </is>
      </c>
      <c r="D62" s="51" t="n">
        <v>2</v>
      </c>
    </row>
    <row r="63" customFormat="1" s="12">
      <c r="A63" s="53" t="n"/>
      <c r="B63" s="57" t="n">
        <v>1</v>
      </c>
      <c r="C63" s="61" t="inlineStr">
        <is>
          <t>应用系统采用了数据高可用措施</t>
        </is>
      </c>
      <c r="D63" s="53" t="n"/>
    </row>
    <row r="64" customFormat="1" s="12">
      <c r="A64" s="53" t="n"/>
      <c r="B64" s="57" t="n">
        <v>2</v>
      </c>
      <c r="C64" s="61" t="inlineStr">
        <is>
          <t>应用系统采用了临时应急系统措施</t>
        </is>
      </c>
      <c r="D64" s="53" t="n"/>
    </row>
    <row r="65" customFormat="1" s="12">
      <c r="A65" s="53" t="n"/>
      <c r="B65" s="57" t="n">
        <v>3</v>
      </c>
      <c r="C65" s="61" t="inlineStr">
        <is>
          <t>应用系统采用了关键业务容灾措施</t>
        </is>
      </c>
      <c r="D65" s="53" t="n"/>
    </row>
    <row r="66" customFormat="1" s="13">
      <c r="A66" s="54" t="n"/>
      <c r="B66" s="57" t="n">
        <v>5</v>
      </c>
      <c r="C66" s="61" t="inlineStr">
        <is>
          <t>应用系统采用了全业务容灾措施</t>
        </is>
      </c>
      <c r="D66" s="54" t="n"/>
    </row>
    <row r="68" customFormat="1" s="12">
      <c r="A68" s="36" t="inlineStr">
        <is>
          <t>序号</t>
        </is>
      </c>
      <c r="B68" s="49" t="inlineStr">
        <is>
          <t>分值</t>
        </is>
      </c>
      <c r="C68" s="50" t="inlineStr">
        <is>
          <t>用户体验 确定影响度的描述</t>
        </is>
      </c>
      <c r="D68" s="36" t="inlineStr">
        <is>
          <t>得分</t>
        </is>
      </c>
    </row>
    <row r="69" ht="24" customFormat="1" customHeight="1" s="12">
      <c r="A69" s="51" t="inlineStr">
        <is>
          <t>G5</t>
        </is>
      </c>
      <c r="B69" s="23" t="n">
        <v>0</v>
      </c>
      <c r="C69" s="61" t="inlineStr">
        <is>
          <t>有简单的输入、易用的快捷功能键设置，例如右键设置、下拉菜单、导航条等实现目标功能的最少操作数原则，鼠标最短距离移动原则</t>
        </is>
      </c>
      <c r="D69" s="51" t="n">
        <v>3</v>
      </c>
    </row>
    <row r="70" customFormat="1" s="12">
      <c r="A70" s="53" t="n"/>
      <c r="B70" s="23" t="n">
        <v>1</v>
      </c>
      <c r="C70" s="61" t="inlineStr">
        <is>
          <t>界面支持3个及以上浏览器，且可以适配多类显示设备（如PAD、PC、手机、大屏等）</t>
        </is>
      </c>
      <c r="D70" s="53" t="n"/>
    </row>
    <row r="71" customFormat="1" s="12">
      <c r="A71" s="53" t="n"/>
      <c r="B71" s="23" t="n">
        <v>2</v>
      </c>
      <c r="C71" s="61" t="inlineStr">
        <is>
          <t>工具集的开发和扩展；简单音频I/O</t>
        </is>
      </c>
      <c r="D71" s="53" t="n"/>
    </row>
    <row r="72" customFormat="1" s="12">
      <c r="A72" s="53" t="n"/>
      <c r="B72" s="23" t="n">
        <v>3</v>
      </c>
      <c r="C72" s="61" t="inlineStr">
        <is>
          <t>中等复杂度的2D/3D、动态图形</t>
        </is>
      </c>
      <c r="D72" s="53" t="n"/>
    </row>
    <row r="73" customFormat="1" s="12">
      <c r="A73" s="53" t="n"/>
      <c r="B73" s="23" t="n">
        <v>4</v>
      </c>
      <c r="C73" s="61" t="inlineStr">
        <is>
          <t>自然语言的界面</t>
        </is>
      </c>
      <c r="D73" s="53" t="n"/>
    </row>
    <row r="74" customFormat="1" s="13">
      <c r="A74" s="54" t="n"/>
      <c r="B74" s="23" t="n">
        <v>5</v>
      </c>
      <c r="C74" s="61" t="inlineStr">
        <is>
          <t>虚拟现实的界面</t>
        </is>
      </c>
      <c r="D74" s="54" t="n"/>
    </row>
    <row r="77" customFormat="1" s="12">
      <c r="A77" s="36" t="inlineStr">
        <is>
          <t>序号</t>
        </is>
      </c>
      <c r="B77" s="49" t="inlineStr">
        <is>
          <t>分值</t>
        </is>
      </c>
      <c r="C77" s="50" t="inlineStr">
        <is>
          <t>架构合理性 确定影响度的描述</t>
        </is>
      </c>
      <c r="D77" s="36" t="inlineStr">
        <is>
          <t>得分</t>
        </is>
      </c>
    </row>
    <row r="78" customFormat="1" s="13">
      <c r="A78" s="51" t="inlineStr">
        <is>
          <t>G6</t>
        </is>
      </c>
      <c r="B78" s="57" t="n">
        <v>0</v>
      </c>
      <c r="C78" s="61" t="inlineStr">
        <is>
          <t>功能模块紧耦合；或者功能模块松耦合，但采用厂家私有协议，接口不开放</t>
        </is>
      </c>
      <c r="D78" s="51" t="n">
        <v>3</v>
      </c>
      <c r="E78" s="62" t="inlineStr">
        <is>
          <t>仅有中台性质系统为开放程度高</t>
        </is>
      </c>
    </row>
    <row r="79" customFormat="1" s="12">
      <c r="A79" s="53" t="n"/>
      <c r="B79" s="57" t="n">
        <v>1</v>
      </c>
      <c r="C79" s="61" t="inlineStr">
        <is>
          <t>功能模块松耦合，采用标准协议，接口不开放</t>
        </is>
      </c>
      <c r="D79" s="53" t="n"/>
    </row>
    <row r="80" customFormat="1" s="12">
      <c r="A80" s="53" t="n"/>
      <c r="B80" s="57" t="n">
        <v>2</v>
      </c>
      <c r="C80" s="61" t="inlineStr">
        <is>
          <t>功能模块松耦合，采用厂家私有协议，接口开放</t>
        </is>
      </c>
      <c r="D80" s="53" t="n"/>
    </row>
    <row r="81" customFormat="1" s="12">
      <c r="A81" s="53" t="n"/>
      <c r="B81" s="57" t="n">
        <v>3</v>
      </c>
      <c r="C81" s="61" t="inlineStr">
        <is>
          <t>功能模块松耦合，采用标准协议，接口开放</t>
        </is>
      </c>
      <c r="D81" s="53" t="n"/>
    </row>
    <row r="82" customFormat="1" s="12">
      <c r="A82" s="54" t="n"/>
      <c r="B82" s="57" t="n">
        <v>5</v>
      </c>
      <c r="C82" s="61" t="inlineStr">
        <is>
          <t>功能模块松耦合，采用标准协议，接口开放程度高</t>
        </is>
      </c>
      <c r="D82" s="54" t="n"/>
    </row>
    <row r="85" customFormat="1" s="13">
      <c r="A85" s="36" t="inlineStr">
        <is>
          <t>序号</t>
        </is>
      </c>
      <c r="B85" s="49" t="inlineStr">
        <is>
          <t>分值</t>
        </is>
      </c>
      <c r="C85" s="50" t="inlineStr">
        <is>
          <t>处理复杂性 确定影响度的描述</t>
        </is>
      </c>
      <c r="D85" s="36" t="inlineStr">
        <is>
          <t>得分</t>
        </is>
      </c>
    </row>
    <row r="86" customFormat="1" s="12">
      <c r="A86" s="51" t="inlineStr">
        <is>
          <t>G7</t>
        </is>
      </c>
      <c r="B86" s="23" t="n">
        <v>0</v>
      </c>
      <c r="C86" s="61" t="inlineStr">
        <is>
          <t>使用中等级别或以下级别的表达式计算</t>
        </is>
      </c>
      <c r="D86" s="51" t="n">
        <v>2</v>
      </c>
    </row>
    <row r="87" customFormat="1" s="12">
      <c r="A87" s="53" t="n"/>
      <c r="B87" s="23" t="n">
        <v>1</v>
      </c>
      <c r="C87" s="61" t="inlineStr">
        <is>
          <t>使用标准的数学和统计程序；基本的矩阵/向量运算</t>
        </is>
      </c>
      <c r="D87" s="53" t="n"/>
    </row>
    <row r="88" customFormat="1" s="12">
      <c r="A88" s="53" t="n"/>
      <c r="B88" s="23" t="n">
        <v>2</v>
      </c>
      <c r="C88" s="61" t="inlineStr">
        <is>
          <t>基本的数值分析：多变量插值、常微分方程；后台使用数据分析的截断舍位</t>
        </is>
      </c>
      <c r="D88" s="53" t="n"/>
    </row>
    <row r="89" customFormat="1" s="12">
      <c r="A89" s="53" t="n"/>
      <c r="B89" s="23" t="n">
        <v>3</v>
      </c>
      <c r="C89" s="61" t="inlineStr">
        <is>
          <t>困难但结构化的数值分析：降秩矩阵方程、偏微分方程；简单并行分析</t>
        </is>
      </c>
      <c r="D89" s="53" t="n"/>
    </row>
    <row r="90" customFormat="1" s="12">
      <c r="A90" s="53" t="n"/>
      <c r="B90" s="23" t="n">
        <v>4</v>
      </c>
      <c r="C90" s="61" t="inlineStr">
        <is>
          <t>复杂的并行分析</t>
        </is>
      </c>
      <c r="D90" s="53" t="n"/>
    </row>
    <row r="91" customFormat="1" s="12">
      <c r="A91" s="54" t="n"/>
      <c r="B91" s="23" t="n">
        <v>5</v>
      </c>
      <c r="C91" s="61" t="inlineStr">
        <is>
          <t>困难且非结构化的数值分布：对有噪声的随机数据进行高精确分析</t>
        </is>
      </c>
      <c r="D91" s="54" t="n"/>
    </row>
    <row r="93" customFormat="1" s="13">
      <c r="A93" s="36" t="inlineStr">
        <is>
          <t>序号</t>
        </is>
      </c>
      <c r="B93" s="49" t="inlineStr">
        <is>
          <t>分值</t>
        </is>
      </c>
      <c r="C93" s="50" t="inlineStr">
        <is>
          <t>安全性 确定影响度的描述</t>
        </is>
      </c>
      <c r="D93" s="36" t="inlineStr">
        <is>
          <t>得分</t>
        </is>
      </c>
    </row>
    <row r="94" customFormat="1" s="12">
      <c r="A94" s="51" t="inlineStr">
        <is>
          <t>G8</t>
        </is>
      </c>
      <c r="B94" s="23" t="n">
        <v>0</v>
      </c>
      <c r="C94" s="61" t="inlineStr">
        <is>
          <t>应用系统仅采取了其中1种安全性举措或者没有采取任何安全性举措</t>
        </is>
      </c>
      <c r="D94" s="51" t="n">
        <v>4</v>
      </c>
    </row>
    <row r="95" customFormat="1" s="12">
      <c r="A95" s="53" t="n"/>
      <c r="B95" s="23" t="n">
        <v>1</v>
      </c>
      <c r="C95" s="61" t="inlineStr">
        <is>
          <t>应用系统采取了其中2种安全性举措</t>
        </is>
      </c>
      <c r="D95" s="53" t="n"/>
    </row>
    <row r="96" customFormat="1" s="12">
      <c r="A96" s="53" t="n"/>
      <c r="B96" s="23" t="n">
        <v>2</v>
      </c>
      <c r="C96" s="61" t="inlineStr">
        <is>
          <t>应用系统采取了其中3种安全性举措</t>
        </is>
      </c>
      <c r="D96" s="53" t="n"/>
    </row>
    <row r="97" customFormat="1" s="12">
      <c r="A97" s="53" t="n"/>
      <c r="B97" s="23" t="n">
        <v>3</v>
      </c>
      <c r="C97" s="61" t="inlineStr">
        <is>
          <t>应用系统采取了其中4种安全性举措</t>
        </is>
      </c>
      <c r="D97" s="53" t="n"/>
    </row>
    <row r="98" customFormat="1" s="12">
      <c r="A98" s="53" t="n"/>
      <c r="B98" s="23" t="n">
        <v>4</v>
      </c>
      <c r="C98" s="61" t="inlineStr">
        <is>
          <t>应用系统采取了除了上述4种安全性举措之外，还有其他的1种安全性举措</t>
        </is>
      </c>
      <c r="D98" s="53" t="n"/>
    </row>
    <row r="99" customFormat="1" s="12">
      <c r="A99" s="54" t="n"/>
      <c r="B99" s="23" t="n">
        <v>5</v>
      </c>
      <c r="C99" s="61" t="inlineStr">
        <is>
          <t>应用系统采取了除了上述4种安全性举措之外，还有其他的至少2种安全性举措</t>
        </is>
      </c>
      <c r="D99" s="54" t="n"/>
    </row>
    <row r="101" customFormat="1" s="13">
      <c r="A101" s="36" t="inlineStr">
        <is>
          <t>序号</t>
        </is>
      </c>
      <c r="B101" s="49" t="inlineStr">
        <is>
          <t>分值</t>
        </is>
      </c>
      <c r="C101" s="50" t="inlineStr">
        <is>
          <t>事务处理量 确定影响度的描述</t>
        </is>
      </c>
      <c r="D101" s="36" t="inlineStr">
        <is>
          <t>得分</t>
        </is>
      </c>
    </row>
    <row r="102" customFormat="1" s="12">
      <c r="A102" s="51" t="inlineStr">
        <is>
          <t>G9</t>
        </is>
      </c>
      <c r="B102" s="23" t="n">
        <v>1</v>
      </c>
      <c r="C102" s="61" t="inlineStr">
        <is>
          <t>较低，如管理信息类、资源管理类、监控类以及主要采用智慧中台封装前端能力的系统等</t>
        </is>
      </c>
      <c r="D102" s="51" t="n">
        <v>1</v>
      </c>
    </row>
    <row r="103" ht="24" customFormat="1" customHeight="1" s="12">
      <c r="A103" s="53" t="n"/>
      <c r="B103" s="23" t="n">
        <v>2</v>
      </c>
      <c r="C103" s="61" t="inlineStr">
        <is>
          <t>一般，如：大数据平台类、业务平台、网关（如4A等）、电子渠道、省公司OA、数据中台、技术中台、能力运营中心、能力开放平台等</t>
        </is>
      </c>
      <c r="D103" s="53" t="n"/>
    </row>
    <row r="104" customFormat="1" s="12">
      <c r="A104" s="54" t="n"/>
      <c r="B104" s="23" t="n">
        <v>3</v>
      </c>
      <c r="C104" s="61" t="inlineStr">
        <is>
          <t>高，如：BOSS/CRM（含服务开通）、业务中台、清帐单查询等</t>
        </is>
      </c>
      <c r="D104" s="54" t="n"/>
    </row>
  </sheetData>
  <mergeCells count="32">
    <mergeCell ref="D18:D27"/>
    <mergeCell ref="E78:E82"/>
    <mergeCell ref="D62:D66"/>
    <mergeCell ref="D69:D74"/>
    <mergeCell ref="B46:C46"/>
    <mergeCell ref="D34:D39"/>
    <mergeCell ref="D102:D104"/>
    <mergeCell ref="D49:D52"/>
    <mergeCell ref="A94:A99"/>
    <mergeCell ref="A2:F2"/>
    <mergeCell ref="A102:A104"/>
    <mergeCell ref="A62:A66"/>
    <mergeCell ref="A42:A59"/>
    <mergeCell ref="A69:A74"/>
    <mergeCell ref="D86:D91"/>
    <mergeCell ref="B42:C42"/>
    <mergeCell ref="A3:B3"/>
    <mergeCell ref="B18:B27"/>
    <mergeCell ref="H17:L17"/>
    <mergeCell ref="A86:A91"/>
    <mergeCell ref="F19:F23"/>
    <mergeCell ref="D46:D48"/>
    <mergeCell ref="B49:C49"/>
    <mergeCell ref="A18:A27"/>
    <mergeCell ref="A78:A82"/>
    <mergeCell ref="D54:D59"/>
    <mergeCell ref="D42:D45"/>
    <mergeCell ref="A34:A39"/>
    <mergeCell ref="A13:E13"/>
    <mergeCell ref="D78:D82"/>
    <mergeCell ref="D94:D99"/>
    <mergeCell ref="F17:G18"/>
  </mergeCells>
  <pageMargins left="0.75" right="0.75" top="1" bottom="1" header="0.5" footer="0.5"/>
  <pageSetup orientation="portrait" paperSize="9" horizontalDpi="600" verticalDpi="600"/>
</worksheet>
</file>

<file path=xl/worksheets/sheet4.xml><?xml version="1.0" encoding="utf-8"?>
<worksheet xmlns="http://schemas.openxmlformats.org/spreadsheetml/2006/main">
  <sheetPr>
    <outlinePr summaryBelow="1" summaryRight="1"/>
    <pageSetUpPr/>
  </sheetPr>
  <dimension ref="A1:A498"/>
  <sheetViews>
    <sheetView workbookViewId="0">
      <selection activeCell="D40" sqref="D40"/>
    </sheetView>
  </sheetViews>
  <sheetFormatPr baseColWidth="8" defaultColWidth="9" defaultRowHeight="15.6"/>
  <cols>
    <col width="33.125" customWidth="1" min="1" max="1"/>
  </cols>
  <sheetData>
    <row r="1">
      <c r="A1" s="1" t="inlineStr">
        <is>
          <t>功能过程</t>
        </is>
      </c>
    </row>
    <row r="2">
      <c r="A2" s="2" t="inlineStr">
        <is>
          <t>CPE文档查询</t>
        </is>
      </c>
    </row>
    <row r="3">
      <c r="A3" s="2" t="inlineStr">
        <is>
          <t>CPE文档创建</t>
        </is>
      </c>
    </row>
    <row r="4">
      <c r="A4" s="2" t="inlineStr">
        <is>
          <t>CPE文档编辑</t>
        </is>
      </c>
    </row>
    <row r="5">
      <c r="A5" s="2" t="inlineStr">
        <is>
          <t>CPE文档删除</t>
        </is>
      </c>
    </row>
    <row r="6">
      <c r="A6" s="2" t="inlineStr">
        <is>
          <t>CPE文档详情查询</t>
        </is>
      </c>
    </row>
    <row r="7">
      <c r="A7" s="2" t="inlineStr">
        <is>
          <t>CPE文档导入</t>
        </is>
      </c>
    </row>
    <row r="8">
      <c r="A8" s="2" t="inlineStr">
        <is>
          <t>CPE文档导出</t>
        </is>
      </c>
    </row>
    <row r="9">
      <c r="A9" s="2" t="inlineStr">
        <is>
          <t>CPE数据格式校验</t>
        </is>
      </c>
    </row>
    <row r="10">
      <c r="A10" s="2" t="inlineStr">
        <is>
          <t>CISA VEX文档下载</t>
        </is>
      </c>
    </row>
    <row r="11">
      <c r="A11" s="2" t="inlineStr">
        <is>
          <t>CISA VEX文档创建</t>
        </is>
      </c>
    </row>
    <row r="12">
      <c r="A12" s="2" t="inlineStr">
        <is>
          <t>CISA VEX文档删除</t>
        </is>
      </c>
    </row>
    <row r="13">
      <c r="A13" s="2" t="inlineStr">
        <is>
          <t>CISA VEX文档导入</t>
        </is>
      </c>
    </row>
    <row r="14">
      <c r="A14" s="2" t="inlineStr">
        <is>
          <t>CISA VEX文档导出</t>
        </is>
      </c>
    </row>
    <row r="15">
      <c r="A15" s="2" t="inlineStr">
        <is>
          <t>CISA VEX文档查看</t>
        </is>
      </c>
    </row>
    <row r="16">
      <c r="A16" s="2" t="inlineStr">
        <is>
          <t>CISA VEX文档编辑</t>
        </is>
      </c>
    </row>
    <row r="17">
      <c r="A17" s="2" t="inlineStr">
        <is>
          <t>CISA单个VEX文档关联产品</t>
        </is>
      </c>
    </row>
    <row r="18">
      <c r="A18" s="2" t="inlineStr">
        <is>
          <t>修改基础模板</t>
        </is>
      </c>
    </row>
    <row r="19">
      <c r="A19" s="2" t="inlineStr">
        <is>
          <t>删除基础模板</t>
        </is>
      </c>
    </row>
    <row r="20">
      <c r="A20" s="2" t="inlineStr">
        <is>
          <t>导入基础模板</t>
        </is>
      </c>
    </row>
    <row r="21">
      <c r="A21" s="2" t="inlineStr">
        <is>
          <t>导出基础模板</t>
        </is>
      </c>
    </row>
    <row r="22">
      <c r="A22" s="2" t="inlineStr">
        <is>
          <t>查询基础模板</t>
        </is>
      </c>
    </row>
    <row r="23">
      <c r="A23" s="2" t="inlineStr">
        <is>
          <t>添加基础模板</t>
        </is>
      </c>
    </row>
    <row r="24">
      <c r="A24" s="2" t="inlineStr">
        <is>
          <t>问题文档拦截</t>
        </is>
      </c>
    </row>
    <row r="25">
      <c r="A25" s="3" t="inlineStr">
        <is>
          <t>已知风险资产组件查询</t>
        </is>
      </c>
    </row>
    <row r="26">
      <c r="A26" s="2" t="inlineStr">
        <is>
          <t>已知风险资产组件新增</t>
        </is>
      </c>
    </row>
    <row r="27">
      <c r="A27" s="2" t="inlineStr">
        <is>
          <t>已知风险资产组件删除</t>
        </is>
      </c>
    </row>
    <row r="28">
      <c r="A28" s="2" t="inlineStr">
        <is>
          <t>已知风险资产组件修改</t>
        </is>
      </c>
    </row>
    <row r="29">
      <c r="A29" s="4" t="inlineStr">
        <is>
          <t>整理资产指纹、CPE库、VEX文档数据(查询)</t>
        </is>
      </c>
    </row>
    <row r="30">
      <c r="A30" s="2" t="inlineStr">
        <is>
          <t>风险资产组件评分计算</t>
        </is>
      </c>
    </row>
    <row r="31">
      <c r="A31" s="2" t="inlineStr">
        <is>
          <t>风险资产组件评分手动调整</t>
        </is>
      </c>
    </row>
    <row r="32">
      <c r="A32" s="2" t="inlineStr">
        <is>
          <t>风险资产组件评分规则配置</t>
        </is>
      </c>
    </row>
    <row r="33">
      <c r="A33" s="2" t="inlineStr">
        <is>
          <t>未上传弱口令筛选</t>
        </is>
      </c>
    </row>
    <row r="34">
      <c r="A34" s="2" t="inlineStr">
        <is>
          <t>回传弱口令</t>
        </is>
      </c>
    </row>
    <row r="35">
      <c r="A35" s="2" t="inlineStr">
        <is>
          <t>创建预警专项任务</t>
        </is>
      </c>
    </row>
    <row r="36">
      <c r="A36" s="2" t="inlineStr">
        <is>
          <t>查看预警任务结果</t>
        </is>
      </c>
    </row>
    <row r="37">
      <c r="A37" s="5" t="inlineStr">
        <is>
          <t>查看修复决策策略</t>
        </is>
      </c>
    </row>
    <row r="38">
      <c r="A38" s="5" t="inlineStr">
        <is>
          <t>修改修复决策策略</t>
        </is>
      </c>
    </row>
    <row r="39">
      <c r="A39" s="5" t="inlineStr">
        <is>
          <t>删除修复决策策略</t>
        </is>
      </c>
    </row>
    <row r="40">
      <c r="A40" s="2" t="inlineStr">
        <is>
          <t>采集漏洞指纹</t>
        </is>
      </c>
    </row>
    <row r="41">
      <c r="A41" s="2" t="inlineStr">
        <is>
          <t>查看漏洞指纹</t>
        </is>
      </c>
    </row>
    <row r="42">
      <c r="A42" s="2" t="inlineStr">
        <is>
          <t>上传VEX文档</t>
        </is>
      </c>
    </row>
    <row r="43">
      <c r="A43" s="2" t="inlineStr">
        <is>
          <t>接收VEX文档</t>
        </is>
      </c>
    </row>
    <row r="44">
      <c r="A44" s="3" t="inlineStr">
        <is>
          <t>查看VEX文档信息</t>
        </is>
      </c>
    </row>
    <row r="45">
      <c r="A45" s="6" t="inlineStr">
        <is>
          <t>显示VEX文档信息</t>
        </is>
      </c>
    </row>
    <row r="46">
      <c r="A46" s="2" t="inlineStr">
        <is>
          <t>漏洞修复状态查询</t>
        </is>
      </c>
    </row>
    <row r="47">
      <c r="A47" s="2" t="inlineStr">
        <is>
          <t>漏洞修复状态更新</t>
        </is>
      </c>
    </row>
    <row r="48">
      <c r="A48" s="2" t="inlineStr">
        <is>
          <t>漏洞修复状态同步至资产管理平台</t>
        </is>
      </c>
    </row>
    <row r="49">
      <c r="A49" s="2" t="inlineStr">
        <is>
          <t>漏洞修复状态同步结果查询</t>
        </is>
      </c>
    </row>
    <row r="50">
      <c r="A50" s="2" t="inlineStr">
        <is>
          <t>数据一致性审批查询</t>
        </is>
      </c>
    </row>
    <row r="51">
      <c r="A51" s="2" t="inlineStr">
        <is>
          <t>数据一致性审批创建</t>
        </is>
      </c>
    </row>
    <row r="52">
      <c r="A52" s="2" t="inlineStr">
        <is>
          <t>数据一致性审批启动</t>
        </is>
      </c>
    </row>
    <row r="53">
      <c r="A53" s="2" t="inlineStr">
        <is>
          <t>数据一致性审批结果收集</t>
        </is>
      </c>
    </row>
    <row r="54">
      <c r="A54" s="3" t="inlineStr">
        <is>
          <t>保存新增的POC插件</t>
        </is>
      </c>
    </row>
    <row r="55">
      <c r="A55" s="3" t="inlineStr">
        <is>
          <t>新增的概念验证插件提交功能</t>
        </is>
      </c>
    </row>
    <row r="56">
      <c r="A56" s="3" t="inlineStr">
        <is>
          <t>提交新增的POC插件</t>
        </is>
      </c>
    </row>
    <row r="57">
      <c r="A57" s="2" t="inlineStr">
        <is>
          <t>上传POC插件文件到服务器</t>
        </is>
      </c>
    </row>
    <row r="58">
      <c r="A58" s="2" t="inlineStr">
        <is>
          <t>编辑未审核的POC插件</t>
        </is>
      </c>
    </row>
    <row r="59">
      <c r="A59" s="3" t="inlineStr">
        <is>
          <t>查看未审核的POC插件关联漏洞信息</t>
        </is>
      </c>
    </row>
    <row r="60">
      <c r="A60" s="2" t="inlineStr">
        <is>
          <t>查看POC插件的的生命周期记录</t>
        </is>
      </c>
    </row>
    <row r="61">
      <c r="A61" s="2" t="inlineStr">
        <is>
          <t>校验POC插件数据完整性</t>
        </is>
      </c>
    </row>
    <row r="62">
      <c r="A62" s="2" t="inlineStr">
        <is>
          <t>下载POC插件数据到本地</t>
        </is>
      </c>
    </row>
    <row r="63">
      <c r="A63" s="2" t="inlineStr">
        <is>
          <t>删除POC插件数据</t>
        </is>
      </c>
    </row>
    <row r="64">
      <c r="A64" s="2" t="inlineStr">
        <is>
          <t>新增插件模板信息</t>
        </is>
      </c>
    </row>
    <row r="65">
      <c r="A65" s="2" t="inlineStr">
        <is>
          <t>修改插件模板信息</t>
        </is>
      </c>
    </row>
    <row r="66">
      <c r="A66" s="2" t="inlineStr">
        <is>
          <t>下载插件模板信息</t>
        </is>
      </c>
    </row>
    <row r="67">
      <c r="A67" s="2" t="inlineStr">
        <is>
          <t>标记过时插件模板</t>
        </is>
      </c>
    </row>
    <row r="68">
      <c r="A68" s="2" t="inlineStr">
        <is>
          <t>删除过时插件模板</t>
        </is>
      </c>
    </row>
    <row r="69">
      <c r="A69" s="2" t="inlineStr">
        <is>
          <t>查看插件信息及其关联漏洞信息</t>
        </is>
      </c>
    </row>
    <row r="70">
      <c r="A70" s="7" t="inlineStr">
        <is>
          <t>插件功能有效性验证</t>
        </is>
      </c>
    </row>
    <row r="71">
      <c r="A71" s="8" t="inlineStr">
        <is>
          <t>插件基础安全性</t>
        </is>
      </c>
    </row>
    <row r="72">
      <c r="A72" s="2" t="inlineStr">
        <is>
          <t>提交到部侧漏管平台审核</t>
        </is>
      </c>
    </row>
    <row r="73">
      <c r="A73" s="4" t="inlineStr">
        <is>
          <t>插件等级评定</t>
        </is>
      </c>
    </row>
    <row r="74">
      <c r="A74" s="4" t="inlineStr">
        <is>
          <t>综合判定插件状态</t>
        </is>
      </c>
    </row>
    <row r="75">
      <c r="A75" s="4" t="inlineStr">
        <is>
          <t>部侧调用企业测接口同步审核结果</t>
        </is>
      </c>
    </row>
    <row r="76">
      <c r="A76" s="7" t="inlineStr">
        <is>
          <t>插件上线 / 归档</t>
        </is>
      </c>
    </row>
    <row r="77">
      <c r="A77" s="2" t="inlineStr">
        <is>
          <t>本地引擎离线导入插件</t>
        </is>
      </c>
    </row>
    <row r="78">
      <c r="A78" s="2" t="inlineStr">
        <is>
          <t>输入输出数据参数管理</t>
        </is>
      </c>
    </row>
    <row r="79">
      <c r="A79" s="3" t="inlineStr">
        <is>
          <t>用户提交POC任务</t>
        </is>
      </c>
    </row>
    <row r="80">
      <c r="A80" s="3" t="inlineStr">
        <is>
          <t>创建任务界面查询POC插件</t>
        </is>
      </c>
    </row>
    <row r="81">
      <c r="A81" s="2" t="inlineStr">
        <is>
          <t>查询产品漏洞</t>
        </is>
      </c>
    </row>
    <row r="82">
      <c r="A82" s="2" t="inlineStr">
        <is>
          <t>询选择任务接收人</t>
        </is>
      </c>
    </row>
    <row r="83">
      <c r="A83" s="2" t="inlineStr">
        <is>
          <t>查询选择资产范围</t>
        </is>
      </c>
    </row>
    <row r="84">
      <c r="A84" s="2" t="inlineStr">
        <is>
          <t>查询选择POC插件</t>
        </is>
      </c>
    </row>
    <row r="85">
      <c r="A85" s="2" t="inlineStr">
        <is>
          <t>设置扫描序列</t>
        </is>
      </c>
    </row>
    <row r="86">
      <c r="A86" s="2" t="inlineStr">
        <is>
          <t>任务追踪页面查看异常信息</t>
        </is>
      </c>
    </row>
    <row r="87">
      <c r="A87" s="2" t="inlineStr">
        <is>
          <t>任务追踪页面查看资产信息</t>
        </is>
      </c>
    </row>
    <row r="88">
      <c r="A88" s="2" t="inlineStr">
        <is>
          <t>任务追踪页面查看漏洞信息</t>
        </is>
      </c>
    </row>
    <row r="89">
      <c r="A89" s="2" t="inlineStr">
        <is>
          <t>任务追踪页面查看引擎信息</t>
        </is>
      </c>
    </row>
    <row r="90">
      <c r="A90" s="2" t="inlineStr">
        <is>
          <t>任务追踪页面导出任务结果</t>
        </is>
      </c>
    </row>
    <row r="91">
      <c r="A91" s="2" t="inlineStr">
        <is>
          <t>任务追踪页面查看任务全貌</t>
        </is>
      </c>
    </row>
    <row r="92">
      <c r="A92" s="4" t="inlineStr">
        <is>
          <t>导入POC验证结果文件</t>
        </is>
      </c>
    </row>
    <row r="93">
      <c r="A93" s="4" t="inlineStr">
        <is>
          <t>查询报告任务列表</t>
        </is>
      </c>
    </row>
    <row r="94">
      <c r="A94" s="4" t="inlineStr">
        <is>
          <t>查询报告模板</t>
        </is>
      </c>
    </row>
    <row r="95">
      <c r="A95" s="4" t="inlineStr">
        <is>
          <t>配置模板驱动</t>
        </is>
      </c>
    </row>
    <row r="96">
      <c r="A96" s="4" t="inlineStr">
        <is>
          <t>查看POC插件扫描任务报告列表</t>
        </is>
      </c>
    </row>
    <row r="97">
      <c r="A97" s="4" t="inlineStr">
        <is>
          <t>提交扫描报告生成请求</t>
        </is>
      </c>
    </row>
    <row r="98">
      <c r="A98" s="4" t="inlineStr">
        <is>
          <t>删除报告请求记录</t>
        </is>
      </c>
    </row>
    <row r="99">
      <c r="A99" s="4" t="inlineStr">
        <is>
          <t>查询报告任务明细</t>
        </is>
      </c>
    </row>
    <row r="100">
      <c r="A100" s="4" t="inlineStr">
        <is>
          <t>下载已生成的POC报告</t>
        </is>
      </c>
    </row>
    <row r="101">
      <c r="A101" s="4" t="inlineStr">
        <is>
          <t>批量压缩已生成的报告</t>
        </is>
      </c>
    </row>
    <row r="102">
      <c r="A102" s="4" t="inlineStr">
        <is>
          <t>查询压缩报告列表</t>
        </is>
      </c>
    </row>
    <row r="103">
      <c r="A103" s="4" t="inlineStr">
        <is>
          <t>批量删除已压缩报告</t>
        </is>
      </c>
    </row>
    <row r="104">
      <c r="A104" s="4" t="inlineStr">
        <is>
          <t>查询压缩任务明细</t>
        </is>
      </c>
    </row>
    <row r="105">
      <c r="A105" s="4" t="inlineStr">
        <is>
          <t>下载已压缩报告</t>
        </is>
      </c>
    </row>
    <row r="106">
      <c r="A106" s="4" t="inlineStr">
        <is>
          <t>下载压缩报告中单个报告</t>
        </is>
      </c>
    </row>
    <row r="107">
      <c r="A107" s="2" t="inlineStr">
        <is>
          <t>查看检测插件状态</t>
        </is>
      </c>
    </row>
    <row r="108">
      <c r="A108" s="2" t="inlineStr">
        <is>
          <t>查看POC插件类型视图</t>
        </is>
      </c>
    </row>
    <row r="109">
      <c r="A109" s="2" t="inlineStr">
        <is>
          <t>查看漏洞类型统计视图</t>
        </is>
      </c>
    </row>
    <row r="110">
      <c r="A110" s="2" t="inlineStr">
        <is>
          <t>查看插件等级统计视图</t>
        </is>
      </c>
    </row>
    <row r="111">
      <c r="A111" s="2" t="inlineStr">
        <is>
          <t>查看漏洞时间趋势统计视图</t>
        </is>
      </c>
    </row>
    <row r="112">
      <c r="A112" s="2" t="inlineStr">
        <is>
          <t>查看POC检测结果IP风险率</t>
        </is>
      </c>
    </row>
    <row r="113">
      <c r="A113" s="3" t="inlineStr">
        <is>
          <t>查看POC检测结果端口风险率</t>
        </is>
      </c>
    </row>
    <row r="114">
      <c r="A114" s="2" t="inlineStr">
        <is>
          <t>查看POC检测结果协议风险率</t>
        </is>
      </c>
    </row>
    <row r="115">
      <c r="A115" s="2" t="inlineStr">
        <is>
          <t>查看部企接口列表</t>
        </is>
      </c>
    </row>
    <row r="116">
      <c r="A116" s="2" t="inlineStr">
        <is>
          <t>查看部企接口调用记录</t>
        </is>
      </c>
    </row>
    <row r="117">
      <c r="A117" s="2" t="inlineStr">
        <is>
          <t>查看部企接口调用内容</t>
        </is>
      </c>
    </row>
    <row r="118">
      <c r="A118" s="2" t="inlineStr">
        <is>
          <t>修改部企接口配置信息</t>
        </is>
      </c>
    </row>
    <row r="119">
      <c r="A119" s="8" t="inlineStr">
        <is>
          <t>查看平台接口列表</t>
        </is>
      </c>
    </row>
    <row r="120">
      <c r="A120" s="4" t="inlineStr">
        <is>
          <t>查看平台接口调用记录</t>
        </is>
      </c>
    </row>
    <row r="121">
      <c r="A121" s="4" t="inlineStr">
        <is>
          <t>查看平台调用接口过程</t>
        </is>
      </c>
    </row>
    <row r="122">
      <c r="A122" s="4" t="inlineStr">
        <is>
          <t>修改平台接口配置</t>
        </is>
      </c>
    </row>
    <row r="123">
      <c r="A123" s="4" t="inlineStr">
        <is>
          <t>查看服务内部接口列表</t>
        </is>
      </c>
    </row>
    <row r="124">
      <c r="A124" s="4" t="inlineStr">
        <is>
          <t>查看服务内部接口配置内容</t>
        </is>
      </c>
    </row>
    <row r="125">
      <c r="A125" s="4" t="inlineStr">
        <is>
          <t>查看服务内部接口日志</t>
        </is>
      </c>
    </row>
    <row r="126">
      <c r="A126" s="4" t="inlineStr">
        <is>
          <t>查看服务内部接口调用内容</t>
        </is>
      </c>
    </row>
    <row r="127">
      <c r="A127" s="4" t="inlineStr">
        <is>
          <t>修改服务内部接口配置</t>
        </is>
      </c>
    </row>
    <row r="128">
      <c r="A128" s="3" t="inlineStr">
        <is>
          <t>修改判定规则</t>
        </is>
      </c>
    </row>
    <row r="129">
      <c r="A129" s="2" t="inlineStr">
        <is>
          <t>分页展示规则</t>
        </is>
      </c>
    </row>
    <row r="130">
      <c r="A130" s="2" t="inlineStr">
        <is>
          <t>删除判定规则</t>
        </is>
      </c>
    </row>
    <row r="131">
      <c r="A131" s="2" t="inlineStr">
        <is>
          <t>导入判定规则</t>
        </is>
      </c>
    </row>
    <row r="132">
      <c r="A132" s="2" t="inlineStr">
        <is>
          <t>导出判定规则</t>
        </is>
      </c>
    </row>
    <row r="133">
      <c r="A133" s="2" t="inlineStr">
        <is>
          <t>新建判定规则</t>
        </is>
      </c>
    </row>
    <row r="134">
      <c r="A134" s="2" t="inlineStr">
        <is>
          <t>条件搜索规则</t>
        </is>
      </c>
    </row>
    <row r="135">
      <c r="A135" s="2" t="inlineStr">
        <is>
          <t>漏洞归属划分</t>
        </is>
      </c>
    </row>
    <row r="136">
      <c r="A136" s="2" t="inlineStr">
        <is>
          <t>手动修改漏洞归属</t>
        </is>
      </c>
    </row>
    <row r="137">
      <c r="A137" s="3" t="inlineStr">
        <is>
          <t>本次修改信息汇总统计</t>
        </is>
      </c>
    </row>
    <row r="138">
      <c r="A138" s="3" t="inlineStr">
        <is>
          <t>确认并提交修改</t>
        </is>
      </c>
    </row>
    <row r="139">
      <c r="A139" s="2" t="inlineStr">
        <is>
          <t>选择待调整漏洞</t>
        </is>
      </c>
    </row>
    <row r="140">
      <c r="A140" s="2" t="inlineStr">
        <is>
          <t>业务系统风险统计</t>
        </is>
      </c>
    </row>
    <row r="141">
      <c r="A141" s="2" t="inlineStr">
        <is>
          <t>内外网分类统计</t>
        </is>
      </c>
    </row>
    <row r="142">
      <c r="A142" s="2" t="inlineStr">
        <is>
          <t>组织机构分析</t>
        </is>
      </c>
    </row>
    <row r="143">
      <c r="A143" s="2" t="inlineStr">
        <is>
          <t>统计报表生成</t>
        </is>
      </c>
    </row>
    <row r="144">
      <c r="A144" s="2" t="inlineStr">
        <is>
          <t>责任人统计分析</t>
        </is>
      </c>
    </row>
    <row r="145">
      <c r="A145" s="2" t="inlineStr">
        <is>
          <t>风险分布图</t>
        </is>
      </c>
    </row>
    <row r="146">
      <c r="A146" s="2" t="inlineStr">
        <is>
          <t>高中低危统计</t>
        </is>
      </c>
    </row>
    <row r="147">
      <c r="A147" s="2" t="inlineStr">
        <is>
          <t>关联关系评定</t>
        </is>
      </c>
    </row>
    <row r="148">
      <c r="A148" s="2" t="inlineStr">
        <is>
          <t>漏洞关联关系自动更新</t>
        </is>
      </c>
    </row>
    <row r="149">
      <c r="A149" s="2" t="inlineStr">
        <is>
          <t>资产变更监控</t>
        </is>
      </c>
    </row>
    <row r="150">
      <c r="A150" s="3" t="inlineStr">
        <is>
          <t>新增资产变更历史</t>
        </is>
      </c>
    </row>
    <row r="151">
      <c r="A151" s="3" t="inlineStr">
        <is>
          <t>新增资产变更日志</t>
        </is>
      </c>
    </row>
    <row r="152">
      <c r="A152" s="3" t="inlineStr">
        <is>
          <t>查看资产变更历史</t>
        </is>
      </c>
    </row>
    <row r="153">
      <c r="A153" s="3" t="inlineStr">
        <is>
          <t>查看历史日志</t>
        </is>
      </c>
    </row>
    <row r="154">
      <c r="A154" s="2" t="inlineStr">
        <is>
          <t>手动补录数据</t>
        </is>
      </c>
    </row>
    <row r="155">
      <c r="A155" s="2" t="inlineStr">
        <is>
          <t>数据校验反馈</t>
        </is>
      </c>
    </row>
    <row r="156">
      <c r="A156" s="2" t="inlineStr">
        <is>
          <t>自动同步数据</t>
        </is>
      </c>
    </row>
    <row r="157">
      <c r="A157" s="2" t="inlineStr">
        <is>
          <t>资产建模构建</t>
        </is>
      </c>
    </row>
    <row r="158">
      <c r="A158" s="9" t="inlineStr">
        <is>
          <t>查看资产统计概览</t>
        </is>
      </c>
    </row>
    <row r="159">
      <c r="A159" s="10" t="inlineStr">
        <is>
          <t>查看新增资产趋势</t>
        </is>
      </c>
    </row>
    <row r="160">
      <c r="A160" s="9" t="inlineStr">
        <is>
          <t>查看漏洞端口统计</t>
        </is>
      </c>
    </row>
    <row r="161">
      <c r="A161" s="9" t="inlineStr">
        <is>
          <t>用户查看主机资产列表</t>
        </is>
      </c>
    </row>
    <row r="162">
      <c r="A162" s="9" t="inlineStr">
        <is>
          <t>新增主机资产列表</t>
        </is>
      </c>
    </row>
    <row r="163">
      <c r="A163" s="9" t="inlineStr">
        <is>
          <t>编辑主机资产列表</t>
        </is>
      </c>
    </row>
    <row r="164">
      <c r="A164" s="9" t="inlineStr">
        <is>
          <t>删除主机资产列表</t>
        </is>
      </c>
    </row>
    <row r="165">
      <c r="A165" s="9" t="inlineStr">
        <is>
          <t>主机资产列表详情查看</t>
        </is>
      </c>
    </row>
    <row r="166">
      <c r="A166" s="9" t="inlineStr">
        <is>
          <t>主机资产列表导出模板</t>
        </is>
      </c>
    </row>
    <row r="167">
      <c r="A167" s="9" t="inlineStr">
        <is>
          <t>导入主机资产列表</t>
        </is>
      </c>
    </row>
    <row r="168">
      <c r="A168" s="9" t="inlineStr">
        <is>
          <t>导出主机列表</t>
        </is>
      </c>
    </row>
    <row r="169">
      <c r="A169" s="9" t="inlineStr">
        <is>
          <t>用户查看web资产列表</t>
        </is>
      </c>
    </row>
    <row r="170">
      <c r="A170" s="9" t="inlineStr">
        <is>
          <t>新增web资产列表</t>
        </is>
      </c>
    </row>
    <row r="171">
      <c r="A171" s="9" t="inlineStr">
        <is>
          <t>编辑web资产列表</t>
        </is>
      </c>
    </row>
    <row r="172">
      <c r="A172" s="9" t="inlineStr">
        <is>
          <t>删除web资产列表</t>
        </is>
      </c>
    </row>
    <row r="173">
      <c r="A173" s="9" t="inlineStr">
        <is>
          <t>web资产列表详情查看</t>
        </is>
      </c>
    </row>
    <row r="174">
      <c r="A174" s="9" t="inlineStr">
        <is>
          <t>web资产列表导出模板</t>
        </is>
      </c>
    </row>
    <row r="175">
      <c r="A175" s="9" t="inlineStr">
        <is>
          <t>导入web资产列表</t>
        </is>
      </c>
    </row>
    <row r="176">
      <c r="A176" s="9" t="inlineStr">
        <is>
          <t>导出web资产列表</t>
        </is>
      </c>
    </row>
    <row r="177">
      <c r="A177" s="9" t="inlineStr">
        <is>
          <t>查看主机风险分布</t>
        </is>
      </c>
    </row>
    <row r="178">
      <c r="A178" s="9" t="inlineStr">
        <is>
          <t>查看配置风险分布</t>
        </is>
      </c>
    </row>
    <row r="179">
      <c r="A179" s="9" t="inlineStr">
        <is>
          <t>查看服务漏洞分布</t>
        </is>
      </c>
    </row>
    <row r="180">
      <c r="A180" s="9" t="inlineStr">
        <is>
          <t>查看应用漏洞分布</t>
        </is>
      </c>
    </row>
    <row r="181">
      <c r="A181" s="9" t="inlineStr">
        <is>
          <t>查看系统漏洞分布</t>
        </is>
      </c>
    </row>
    <row r="182">
      <c r="A182" s="9" t="inlineStr">
        <is>
          <t>查看威胁漏洞分布</t>
        </is>
      </c>
    </row>
    <row r="183">
      <c r="A183" s="9" t="inlineStr">
        <is>
          <t>查看漏洞时间趋势</t>
        </is>
      </c>
    </row>
    <row r="184">
      <c r="A184" s="9" t="inlineStr">
        <is>
          <t>查看年份漏洞分布</t>
        </is>
      </c>
    </row>
    <row r="185">
      <c r="A185" s="9" t="inlineStr">
        <is>
          <t>查看脆弱账号列表</t>
        </is>
      </c>
    </row>
    <row r="186">
      <c r="A186" s="9" t="inlineStr">
        <is>
          <t>新增脆弱账号</t>
        </is>
      </c>
    </row>
    <row r="187">
      <c r="A187" s="9" t="inlineStr">
        <is>
          <t>编辑脆弱账号</t>
        </is>
      </c>
    </row>
    <row r="188">
      <c r="A188" s="9" t="inlineStr">
        <is>
          <t>查看脆弱账号详情</t>
        </is>
      </c>
    </row>
    <row r="189">
      <c r="A189" s="9" t="inlineStr">
        <is>
          <t>删除脆弱账号</t>
        </is>
      </c>
    </row>
    <row r="190">
      <c r="A190" s="9" t="inlineStr">
        <is>
          <t>脆弱账号导出模板</t>
        </is>
      </c>
    </row>
    <row r="191">
      <c r="A191" s="9" t="inlineStr">
        <is>
          <t>导入脆弱账号</t>
        </is>
      </c>
    </row>
    <row r="192">
      <c r="A192" s="9" t="inlineStr">
        <is>
          <t>导出脆弱账号列表</t>
        </is>
      </c>
    </row>
    <row r="193">
      <c r="A193" s="9" t="inlineStr">
        <is>
          <t>查看账号风险分布</t>
        </is>
      </c>
    </row>
    <row r="194">
      <c r="A194" s="9" t="inlineStr">
        <is>
          <t>用户查看节点属性</t>
        </is>
      </c>
    </row>
    <row r="195">
      <c r="A195" s="9" t="inlineStr">
        <is>
          <t>查看设备类型分布</t>
        </is>
      </c>
    </row>
    <row r="196">
      <c r="A196" s="9" t="inlineStr">
        <is>
          <t>用户查看节点主机漏洞风险等级分布</t>
        </is>
      </c>
    </row>
    <row r="197">
      <c r="A197" s="9" t="inlineStr">
        <is>
          <t>用户查看下级节点信息</t>
        </is>
      </c>
    </row>
    <row r="198">
      <c r="A198" s="9" t="inlineStr">
        <is>
          <t>用户查看主机风险等级列表</t>
        </is>
      </c>
    </row>
    <row r="199">
      <c r="A199" s="9" t="inlineStr">
        <is>
          <t>用户查看节点下漏洞分布</t>
        </is>
      </c>
    </row>
    <row r="200">
      <c r="A200" s="9" t="inlineStr">
        <is>
          <t>用户查看主机风险等级信息</t>
        </is>
      </c>
    </row>
    <row r="201">
      <c r="A201" s="9" t="inlineStr">
        <is>
          <t>用户查看主机概况信息</t>
        </is>
      </c>
    </row>
    <row r="202">
      <c r="A202" s="9" t="inlineStr">
        <is>
          <t>查看主机端口列表</t>
        </is>
      </c>
    </row>
    <row r="203">
      <c r="A203" s="9" t="inlineStr">
        <is>
          <t>用户查看主机漏洞概况信息</t>
        </is>
      </c>
    </row>
    <row r="204">
      <c r="A204" s="9" t="inlineStr">
        <is>
          <t>用户查看主机漏洞详情</t>
        </is>
      </c>
    </row>
    <row r="205">
      <c r="A205" s="9" t="inlineStr">
        <is>
          <t>用户查看资产属性</t>
        </is>
      </c>
    </row>
    <row r="206">
      <c r="A206" s="9" t="inlineStr">
        <is>
          <t>查看资产类型分布</t>
        </is>
      </c>
    </row>
    <row r="207">
      <c r="A207" s="9" t="inlineStr">
        <is>
          <t>查看资产风险趋势</t>
        </is>
      </c>
    </row>
    <row r="208">
      <c r="A208" s="9" t="inlineStr">
        <is>
          <t>查看端口风险分布</t>
        </is>
      </c>
    </row>
    <row r="209">
      <c r="A209" s="9" t="inlineStr">
        <is>
          <t>查看漏洞修复趋势</t>
        </is>
      </c>
    </row>
    <row r="210">
      <c r="A210" s="9" t="inlineStr">
        <is>
          <t>查看漏洞类型分布</t>
        </is>
      </c>
    </row>
    <row r="211">
      <c r="A211" s="9" t="inlineStr">
        <is>
          <t>查看主机在线分布</t>
        </is>
      </c>
    </row>
    <row r="212">
      <c r="A212" s="9" t="inlineStr">
        <is>
          <t>查看资产系统分布</t>
        </is>
      </c>
    </row>
    <row r="213">
      <c r="A213" s="9" t="inlineStr">
        <is>
          <t>查看资产厂商分布</t>
        </is>
      </c>
    </row>
    <row r="214">
      <c r="A214" s="9" t="inlineStr">
        <is>
          <t>查看资产型号分布</t>
        </is>
      </c>
    </row>
    <row r="215">
      <c r="A215" s="9" t="inlineStr">
        <is>
          <t>查看服务端口分布</t>
        </is>
      </c>
    </row>
    <row r="216">
      <c r="A216" s="9" t="inlineStr">
        <is>
          <t>查看漏洞影响分布</t>
        </is>
      </c>
    </row>
    <row r="217">
      <c r="A217" s="9" t="inlineStr">
        <is>
          <t>查看漏洞利用分布</t>
        </is>
      </c>
    </row>
    <row r="218">
      <c r="A218" s="9" t="inlineStr">
        <is>
          <t>新增漏洞知识库条目</t>
        </is>
      </c>
    </row>
    <row r="219">
      <c r="A219" s="9" t="inlineStr">
        <is>
          <t>编辑漏洞知识库条目</t>
        </is>
      </c>
    </row>
    <row r="220">
      <c r="A220" s="9" t="inlineStr">
        <is>
          <t>查询漏洞知识库</t>
        </is>
      </c>
    </row>
    <row r="221">
      <c r="A221" s="9" t="inlineStr">
        <is>
          <t>漏洞知识库导出模板</t>
        </is>
      </c>
    </row>
    <row r="222">
      <c r="A222" s="9" t="inlineStr">
        <is>
          <t>导入漏洞知识库数据</t>
        </is>
      </c>
    </row>
    <row r="223">
      <c r="A223" s="9" t="inlineStr">
        <is>
          <t>导出漏洞知识库数据</t>
        </is>
      </c>
    </row>
    <row r="224">
      <c r="A224" s="9" t="inlineStr">
        <is>
          <t>删除无用知识库条目</t>
        </is>
      </c>
    </row>
    <row r="225">
      <c r="A225" s="9" t="inlineStr">
        <is>
          <t>查看漏洞知识库数据详情</t>
        </is>
      </c>
    </row>
    <row r="226">
      <c r="A226" s="2" t="inlineStr">
        <is>
          <t>上报靶标资产</t>
        </is>
      </c>
    </row>
    <row r="227">
      <c r="A227" s="2" t="inlineStr">
        <is>
          <t>接收部侧靶标数据</t>
        </is>
      </c>
    </row>
    <row r="228">
      <c r="A228" s="3" t="inlineStr">
        <is>
          <t>查看靶标资产列表</t>
        </is>
      </c>
    </row>
    <row r="229">
      <c r="A229" s="3" t="inlineStr">
        <is>
          <t>显示靶标资产列表</t>
        </is>
      </c>
    </row>
    <row r="230">
      <c r="A230" s="3" t="inlineStr">
        <is>
          <t>上报部侧靶标数据</t>
        </is>
      </c>
    </row>
    <row r="231">
      <c r="A231" s="3" t="inlineStr">
        <is>
          <t>解析部侧靶标数据</t>
        </is>
      </c>
    </row>
    <row r="232">
      <c r="A232" s="2" t="inlineStr">
        <is>
          <t>上报下载</t>
        </is>
      </c>
    </row>
    <row r="233">
      <c r="A233" s="2" t="inlineStr">
        <is>
          <t>导入靶标</t>
        </is>
      </c>
    </row>
    <row r="234">
      <c r="A234" s="2" t="inlineStr">
        <is>
          <t>导出靶标</t>
        </is>
      </c>
    </row>
    <row r="235">
      <c r="A235" s="2" t="inlineStr">
        <is>
          <t>查看靶标</t>
        </is>
      </c>
    </row>
    <row r="236">
      <c r="A236" s="2" t="inlineStr">
        <is>
          <t>编辑靶标</t>
        </is>
      </c>
    </row>
    <row r="237">
      <c r="A237" s="2" t="inlineStr">
        <is>
          <t>创建靶标环境</t>
        </is>
      </c>
    </row>
    <row r="238">
      <c r="A238" s="3" t="inlineStr">
        <is>
          <t>修改靶标环境</t>
        </is>
      </c>
    </row>
    <row r="239">
      <c r="A239" s="3" t="inlineStr">
        <is>
          <t>调整靶标环境</t>
        </is>
      </c>
    </row>
    <row r="240">
      <c r="A240" s="2" t="inlineStr">
        <is>
          <t>系统漏洞等效防护处置</t>
        </is>
      </c>
    </row>
    <row r="241">
      <c r="A241" s="2" t="inlineStr">
        <is>
          <t>配置漏洞等效防护策略</t>
        </is>
      </c>
    </row>
    <row r="242">
      <c r="A242" s="2" t="inlineStr">
        <is>
          <t>修改处置接口配置</t>
        </is>
      </c>
    </row>
    <row r="243">
      <c r="A243" s="3" t="inlineStr">
        <is>
          <t>启停处置接口配置</t>
        </is>
      </c>
    </row>
    <row r="244">
      <c r="A244" s="3" t="inlineStr">
        <is>
          <t>停用处置接口配置</t>
        </is>
      </c>
    </row>
    <row r="245">
      <c r="A245" s="2" t="inlineStr">
        <is>
          <t>删除处置接口配置</t>
        </is>
      </c>
    </row>
    <row r="246">
      <c r="A246" s="2" t="inlineStr">
        <is>
          <t>新增处置接口配置</t>
        </is>
      </c>
    </row>
    <row r="247">
      <c r="A247" s="2" t="inlineStr">
        <is>
          <t>查询处置接口配置</t>
        </is>
      </c>
    </row>
    <row r="248">
      <c r="A248" s="3" t="inlineStr">
        <is>
          <t>安全设备处置接口配置模版导出</t>
        </is>
      </c>
    </row>
    <row r="249">
      <c r="A249" s="3" t="inlineStr">
        <is>
          <t>安全设备处置接口配置数据导出</t>
        </is>
      </c>
    </row>
    <row r="250">
      <c r="A250" s="3" t="inlineStr">
        <is>
          <t>安全设备接口配置数据导入</t>
        </is>
      </c>
    </row>
    <row r="251">
      <c r="A251" s="3" t="inlineStr">
        <is>
          <t>记录产品漏洞验证任务下发调用记录</t>
        </is>
      </c>
    </row>
    <row r="252">
      <c r="A252" s="3" t="inlineStr">
        <is>
          <t>记录产品漏洞验证日志</t>
        </is>
      </c>
    </row>
    <row r="253">
      <c r="A253" s="3" t="inlineStr">
        <is>
          <t>记录修复工单回传接口调用记录</t>
        </is>
      </c>
    </row>
    <row r="254">
      <c r="A254" s="3" t="inlineStr">
        <is>
          <t>记录修复工单回传日志</t>
        </is>
      </c>
    </row>
    <row r="255">
      <c r="A255" s="3" t="inlineStr">
        <is>
          <t>记录修复工单派发接口调用记录</t>
        </is>
      </c>
    </row>
    <row r="256">
      <c r="A256" s="3" t="inlineStr">
        <is>
          <t>记录修复工单指派日志</t>
        </is>
      </c>
    </row>
    <row r="257">
      <c r="A257" s="3" t="inlineStr">
        <is>
          <t>记录弱口令扫描任务下发调用记录</t>
        </is>
      </c>
    </row>
    <row r="258">
      <c r="A258" s="3" t="inlineStr">
        <is>
          <t>记录弱口令扫描任务下发日志</t>
        </is>
      </c>
    </row>
    <row r="259">
      <c r="A259" s="3" t="inlineStr">
        <is>
          <t>记录弱口令扫描结果获取调用记录</t>
        </is>
      </c>
    </row>
    <row r="260">
      <c r="A260" s="3" t="inlineStr">
        <is>
          <t>记录弱口令扫描结果获取日志</t>
        </is>
      </c>
    </row>
    <row r="261">
      <c r="A261" s="3" t="inlineStr">
        <is>
          <t>记录弱口令扫描进度获取调用记录</t>
        </is>
      </c>
    </row>
    <row r="262">
      <c r="A262" s="3" t="inlineStr">
        <is>
          <t>记录弱口令扫描进度获取日志</t>
        </is>
      </c>
    </row>
    <row r="263">
      <c r="A263" s="3" t="inlineStr">
        <is>
          <t>记录漏洞扫描任务下发调用记录</t>
        </is>
      </c>
    </row>
    <row r="264">
      <c r="A264" s="3" t="inlineStr">
        <is>
          <t>记录漏洞扫描任务下发日志</t>
        </is>
      </c>
    </row>
    <row r="265">
      <c r="A265" s="3" t="inlineStr">
        <is>
          <t>记录漏洞扫描结果获取调用记录</t>
        </is>
      </c>
    </row>
    <row r="266">
      <c r="A266" s="3" t="inlineStr">
        <is>
          <t>记录漏洞扫描结果获取日志</t>
        </is>
      </c>
    </row>
    <row r="267">
      <c r="A267" s="3" t="inlineStr">
        <is>
          <t>记录漏洞扫描进度获取调用记录</t>
        </is>
      </c>
    </row>
    <row r="268">
      <c r="A268" s="3" t="inlineStr">
        <is>
          <t>记录漏洞扫描进度获取日志</t>
        </is>
      </c>
    </row>
    <row r="269">
      <c r="A269" s="3" t="inlineStr">
        <is>
          <t>记录漏洞预警任务下发调用记录</t>
        </is>
      </c>
    </row>
    <row r="270">
      <c r="A270" s="3" t="inlineStr">
        <is>
          <t>记录漏洞预警任务下发日志</t>
        </is>
      </c>
    </row>
    <row r="271">
      <c r="A271" s="3" t="inlineStr">
        <is>
          <t>记录漏洞预警任务结果获取调用记录</t>
        </is>
      </c>
    </row>
    <row r="272">
      <c r="A272" s="3" t="inlineStr">
        <is>
          <t>记录漏洞预警任务结果获取日志</t>
        </is>
      </c>
    </row>
    <row r="273">
      <c r="A273" s="3" t="inlineStr">
        <is>
          <t>记录漏洞预警任务进度获取调用记录</t>
        </is>
      </c>
    </row>
    <row r="274">
      <c r="A274" s="3" t="inlineStr">
        <is>
          <t>记录漏洞预警任务进度获取日志</t>
        </is>
      </c>
    </row>
    <row r="275">
      <c r="A275" s="2" t="inlineStr">
        <is>
          <t>记录防护策略下发日志</t>
        </is>
      </c>
    </row>
    <row r="276">
      <c r="A276" s="2" t="inlineStr">
        <is>
          <t>查看响应审计策略列表</t>
        </is>
      </c>
    </row>
    <row r="277">
      <c r="A277" s="2" t="inlineStr">
        <is>
          <t>新增响应审计策略列表</t>
        </is>
      </c>
    </row>
    <row r="278">
      <c r="A278" s="2" t="inlineStr">
        <is>
          <t>修改响应审计策略列表</t>
        </is>
      </c>
    </row>
    <row r="279">
      <c r="A279" s="2" t="inlineStr">
        <is>
          <t>下载审计报告</t>
        </is>
      </c>
    </row>
    <row r="280">
      <c r="A280" s="3" t="inlineStr">
        <is>
          <t>查询审计报告记录</t>
        </is>
      </c>
    </row>
    <row r="281">
      <c r="A281" s="2" t="inlineStr">
        <is>
          <t>生成审计报告</t>
        </is>
      </c>
    </row>
    <row r="282">
      <c r="A282" s="3" t="inlineStr">
        <is>
          <t>查看审计响应合规性列表</t>
        </is>
      </c>
    </row>
    <row r="283">
      <c r="A283" s="3" t="inlineStr">
        <is>
          <t>查询接口调用记录列表</t>
        </is>
      </c>
    </row>
    <row r="284">
      <c r="A284" s="3" t="inlineStr">
        <is>
          <t>查询日志列表</t>
        </is>
      </c>
    </row>
    <row r="285">
      <c r="A285" s="2" t="inlineStr">
        <is>
          <t>下发漏洞修复工单</t>
        </is>
      </c>
    </row>
    <row r="286">
      <c r="A286" s="2" t="inlineStr">
        <is>
          <t>查询漏洞扫描设备列表</t>
        </is>
      </c>
    </row>
    <row r="287">
      <c r="A287" s="2" t="inlineStr">
        <is>
          <t>查询BAS设备列表</t>
        </is>
      </c>
    </row>
    <row r="288">
      <c r="A288" s="2" t="inlineStr">
        <is>
          <t>修改漏洞修复工单</t>
        </is>
      </c>
    </row>
    <row r="289">
      <c r="A289" s="2" t="inlineStr">
        <is>
          <t>创建漏洞修复工单</t>
        </is>
      </c>
    </row>
    <row r="290">
      <c r="A290" s="2" t="inlineStr">
        <is>
          <t>查询漏洞修复工单</t>
        </is>
      </c>
    </row>
    <row r="291">
      <c r="A291" s="2" t="inlineStr">
        <is>
          <t>删除漏洞修复工单</t>
        </is>
      </c>
    </row>
    <row r="292">
      <c r="A292" s="2" t="inlineStr">
        <is>
          <t>配置漏洞修复核验方式</t>
        </is>
      </c>
    </row>
    <row r="293">
      <c r="A293" s="2" t="inlineStr">
        <is>
          <t>BAS平台接口调用配置</t>
        </is>
      </c>
    </row>
    <row r="294">
      <c r="A294" s="2" t="inlineStr">
        <is>
          <t>验证指令配置</t>
        </is>
      </c>
    </row>
    <row r="295">
      <c r="A295" s="11" t="inlineStr">
        <is>
          <t>报告下载</t>
        </is>
      </c>
    </row>
    <row r="296">
      <c r="A296" s="5" t="inlineStr">
        <is>
          <t>报告列表查询</t>
        </is>
      </c>
    </row>
    <row r="297">
      <c r="A297" s="5" t="inlineStr">
        <is>
          <t>报告模板查询</t>
        </is>
      </c>
    </row>
    <row r="298">
      <c r="A298" s="5" t="inlineStr">
        <is>
          <t>生成修复核验报告</t>
        </is>
      </c>
    </row>
    <row r="299">
      <c r="A299" s="2" t="inlineStr">
        <is>
          <t>配置漏洞修复核验报告模板</t>
        </is>
      </c>
    </row>
    <row r="300">
      <c r="A300" s="2" t="inlineStr">
        <is>
          <t>推送记录查询</t>
        </is>
      </c>
    </row>
    <row r="301">
      <c r="A301" s="2" t="inlineStr">
        <is>
          <t>配置报告推送规则</t>
        </is>
      </c>
    </row>
    <row r="302">
      <c r="A302" s="3" t="inlineStr">
        <is>
          <t>跨级联动扫描排查</t>
        </is>
      </c>
    </row>
    <row r="303">
      <c r="A303" s="2" t="inlineStr">
        <is>
          <t>跨级联动漏洞核验</t>
        </is>
      </c>
    </row>
    <row r="304">
      <c r="A304" s="3" t="inlineStr">
        <is>
          <t>跨级联动漏洞验证</t>
        </is>
      </c>
    </row>
    <row r="305">
      <c r="A305" s="3" t="inlineStr">
        <is>
          <t>查询自定义业务场景</t>
        </is>
      </c>
    </row>
    <row r="306">
      <c r="A306" s="2" t="inlineStr">
        <is>
          <t>添加自定义业务场景</t>
        </is>
      </c>
    </row>
    <row r="307">
      <c r="A307" s="2" t="inlineStr">
        <is>
          <t>编辑自定义业务场景</t>
        </is>
      </c>
    </row>
    <row r="308">
      <c r="A308" s="2" t="inlineStr">
        <is>
          <t>删除自定义业务场景</t>
        </is>
      </c>
    </row>
    <row r="309">
      <c r="A309" s="3" t="inlineStr">
        <is>
          <t>自定义业务场景启停</t>
        </is>
      </c>
    </row>
    <row r="310">
      <c r="A310" s="10" t="inlineStr">
        <is>
          <t>启用自定义业务场景</t>
        </is>
      </c>
    </row>
    <row r="311">
      <c r="A311" s="3" t="inlineStr">
        <is>
          <t>业务场景数据导出</t>
        </is>
      </c>
    </row>
    <row r="312">
      <c r="A312" s="10" t="inlineStr">
        <is>
          <t>停用自定义业务场景</t>
        </is>
      </c>
    </row>
    <row r="313">
      <c r="A313" s="2" t="inlineStr">
        <is>
          <t>配置执行流程策略</t>
        </is>
      </c>
    </row>
    <row r="314">
      <c r="A314" s="2" t="inlineStr">
        <is>
          <t>分析漏洞场景影响</t>
        </is>
      </c>
    </row>
    <row r="315">
      <c r="A315" s="2" t="inlineStr">
        <is>
          <t>生成漏洞风险防御建议</t>
        </is>
      </c>
    </row>
    <row r="316">
      <c r="A316" s="3" t="inlineStr">
        <is>
          <t>修复失败原因漏洞统计</t>
        </is>
      </c>
    </row>
    <row r="317">
      <c r="A317" s="3" t="inlineStr">
        <is>
          <t>入口系统漏洞数统计</t>
        </is>
      </c>
    </row>
    <row r="318">
      <c r="A318" s="3" t="inlineStr">
        <is>
          <t>关联分析覆盖数统计</t>
        </is>
      </c>
    </row>
    <row r="319">
      <c r="A319" s="3" t="inlineStr">
        <is>
          <t>关联分析覆盖统计</t>
        </is>
      </c>
    </row>
    <row r="320">
      <c r="A320" s="3" t="inlineStr">
        <is>
          <t>已扫描产品漏洞统计</t>
        </is>
      </c>
    </row>
    <row r="321">
      <c r="A321" s="3" t="inlineStr">
        <is>
          <t>已扫描口令字典统计</t>
        </is>
      </c>
    </row>
    <row r="322">
      <c r="A322" s="3" t="inlineStr">
        <is>
          <t>应扫描产品漏洞统计</t>
        </is>
      </c>
    </row>
    <row r="323">
      <c r="A323" s="3" t="inlineStr">
        <is>
          <t>应扫描口令字典统计</t>
        </is>
      </c>
    </row>
    <row r="324">
      <c r="A324" s="3" t="inlineStr">
        <is>
          <t>漏洞扫描任务应覆盖资产总数统计</t>
        </is>
      </c>
    </row>
    <row r="325">
      <c r="A325" s="3" t="inlineStr">
        <is>
          <t>应覆盖资产总数统计</t>
        </is>
      </c>
    </row>
    <row r="326">
      <c r="A326" s="3" t="inlineStr">
        <is>
          <t>弱口令扫描应覆盖资产数统计</t>
        </is>
      </c>
    </row>
    <row r="327">
      <c r="A327" s="3" t="inlineStr">
        <is>
          <t>弱口令扫描覆盖统计</t>
        </is>
      </c>
    </row>
    <row r="328">
      <c r="A328" s="3" t="inlineStr">
        <is>
          <t>待验证系统漏洞统计</t>
        </is>
      </c>
    </row>
    <row r="329">
      <c r="A329" s="3" t="inlineStr">
        <is>
          <t>待核实系统漏洞统计</t>
        </is>
      </c>
    </row>
    <row r="330">
      <c r="A330" s="3" t="inlineStr">
        <is>
          <t>验证有效系统漏洞数统计</t>
        </is>
      </c>
    </row>
    <row r="331">
      <c r="A331" s="3" t="inlineStr">
        <is>
          <t>有效系统漏洞数统计</t>
        </is>
      </c>
    </row>
    <row r="332">
      <c r="A332" s="3" t="inlineStr">
        <is>
          <t>未排查资产数量统计</t>
        </is>
      </c>
    </row>
    <row r="333">
      <c r="A333" s="3" t="inlineStr">
        <is>
          <t>未闭环系统漏洞统计</t>
        </is>
      </c>
    </row>
    <row r="334">
      <c r="A334" s="3" t="inlineStr">
        <is>
          <t>漏洞扫描实际覆盖资产统计</t>
        </is>
      </c>
    </row>
    <row r="335">
      <c r="A335" s="3" t="inlineStr">
        <is>
          <t>漏洞扫描覆盖资产统计</t>
        </is>
      </c>
    </row>
    <row r="336">
      <c r="A336" s="3" t="inlineStr">
        <is>
          <t>系统漏洞修复数统计</t>
        </is>
      </c>
    </row>
    <row r="337">
      <c r="A337" s="3" t="inlineStr">
        <is>
          <t>系统漏洞修复成功统计</t>
        </is>
      </c>
    </row>
    <row r="338">
      <c r="A338" s="3" t="inlineStr">
        <is>
          <t>系统漏洞初始修复数统计</t>
        </is>
      </c>
    </row>
    <row r="339">
      <c r="A339" s="3" t="inlineStr">
        <is>
          <t>系统漏洞初始修复统计</t>
        </is>
      </c>
    </row>
    <row r="340">
      <c r="A340" s="3" t="inlineStr">
        <is>
          <t>误报系统漏洞数统计</t>
        </is>
      </c>
    </row>
    <row r="341">
      <c r="A341" s="2" t="inlineStr">
        <is>
          <t>VPT风险等级统计</t>
        </is>
      </c>
    </row>
    <row r="342">
      <c r="A342" s="3" t="inlineStr">
        <is>
          <t>产品漏洞覆盖率统计</t>
        </is>
      </c>
    </row>
    <row r="343">
      <c r="A343" s="3" t="inlineStr">
        <is>
          <t>弱口令扫描检测周期统计</t>
        </is>
      </c>
    </row>
    <row r="344">
      <c r="A344" s="3" t="inlineStr">
        <is>
          <t>弱口令扫描资产覆盖率统计</t>
        </is>
      </c>
    </row>
    <row r="345">
      <c r="A345" s="3" t="inlineStr">
        <is>
          <t>弱口令覆盖率统计</t>
        </is>
      </c>
    </row>
    <row r="346">
      <c r="A346" s="3" t="inlineStr">
        <is>
          <t>有效漏洞率统计</t>
        </is>
      </c>
    </row>
    <row r="347">
      <c r="A347" s="3" t="inlineStr">
        <is>
          <t>未排查原因比例统计</t>
        </is>
      </c>
    </row>
    <row r="348">
      <c r="A348" s="3" t="inlineStr">
        <is>
          <t>未闭环漏洞一致率统计</t>
        </is>
      </c>
    </row>
    <row r="349">
      <c r="A349" s="3" t="inlineStr">
        <is>
          <t>漏洞修复成功率统计</t>
        </is>
      </c>
    </row>
    <row r="350">
      <c r="A350" s="3" t="inlineStr">
        <is>
          <t>漏洞关联分析资产覆盖率统计</t>
        </is>
      </c>
    </row>
    <row r="351">
      <c r="A351" s="3" t="inlineStr">
        <is>
          <t>漏洞初始修复率统计</t>
        </is>
      </c>
    </row>
    <row r="352">
      <c r="A352" s="3" t="inlineStr">
        <is>
          <t>漏洞失败原因比例统计</t>
        </is>
      </c>
    </row>
    <row r="353">
      <c r="A353" s="3" t="inlineStr">
        <is>
          <t>漏洞平均修复时间(已验证)统计</t>
        </is>
      </c>
    </row>
    <row r="354">
      <c r="A354" s="3" t="inlineStr">
        <is>
          <t>漏洞扫描资产覆盖率统计</t>
        </is>
      </c>
    </row>
    <row r="355">
      <c r="A355" s="3" t="inlineStr">
        <is>
          <t>漏洞未验证率统计</t>
        </is>
      </c>
    </row>
    <row r="356">
      <c r="A356" s="3" t="inlineStr">
        <is>
          <t>漏洞误报率统计</t>
        </is>
      </c>
    </row>
    <row r="357">
      <c r="A357" s="2" t="inlineStr">
        <is>
          <t>查询任务列表</t>
        </is>
      </c>
    </row>
    <row r="358">
      <c r="A358" s="2" t="inlineStr">
        <is>
          <t>查询弱口令检测任务分配列表</t>
        </is>
      </c>
    </row>
    <row r="359">
      <c r="A359" s="2" t="inlineStr">
        <is>
          <t>查询弱口令检测任务</t>
        </is>
      </c>
    </row>
    <row r="360">
      <c r="A360" s="4" t="inlineStr">
        <is>
          <t>导入POC开发记录漏洞</t>
        </is>
      </c>
    </row>
    <row r="361">
      <c r="A361" s="4" t="inlineStr">
        <is>
          <t>POC开发结果模板下载功能</t>
        </is>
      </c>
    </row>
    <row r="362">
      <c r="A362" s="4" t="inlineStr">
        <is>
          <t>POC开发结果文件导入功能</t>
        </is>
      </c>
    </row>
    <row r="363">
      <c r="A363" s="4" t="inlineStr">
        <is>
          <t>POC开发结果附件上传功能</t>
        </is>
      </c>
    </row>
    <row r="364">
      <c r="A364" s="4" t="inlineStr">
        <is>
          <t>POC开发记录台账信息查询</t>
        </is>
      </c>
    </row>
    <row r="365">
      <c r="A365" s="4" t="inlineStr">
        <is>
          <t>修改已POC开发记录详细内容</t>
        </is>
      </c>
    </row>
    <row r="366">
      <c r="A366" s="4" t="inlineStr">
        <is>
          <t>删除POC验证无效漏洞记录</t>
        </is>
      </c>
    </row>
    <row r="367">
      <c r="A367" s="4" t="inlineStr">
        <is>
          <t>POC验证漏洞状态变更记录</t>
        </is>
      </c>
    </row>
    <row r="368">
      <c r="A368" s="2" t="inlineStr">
        <is>
          <t>录入漏洞挖掘结果</t>
        </is>
      </c>
    </row>
    <row r="369">
      <c r="A369" s="2" t="inlineStr">
        <is>
          <t>下载漏洞挖掘文件模板</t>
        </is>
      </c>
    </row>
    <row r="370">
      <c r="A370" s="2" t="inlineStr">
        <is>
          <t>录入漏洞发掘结果文件</t>
        </is>
      </c>
    </row>
    <row r="371">
      <c r="A371" s="2" t="inlineStr">
        <is>
          <t>漏洞挖掘附件上传管理</t>
        </is>
      </c>
    </row>
    <row r="372">
      <c r="A372" s="2" t="inlineStr">
        <is>
          <t>漏洞挖掘记录台账信息查询</t>
        </is>
      </c>
    </row>
    <row r="373">
      <c r="A373" s="2" t="inlineStr">
        <is>
          <t>修改漏洞挖掘详细内容</t>
        </is>
      </c>
    </row>
    <row r="374">
      <c r="A374" s="2" t="inlineStr">
        <is>
          <t>删除无效漏洞挖掘详细内容</t>
        </is>
      </c>
    </row>
    <row r="375">
      <c r="A375" s="3" t="inlineStr">
        <is>
          <t>更新漏洞挖掘的漏洞状态</t>
        </is>
      </c>
    </row>
    <row r="376">
      <c r="A376" s="8" t="inlineStr">
        <is>
          <t>录入渗透测试的漏洞信息</t>
        </is>
      </c>
    </row>
    <row r="377">
      <c r="A377" s="4" t="inlineStr">
        <is>
          <t>下载渗透测试结果模板文件</t>
        </is>
      </c>
    </row>
    <row r="378">
      <c r="A378" s="8" t="inlineStr">
        <is>
          <t>导入渗透测试的漏洞结果文件</t>
        </is>
      </c>
    </row>
    <row r="379">
      <c r="A379" s="8" t="inlineStr">
        <is>
          <t>渗透测试附件证明材料上传</t>
        </is>
      </c>
    </row>
    <row r="380">
      <c r="A380" s="4" t="inlineStr">
        <is>
          <t>更新渗透测试漏洞状态</t>
        </is>
      </c>
    </row>
    <row r="381">
      <c r="A381" s="4" t="inlineStr">
        <is>
          <t>渗透测试记录台账信息查询</t>
        </is>
      </c>
    </row>
    <row r="382">
      <c r="A382" s="4" t="inlineStr">
        <is>
          <t>修改渗透测试记录详细内容</t>
        </is>
      </c>
    </row>
    <row r="383">
      <c r="A383" s="4" t="inlineStr">
        <is>
          <t>删除无效渗透测试记录记录</t>
        </is>
      </c>
    </row>
    <row r="384">
      <c r="A384" s="2" t="inlineStr">
        <is>
          <t>查看业务执行记录</t>
        </is>
      </c>
    </row>
    <row r="385">
      <c r="A385" s="2" t="inlineStr">
        <is>
          <t>修改业务执行记录</t>
        </is>
      </c>
    </row>
    <row r="386">
      <c r="A386" s="2" t="inlineStr">
        <is>
          <t>删除业务执行记录</t>
        </is>
      </c>
    </row>
    <row r="387">
      <c r="A387" s="2" t="inlineStr">
        <is>
          <t>管理流程节点状态</t>
        </is>
      </c>
    </row>
    <row r="388">
      <c r="A388" s="4" t="inlineStr">
        <is>
          <t>查看漏洞生命周期</t>
        </is>
      </c>
    </row>
    <row r="389">
      <c r="A389" s="2" t="inlineStr">
        <is>
          <t>查询POC引擎列表</t>
        </is>
      </c>
    </row>
    <row r="390">
      <c r="A390" s="2" t="inlineStr">
        <is>
          <t>查询POC引擎规划列表</t>
        </is>
      </c>
    </row>
    <row r="391">
      <c r="A391" s="2" t="inlineStr">
        <is>
          <t>新增POC引擎规划</t>
        </is>
      </c>
    </row>
    <row r="392">
      <c r="A392" s="2" t="inlineStr">
        <is>
          <t>修改POC引擎规划</t>
        </is>
      </c>
    </row>
    <row r="393">
      <c r="A393" s="2" t="inlineStr">
        <is>
          <t>删除单个POC引擎规划</t>
        </is>
      </c>
    </row>
    <row r="394">
      <c r="A394" s="2" t="inlineStr">
        <is>
          <t>批量删除POC引擎规划</t>
        </is>
      </c>
    </row>
    <row r="395">
      <c r="A395" s="2" t="inlineStr">
        <is>
          <t>查询等效防护设备列表</t>
        </is>
      </c>
    </row>
    <row r="396">
      <c r="A396" s="2" t="inlineStr">
        <is>
          <t>查询规划列表</t>
        </is>
      </c>
    </row>
    <row r="397">
      <c r="A397" s="2" t="inlineStr">
        <is>
          <t>新增等效防护设备规划</t>
        </is>
      </c>
    </row>
    <row r="398">
      <c r="A398" s="2" t="inlineStr">
        <is>
          <t>修改等效防护设备规划</t>
        </is>
      </c>
    </row>
    <row r="399">
      <c r="A399" s="2" t="inlineStr">
        <is>
          <t>删除等效防护设备规划</t>
        </is>
      </c>
    </row>
    <row r="400">
      <c r="A400" s="2" t="inlineStr">
        <is>
          <t>批量删除规划</t>
        </is>
      </c>
    </row>
    <row r="401">
      <c r="A401" s="2" t="inlineStr">
        <is>
          <t>查询资产覆盖范围</t>
        </is>
      </c>
    </row>
    <row r="402">
      <c r="A402" s="2" t="inlineStr">
        <is>
          <t>新增资产覆盖范围</t>
        </is>
      </c>
    </row>
    <row r="403">
      <c r="A403" s="2" t="inlineStr">
        <is>
          <t>修改资产覆盖范围</t>
        </is>
      </c>
    </row>
    <row r="404">
      <c r="A404" s="2" t="inlineStr">
        <is>
          <t>删除资产覆盖范围</t>
        </is>
      </c>
    </row>
    <row r="405">
      <c r="A405" s="2" t="inlineStr">
        <is>
          <t>查询扫描密度配置</t>
        </is>
      </c>
    </row>
    <row r="406">
      <c r="A406" s="2" t="inlineStr">
        <is>
          <t>新增扫描密度配置</t>
        </is>
      </c>
    </row>
    <row r="407">
      <c r="A407" s="2" t="inlineStr">
        <is>
          <t>修改扫描密度配置</t>
        </is>
      </c>
    </row>
    <row r="408">
      <c r="A408" s="2" t="inlineStr">
        <is>
          <t>删除扫描密度配置</t>
        </is>
      </c>
    </row>
    <row r="409">
      <c r="A409" s="2" t="inlineStr">
        <is>
          <t>查询防护指标</t>
        </is>
      </c>
    </row>
    <row r="410">
      <c r="A410" s="2" t="inlineStr">
        <is>
          <t>新增防护指标</t>
        </is>
      </c>
    </row>
    <row r="411">
      <c r="A411" s="2" t="inlineStr">
        <is>
          <t>修改防护指标</t>
        </is>
      </c>
    </row>
    <row r="412">
      <c r="A412" s="2" t="inlineStr">
        <is>
          <t>删除防护指标</t>
        </is>
      </c>
    </row>
    <row r="413">
      <c r="A413" s="2" t="inlineStr">
        <is>
          <t>查询防护设备</t>
        </is>
      </c>
    </row>
    <row r="414">
      <c r="A414" s="2" t="inlineStr">
        <is>
          <t>新增防护设备</t>
        </is>
      </c>
    </row>
    <row r="415">
      <c r="A415" s="2" t="inlineStr">
        <is>
          <t>修改防护设备</t>
        </is>
      </c>
    </row>
    <row r="416">
      <c r="A416" s="2" t="inlineStr">
        <is>
          <t>删除防护设备</t>
        </is>
      </c>
    </row>
    <row r="417">
      <c r="A417" s="2" t="inlineStr">
        <is>
          <t>任务分配策略新增</t>
        </is>
      </c>
    </row>
    <row r="418">
      <c r="A418" s="2" t="inlineStr">
        <is>
          <t>任务分配策略查询</t>
        </is>
      </c>
    </row>
    <row r="419">
      <c r="A419" s="2" t="inlineStr">
        <is>
          <t>任务分配策略修改</t>
        </is>
      </c>
    </row>
    <row r="420">
      <c r="A420" s="2" t="inlineStr">
        <is>
          <t>任务分配策略删除</t>
        </is>
      </c>
    </row>
    <row r="421">
      <c r="A421" s="2" t="inlineStr">
        <is>
          <t>扫描过程日志存储</t>
        </is>
      </c>
    </row>
    <row r="422">
      <c r="A422" s="2" t="inlineStr">
        <is>
          <t>跟据策略参数自动扫描任务</t>
        </is>
      </c>
    </row>
    <row r="423">
      <c r="A423" s="2" t="inlineStr">
        <is>
          <t>自动化执行步骤修改</t>
        </is>
      </c>
    </row>
    <row r="424">
      <c r="A424" s="2" t="inlineStr">
        <is>
          <t>自动化执行步骤删除</t>
        </is>
      </c>
    </row>
    <row r="425">
      <c r="A425" s="2" t="inlineStr">
        <is>
          <t>自动化执行步骤新增</t>
        </is>
      </c>
    </row>
    <row r="426">
      <c r="A426" s="2" t="inlineStr">
        <is>
          <t>自动化执行步骤查询</t>
        </is>
      </c>
    </row>
    <row r="427">
      <c r="A427" s="10" t="inlineStr">
        <is>
          <t>创建工单状态记录</t>
        </is>
      </c>
    </row>
    <row r="428">
      <c r="A428" s="9" t="inlineStr">
        <is>
          <t>变更工单状态</t>
        </is>
      </c>
    </row>
    <row r="429">
      <c r="A429" s="2" t="inlineStr">
        <is>
          <t>导出状态变化日志</t>
        </is>
      </c>
    </row>
    <row r="430">
      <c r="A430" s="2" t="inlineStr">
        <is>
          <t>查看历史状态</t>
        </is>
      </c>
    </row>
    <row r="431">
      <c r="A431" s="2" t="inlineStr">
        <is>
          <t>过滤查询</t>
        </is>
      </c>
    </row>
    <row r="432">
      <c r="A432" s="2" t="inlineStr">
        <is>
          <t>修改异常捕捉规则</t>
        </is>
      </c>
    </row>
    <row r="433">
      <c r="A433" s="2" t="inlineStr">
        <is>
          <t>新增捕捉规则</t>
        </is>
      </c>
    </row>
    <row r="434">
      <c r="A434" s="2" t="inlineStr">
        <is>
          <t>查询异常记录</t>
        </is>
      </c>
    </row>
    <row r="435">
      <c r="A435" s="9" t="inlineStr">
        <is>
          <t>上报通过审核</t>
        </is>
      </c>
    </row>
    <row r="436">
      <c r="A436" s="2" t="inlineStr">
        <is>
          <t>修改上报批次</t>
        </is>
      </c>
    </row>
    <row r="437">
      <c r="A437" s="9" t="inlineStr">
        <is>
          <t>修改上报结果</t>
        </is>
      </c>
    </row>
    <row r="438">
      <c r="A438" s="2" t="inlineStr">
        <is>
          <t>删除上报批次</t>
        </is>
      </c>
    </row>
    <row r="439">
      <c r="A439" s="2" t="inlineStr">
        <is>
          <t>导出上报批次</t>
        </is>
      </c>
    </row>
    <row r="440">
      <c r="A440" s="2" t="inlineStr">
        <is>
          <t>新增上报批次</t>
        </is>
      </c>
    </row>
    <row r="441">
      <c r="A441" s="3" t="inlineStr">
        <is>
          <t>查看上报批次详情</t>
        </is>
      </c>
    </row>
    <row r="442">
      <c r="A442" s="3" t="inlineStr">
        <is>
          <t>条件搜索</t>
        </is>
      </c>
    </row>
    <row r="443">
      <c r="A443" s="3" t="inlineStr">
        <is>
          <t>查询上报批次</t>
        </is>
      </c>
    </row>
    <row r="444">
      <c r="A444" s="3" t="inlineStr">
        <is>
          <t>结果上报记录列表查看</t>
        </is>
      </c>
    </row>
    <row r="445">
      <c r="A445" s="3" t="inlineStr">
        <is>
          <t>条件查询检索</t>
        </is>
      </c>
    </row>
    <row r="446">
      <c r="A446" s="3" t="inlineStr">
        <is>
          <t>结果上报记录详情查看</t>
        </is>
      </c>
    </row>
    <row r="447">
      <c r="A447" s="3" t="inlineStr">
        <is>
          <t>结果上报记录查看</t>
        </is>
      </c>
    </row>
    <row r="448">
      <c r="A448" s="2" t="inlineStr">
        <is>
          <t>接收口令字典</t>
        </is>
      </c>
    </row>
    <row r="449">
      <c r="A449" s="2" t="inlineStr">
        <is>
          <t>同步口令字典</t>
        </is>
      </c>
    </row>
    <row r="450">
      <c r="A450" s="2" t="inlineStr">
        <is>
          <t>口令字典批量同步至扫描器</t>
        </is>
      </c>
    </row>
    <row r="451">
      <c r="A451" s="2" t="inlineStr">
        <is>
          <t>记录口令字典同步历史</t>
        </is>
      </c>
    </row>
    <row r="452">
      <c r="A452" s="2" t="inlineStr">
        <is>
          <t>查询口令字典同步历史</t>
        </is>
      </c>
    </row>
    <row r="453">
      <c r="A453" s="2" t="inlineStr">
        <is>
          <t>查询口令字典列表</t>
        </is>
      </c>
    </row>
    <row r="454">
      <c r="A454" s="2" t="inlineStr">
        <is>
          <t>新增口令字典</t>
        </is>
      </c>
    </row>
    <row r="455">
      <c r="A455" s="2" t="inlineStr">
        <is>
          <t>修改口令字典</t>
        </is>
      </c>
    </row>
    <row r="456">
      <c r="A456" s="2" t="inlineStr">
        <is>
          <t>删除口令字典</t>
        </is>
      </c>
    </row>
    <row r="457">
      <c r="A457" s="2" t="inlineStr">
        <is>
          <t>批量删除口令字典</t>
        </is>
      </c>
    </row>
    <row r="458">
      <c r="A458" s="2" t="inlineStr">
        <is>
          <t>查询用户名口令字典</t>
        </is>
      </c>
    </row>
    <row r="459">
      <c r="A459" s="2" t="inlineStr">
        <is>
          <t>查询用户名密码字典</t>
        </is>
      </c>
    </row>
    <row r="460">
      <c r="A460" s="2" t="inlineStr">
        <is>
          <t>查询密码口令字典</t>
        </is>
      </c>
    </row>
    <row r="461">
      <c r="A461" s="2" t="inlineStr">
        <is>
          <t>口令字典导入</t>
        </is>
      </c>
    </row>
    <row r="462">
      <c r="A462" s="2" t="inlineStr">
        <is>
          <t>口令字典导出</t>
        </is>
      </c>
    </row>
    <row r="463">
      <c r="A463" s="2" t="inlineStr">
        <is>
          <t>口令字典批量导入</t>
        </is>
      </c>
    </row>
    <row r="464">
      <c r="A464" s="2" t="inlineStr">
        <is>
          <t>弱口令列表查询</t>
        </is>
      </c>
    </row>
    <row r="465">
      <c r="A465" s="2" t="inlineStr">
        <is>
          <t>新增弱口令配置</t>
        </is>
      </c>
    </row>
    <row r="466">
      <c r="A466" s="2" t="inlineStr">
        <is>
          <t>修改弱口令配置</t>
        </is>
      </c>
    </row>
    <row r="467">
      <c r="A467" s="2" t="inlineStr">
        <is>
          <t>删除弱口令配置</t>
        </is>
      </c>
    </row>
    <row r="468">
      <c r="A468" s="2" t="inlineStr">
        <is>
          <t>批量删除弱口令</t>
        </is>
      </c>
    </row>
    <row r="469">
      <c r="A469" s="2" t="inlineStr">
        <is>
          <t>查询弱口令检测任务列表</t>
        </is>
      </c>
    </row>
    <row r="470">
      <c r="A470" s="2" t="inlineStr">
        <is>
          <t>新增弱口令检测任务</t>
        </is>
      </c>
    </row>
    <row r="471">
      <c r="A471" s="2" t="inlineStr">
        <is>
          <t>修改弱口令检测任务</t>
        </is>
      </c>
    </row>
    <row r="472">
      <c r="A472" s="2" t="inlineStr">
        <is>
          <t>删除弱口令检测任务</t>
        </is>
      </c>
    </row>
    <row r="473">
      <c r="A473" s="2" t="inlineStr">
        <is>
          <t>弱口令检测立即执行</t>
        </is>
      </c>
    </row>
    <row r="474">
      <c r="A474" s="2" t="inlineStr">
        <is>
          <t>弱口令检测定期执行</t>
        </is>
      </c>
    </row>
    <row r="475">
      <c r="A475" s="2" t="inlineStr">
        <is>
          <t>弱口令检测进度监控</t>
        </is>
      </c>
    </row>
    <row r="476">
      <c r="A476" s="2" t="inlineStr">
        <is>
          <t>查询弱口令汇总</t>
        </is>
      </c>
    </row>
    <row r="477">
      <c r="A477" s="2" t="inlineStr">
        <is>
          <t>查询弱口令影响资产</t>
        </is>
      </c>
    </row>
    <row r="478">
      <c r="A478" s="2" t="inlineStr">
        <is>
          <t>查询弱口令检测任务资产</t>
        </is>
      </c>
    </row>
    <row r="479">
      <c r="A479" s="2" t="inlineStr">
        <is>
          <t>查询弱口令检测任务列表</t>
        </is>
      </c>
    </row>
    <row r="480">
      <c r="A480" s="2" t="inlineStr">
        <is>
          <t>查询弱口令列表</t>
        </is>
      </c>
    </row>
    <row r="481">
      <c r="A481" s="2" t="inlineStr">
        <is>
          <t>查询漏洞扫描设备列表</t>
        </is>
      </c>
    </row>
    <row r="482">
      <c r="A482" s="2" t="inlineStr">
        <is>
          <t>查询设备规划列表</t>
        </is>
      </c>
    </row>
    <row r="483">
      <c r="A483" s="2" t="inlineStr">
        <is>
          <t>新增设备规划</t>
        </is>
      </c>
    </row>
    <row r="484">
      <c r="A484" s="2" t="inlineStr">
        <is>
          <t>修改设备规划</t>
        </is>
      </c>
    </row>
    <row r="485">
      <c r="A485" s="2" t="inlineStr">
        <is>
          <t>删除单个设备规划</t>
        </is>
      </c>
    </row>
    <row r="486">
      <c r="A486" s="2" t="inlineStr">
        <is>
          <t>批量删除设备规划</t>
        </is>
      </c>
    </row>
    <row r="487">
      <c r="A487" s="2" t="inlineStr">
        <is>
          <t>查询扫描设备</t>
        </is>
      </c>
    </row>
    <row r="488">
      <c r="A488" s="2" t="inlineStr">
        <is>
          <t>新增扫描设备</t>
        </is>
      </c>
    </row>
    <row r="489">
      <c r="A489" s="2" t="inlineStr">
        <is>
          <t>修改扫描设备</t>
        </is>
      </c>
    </row>
    <row r="490">
      <c r="A490" s="2" t="inlineStr">
        <is>
          <t>删除扫描设备</t>
        </is>
      </c>
    </row>
    <row r="491">
      <c r="A491" s="9" t="inlineStr">
        <is>
          <t>设备可用性监控</t>
        </is>
      </c>
    </row>
    <row r="492">
      <c r="A492" s="9" t="inlineStr">
        <is>
          <t>CF卡信息监控</t>
        </is>
      </c>
    </row>
    <row r="493">
      <c r="A493" s="9" t="inlineStr">
        <is>
          <t>CPU信息监控</t>
        </is>
      </c>
    </row>
    <row r="494">
      <c r="A494" s="9" t="inlineStr">
        <is>
          <t>内存信息监控</t>
        </is>
      </c>
    </row>
    <row r="495">
      <c r="A495" s="9" t="inlineStr">
        <is>
          <t>流量信息监控</t>
        </is>
      </c>
    </row>
    <row r="496">
      <c r="A496" s="9" t="inlineStr">
        <is>
          <t>磁盘信息监控</t>
        </is>
      </c>
    </row>
    <row r="497">
      <c r="A497" s="9" t="inlineStr">
        <is>
          <t>系统漏洞监控</t>
        </is>
      </c>
    </row>
    <row r="498">
      <c r="A498" s="9" t="inlineStr">
        <is>
          <t>系统版本信息监控</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Ren</dc:creator>
  <dcterms:created xmlns:dcterms="http://purl.org/dc/terms/" xmlns:xsi="http://www.w3.org/2001/XMLSchema-instance" xsi:type="dcterms:W3CDTF">1996-12-17T01:32:00Z</dcterms:created>
  <dcterms:modified xmlns:dcterms="http://purl.org/dc/terms/" xmlns:xsi="http://www.w3.org/2001/XMLSchema-instance" xsi:type="dcterms:W3CDTF">2026-05-25T09:18:35Z</dcterms:modified>
  <cp:lastModifiedBy>张明峰</cp:lastModifiedBy>
  <cp:revision>1</cp:revision>
</cp:coreProperties>
</file>

<file path=docProps/custom.xml><?xml version="1.0" encoding="utf-8"?>
<Properties xmlns="http://schemas.openxmlformats.org/officeDocument/2006/custom-properties">
  <property name="MmExcelLinker_906C69A3_41FD_4973_9FB2_54559DEDE127" fmtid="{D5CDD505-2E9C-101B-9397-08002B2CF9AE}" pid="2">
    <vt:lpwstr xmlns:vt="http://schemas.openxmlformats.org/officeDocument/2006/docPropsVTypes">86</vt:lpwstr>
  </property>
  <property name="KSOProductBuildVer" fmtid="{D5CDD505-2E9C-101B-9397-08002B2CF9AE}" pid="3">
    <vt:lpwstr xmlns:vt="http://schemas.openxmlformats.org/officeDocument/2006/docPropsVTypes">2052-12.1.0.26375</vt:lpwstr>
  </property>
  <property name="ICV" fmtid="{D5CDD505-2E9C-101B-9397-08002B2CF9AE}" pid="4">
    <vt:lpwstr xmlns:vt="http://schemas.openxmlformats.org/officeDocument/2006/docPropsVTypes">13A1182185254D809086F7B93F3096AD_13</vt:lpwstr>
  </property>
  <property name="KSOReadingLayout" fmtid="{D5CDD505-2E9C-101B-9397-08002B2CF9AE}" pid="5">
    <vt:bool xmlns:vt="http://schemas.openxmlformats.org/officeDocument/2006/docPropsVTypes">0</vt:bool>
  </property>
  <property name="CalculationRule" fmtid="{D5CDD505-2E9C-101B-9397-08002B2CF9AE}" pid="6">
    <vt:i4 xmlns:vt="http://schemas.openxmlformats.org/officeDocument/2006/docPropsVTypes">0</vt:i4>
  </property>
</Properties>
</file>